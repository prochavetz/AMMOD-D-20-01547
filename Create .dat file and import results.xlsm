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DeTrabalho"/>
  <bookViews>
    <workbookView xWindow="10380" yWindow="-30" windowWidth="9435" windowHeight="8715" activeTab="1"/>
  </bookViews>
  <sheets>
    <sheet name="Dados" sheetId="1" r:id="rId1"/>
    <sheet name="Resultado" sheetId="18" r:id="rId2"/>
  </sheets>
  <definedNames>
    <definedName name="_xlnm._FilterDatabase" localSheetId="0" hidden="1">Dados!$D$2:$L$882</definedName>
    <definedName name="_xlnm._FilterDatabase" localSheetId="1" hidden="1">Resultado!$W$2:$AB$124817</definedName>
    <definedName name="bins">Dados!$S$2</definedName>
    <definedName name="ddItem" localSheetId="1">Resultado!#REF!</definedName>
    <definedName name="ddItem">#REF!</definedName>
    <definedName name="ddItens" localSheetId="1">#REF!</definedName>
    <definedName name="ddItens">#REF!</definedName>
    <definedName name="decai" localSheetId="1">Resultado!$B$29</definedName>
    <definedName name="decai">#REF!</definedName>
    <definedName name="estF">Resultado!$CK$2</definedName>
    <definedName name="estI" localSheetId="1">Resultado!$AW$2</definedName>
    <definedName name="estI">#REF!</definedName>
    <definedName name="estO" localSheetId="1">Resultado!#REF!</definedName>
    <definedName name="estO">#REF!</definedName>
    <definedName name="estOb" localSheetId="1">#REF!</definedName>
    <definedName name="estOb">#REF!</definedName>
    <definedName name="feixe">Dados!$AJ$2</definedName>
    <definedName name="FxPr">Dados!$AP$2</definedName>
    <definedName name="gc" localSheetId="1">Resultado!#REF!</definedName>
    <definedName name="gc">#REF!</definedName>
    <definedName name="inst">Dados!$B$10</definedName>
    <definedName name="itens">Dados!$D$2</definedName>
    <definedName name="maq">Dados!$X$2</definedName>
    <definedName name="mFT">Dados!$AD$2</definedName>
    <definedName name="mIT">Dados!$O$2</definedName>
    <definedName name="mKT" localSheetId="1">Dados!#REF!</definedName>
    <definedName name="mKT">Dados!#REF!</definedName>
    <definedName name="padr" localSheetId="1">Resultado!$F$2</definedName>
    <definedName name="padr">#REF!</definedName>
    <definedName name="padU" localSheetId="1">Resultado!$W$2</definedName>
    <definedName name="padU">#REF!</definedName>
    <definedName name="per">Dados!$AH$2</definedName>
    <definedName name="sol" localSheetId="1">Resultado!$C$10</definedName>
    <definedName name="sol">#REF!</definedName>
    <definedName name="tempo" localSheetId="1">Resultado!$B$17</definedName>
    <definedName name="tempo">#REF!</definedName>
  </definedNames>
  <calcPr calcId="124519"/>
</workbook>
</file>

<file path=xl/calcChain.xml><?xml version="1.0" encoding="utf-8"?>
<calcChain xmlns="http://schemas.openxmlformats.org/spreadsheetml/2006/main">
  <c r="DT11" i="18"/>
  <c r="CG3"/>
  <c r="CH5"/>
  <c r="CH4"/>
  <c r="CH3"/>
  <c r="BP3"/>
  <c r="C24"/>
  <c r="AK3"/>
  <c r="AI3"/>
  <c r="D15" l="1"/>
  <c r="C15"/>
  <c r="D10"/>
  <c r="C14"/>
  <c r="C13"/>
  <c r="AI227"/>
  <c r="AJ227" s="1"/>
  <c r="AE227"/>
  <c r="AD227"/>
  <c r="AF227" s="1"/>
  <c r="AI226"/>
  <c r="AJ226" s="1"/>
  <c r="AF226"/>
  <c r="AE226"/>
  <c r="AD226"/>
  <c r="AI225"/>
  <c r="AK225" s="1"/>
  <c r="AL225" s="1"/>
  <c r="AF225"/>
  <c r="AE225"/>
  <c r="AD225"/>
  <c r="AJ224"/>
  <c r="AI224"/>
  <c r="AE224"/>
  <c r="AD224"/>
  <c r="AK224" s="1"/>
  <c r="AL224" s="1"/>
  <c r="AI223"/>
  <c r="AJ223" s="1"/>
  <c r="AE223"/>
  <c r="AD223"/>
  <c r="AF223" s="1"/>
  <c r="AI222"/>
  <c r="AJ222" s="1"/>
  <c r="AF222"/>
  <c r="AE222"/>
  <c r="AD222"/>
  <c r="AI221"/>
  <c r="AK221" s="1"/>
  <c r="AL221" s="1"/>
  <c r="AF221"/>
  <c r="AE221"/>
  <c r="AD221"/>
  <c r="AI220"/>
  <c r="AJ220" s="1"/>
  <c r="AE220"/>
  <c r="AD220"/>
  <c r="AK220" s="1"/>
  <c r="AL220" s="1"/>
  <c r="AI219"/>
  <c r="AJ219" s="1"/>
  <c r="AE219"/>
  <c r="AD219"/>
  <c r="AF219" s="1"/>
  <c r="AI218"/>
  <c r="AJ218" s="1"/>
  <c r="AF218"/>
  <c r="AE218"/>
  <c r="AD218"/>
  <c r="AI217"/>
  <c r="AK217" s="1"/>
  <c r="AL217" s="1"/>
  <c r="AF217"/>
  <c r="AE217"/>
  <c r="AD217"/>
  <c r="AI216"/>
  <c r="AJ216" s="1"/>
  <c r="AE216"/>
  <c r="AD216"/>
  <c r="AK216" s="1"/>
  <c r="AL216" s="1"/>
  <c r="AI215"/>
  <c r="AJ215" s="1"/>
  <c r="AE215"/>
  <c r="AD215"/>
  <c r="AF215" s="1"/>
  <c r="AI214"/>
  <c r="AJ214" s="1"/>
  <c r="AF214"/>
  <c r="AE214"/>
  <c r="AD214"/>
  <c r="AI213"/>
  <c r="AK213" s="1"/>
  <c r="AL213" s="1"/>
  <c r="AF213"/>
  <c r="AE213"/>
  <c r="AD213"/>
  <c r="AI212"/>
  <c r="AJ212" s="1"/>
  <c r="AE212"/>
  <c r="AD212"/>
  <c r="AK212" s="1"/>
  <c r="AL212" s="1"/>
  <c r="AI211"/>
  <c r="AJ211" s="1"/>
  <c r="AE211"/>
  <c r="AD211"/>
  <c r="AF211" s="1"/>
  <c r="AI210"/>
  <c r="AJ210" s="1"/>
  <c r="AF210"/>
  <c r="AE210"/>
  <c r="AD210"/>
  <c r="AI209"/>
  <c r="AJ209" s="1"/>
  <c r="AF209"/>
  <c r="AE209"/>
  <c r="AD209"/>
  <c r="AI208"/>
  <c r="AJ208" s="1"/>
  <c r="AE208"/>
  <c r="AD208"/>
  <c r="AF208" s="1"/>
  <c r="AI207"/>
  <c r="AJ207" s="1"/>
  <c r="AF207"/>
  <c r="AE207"/>
  <c r="AD207"/>
  <c r="AK206"/>
  <c r="AL206" s="1"/>
  <c r="AI206"/>
  <c r="AJ206" s="1"/>
  <c r="AF206"/>
  <c r="AE206"/>
  <c r="AD206"/>
  <c r="AJ205"/>
  <c r="AI205"/>
  <c r="AE205"/>
  <c r="AD205"/>
  <c r="AK205" s="1"/>
  <c r="AL205" s="1"/>
  <c r="AI204"/>
  <c r="AJ204" s="1"/>
  <c r="AF204"/>
  <c r="AE204"/>
  <c r="AD204"/>
  <c r="AJ203"/>
  <c r="AI203"/>
  <c r="AE203"/>
  <c r="AD203"/>
  <c r="AK203" s="1"/>
  <c r="AL203" s="1"/>
  <c r="AI202"/>
  <c r="AJ202" s="1"/>
  <c r="AE202"/>
  <c r="AD202"/>
  <c r="AF202" s="1"/>
  <c r="AI201"/>
  <c r="AJ201" s="1"/>
  <c r="AF201"/>
  <c r="AE201"/>
  <c r="AD201"/>
  <c r="AJ200"/>
  <c r="AI200"/>
  <c r="AE200"/>
  <c r="AD200"/>
  <c r="AK200" s="1"/>
  <c r="AL200" s="1"/>
  <c r="AI199"/>
  <c r="AJ199" s="1"/>
  <c r="AF199"/>
  <c r="AE199"/>
  <c r="AD199"/>
  <c r="AK198"/>
  <c r="AL198" s="1"/>
  <c r="AI198"/>
  <c r="AJ198" s="1"/>
  <c r="AF198"/>
  <c r="AE198"/>
  <c r="AD198"/>
  <c r="AJ197"/>
  <c r="AI197"/>
  <c r="AE197"/>
  <c r="AD197"/>
  <c r="AK197" s="1"/>
  <c r="AL197" s="1"/>
  <c r="AI196"/>
  <c r="AJ196" s="1"/>
  <c r="AF196"/>
  <c r="AE196"/>
  <c r="AD196"/>
  <c r="AJ195"/>
  <c r="AI195"/>
  <c r="AE195"/>
  <c r="AD195"/>
  <c r="AK195" s="1"/>
  <c r="AL195" s="1"/>
  <c r="AI194"/>
  <c r="AJ194" s="1"/>
  <c r="AE194"/>
  <c r="AD194"/>
  <c r="AF194" s="1"/>
  <c r="AI193"/>
  <c r="AJ193" s="1"/>
  <c r="AF193"/>
  <c r="AE193"/>
  <c r="AD193"/>
  <c r="AJ192"/>
  <c r="AI192"/>
  <c r="AE192"/>
  <c r="AD192"/>
  <c r="AK192" s="1"/>
  <c r="AL192" s="1"/>
  <c r="AI191"/>
  <c r="AJ191" s="1"/>
  <c r="AF191"/>
  <c r="AE191"/>
  <c r="AD191"/>
  <c r="AK190"/>
  <c r="AL190" s="1"/>
  <c r="AI190"/>
  <c r="AJ190" s="1"/>
  <c r="AF190"/>
  <c r="AE190"/>
  <c r="AD190"/>
  <c r="AJ189"/>
  <c r="AI189"/>
  <c r="AK189" s="1"/>
  <c r="AL189" s="1"/>
  <c r="AE189"/>
  <c r="AD189"/>
  <c r="AF189" s="1"/>
  <c r="AJ188"/>
  <c r="AI188"/>
  <c r="AK188" s="1"/>
  <c r="AL188" s="1"/>
  <c r="AF188"/>
  <c r="AE188"/>
  <c r="AD188"/>
  <c r="AJ187"/>
  <c r="AI187"/>
  <c r="AK187" s="1"/>
  <c r="AL187" s="1"/>
  <c r="AE187"/>
  <c r="AD187"/>
  <c r="AF187" s="1"/>
  <c r="AI186"/>
  <c r="AJ186" s="1"/>
  <c r="AE186"/>
  <c r="AD186"/>
  <c r="AF186" s="1"/>
  <c r="AI185"/>
  <c r="AJ185" s="1"/>
  <c r="AF185"/>
  <c r="AE185"/>
  <c r="AD185"/>
  <c r="AJ184"/>
  <c r="AI184"/>
  <c r="AK184" s="1"/>
  <c r="AL184" s="1"/>
  <c r="AE184"/>
  <c r="AD184"/>
  <c r="AF184" s="1"/>
  <c r="AI183"/>
  <c r="AJ183" s="1"/>
  <c r="AF183"/>
  <c r="AE183"/>
  <c r="AD183"/>
  <c r="AK182"/>
  <c r="AL182" s="1"/>
  <c r="AI182"/>
  <c r="AJ182" s="1"/>
  <c r="AF182"/>
  <c r="AE182"/>
  <c r="AD182"/>
  <c r="U2706"/>
  <c r="T2706"/>
  <c r="S2706"/>
  <c r="N2706"/>
  <c r="R2706" s="1"/>
  <c r="M2706"/>
  <c r="Q2706" s="1"/>
  <c r="L2706"/>
  <c r="P2706" s="1"/>
  <c r="K2706"/>
  <c r="O2706" s="1"/>
  <c r="U2705"/>
  <c r="T2705"/>
  <c r="S2705"/>
  <c r="N2705"/>
  <c r="R2705" s="1"/>
  <c r="M2705"/>
  <c r="Q2705" s="1"/>
  <c r="L2705"/>
  <c r="P2705" s="1"/>
  <c r="K2705"/>
  <c r="O2705" s="1"/>
  <c r="U2704"/>
  <c r="T2704"/>
  <c r="S2704"/>
  <c r="N2704"/>
  <c r="R2704" s="1"/>
  <c r="M2704"/>
  <c r="Q2704" s="1"/>
  <c r="L2704"/>
  <c r="P2704" s="1"/>
  <c r="K2704"/>
  <c r="O2704" s="1"/>
  <c r="U2703"/>
  <c r="T2703"/>
  <c r="S2703"/>
  <c r="N2703"/>
  <c r="R2703" s="1"/>
  <c r="M2703"/>
  <c r="Q2703" s="1"/>
  <c r="L2703"/>
  <c r="P2703" s="1"/>
  <c r="K2703"/>
  <c r="O2703" s="1"/>
  <c r="U2702"/>
  <c r="T2702"/>
  <c r="S2702"/>
  <c r="N2702"/>
  <c r="R2702" s="1"/>
  <c r="M2702"/>
  <c r="Q2702" s="1"/>
  <c r="L2702"/>
  <c r="P2702" s="1"/>
  <c r="K2702"/>
  <c r="O2702" s="1"/>
  <c r="U2701"/>
  <c r="T2701"/>
  <c r="S2701"/>
  <c r="N2701"/>
  <c r="R2701" s="1"/>
  <c r="M2701"/>
  <c r="Q2701" s="1"/>
  <c r="L2701"/>
  <c r="P2701" s="1"/>
  <c r="K2701"/>
  <c r="O2701" s="1"/>
  <c r="U2700"/>
  <c r="T2700"/>
  <c r="S2700"/>
  <c r="N2700"/>
  <c r="R2700" s="1"/>
  <c r="M2700"/>
  <c r="Q2700" s="1"/>
  <c r="L2700"/>
  <c r="P2700" s="1"/>
  <c r="K2700"/>
  <c r="O2700" s="1"/>
  <c r="U2699"/>
  <c r="T2699"/>
  <c r="S2699"/>
  <c r="N2699"/>
  <c r="R2699" s="1"/>
  <c r="M2699"/>
  <c r="Q2699" s="1"/>
  <c r="L2699"/>
  <c r="P2699" s="1"/>
  <c r="K2699"/>
  <c r="O2699" s="1"/>
  <c r="U2698"/>
  <c r="T2698"/>
  <c r="S2698"/>
  <c r="N2698"/>
  <c r="R2698" s="1"/>
  <c r="M2698"/>
  <c r="Q2698" s="1"/>
  <c r="L2698"/>
  <c r="P2698" s="1"/>
  <c r="K2698"/>
  <c r="O2698" s="1"/>
  <c r="U2697"/>
  <c r="T2697"/>
  <c r="S2697"/>
  <c r="N2697"/>
  <c r="R2697" s="1"/>
  <c r="M2697"/>
  <c r="Q2697" s="1"/>
  <c r="L2697"/>
  <c r="P2697" s="1"/>
  <c r="K2697"/>
  <c r="O2697" s="1"/>
  <c r="U2696"/>
  <c r="T2696"/>
  <c r="S2696"/>
  <c r="N2696"/>
  <c r="R2696" s="1"/>
  <c r="M2696"/>
  <c r="Q2696" s="1"/>
  <c r="L2696"/>
  <c r="P2696" s="1"/>
  <c r="K2696"/>
  <c r="O2696" s="1"/>
  <c r="U2695"/>
  <c r="T2695"/>
  <c r="S2695"/>
  <c r="N2695"/>
  <c r="R2695" s="1"/>
  <c r="M2695"/>
  <c r="Q2695" s="1"/>
  <c r="L2695"/>
  <c r="P2695" s="1"/>
  <c r="K2695"/>
  <c r="O2695" s="1"/>
  <c r="U2694"/>
  <c r="T2694"/>
  <c r="S2694"/>
  <c r="N2694"/>
  <c r="R2694" s="1"/>
  <c r="M2694"/>
  <c r="Q2694" s="1"/>
  <c r="L2694"/>
  <c r="P2694" s="1"/>
  <c r="K2694"/>
  <c r="O2694" s="1"/>
  <c r="U2693"/>
  <c r="T2693"/>
  <c r="S2693"/>
  <c r="N2693"/>
  <c r="R2693" s="1"/>
  <c r="M2693"/>
  <c r="Q2693" s="1"/>
  <c r="L2693"/>
  <c r="P2693" s="1"/>
  <c r="K2693"/>
  <c r="O2693" s="1"/>
  <c r="U2692"/>
  <c r="T2692"/>
  <c r="S2692"/>
  <c r="N2692"/>
  <c r="R2692" s="1"/>
  <c r="M2692"/>
  <c r="Q2692" s="1"/>
  <c r="L2692"/>
  <c r="P2692" s="1"/>
  <c r="K2692"/>
  <c r="O2692" s="1"/>
  <c r="U2691"/>
  <c r="T2691"/>
  <c r="S2691"/>
  <c r="N2691"/>
  <c r="R2691" s="1"/>
  <c r="M2691"/>
  <c r="Q2691" s="1"/>
  <c r="L2691"/>
  <c r="P2691" s="1"/>
  <c r="K2691"/>
  <c r="O2691" s="1"/>
  <c r="U2690"/>
  <c r="T2690"/>
  <c r="S2690"/>
  <c r="N2690"/>
  <c r="R2690" s="1"/>
  <c r="M2690"/>
  <c r="Q2690" s="1"/>
  <c r="L2690"/>
  <c r="P2690" s="1"/>
  <c r="K2690"/>
  <c r="O2690" s="1"/>
  <c r="U2689"/>
  <c r="T2689"/>
  <c r="S2689"/>
  <c r="N2689"/>
  <c r="R2689" s="1"/>
  <c r="M2689"/>
  <c r="Q2689" s="1"/>
  <c r="L2689"/>
  <c r="P2689" s="1"/>
  <c r="K2689"/>
  <c r="O2689" s="1"/>
  <c r="U2688"/>
  <c r="T2688"/>
  <c r="S2688"/>
  <c r="N2688"/>
  <c r="R2688" s="1"/>
  <c r="M2688"/>
  <c r="Q2688" s="1"/>
  <c r="L2688"/>
  <c r="P2688" s="1"/>
  <c r="K2688"/>
  <c r="O2688" s="1"/>
  <c r="U2687"/>
  <c r="T2687"/>
  <c r="S2687"/>
  <c r="N2687"/>
  <c r="R2687" s="1"/>
  <c r="M2687"/>
  <c r="Q2687" s="1"/>
  <c r="L2687"/>
  <c r="P2687" s="1"/>
  <c r="K2687"/>
  <c r="O2687" s="1"/>
  <c r="U2686"/>
  <c r="T2686"/>
  <c r="S2686"/>
  <c r="N2686"/>
  <c r="R2686" s="1"/>
  <c r="M2686"/>
  <c r="Q2686" s="1"/>
  <c r="L2686"/>
  <c r="P2686" s="1"/>
  <c r="K2686"/>
  <c r="O2686" s="1"/>
  <c r="U2685"/>
  <c r="T2685"/>
  <c r="S2685"/>
  <c r="N2685"/>
  <c r="R2685" s="1"/>
  <c r="M2685"/>
  <c r="Q2685" s="1"/>
  <c r="L2685"/>
  <c r="P2685" s="1"/>
  <c r="K2685"/>
  <c r="O2685" s="1"/>
  <c r="U2684"/>
  <c r="T2684"/>
  <c r="S2684"/>
  <c r="N2684"/>
  <c r="R2684" s="1"/>
  <c r="M2684"/>
  <c r="Q2684" s="1"/>
  <c r="L2684"/>
  <c r="P2684" s="1"/>
  <c r="K2684"/>
  <c r="O2684" s="1"/>
  <c r="U2683"/>
  <c r="T2683"/>
  <c r="S2683"/>
  <c r="N2683"/>
  <c r="R2683" s="1"/>
  <c r="M2683"/>
  <c r="Q2683" s="1"/>
  <c r="L2683"/>
  <c r="P2683" s="1"/>
  <c r="K2683"/>
  <c r="O2683" s="1"/>
  <c r="U2682"/>
  <c r="T2682"/>
  <c r="S2682"/>
  <c r="N2682"/>
  <c r="R2682" s="1"/>
  <c r="M2682"/>
  <c r="Q2682" s="1"/>
  <c r="L2682"/>
  <c r="P2682" s="1"/>
  <c r="K2682"/>
  <c r="O2682" s="1"/>
  <c r="U2681"/>
  <c r="T2681"/>
  <c r="S2681"/>
  <c r="N2681"/>
  <c r="R2681" s="1"/>
  <c r="M2681"/>
  <c r="Q2681" s="1"/>
  <c r="L2681"/>
  <c r="P2681" s="1"/>
  <c r="K2681"/>
  <c r="O2681" s="1"/>
  <c r="U2680"/>
  <c r="T2680"/>
  <c r="S2680"/>
  <c r="N2680"/>
  <c r="R2680" s="1"/>
  <c r="M2680"/>
  <c r="Q2680" s="1"/>
  <c r="L2680"/>
  <c r="P2680" s="1"/>
  <c r="K2680"/>
  <c r="O2680" s="1"/>
  <c r="U2679"/>
  <c r="T2679"/>
  <c r="S2679"/>
  <c r="N2679"/>
  <c r="R2679" s="1"/>
  <c r="M2679"/>
  <c r="Q2679" s="1"/>
  <c r="L2679"/>
  <c r="P2679" s="1"/>
  <c r="K2679"/>
  <c r="O2679" s="1"/>
  <c r="U2678"/>
  <c r="T2678"/>
  <c r="S2678"/>
  <c r="N2678"/>
  <c r="R2678" s="1"/>
  <c r="M2678"/>
  <c r="Q2678" s="1"/>
  <c r="L2678"/>
  <c r="P2678" s="1"/>
  <c r="K2678"/>
  <c r="O2678" s="1"/>
  <c r="U2677"/>
  <c r="T2677"/>
  <c r="S2677"/>
  <c r="N2677"/>
  <c r="R2677" s="1"/>
  <c r="M2677"/>
  <c r="Q2677" s="1"/>
  <c r="L2677"/>
  <c r="P2677" s="1"/>
  <c r="K2677"/>
  <c r="O2677" s="1"/>
  <c r="U2676"/>
  <c r="T2676"/>
  <c r="S2676"/>
  <c r="N2676"/>
  <c r="R2676" s="1"/>
  <c r="M2676"/>
  <c r="Q2676" s="1"/>
  <c r="L2676"/>
  <c r="P2676" s="1"/>
  <c r="K2676"/>
  <c r="O2676" s="1"/>
  <c r="U2675"/>
  <c r="T2675"/>
  <c r="S2675"/>
  <c r="N2675"/>
  <c r="R2675" s="1"/>
  <c r="M2675"/>
  <c r="Q2675" s="1"/>
  <c r="L2675"/>
  <c r="P2675" s="1"/>
  <c r="K2675"/>
  <c r="O2675" s="1"/>
  <c r="U2674"/>
  <c r="T2674"/>
  <c r="S2674"/>
  <c r="N2674"/>
  <c r="R2674" s="1"/>
  <c r="M2674"/>
  <c r="Q2674" s="1"/>
  <c r="L2674"/>
  <c r="P2674" s="1"/>
  <c r="K2674"/>
  <c r="O2674" s="1"/>
  <c r="U2673"/>
  <c r="T2673"/>
  <c r="S2673"/>
  <c r="N2673"/>
  <c r="R2673" s="1"/>
  <c r="M2673"/>
  <c r="Q2673" s="1"/>
  <c r="L2673"/>
  <c r="P2673" s="1"/>
  <c r="K2673"/>
  <c r="O2673" s="1"/>
  <c r="U2672"/>
  <c r="T2672"/>
  <c r="S2672"/>
  <c r="N2672"/>
  <c r="R2672" s="1"/>
  <c r="M2672"/>
  <c r="Q2672" s="1"/>
  <c r="L2672"/>
  <c r="P2672" s="1"/>
  <c r="K2672"/>
  <c r="O2672" s="1"/>
  <c r="U2671"/>
  <c r="T2671"/>
  <c r="S2671"/>
  <c r="N2671"/>
  <c r="R2671" s="1"/>
  <c r="M2671"/>
  <c r="Q2671" s="1"/>
  <c r="L2671"/>
  <c r="P2671" s="1"/>
  <c r="K2671"/>
  <c r="O2671" s="1"/>
  <c r="U2670"/>
  <c r="T2670"/>
  <c r="S2670"/>
  <c r="N2670"/>
  <c r="R2670" s="1"/>
  <c r="M2670"/>
  <c r="Q2670" s="1"/>
  <c r="L2670"/>
  <c r="P2670" s="1"/>
  <c r="K2670"/>
  <c r="O2670" s="1"/>
  <c r="U2669"/>
  <c r="T2669"/>
  <c r="S2669"/>
  <c r="N2669"/>
  <c r="R2669" s="1"/>
  <c r="M2669"/>
  <c r="Q2669" s="1"/>
  <c r="L2669"/>
  <c r="P2669" s="1"/>
  <c r="K2669"/>
  <c r="O2669" s="1"/>
  <c r="U2668"/>
  <c r="T2668"/>
  <c r="S2668"/>
  <c r="N2668"/>
  <c r="R2668" s="1"/>
  <c r="M2668"/>
  <c r="Q2668" s="1"/>
  <c r="L2668"/>
  <c r="P2668" s="1"/>
  <c r="K2668"/>
  <c r="O2668" s="1"/>
  <c r="U2667"/>
  <c r="T2667"/>
  <c r="S2667"/>
  <c r="N2667"/>
  <c r="R2667" s="1"/>
  <c r="M2667"/>
  <c r="Q2667" s="1"/>
  <c r="L2667"/>
  <c r="P2667" s="1"/>
  <c r="K2667"/>
  <c r="O2667" s="1"/>
  <c r="U2666"/>
  <c r="T2666"/>
  <c r="S2666"/>
  <c r="N2666"/>
  <c r="R2666" s="1"/>
  <c r="M2666"/>
  <c r="Q2666" s="1"/>
  <c r="L2666"/>
  <c r="P2666" s="1"/>
  <c r="K2666"/>
  <c r="O2666" s="1"/>
  <c r="U2665"/>
  <c r="T2665"/>
  <c r="S2665"/>
  <c r="N2665"/>
  <c r="R2665" s="1"/>
  <c r="M2665"/>
  <c r="Q2665" s="1"/>
  <c r="L2665"/>
  <c r="P2665" s="1"/>
  <c r="K2665"/>
  <c r="O2665" s="1"/>
  <c r="U2664"/>
  <c r="T2664"/>
  <c r="S2664"/>
  <c r="N2664"/>
  <c r="R2664" s="1"/>
  <c r="M2664"/>
  <c r="Q2664" s="1"/>
  <c r="L2664"/>
  <c r="P2664" s="1"/>
  <c r="K2664"/>
  <c r="O2664" s="1"/>
  <c r="U2663"/>
  <c r="T2663"/>
  <c r="S2663"/>
  <c r="N2663"/>
  <c r="R2663" s="1"/>
  <c r="M2663"/>
  <c r="Q2663" s="1"/>
  <c r="L2663"/>
  <c r="P2663" s="1"/>
  <c r="K2663"/>
  <c r="O2663" s="1"/>
  <c r="U2662"/>
  <c r="T2662"/>
  <c r="S2662"/>
  <c r="N2662"/>
  <c r="R2662" s="1"/>
  <c r="M2662"/>
  <c r="Q2662" s="1"/>
  <c r="L2662"/>
  <c r="P2662" s="1"/>
  <c r="K2662"/>
  <c r="O2662" s="1"/>
  <c r="U2661"/>
  <c r="T2661"/>
  <c r="S2661"/>
  <c r="N2661"/>
  <c r="R2661" s="1"/>
  <c r="M2661"/>
  <c r="Q2661" s="1"/>
  <c r="L2661"/>
  <c r="P2661" s="1"/>
  <c r="K2661"/>
  <c r="O2661" s="1"/>
  <c r="U2660"/>
  <c r="T2660"/>
  <c r="S2660"/>
  <c r="N2660"/>
  <c r="R2660" s="1"/>
  <c r="M2660"/>
  <c r="Q2660" s="1"/>
  <c r="L2660"/>
  <c r="P2660" s="1"/>
  <c r="K2660"/>
  <c r="O2660" s="1"/>
  <c r="U2659"/>
  <c r="T2659"/>
  <c r="S2659"/>
  <c r="N2659"/>
  <c r="R2659" s="1"/>
  <c r="M2659"/>
  <c r="Q2659" s="1"/>
  <c r="L2659"/>
  <c r="P2659" s="1"/>
  <c r="K2659"/>
  <c r="O2659" s="1"/>
  <c r="U2658"/>
  <c r="T2658"/>
  <c r="S2658"/>
  <c r="N2658"/>
  <c r="R2658" s="1"/>
  <c r="M2658"/>
  <c r="Q2658" s="1"/>
  <c r="L2658"/>
  <c r="P2658" s="1"/>
  <c r="K2658"/>
  <c r="O2658" s="1"/>
  <c r="U2657"/>
  <c r="T2657"/>
  <c r="S2657"/>
  <c r="N2657"/>
  <c r="R2657" s="1"/>
  <c r="M2657"/>
  <c r="Q2657" s="1"/>
  <c r="L2657"/>
  <c r="P2657" s="1"/>
  <c r="K2657"/>
  <c r="O2657" s="1"/>
  <c r="U2656"/>
  <c r="T2656"/>
  <c r="S2656"/>
  <c r="N2656"/>
  <c r="R2656" s="1"/>
  <c r="M2656"/>
  <c r="Q2656" s="1"/>
  <c r="L2656"/>
  <c r="P2656" s="1"/>
  <c r="K2656"/>
  <c r="O2656" s="1"/>
  <c r="U2655"/>
  <c r="T2655"/>
  <c r="S2655"/>
  <c r="N2655"/>
  <c r="R2655" s="1"/>
  <c r="M2655"/>
  <c r="Q2655" s="1"/>
  <c r="L2655"/>
  <c r="P2655" s="1"/>
  <c r="K2655"/>
  <c r="O2655" s="1"/>
  <c r="U2654"/>
  <c r="T2654"/>
  <c r="S2654"/>
  <c r="N2654"/>
  <c r="R2654" s="1"/>
  <c r="M2654"/>
  <c r="Q2654" s="1"/>
  <c r="L2654"/>
  <c r="P2654" s="1"/>
  <c r="K2654"/>
  <c r="O2654" s="1"/>
  <c r="U2653"/>
  <c r="T2653"/>
  <c r="S2653"/>
  <c r="N2653"/>
  <c r="R2653" s="1"/>
  <c r="M2653"/>
  <c r="Q2653" s="1"/>
  <c r="L2653"/>
  <c r="P2653" s="1"/>
  <c r="K2653"/>
  <c r="O2653" s="1"/>
  <c r="U2652"/>
  <c r="T2652"/>
  <c r="S2652"/>
  <c r="N2652"/>
  <c r="R2652" s="1"/>
  <c r="M2652"/>
  <c r="Q2652" s="1"/>
  <c r="L2652"/>
  <c r="P2652" s="1"/>
  <c r="K2652"/>
  <c r="O2652" s="1"/>
  <c r="U2651"/>
  <c r="T2651"/>
  <c r="S2651"/>
  <c r="N2651"/>
  <c r="R2651" s="1"/>
  <c r="M2651"/>
  <c r="Q2651" s="1"/>
  <c r="L2651"/>
  <c r="P2651" s="1"/>
  <c r="K2651"/>
  <c r="O2651" s="1"/>
  <c r="U2650"/>
  <c r="T2650"/>
  <c r="S2650"/>
  <c r="N2650"/>
  <c r="R2650" s="1"/>
  <c r="M2650"/>
  <c r="Q2650" s="1"/>
  <c r="L2650"/>
  <c r="P2650" s="1"/>
  <c r="K2650"/>
  <c r="O2650" s="1"/>
  <c r="U2649"/>
  <c r="T2649"/>
  <c r="S2649"/>
  <c r="N2649"/>
  <c r="R2649" s="1"/>
  <c r="M2649"/>
  <c r="Q2649" s="1"/>
  <c r="L2649"/>
  <c r="P2649" s="1"/>
  <c r="K2649"/>
  <c r="O2649" s="1"/>
  <c r="U2648"/>
  <c r="T2648"/>
  <c r="S2648"/>
  <c r="N2648"/>
  <c r="R2648" s="1"/>
  <c r="M2648"/>
  <c r="Q2648" s="1"/>
  <c r="L2648"/>
  <c r="P2648" s="1"/>
  <c r="K2648"/>
  <c r="O2648" s="1"/>
  <c r="U2647"/>
  <c r="T2647"/>
  <c r="S2647"/>
  <c r="N2647"/>
  <c r="R2647" s="1"/>
  <c r="M2647"/>
  <c r="Q2647" s="1"/>
  <c r="L2647"/>
  <c r="P2647" s="1"/>
  <c r="K2647"/>
  <c r="O2647" s="1"/>
  <c r="U2646"/>
  <c r="T2646"/>
  <c r="S2646"/>
  <c r="N2646"/>
  <c r="R2646" s="1"/>
  <c r="M2646"/>
  <c r="Q2646" s="1"/>
  <c r="L2646"/>
  <c r="P2646" s="1"/>
  <c r="K2646"/>
  <c r="O2646" s="1"/>
  <c r="U2645"/>
  <c r="T2645"/>
  <c r="S2645"/>
  <c r="N2645"/>
  <c r="R2645" s="1"/>
  <c r="M2645"/>
  <c r="Q2645" s="1"/>
  <c r="L2645"/>
  <c r="P2645" s="1"/>
  <c r="K2645"/>
  <c r="O2645" s="1"/>
  <c r="U2644"/>
  <c r="T2644"/>
  <c r="S2644"/>
  <c r="N2644"/>
  <c r="R2644" s="1"/>
  <c r="M2644"/>
  <c r="Q2644" s="1"/>
  <c r="L2644"/>
  <c r="P2644" s="1"/>
  <c r="K2644"/>
  <c r="O2644" s="1"/>
  <c r="U2643"/>
  <c r="T2643"/>
  <c r="S2643"/>
  <c r="N2643"/>
  <c r="R2643" s="1"/>
  <c r="M2643"/>
  <c r="Q2643" s="1"/>
  <c r="L2643"/>
  <c r="P2643" s="1"/>
  <c r="K2643"/>
  <c r="O2643" s="1"/>
  <c r="U2642"/>
  <c r="T2642"/>
  <c r="S2642"/>
  <c r="N2642"/>
  <c r="R2642" s="1"/>
  <c r="M2642"/>
  <c r="Q2642" s="1"/>
  <c r="L2642"/>
  <c r="P2642" s="1"/>
  <c r="K2642"/>
  <c r="O2642" s="1"/>
  <c r="U2641"/>
  <c r="T2641"/>
  <c r="S2641"/>
  <c r="N2641"/>
  <c r="R2641" s="1"/>
  <c r="M2641"/>
  <c r="Q2641" s="1"/>
  <c r="L2641"/>
  <c r="P2641" s="1"/>
  <c r="K2641"/>
  <c r="O2641" s="1"/>
  <c r="U2640"/>
  <c r="T2640"/>
  <c r="S2640"/>
  <c r="N2640"/>
  <c r="R2640" s="1"/>
  <c r="M2640"/>
  <c r="Q2640" s="1"/>
  <c r="L2640"/>
  <c r="P2640" s="1"/>
  <c r="K2640"/>
  <c r="O2640" s="1"/>
  <c r="U2639"/>
  <c r="T2639"/>
  <c r="S2639"/>
  <c r="N2639"/>
  <c r="R2639" s="1"/>
  <c r="M2639"/>
  <c r="Q2639" s="1"/>
  <c r="L2639"/>
  <c r="P2639" s="1"/>
  <c r="K2639"/>
  <c r="O2639" s="1"/>
  <c r="U2638"/>
  <c r="T2638"/>
  <c r="S2638"/>
  <c r="N2638"/>
  <c r="R2638" s="1"/>
  <c r="M2638"/>
  <c r="Q2638" s="1"/>
  <c r="L2638"/>
  <c r="P2638" s="1"/>
  <c r="K2638"/>
  <c r="O2638" s="1"/>
  <c r="U2637"/>
  <c r="T2637"/>
  <c r="S2637"/>
  <c r="N2637"/>
  <c r="R2637" s="1"/>
  <c r="M2637"/>
  <c r="Q2637" s="1"/>
  <c r="L2637"/>
  <c r="P2637" s="1"/>
  <c r="K2637"/>
  <c r="O2637" s="1"/>
  <c r="U2636"/>
  <c r="T2636"/>
  <c r="S2636"/>
  <c r="N2636"/>
  <c r="R2636" s="1"/>
  <c r="M2636"/>
  <c r="Q2636" s="1"/>
  <c r="L2636"/>
  <c r="P2636" s="1"/>
  <c r="K2636"/>
  <c r="O2636" s="1"/>
  <c r="U2635"/>
  <c r="T2635"/>
  <c r="S2635"/>
  <c r="N2635"/>
  <c r="R2635" s="1"/>
  <c r="M2635"/>
  <c r="Q2635" s="1"/>
  <c r="L2635"/>
  <c r="P2635" s="1"/>
  <c r="K2635"/>
  <c r="O2635" s="1"/>
  <c r="U2634"/>
  <c r="T2634"/>
  <c r="S2634"/>
  <c r="N2634"/>
  <c r="R2634" s="1"/>
  <c r="M2634"/>
  <c r="Q2634" s="1"/>
  <c r="L2634"/>
  <c r="P2634" s="1"/>
  <c r="K2634"/>
  <c r="O2634" s="1"/>
  <c r="U2633"/>
  <c r="T2633"/>
  <c r="S2633"/>
  <c r="N2633"/>
  <c r="R2633" s="1"/>
  <c r="M2633"/>
  <c r="Q2633" s="1"/>
  <c r="L2633"/>
  <c r="P2633" s="1"/>
  <c r="K2633"/>
  <c r="O2633" s="1"/>
  <c r="U2632"/>
  <c r="T2632"/>
  <c r="S2632"/>
  <c r="N2632"/>
  <c r="R2632" s="1"/>
  <c r="M2632"/>
  <c r="Q2632" s="1"/>
  <c r="L2632"/>
  <c r="P2632" s="1"/>
  <c r="K2632"/>
  <c r="O2632" s="1"/>
  <c r="U2631"/>
  <c r="T2631"/>
  <c r="S2631"/>
  <c r="N2631"/>
  <c r="R2631" s="1"/>
  <c r="M2631"/>
  <c r="Q2631" s="1"/>
  <c r="L2631"/>
  <c r="P2631" s="1"/>
  <c r="K2631"/>
  <c r="O2631" s="1"/>
  <c r="U2630"/>
  <c r="T2630"/>
  <c r="S2630"/>
  <c r="N2630"/>
  <c r="R2630" s="1"/>
  <c r="M2630"/>
  <c r="Q2630" s="1"/>
  <c r="L2630"/>
  <c r="P2630" s="1"/>
  <c r="K2630"/>
  <c r="O2630" s="1"/>
  <c r="U2629"/>
  <c r="T2629"/>
  <c r="S2629"/>
  <c r="N2629"/>
  <c r="R2629" s="1"/>
  <c r="M2629"/>
  <c r="Q2629" s="1"/>
  <c r="L2629"/>
  <c r="P2629" s="1"/>
  <c r="K2629"/>
  <c r="O2629" s="1"/>
  <c r="U2628"/>
  <c r="T2628"/>
  <c r="S2628"/>
  <c r="N2628"/>
  <c r="R2628" s="1"/>
  <c r="M2628"/>
  <c r="Q2628" s="1"/>
  <c r="L2628"/>
  <c r="P2628" s="1"/>
  <c r="K2628"/>
  <c r="O2628" s="1"/>
  <c r="U2627"/>
  <c r="T2627"/>
  <c r="S2627"/>
  <c r="N2627"/>
  <c r="R2627" s="1"/>
  <c r="M2627"/>
  <c r="Q2627" s="1"/>
  <c r="L2627"/>
  <c r="P2627" s="1"/>
  <c r="K2627"/>
  <c r="O2627" s="1"/>
  <c r="U2626"/>
  <c r="T2626"/>
  <c r="S2626"/>
  <c r="N2626"/>
  <c r="R2626" s="1"/>
  <c r="M2626"/>
  <c r="Q2626" s="1"/>
  <c r="L2626"/>
  <c r="P2626" s="1"/>
  <c r="K2626"/>
  <c r="O2626" s="1"/>
  <c r="U2625"/>
  <c r="T2625"/>
  <c r="S2625"/>
  <c r="N2625"/>
  <c r="R2625" s="1"/>
  <c r="M2625"/>
  <c r="Q2625" s="1"/>
  <c r="L2625"/>
  <c r="P2625" s="1"/>
  <c r="K2625"/>
  <c r="O2625" s="1"/>
  <c r="U2624"/>
  <c r="T2624"/>
  <c r="S2624"/>
  <c r="N2624"/>
  <c r="R2624" s="1"/>
  <c r="M2624"/>
  <c r="Q2624" s="1"/>
  <c r="L2624"/>
  <c r="P2624" s="1"/>
  <c r="K2624"/>
  <c r="O2624" s="1"/>
  <c r="U2623"/>
  <c r="T2623"/>
  <c r="S2623"/>
  <c r="N2623"/>
  <c r="R2623" s="1"/>
  <c r="M2623"/>
  <c r="Q2623" s="1"/>
  <c r="L2623"/>
  <c r="P2623" s="1"/>
  <c r="K2623"/>
  <c r="O2623" s="1"/>
  <c r="U2622"/>
  <c r="T2622"/>
  <c r="S2622"/>
  <c r="N2622"/>
  <c r="R2622" s="1"/>
  <c r="M2622"/>
  <c r="Q2622" s="1"/>
  <c r="L2622"/>
  <c r="P2622" s="1"/>
  <c r="K2622"/>
  <c r="O2622" s="1"/>
  <c r="U2621"/>
  <c r="T2621"/>
  <c r="S2621"/>
  <c r="N2621"/>
  <c r="R2621" s="1"/>
  <c r="M2621"/>
  <c r="Q2621" s="1"/>
  <c r="L2621"/>
  <c r="P2621" s="1"/>
  <c r="K2621"/>
  <c r="O2621" s="1"/>
  <c r="U2620"/>
  <c r="T2620"/>
  <c r="S2620"/>
  <c r="N2620"/>
  <c r="R2620" s="1"/>
  <c r="M2620"/>
  <c r="Q2620" s="1"/>
  <c r="L2620"/>
  <c r="P2620" s="1"/>
  <c r="K2620"/>
  <c r="O2620" s="1"/>
  <c r="U2619"/>
  <c r="T2619"/>
  <c r="S2619"/>
  <c r="N2619"/>
  <c r="R2619" s="1"/>
  <c r="M2619"/>
  <c r="Q2619" s="1"/>
  <c r="L2619"/>
  <c r="P2619" s="1"/>
  <c r="K2619"/>
  <c r="O2619" s="1"/>
  <c r="U2618"/>
  <c r="T2618"/>
  <c r="S2618"/>
  <c r="N2618"/>
  <c r="R2618" s="1"/>
  <c r="M2618"/>
  <c r="Q2618" s="1"/>
  <c r="L2618"/>
  <c r="P2618" s="1"/>
  <c r="K2618"/>
  <c r="O2618" s="1"/>
  <c r="U2617"/>
  <c r="T2617"/>
  <c r="S2617"/>
  <c r="N2617"/>
  <c r="R2617" s="1"/>
  <c r="M2617"/>
  <c r="Q2617" s="1"/>
  <c r="L2617"/>
  <c r="P2617" s="1"/>
  <c r="K2617"/>
  <c r="O2617" s="1"/>
  <c r="U2616"/>
  <c r="T2616"/>
  <c r="S2616"/>
  <c r="N2616"/>
  <c r="R2616" s="1"/>
  <c r="M2616"/>
  <c r="Q2616" s="1"/>
  <c r="L2616"/>
  <c r="P2616" s="1"/>
  <c r="K2616"/>
  <c r="O2616" s="1"/>
  <c r="U2615"/>
  <c r="T2615"/>
  <c r="S2615"/>
  <c r="N2615"/>
  <c r="R2615" s="1"/>
  <c r="M2615"/>
  <c r="Q2615" s="1"/>
  <c r="L2615"/>
  <c r="P2615" s="1"/>
  <c r="K2615"/>
  <c r="O2615" s="1"/>
  <c r="U2614"/>
  <c r="T2614"/>
  <c r="S2614"/>
  <c r="N2614"/>
  <c r="R2614" s="1"/>
  <c r="M2614"/>
  <c r="Q2614" s="1"/>
  <c r="L2614"/>
  <c r="P2614" s="1"/>
  <c r="K2614"/>
  <c r="O2614" s="1"/>
  <c r="U2613"/>
  <c r="T2613"/>
  <c r="S2613"/>
  <c r="N2613"/>
  <c r="R2613" s="1"/>
  <c r="M2613"/>
  <c r="Q2613" s="1"/>
  <c r="L2613"/>
  <c r="P2613" s="1"/>
  <c r="K2613"/>
  <c r="O2613" s="1"/>
  <c r="U2612"/>
  <c r="T2612"/>
  <c r="S2612"/>
  <c r="N2612"/>
  <c r="R2612" s="1"/>
  <c r="M2612"/>
  <c r="Q2612" s="1"/>
  <c r="L2612"/>
  <c r="P2612" s="1"/>
  <c r="K2612"/>
  <c r="O2612" s="1"/>
  <c r="U2611"/>
  <c r="T2611"/>
  <c r="S2611"/>
  <c r="N2611"/>
  <c r="R2611" s="1"/>
  <c r="M2611"/>
  <c r="Q2611" s="1"/>
  <c r="L2611"/>
  <c r="P2611" s="1"/>
  <c r="K2611"/>
  <c r="O2611" s="1"/>
  <c r="U2610"/>
  <c r="T2610"/>
  <c r="S2610"/>
  <c r="N2610"/>
  <c r="R2610" s="1"/>
  <c r="M2610"/>
  <c r="Q2610" s="1"/>
  <c r="L2610"/>
  <c r="P2610" s="1"/>
  <c r="K2610"/>
  <c r="O2610" s="1"/>
  <c r="U2609"/>
  <c r="T2609"/>
  <c r="S2609"/>
  <c r="N2609"/>
  <c r="R2609" s="1"/>
  <c r="M2609"/>
  <c r="Q2609" s="1"/>
  <c r="L2609"/>
  <c r="P2609" s="1"/>
  <c r="K2609"/>
  <c r="O2609" s="1"/>
  <c r="U2608"/>
  <c r="T2608"/>
  <c r="S2608"/>
  <c r="N2608"/>
  <c r="R2608" s="1"/>
  <c r="M2608"/>
  <c r="Q2608" s="1"/>
  <c r="L2608"/>
  <c r="P2608" s="1"/>
  <c r="K2608"/>
  <c r="O2608" s="1"/>
  <c r="U2607"/>
  <c r="T2607"/>
  <c r="S2607"/>
  <c r="N2607"/>
  <c r="R2607" s="1"/>
  <c r="M2607"/>
  <c r="Q2607" s="1"/>
  <c r="L2607"/>
  <c r="P2607" s="1"/>
  <c r="K2607"/>
  <c r="O2607" s="1"/>
  <c r="U2606"/>
  <c r="T2606"/>
  <c r="S2606"/>
  <c r="N2606"/>
  <c r="R2606" s="1"/>
  <c r="M2606"/>
  <c r="Q2606" s="1"/>
  <c r="L2606"/>
  <c r="P2606" s="1"/>
  <c r="K2606"/>
  <c r="O2606" s="1"/>
  <c r="U2605"/>
  <c r="T2605"/>
  <c r="S2605"/>
  <c r="N2605"/>
  <c r="R2605" s="1"/>
  <c r="M2605"/>
  <c r="Q2605" s="1"/>
  <c r="L2605"/>
  <c r="P2605" s="1"/>
  <c r="K2605"/>
  <c r="O2605" s="1"/>
  <c r="U2604"/>
  <c r="T2604"/>
  <c r="S2604"/>
  <c r="N2604"/>
  <c r="R2604" s="1"/>
  <c r="M2604"/>
  <c r="Q2604" s="1"/>
  <c r="L2604"/>
  <c r="P2604" s="1"/>
  <c r="K2604"/>
  <c r="O2604" s="1"/>
  <c r="U2603"/>
  <c r="T2603"/>
  <c r="S2603"/>
  <c r="N2603"/>
  <c r="R2603" s="1"/>
  <c r="M2603"/>
  <c r="Q2603" s="1"/>
  <c r="L2603"/>
  <c r="P2603" s="1"/>
  <c r="K2603"/>
  <c r="O2603" s="1"/>
  <c r="U2602"/>
  <c r="T2602"/>
  <c r="S2602"/>
  <c r="N2602"/>
  <c r="R2602" s="1"/>
  <c r="M2602"/>
  <c r="Q2602" s="1"/>
  <c r="L2602"/>
  <c r="P2602" s="1"/>
  <c r="K2602"/>
  <c r="O2602" s="1"/>
  <c r="U2601"/>
  <c r="T2601"/>
  <c r="S2601"/>
  <c r="N2601"/>
  <c r="R2601" s="1"/>
  <c r="M2601"/>
  <c r="Q2601" s="1"/>
  <c r="L2601"/>
  <c r="P2601" s="1"/>
  <c r="K2601"/>
  <c r="O2601" s="1"/>
  <c r="U2600"/>
  <c r="T2600"/>
  <c r="S2600"/>
  <c r="N2600"/>
  <c r="R2600" s="1"/>
  <c r="M2600"/>
  <c r="Q2600" s="1"/>
  <c r="L2600"/>
  <c r="P2600" s="1"/>
  <c r="K2600"/>
  <c r="O2600" s="1"/>
  <c r="U2599"/>
  <c r="T2599"/>
  <c r="S2599"/>
  <c r="N2599"/>
  <c r="R2599" s="1"/>
  <c r="M2599"/>
  <c r="Q2599" s="1"/>
  <c r="L2599"/>
  <c r="P2599" s="1"/>
  <c r="K2599"/>
  <c r="O2599" s="1"/>
  <c r="U2598"/>
  <c r="T2598"/>
  <c r="S2598"/>
  <c r="N2598"/>
  <c r="R2598" s="1"/>
  <c r="M2598"/>
  <c r="Q2598" s="1"/>
  <c r="L2598"/>
  <c r="P2598" s="1"/>
  <c r="K2598"/>
  <c r="O2598" s="1"/>
  <c r="U2597"/>
  <c r="T2597"/>
  <c r="S2597"/>
  <c r="N2597"/>
  <c r="R2597" s="1"/>
  <c r="M2597"/>
  <c r="Q2597" s="1"/>
  <c r="L2597"/>
  <c r="P2597" s="1"/>
  <c r="K2597"/>
  <c r="O2597" s="1"/>
  <c r="U2596"/>
  <c r="T2596"/>
  <c r="S2596"/>
  <c r="N2596"/>
  <c r="R2596" s="1"/>
  <c r="M2596"/>
  <c r="Q2596" s="1"/>
  <c r="L2596"/>
  <c r="P2596" s="1"/>
  <c r="K2596"/>
  <c r="O2596" s="1"/>
  <c r="U2595"/>
  <c r="T2595"/>
  <c r="S2595"/>
  <c r="N2595"/>
  <c r="R2595" s="1"/>
  <c r="M2595"/>
  <c r="Q2595" s="1"/>
  <c r="L2595"/>
  <c r="P2595" s="1"/>
  <c r="K2595"/>
  <c r="O2595" s="1"/>
  <c r="U2594"/>
  <c r="T2594"/>
  <c r="S2594"/>
  <c r="N2594"/>
  <c r="R2594" s="1"/>
  <c r="M2594"/>
  <c r="Q2594" s="1"/>
  <c r="L2594"/>
  <c r="P2594" s="1"/>
  <c r="K2594"/>
  <c r="O2594" s="1"/>
  <c r="U2593"/>
  <c r="T2593"/>
  <c r="S2593"/>
  <c r="N2593"/>
  <c r="R2593" s="1"/>
  <c r="M2593"/>
  <c r="Q2593" s="1"/>
  <c r="L2593"/>
  <c r="P2593" s="1"/>
  <c r="K2593"/>
  <c r="O2593" s="1"/>
  <c r="U2592"/>
  <c r="T2592"/>
  <c r="S2592"/>
  <c r="N2592"/>
  <c r="R2592" s="1"/>
  <c r="M2592"/>
  <c r="Q2592" s="1"/>
  <c r="L2592"/>
  <c r="P2592" s="1"/>
  <c r="K2592"/>
  <c r="O2592" s="1"/>
  <c r="U2591"/>
  <c r="T2591"/>
  <c r="S2591"/>
  <c r="N2591"/>
  <c r="R2591" s="1"/>
  <c r="M2591"/>
  <c r="Q2591" s="1"/>
  <c r="L2591"/>
  <c r="P2591" s="1"/>
  <c r="K2591"/>
  <c r="O2591" s="1"/>
  <c r="U2590"/>
  <c r="T2590"/>
  <c r="S2590"/>
  <c r="N2590"/>
  <c r="R2590" s="1"/>
  <c r="M2590"/>
  <c r="Q2590" s="1"/>
  <c r="L2590"/>
  <c r="P2590" s="1"/>
  <c r="K2590"/>
  <c r="O2590" s="1"/>
  <c r="U2589"/>
  <c r="T2589"/>
  <c r="S2589"/>
  <c r="N2589"/>
  <c r="R2589" s="1"/>
  <c r="M2589"/>
  <c r="Q2589" s="1"/>
  <c r="L2589"/>
  <c r="P2589" s="1"/>
  <c r="K2589"/>
  <c r="O2589" s="1"/>
  <c r="U2588"/>
  <c r="T2588"/>
  <c r="S2588"/>
  <c r="N2588"/>
  <c r="R2588" s="1"/>
  <c r="M2588"/>
  <c r="Q2588" s="1"/>
  <c r="L2588"/>
  <c r="P2588" s="1"/>
  <c r="K2588"/>
  <c r="O2588" s="1"/>
  <c r="U2587"/>
  <c r="T2587"/>
  <c r="S2587"/>
  <c r="N2587"/>
  <c r="R2587" s="1"/>
  <c r="M2587"/>
  <c r="Q2587" s="1"/>
  <c r="L2587"/>
  <c r="P2587" s="1"/>
  <c r="K2587"/>
  <c r="O2587" s="1"/>
  <c r="U2586"/>
  <c r="T2586"/>
  <c r="S2586"/>
  <c r="N2586"/>
  <c r="R2586" s="1"/>
  <c r="M2586"/>
  <c r="Q2586" s="1"/>
  <c r="L2586"/>
  <c r="P2586" s="1"/>
  <c r="K2586"/>
  <c r="O2586" s="1"/>
  <c r="U2585"/>
  <c r="T2585"/>
  <c r="S2585"/>
  <c r="N2585"/>
  <c r="R2585" s="1"/>
  <c r="M2585"/>
  <c r="Q2585" s="1"/>
  <c r="L2585"/>
  <c r="P2585" s="1"/>
  <c r="K2585"/>
  <c r="O2585" s="1"/>
  <c r="U2584"/>
  <c r="T2584"/>
  <c r="S2584"/>
  <c r="N2584"/>
  <c r="R2584" s="1"/>
  <c r="M2584"/>
  <c r="Q2584" s="1"/>
  <c r="L2584"/>
  <c r="P2584" s="1"/>
  <c r="K2584"/>
  <c r="O2584" s="1"/>
  <c r="U2583"/>
  <c r="T2583"/>
  <c r="S2583"/>
  <c r="N2583"/>
  <c r="R2583" s="1"/>
  <c r="M2583"/>
  <c r="Q2583" s="1"/>
  <c r="L2583"/>
  <c r="P2583" s="1"/>
  <c r="K2583"/>
  <c r="O2583" s="1"/>
  <c r="U2582"/>
  <c r="T2582"/>
  <c r="S2582"/>
  <c r="N2582"/>
  <c r="R2582" s="1"/>
  <c r="M2582"/>
  <c r="Q2582" s="1"/>
  <c r="L2582"/>
  <c r="P2582" s="1"/>
  <c r="K2582"/>
  <c r="O2582" s="1"/>
  <c r="U2581"/>
  <c r="T2581"/>
  <c r="S2581"/>
  <c r="N2581"/>
  <c r="R2581" s="1"/>
  <c r="M2581"/>
  <c r="Q2581" s="1"/>
  <c r="L2581"/>
  <c r="P2581" s="1"/>
  <c r="K2581"/>
  <c r="O2581" s="1"/>
  <c r="U2580"/>
  <c r="T2580"/>
  <c r="S2580"/>
  <c r="N2580"/>
  <c r="R2580" s="1"/>
  <c r="M2580"/>
  <c r="Q2580" s="1"/>
  <c r="L2580"/>
  <c r="P2580" s="1"/>
  <c r="K2580"/>
  <c r="O2580" s="1"/>
  <c r="U2579"/>
  <c r="T2579"/>
  <c r="S2579"/>
  <c r="N2579"/>
  <c r="R2579" s="1"/>
  <c r="M2579"/>
  <c r="Q2579" s="1"/>
  <c r="L2579"/>
  <c r="P2579" s="1"/>
  <c r="K2579"/>
  <c r="O2579" s="1"/>
  <c r="U2578"/>
  <c r="T2578"/>
  <c r="S2578"/>
  <c r="N2578"/>
  <c r="R2578" s="1"/>
  <c r="M2578"/>
  <c r="Q2578" s="1"/>
  <c r="L2578"/>
  <c r="P2578" s="1"/>
  <c r="K2578"/>
  <c r="O2578" s="1"/>
  <c r="U2577"/>
  <c r="T2577"/>
  <c r="S2577"/>
  <c r="N2577"/>
  <c r="R2577" s="1"/>
  <c r="M2577"/>
  <c r="Q2577" s="1"/>
  <c r="L2577"/>
  <c r="P2577" s="1"/>
  <c r="K2577"/>
  <c r="O2577" s="1"/>
  <c r="U2576"/>
  <c r="T2576"/>
  <c r="S2576"/>
  <c r="N2576"/>
  <c r="R2576" s="1"/>
  <c r="M2576"/>
  <c r="Q2576" s="1"/>
  <c r="L2576"/>
  <c r="P2576" s="1"/>
  <c r="K2576"/>
  <c r="O2576" s="1"/>
  <c r="U2575"/>
  <c r="T2575"/>
  <c r="S2575"/>
  <c r="N2575"/>
  <c r="R2575" s="1"/>
  <c r="M2575"/>
  <c r="Q2575" s="1"/>
  <c r="L2575"/>
  <c r="P2575" s="1"/>
  <c r="K2575"/>
  <c r="O2575" s="1"/>
  <c r="U2574"/>
  <c r="T2574"/>
  <c r="S2574"/>
  <c r="N2574"/>
  <c r="R2574" s="1"/>
  <c r="M2574"/>
  <c r="Q2574" s="1"/>
  <c r="L2574"/>
  <c r="P2574" s="1"/>
  <c r="K2574"/>
  <c r="O2574" s="1"/>
  <c r="U2573"/>
  <c r="T2573"/>
  <c r="S2573"/>
  <c r="N2573"/>
  <c r="R2573" s="1"/>
  <c r="M2573"/>
  <c r="Q2573" s="1"/>
  <c r="L2573"/>
  <c r="P2573" s="1"/>
  <c r="K2573"/>
  <c r="O2573" s="1"/>
  <c r="U2572"/>
  <c r="T2572"/>
  <c r="S2572"/>
  <c r="N2572"/>
  <c r="R2572" s="1"/>
  <c r="M2572"/>
  <c r="Q2572" s="1"/>
  <c r="L2572"/>
  <c r="P2572" s="1"/>
  <c r="K2572"/>
  <c r="O2572" s="1"/>
  <c r="U2571"/>
  <c r="T2571"/>
  <c r="S2571"/>
  <c r="N2571"/>
  <c r="R2571" s="1"/>
  <c r="M2571"/>
  <c r="Q2571" s="1"/>
  <c r="L2571"/>
  <c r="P2571" s="1"/>
  <c r="K2571"/>
  <c r="O2571" s="1"/>
  <c r="U2570"/>
  <c r="T2570"/>
  <c r="S2570"/>
  <c r="N2570"/>
  <c r="R2570" s="1"/>
  <c r="M2570"/>
  <c r="Q2570" s="1"/>
  <c r="L2570"/>
  <c r="P2570" s="1"/>
  <c r="K2570"/>
  <c r="O2570" s="1"/>
  <c r="U2569"/>
  <c r="T2569"/>
  <c r="S2569"/>
  <c r="N2569"/>
  <c r="R2569" s="1"/>
  <c r="M2569"/>
  <c r="Q2569" s="1"/>
  <c r="L2569"/>
  <c r="P2569" s="1"/>
  <c r="K2569"/>
  <c r="O2569" s="1"/>
  <c r="U2568"/>
  <c r="T2568"/>
  <c r="S2568"/>
  <c r="N2568"/>
  <c r="R2568" s="1"/>
  <c r="M2568"/>
  <c r="Q2568" s="1"/>
  <c r="L2568"/>
  <c r="P2568" s="1"/>
  <c r="K2568"/>
  <c r="O2568" s="1"/>
  <c r="U2567"/>
  <c r="T2567"/>
  <c r="S2567"/>
  <c r="N2567"/>
  <c r="R2567" s="1"/>
  <c r="M2567"/>
  <c r="Q2567" s="1"/>
  <c r="L2567"/>
  <c r="P2567" s="1"/>
  <c r="K2567"/>
  <c r="O2567" s="1"/>
  <c r="U2566"/>
  <c r="T2566"/>
  <c r="S2566"/>
  <c r="N2566"/>
  <c r="R2566" s="1"/>
  <c r="M2566"/>
  <c r="Q2566" s="1"/>
  <c r="L2566"/>
  <c r="P2566" s="1"/>
  <c r="K2566"/>
  <c r="O2566" s="1"/>
  <c r="U2565"/>
  <c r="T2565"/>
  <c r="S2565"/>
  <c r="N2565"/>
  <c r="R2565" s="1"/>
  <c r="M2565"/>
  <c r="Q2565" s="1"/>
  <c r="L2565"/>
  <c r="P2565" s="1"/>
  <c r="K2565"/>
  <c r="O2565" s="1"/>
  <c r="U2564"/>
  <c r="T2564"/>
  <c r="S2564"/>
  <c r="N2564"/>
  <c r="R2564" s="1"/>
  <c r="M2564"/>
  <c r="Q2564" s="1"/>
  <c r="L2564"/>
  <c r="P2564" s="1"/>
  <c r="K2564"/>
  <c r="O2564" s="1"/>
  <c r="U2563"/>
  <c r="T2563"/>
  <c r="S2563"/>
  <c r="N2563"/>
  <c r="R2563" s="1"/>
  <c r="M2563"/>
  <c r="Q2563" s="1"/>
  <c r="L2563"/>
  <c r="P2563" s="1"/>
  <c r="K2563"/>
  <c r="O2563" s="1"/>
  <c r="U2562"/>
  <c r="T2562"/>
  <c r="S2562"/>
  <c r="N2562"/>
  <c r="R2562" s="1"/>
  <c r="M2562"/>
  <c r="Q2562" s="1"/>
  <c r="L2562"/>
  <c r="P2562" s="1"/>
  <c r="K2562"/>
  <c r="O2562" s="1"/>
  <c r="U2561"/>
  <c r="T2561"/>
  <c r="S2561"/>
  <c r="N2561"/>
  <c r="R2561" s="1"/>
  <c r="M2561"/>
  <c r="Q2561" s="1"/>
  <c r="L2561"/>
  <c r="P2561" s="1"/>
  <c r="K2561"/>
  <c r="O2561" s="1"/>
  <c r="U2560"/>
  <c r="T2560"/>
  <c r="S2560"/>
  <c r="N2560"/>
  <c r="R2560" s="1"/>
  <c r="M2560"/>
  <c r="Q2560" s="1"/>
  <c r="L2560"/>
  <c r="P2560" s="1"/>
  <c r="K2560"/>
  <c r="O2560" s="1"/>
  <c r="U2559"/>
  <c r="T2559"/>
  <c r="S2559"/>
  <c r="N2559"/>
  <c r="R2559" s="1"/>
  <c r="M2559"/>
  <c r="Q2559" s="1"/>
  <c r="L2559"/>
  <c r="P2559" s="1"/>
  <c r="K2559"/>
  <c r="O2559" s="1"/>
  <c r="U2558"/>
  <c r="T2558"/>
  <c r="S2558"/>
  <c r="N2558"/>
  <c r="R2558" s="1"/>
  <c r="M2558"/>
  <c r="Q2558" s="1"/>
  <c r="L2558"/>
  <c r="P2558" s="1"/>
  <c r="K2558"/>
  <c r="O2558" s="1"/>
  <c r="U2557"/>
  <c r="T2557"/>
  <c r="S2557"/>
  <c r="N2557"/>
  <c r="R2557" s="1"/>
  <c r="M2557"/>
  <c r="Q2557" s="1"/>
  <c r="L2557"/>
  <c r="P2557" s="1"/>
  <c r="K2557"/>
  <c r="O2557" s="1"/>
  <c r="U2556"/>
  <c r="T2556"/>
  <c r="S2556"/>
  <c r="N2556"/>
  <c r="R2556" s="1"/>
  <c r="M2556"/>
  <c r="Q2556" s="1"/>
  <c r="L2556"/>
  <c r="P2556" s="1"/>
  <c r="K2556"/>
  <c r="O2556" s="1"/>
  <c r="U2555"/>
  <c r="T2555"/>
  <c r="S2555"/>
  <c r="N2555"/>
  <c r="R2555" s="1"/>
  <c r="M2555"/>
  <c r="Q2555" s="1"/>
  <c r="L2555"/>
  <c r="P2555" s="1"/>
  <c r="K2555"/>
  <c r="O2555" s="1"/>
  <c r="U2554"/>
  <c r="T2554"/>
  <c r="S2554"/>
  <c r="N2554"/>
  <c r="R2554" s="1"/>
  <c r="M2554"/>
  <c r="Q2554" s="1"/>
  <c r="L2554"/>
  <c r="P2554" s="1"/>
  <c r="K2554"/>
  <c r="O2554" s="1"/>
  <c r="U2553"/>
  <c r="T2553"/>
  <c r="S2553"/>
  <c r="N2553"/>
  <c r="R2553" s="1"/>
  <c r="M2553"/>
  <c r="Q2553" s="1"/>
  <c r="L2553"/>
  <c r="P2553" s="1"/>
  <c r="K2553"/>
  <c r="O2553" s="1"/>
  <c r="U2552"/>
  <c r="T2552"/>
  <c r="S2552"/>
  <c r="N2552"/>
  <c r="R2552" s="1"/>
  <c r="M2552"/>
  <c r="Q2552" s="1"/>
  <c r="L2552"/>
  <c r="P2552" s="1"/>
  <c r="K2552"/>
  <c r="O2552" s="1"/>
  <c r="U2551"/>
  <c r="T2551"/>
  <c r="S2551"/>
  <c r="N2551"/>
  <c r="R2551" s="1"/>
  <c r="M2551"/>
  <c r="Q2551" s="1"/>
  <c r="L2551"/>
  <c r="P2551" s="1"/>
  <c r="K2551"/>
  <c r="O2551" s="1"/>
  <c r="U2550"/>
  <c r="T2550"/>
  <c r="S2550"/>
  <c r="N2550"/>
  <c r="R2550" s="1"/>
  <c r="M2550"/>
  <c r="Q2550" s="1"/>
  <c r="L2550"/>
  <c r="P2550" s="1"/>
  <c r="K2550"/>
  <c r="O2550" s="1"/>
  <c r="U2549"/>
  <c r="T2549"/>
  <c r="S2549"/>
  <c r="N2549"/>
  <c r="R2549" s="1"/>
  <c r="M2549"/>
  <c r="Q2549" s="1"/>
  <c r="L2549"/>
  <c r="P2549" s="1"/>
  <c r="K2549"/>
  <c r="O2549" s="1"/>
  <c r="U2548"/>
  <c r="T2548"/>
  <c r="S2548"/>
  <c r="N2548"/>
  <c r="R2548" s="1"/>
  <c r="M2548"/>
  <c r="Q2548" s="1"/>
  <c r="L2548"/>
  <c r="P2548" s="1"/>
  <c r="K2548"/>
  <c r="O2548" s="1"/>
  <c r="U2547"/>
  <c r="T2547"/>
  <c r="S2547"/>
  <c r="N2547"/>
  <c r="R2547" s="1"/>
  <c r="M2547"/>
  <c r="Q2547" s="1"/>
  <c r="L2547"/>
  <c r="P2547" s="1"/>
  <c r="K2547"/>
  <c r="O2547" s="1"/>
  <c r="U2546"/>
  <c r="T2546"/>
  <c r="S2546"/>
  <c r="N2546"/>
  <c r="R2546" s="1"/>
  <c r="M2546"/>
  <c r="Q2546" s="1"/>
  <c r="L2546"/>
  <c r="P2546" s="1"/>
  <c r="K2546"/>
  <c r="O2546" s="1"/>
  <c r="U2545"/>
  <c r="T2545"/>
  <c r="S2545"/>
  <c r="N2545"/>
  <c r="R2545" s="1"/>
  <c r="M2545"/>
  <c r="Q2545" s="1"/>
  <c r="L2545"/>
  <c r="P2545" s="1"/>
  <c r="K2545"/>
  <c r="O2545" s="1"/>
  <c r="U2544"/>
  <c r="T2544"/>
  <c r="S2544"/>
  <c r="N2544"/>
  <c r="R2544" s="1"/>
  <c r="M2544"/>
  <c r="Q2544" s="1"/>
  <c r="L2544"/>
  <c r="P2544" s="1"/>
  <c r="K2544"/>
  <c r="O2544" s="1"/>
  <c r="U2543"/>
  <c r="T2543"/>
  <c r="S2543"/>
  <c r="N2543"/>
  <c r="R2543" s="1"/>
  <c r="M2543"/>
  <c r="Q2543" s="1"/>
  <c r="L2543"/>
  <c r="P2543" s="1"/>
  <c r="K2543"/>
  <c r="O2543" s="1"/>
  <c r="U2542"/>
  <c r="T2542"/>
  <c r="S2542"/>
  <c r="R2542"/>
  <c r="Q2542"/>
  <c r="N2542"/>
  <c r="M2542"/>
  <c r="L2542"/>
  <c r="P2542" s="1"/>
  <c r="K2542"/>
  <c r="O2542" s="1"/>
  <c r="U2541"/>
  <c r="T2541"/>
  <c r="S2541"/>
  <c r="Q2541"/>
  <c r="N2541"/>
  <c r="R2541" s="1"/>
  <c r="M2541"/>
  <c r="L2541"/>
  <c r="P2541" s="1"/>
  <c r="K2541"/>
  <c r="O2541" s="1"/>
  <c r="U2540"/>
  <c r="T2540"/>
  <c r="S2540"/>
  <c r="N2540"/>
  <c r="R2540" s="1"/>
  <c r="M2540"/>
  <c r="Q2540" s="1"/>
  <c r="L2540"/>
  <c r="P2540" s="1"/>
  <c r="K2540"/>
  <c r="O2540" s="1"/>
  <c r="U2539"/>
  <c r="T2539"/>
  <c r="S2539"/>
  <c r="N2539"/>
  <c r="R2539" s="1"/>
  <c r="M2539"/>
  <c r="Q2539" s="1"/>
  <c r="L2539"/>
  <c r="P2539" s="1"/>
  <c r="K2539"/>
  <c r="O2539" s="1"/>
  <c r="U2538"/>
  <c r="T2538"/>
  <c r="S2538"/>
  <c r="Q2538"/>
  <c r="N2538"/>
  <c r="R2538" s="1"/>
  <c r="M2538"/>
  <c r="L2538"/>
  <c r="P2538" s="1"/>
  <c r="K2538"/>
  <c r="O2538" s="1"/>
  <c r="U2537"/>
  <c r="T2537"/>
  <c r="S2537"/>
  <c r="Q2537"/>
  <c r="N2537"/>
  <c r="R2537" s="1"/>
  <c r="M2537"/>
  <c r="L2537"/>
  <c r="P2537" s="1"/>
  <c r="K2537"/>
  <c r="O2537" s="1"/>
  <c r="U2536"/>
  <c r="T2536"/>
  <c r="S2536"/>
  <c r="N2536"/>
  <c r="R2536" s="1"/>
  <c r="M2536"/>
  <c r="Q2536" s="1"/>
  <c r="L2536"/>
  <c r="P2536" s="1"/>
  <c r="K2536"/>
  <c r="O2536" s="1"/>
  <c r="U2535"/>
  <c r="T2535"/>
  <c r="S2535"/>
  <c r="R2535"/>
  <c r="N2535"/>
  <c r="M2535"/>
  <c r="Q2535" s="1"/>
  <c r="L2535"/>
  <c r="P2535" s="1"/>
  <c r="K2535"/>
  <c r="O2535" s="1"/>
  <c r="U2534"/>
  <c r="T2534"/>
  <c r="S2534"/>
  <c r="R2534"/>
  <c r="N2534"/>
  <c r="M2534"/>
  <c r="Q2534" s="1"/>
  <c r="L2534"/>
  <c r="P2534" s="1"/>
  <c r="K2534"/>
  <c r="O2534" s="1"/>
  <c r="U2533"/>
  <c r="T2533"/>
  <c r="S2533"/>
  <c r="Q2533"/>
  <c r="N2533"/>
  <c r="R2533" s="1"/>
  <c r="M2533"/>
  <c r="L2533"/>
  <c r="P2533" s="1"/>
  <c r="K2533"/>
  <c r="O2533" s="1"/>
  <c r="U2532"/>
  <c r="T2532"/>
  <c r="S2532"/>
  <c r="N2532"/>
  <c r="R2532" s="1"/>
  <c r="M2532"/>
  <c r="Q2532" s="1"/>
  <c r="L2532"/>
  <c r="P2532" s="1"/>
  <c r="K2532"/>
  <c r="O2532" s="1"/>
  <c r="U2531"/>
  <c r="T2531"/>
  <c r="S2531"/>
  <c r="R2531"/>
  <c r="N2531"/>
  <c r="M2531"/>
  <c r="Q2531" s="1"/>
  <c r="L2531"/>
  <c r="P2531" s="1"/>
  <c r="K2531"/>
  <c r="O2531" s="1"/>
  <c r="U2530"/>
  <c r="T2530"/>
  <c r="S2530"/>
  <c r="N2530"/>
  <c r="R2530" s="1"/>
  <c r="M2530"/>
  <c r="Q2530" s="1"/>
  <c r="L2530"/>
  <c r="P2530" s="1"/>
  <c r="K2530"/>
  <c r="O2530" s="1"/>
  <c r="U2529"/>
  <c r="T2529"/>
  <c r="S2529"/>
  <c r="N2529"/>
  <c r="R2529" s="1"/>
  <c r="M2529"/>
  <c r="Q2529" s="1"/>
  <c r="L2529"/>
  <c r="P2529" s="1"/>
  <c r="K2529"/>
  <c r="O2529" s="1"/>
  <c r="U2528"/>
  <c r="T2528"/>
  <c r="S2528"/>
  <c r="N2528"/>
  <c r="R2528" s="1"/>
  <c r="M2528"/>
  <c r="Q2528" s="1"/>
  <c r="L2528"/>
  <c r="P2528" s="1"/>
  <c r="K2528"/>
  <c r="O2528" s="1"/>
  <c r="U2527"/>
  <c r="T2527"/>
  <c r="S2527"/>
  <c r="N2527"/>
  <c r="R2527" s="1"/>
  <c r="M2527"/>
  <c r="Q2527" s="1"/>
  <c r="L2527"/>
  <c r="P2527" s="1"/>
  <c r="K2527"/>
  <c r="O2527" s="1"/>
  <c r="U2526"/>
  <c r="T2526"/>
  <c r="S2526"/>
  <c r="N2526"/>
  <c r="R2526" s="1"/>
  <c r="M2526"/>
  <c r="Q2526" s="1"/>
  <c r="L2526"/>
  <c r="P2526" s="1"/>
  <c r="K2526"/>
  <c r="O2526" s="1"/>
  <c r="U2525"/>
  <c r="T2525"/>
  <c r="S2525"/>
  <c r="N2525"/>
  <c r="R2525" s="1"/>
  <c r="M2525"/>
  <c r="Q2525" s="1"/>
  <c r="L2525"/>
  <c r="P2525" s="1"/>
  <c r="K2525"/>
  <c r="O2525" s="1"/>
  <c r="U2524"/>
  <c r="T2524"/>
  <c r="S2524"/>
  <c r="N2524"/>
  <c r="R2524" s="1"/>
  <c r="M2524"/>
  <c r="Q2524" s="1"/>
  <c r="L2524"/>
  <c r="P2524" s="1"/>
  <c r="K2524"/>
  <c r="O2524" s="1"/>
  <c r="U2523"/>
  <c r="T2523"/>
  <c r="S2523"/>
  <c r="N2523"/>
  <c r="R2523" s="1"/>
  <c r="M2523"/>
  <c r="Q2523" s="1"/>
  <c r="L2523"/>
  <c r="P2523" s="1"/>
  <c r="K2523"/>
  <c r="O2523" s="1"/>
  <c r="U2522"/>
  <c r="T2522"/>
  <c r="S2522"/>
  <c r="N2522"/>
  <c r="R2522" s="1"/>
  <c r="M2522"/>
  <c r="Q2522" s="1"/>
  <c r="L2522"/>
  <c r="P2522" s="1"/>
  <c r="K2522"/>
  <c r="O2522" s="1"/>
  <c r="U2521"/>
  <c r="T2521"/>
  <c r="S2521"/>
  <c r="N2521"/>
  <c r="R2521" s="1"/>
  <c r="M2521"/>
  <c r="Q2521" s="1"/>
  <c r="L2521"/>
  <c r="P2521" s="1"/>
  <c r="K2521"/>
  <c r="O2521" s="1"/>
  <c r="U2520"/>
  <c r="T2520"/>
  <c r="S2520"/>
  <c r="N2520"/>
  <c r="R2520" s="1"/>
  <c r="M2520"/>
  <c r="Q2520" s="1"/>
  <c r="L2520"/>
  <c r="P2520" s="1"/>
  <c r="K2520"/>
  <c r="O2520" s="1"/>
  <c r="U2519"/>
  <c r="T2519"/>
  <c r="S2519"/>
  <c r="N2519"/>
  <c r="R2519" s="1"/>
  <c r="M2519"/>
  <c r="Q2519" s="1"/>
  <c r="L2519"/>
  <c r="P2519" s="1"/>
  <c r="K2519"/>
  <c r="O2519" s="1"/>
  <c r="U2518"/>
  <c r="T2518"/>
  <c r="S2518"/>
  <c r="N2518"/>
  <c r="R2518" s="1"/>
  <c r="M2518"/>
  <c r="Q2518" s="1"/>
  <c r="L2518"/>
  <c r="P2518" s="1"/>
  <c r="K2518"/>
  <c r="O2518" s="1"/>
  <c r="U2517"/>
  <c r="T2517"/>
  <c r="S2517"/>
  <c r="N2517"/>
  <c r="R2517" s="1"/>
  <c r="M2517"/>
  <c r="Q2517" s="1"/>
  <c r="L2517"/>
  <c r="P2517" s="1"/>
  <c r="K2517"/>
  <c r="O2517" s="1"/>
  <c r="U2516"/>
  <c r="T2516"/>
  <c r="S2516"/>
  <c r="N2516"/>
  <c r="R2516" s="1"/>
  <c r="M2516"/>
  <c r="Q2516" s="1"/>
  <c r="L2516"/>
  <c r="P2516" s="1"/>
  <c r="K2516"/>
  <c r="O2516" s="1"/>
  <c r="U2515"/>
  <c r="T2515"/>
  <c r="S2515"/>
  <c r="N2515"/>
  <c r="R2515" s="1"/>
  <c r="M2515"/>
  <c r="Q2515" s="1"/>
  <c r="L2515"/>
  <c r="P2515" s="1"/>
  <c r="K2515"/>
  <c r="O2515" s="1"/>
  <c r="U2514"/>
  <c r="T2514"/>
  <c r="S2514"/>
  <c r="N2514"/>
  <c r="R2514" s="1"/>
  <c r="M2514"/>
  <c r="Q2514" s="1"/>
  <c r="L2514"/>
  <c r="P2514" s="1"/>
  <c r="K2514"/>
  <c r="O2514" s="1"/>
  <c r="U2513"/>
  <c r="T2513"/>
  <c r="S2513"/>
  <c r="N2513"/>
  <c r="R2513" s="1"/>
  <c r="M2513"/>
  <c r="Q2513" s="1"/>
  <c r="L2513"/>
  <c r="P2513" s="1"/>
  <c r="K2513"/>
  <c r="O2513" s="1"/>
  <c r="U2512"/>
  <c r="T2512"/>
  <c r="S2512"/>
  <c r="N2512"/>
  <c r="R2512" s="1"/>
  <c r="M2512"/>
  <c r="Q2512" s="1"/>
  <c r="L2512"/>
  <c r="P2512" s="1"/>
  <c r="K2512"/>
  <c r="O2512" s="1"/>
  <c r="U2511"/>
  <c r="T2511"/>
  <c r="S2511"/>
  <c r="N2511"/>
  <c r="R2511" s="1"/>
  <c r="M2511"/>
  <c r="Q2511" s="1"/>
  <c r="L2511"/>
  <c r="P2511" s="1"/>
  <c r="K2511"/>
  <c r="O2511" s="1"/>
  <c r="U2510"/>
  <c r="T2510"/>
  <c r="S2510"/>
  <c r="N2510"/>
  <c r="R2510" s="1"/>
  <c r="M2510"/>
  <c r="Q2510" s="1"/>
  <c r="L2510"/>
  <c r="P2510" s="1"/>
  <c r="K2510"/>
  <c r="O2510" s="1"/>
  <c r="U2509"/>
  <c r="T2509"/>
  <c r="S2509"/>
  <c r="N2509"/>
  <c r="R2509" s="1"/>
  <c r="M2509"/>
  <c r="Q2509" s="1"/>
  <c r="L2509"/>
  <c r="P2509" s="1"/>
  <c r="K2509"/>
  <c r="O2509" s="1"/>
  <c r="U2508"/>
  <c r="T2508"/>
  <c r="S2508"/>
  <c r="N2508"/>
  <c r="R2508" s="1"/>
  <c r="M2508"/>
  <c r="Q2508" s="1"/>
  <c r="L2508"/>
  <c r="P2508" s="1"/>
  <c r="K2508"/>
  <c r="O2508" s="1"/>
  <c r="U2507"/>
  <c r="T2507"/>
  <c r="S2507"/>
  <c r="N2507"/>
  <c r="R2507" s="1"/>
  <c r="M2507"/>
  <c r="Q2507" s="1"/>
  <c r="L2507"/>
  <c r="P2507" s="1"/>
  <c r="K2507"/>
  <c r="O2507" s="1"/>
  <c r="U2506"/>
  <c r="T2506"/>
  <c r="S2506"/>
  <c r="N2506"/>
  <c r="R2506" s="1"/>
  <c r="M2506"/>
  <c r="Q2506" s="1"/>
  <c r="L2506"/>
  <c r="P2506" s="1"/>
  <c r="K2506"/>
  <c r="O2506" s="1"/>
  <c r="U2505"/>
  <c r="T2505"/>
  <c r="S2505"/>
  <c r="N2505"/>
  <c r="R2505" s="1"/>
  <c r="M2505"/>
  <c r="Q2505" s="1"/>
  <c r="L2505"/>
  <c r="P2505" s="1"/>
  <c r="K2505"/>
  <c r="O2505" s="1"/>
  <c r="U2504"/>
  <c r="T2504"/>
  <c r="S2504"/>
  <c r="N2504"/>
  <c r="R2504" s="1"/>
  <c r="M2504"/>
  <c r="Q2504" s="1"/>
  <c r="L2504"/>
  <c r="P2504" s="1"/>
  <c r="K2504"/>
  <c r="O2504" s="1"/>
  <c r="U2503"/>
  <c r="T2503"/>
  <c r="S2503"/>
  <c r="N2503"/>
  <c r="R2503" s="1"/>
  <c r="M2503"/>
  <c r="Q2503" s="1"/>
  <c r="L2503"/>
  <c r="P2503" s="1"/>
  <c r="K2503"/>
  <c r="O2503" s="1"/>
  <c r="U2502"/>
  <c r="T2502"/>
  <c r="S2502"/>
  <c r="N2502"/>
  <c r="R2502" s="1"/>
  <c r="M2502"/>
  <c r="Q2502" s="1"/>
  <c r="L2502"/>
  <c r="P2502" s="1"/>
  <c r="K2502"/>
  <c r="O2502" s="1"/>
  <c r="U2501"/>
  <c r="T2501"/>
  <c r="S2501"/>
  <c r="N2501"/>
  <c r="R2501" s="1"/>
  <c r="M2501"/>
  <c r="Q2501" s="1"/>
  <c r="L2501"/>
  <c r="P2501" s="1"/>
  <c r="K2501"/>
  <c r="O2501" s="1"/>
  <c r="U2500"/>
  <c r="T2500"/>
  <c r="S2500"/>
  <c r="N2500"/>
  <c r="R2500" s="1"/>
  <c r="M2500"/>
  <c r="Q2500" s="1"/>
  <c r="L2500"/>
  <c r="P2500" s="1"/>
  <c r="K2500"/>
  <c r="O2500" s="1"/>
  <c r="U2499"/>
  <c r="T2499"/>
  <c r="S2499"/>
  <c r="N2499"/>
  <c r="R2499" s="1"/>
  <c r="M2499"/>
  <c r="Q2499" s="1"/>
  <c r="L2499"/>
  <c r="P2499" s="1"/>
  <c r="K2499"/>
  <c r="O2499" s="1"/>
  <c r="U2498"/>
  <c r="T2498"/>
  <c r="S2498"/>
  <c r="N2498"/>
  <c r="R2498" s="1"/>
  <c r="M2498"/>
  <c r="Q2498" s="1"/>
  <c r="L2498"/>
  <c r="P2498" s="1"/>
  <c r="K2498"/>
  <c r="O2498" s="1"/>
  <c r="U2497"/>
  <c r="T2497"/>
  <c r="S2497"/>
  <c r="N2497"/>
  <c r="R2497" s="1"/>
  <c r="M2497"/>
  <c r="Q2497" s="1"/>
  <c r="L2497"/>
  <c r="P2497" s="1"/>
  <c r="K2497"/>
  <c r="O2497" s="1"/>
  <c r="U2496"/>
  <c r="T2496"/>
  <c r="S2496"/>
  <c r="N2496"/>
  <c r="R2496" s="1"/>
  <c r="M2496"/>
  <c r="Q2496" s="1"/>
  <c r="L2496"/>
  <c r="P2496" s="1"/>
  <c r="K2496"/>
  <c r="O2496" s="1"/>
  <c r="U2495"/>
  <c r="T2495"/>
  <c r="S2495"/>
  <c r="N2495"/>
  <c r="R2495" s="1"/>
  <c r="M2495"/>
  <c r="Q2495" s="1"/>
  <c r="L2495"/>
  <c r="P2495" s="1"/>
  <c r="K2495"/>
  <c r="O2495" s="1"/>
  <c r="U2494"/>
  <c r="T2494"/>
  <c r="S2494"/>
  <c r="N2494"/>
  <c r="R2494" s="1"/>
  <c r="M2494"/>
  <c r="Q2494" s="1"/>
  <c r="L2494"/>
  <c r="P2494" s="1"/>
  <c r="K2494"/>
  <c r="O2494" s="1"/>
  <c r="U2493"/>
  <c r="T2493"/>
  <c r="S2493"/>
  <c r="N2493"/>
  <c r="R2493" s="1"/>
  <c r="M2493"/>
  <c r="Q2493" s="1"/>
  <c r="L2493"/>
  <c r="P2493" s="1"/>
  <c r="K2493"/>
  <c r="O2493" s="1"/>
  <c r="U2492"/>
  <c r="T2492"/>
  <c r="S2492"/>
  <c r="N2492"/>
  <c r="R2492" s="1"/>
  <c r="M2492"/>
  <c r="Q2492" s="1"/>
  <c r="L2492"/>
  <c r="P2492" s="1"/>
  <c r="K2492"/>
  <c r="O2492" s="1"/>
  <c r="U2491"/>
  <c r="T2491"/>
  <c r="S2491"/>
  <c r="N2491"/>
  <c r="R2491" s="1"/>
  <c r="M2491"/>
  <c r="Q2491" s="1"/>
  <c r="L2491"/>
  <c r="P2491" s="1"/>
  <c r="K2491"/>
  <c r="O2491" s="1"/>
  <c r="U2490"/>
  <c r="T2490"/>
  <c r="S2490"/>
  <c r="N2490"/>
  <c r="R2490" s="1"/>
  <c r="M2490"/>
  <c r="Q2490" s="1"/>
  <c r="L2490"/>
  <c r="P2490" s="1"/>
  <c r="K2490"/>
  <c r="O2490" s="1"/>
  <c r="U2489"/>
  <c r="T2489"/>
  <c r="S2489"/>
  <c r="N2489"/>
  <c r="R2489" s="1"/>
  <c r="M2489"/>
  <c r="Q2489" s="1"/>
  <c r="L2489"/>
  <c r="P2489" s="1"/>
  <c r="K2489"/>
  <c r="O2489" s="1"/>
  <c r="U2488"/>
  <c r="T2488"/>
  <c r="S2488"/>
  <c r="N2488"/>
  <c r="R2488" s="1"/>
  <c r="M2488"/>
  <c r="Q2488" s="1"/>
  <c r="L2488"/>
  <c r="P2488" s="1"/>
  <c r="K2488"/>
  <c r="O2488" s="1"/>
  <c r="U2487"/>
  <c r="T2487"/>
  <c r="S2487"/>
  <c r="N2487"/>
  <c r="R2487" s="1"/>
  <c r="M2487"/>
  <c r="Q2487" s="1"/>
  <c r="L2487"/>
  <c r="P2487" s="1"/>
  <c r="K2487"/>
  <c r="O2487" s="1"/>
  <c r="U2486"/>
  <c r="T2486"/>
  <c r="S2486"/>
  <c r="N2486"/>
  <c r="R2486" s="1"/>
  <c r="M2486"/>
  <c r="Q2486" s="1"/>
  <c r="L2486"/>
  <c r="P2486" s="1"/>
  <c r="K2486"/>
  <c r="O2486" s="1"/>
  <c r="U2485"/>
  <c r="T2485"/>
  <c r="S2485"/>
  <c r="N2485"/>
  <c r="R2485" s="1"/>
  <c r="M2485"/>
  <c r="Q2485" s="1"/>
  <c r="L2485"/>
  <c r="P2485" s="1"/>
  <c r="K2485"/>
  <c r="O2485" s="1"/>
  <c r="U2484"/>
  <c r="T2484"/>
  <c r="S2484"/>
  <c r="N2484"/>
  <c r="R2484" s="1"/>
  <c r="M2484"/>
  <c r="Q2484" s="1"/>
  <c r="L2484"/>
  <c r="P2484" s="1"/>
  <c r="K2484"/>
  <c r="O2484" s="1"/>
  <c r="U2483"/>
  <c r="T2483"/>
  <c r="S2483"/>
  <c r="N2483"/>
  <c r="R2483" s="1"/>
  <c r="M2483"/>
  <c r="Q2483" s="1"/>
  <c r="L2483"/>
  <c r="P2483" s="1"/>
  <c r="K2483"/>
  <c r="O2483" s="1"/>
  <c r="U2482"/>
  <c r="T2482"/>
  <c r="S2482"/>
  <c r="N2482"/>
  <c r="R2482" s="1"/>
  <c r="M2482"/>
  <c r="Q2482" s="1"/>
  <c r="L2482"/>
  <c r="P2482" s="1"/>
  <c r="K2482"/>
  <c r="O2482" s="1"/>
  <c r="U2481"/>
  <c r="T2481"/>
  <c r="S2481"/>
  <c r="N2481"/>
  <c r="R2481" s="1"/>
  <c r="M2481"/>
  <c r="Q2481" s="1"/>
  <c r="L2481"/>
  <c r="P2481" s="1"/>
  <c r="K2481"/>
  <c r="O2481" s="1"/>
  <c r="U2480"/>
  <c r="T2480"/>
  <c r="S2480"/>
  <c r="N2480"/>
  <c r="R2480" s="1"/>
  <c r="M2480"/>
  <c r="Q2480" s="1"/>
  <c r="L2480"/>
  <c r="P2480" s="1"/>
  <c r="K2480"/>
  <c r="O2480" s="1"/>
  <c r="U2479"/>
  <c r="T2479"/>
  <c r="S2479"/>
  <c r="N2479"/>
  <c r="R2479" s="1"/>
  <c r="M2479"/>
  <c r="Q2479" s="1"/>
  <c r="L2479"/>
  <c r="P2479" s="1"/>
  <c r="K2479"/>
  <c r="O2479" s="1"/>
  <c r="U2478"/>
  <c r="T2478"/>
  <c r="S2478"/>
  <c r="N2478"/>
  <c r="R2478" s="1"/>
  <c r="M2478"/>
  <c r="Q2478" s="1"/>
  <c r="L2478"/>
  <c r="P2478" s="1"/>
  <c r="K2478"/>
  <c r="O2478" s="1"/>
  <c r="U2477"/>
  <c r="T2477"/>
  <c r="S2477"/>
  <c r="N2477"/>
  <c r="R2477" s="1"/>
  <c r="M2477"/>
  <c r="Q2477" s="1"/>
  <c r="L2477"/>
  <c r="P2477" s="1"/>
  <c r="K2477"/>
  <c r="O2477" s="1"/>
  <c r="U2476"/>
  <c r="T2476"/>
  <c r="S2476"/>
  <c r="N2476"/>
  <c r="R2476" s="1"/>
  <c r="M2476"/>
  <c r="Q2476" s="1"/>
  <c r="L2476"/>
  <c r="P2476" s="1"/>
  <c r="K2476"/>
  <c r="O2476" s="1"/>
  <c r="U2475"/>
  <c r="T2475"/>
  <c r="S2475"/>
  <c r="N2475"/>
  <c r="R2475" s="1"/>
  <c r="M2475"/>
  <c r="Q2475" s="1"/>
  <c r="L2475"/>
  <c r="P2475" s="1"/>
  <c r="K2475"/>
  <c r="O2475" s="1"/>
  <c r="U2474"/>
  <c r="T2474"/>
  <c r="S2474"/>
  <c r="N2474"/>
  <c r="R2474" s="1"/>
  <c r="M2474"/>
  <c r="Q2474" s="1"/>
  <c r="L2474"/>
  <c r="P2474" s="1"/>
  <c r="K2474"/>
  <c r="O2474" s="1"/>
  <c r="U2473"/>
  <c r="T2473"/>
  <c r="S2473"/>
  <c r="N2473"/>
  <c r="R2473" s="1"/>
  <c r="M2473"/>
  <c r="Q2473" s="1"/>
  <c r="L2473"/>
  <c r="P2473" s="1"/>
  <c r="K2473"/>
  <c r="O2473" s="1"/>
  <c r="U2472"/>
  <c r="T2472"/>
  <c r="S2472"/>
  <c r="N2472"/>
  <c r="R2472" s="1"/>
  <c r="M2472"/>
  <c r="Q2472" s="1"/>
  <c r="L2472"/>
  <c r="P2472" s="1"/>
  <c r="K2472"/>
  <c r="O2472" s="1"/>
  <c r="U2471"/>
  <c r="T2471"/>
  <c r="S2471"/>
  <c r="N2471"/>
  <c r="R2471" s="1"/>
  <c r="M2471"/>
  <c r="Q2471" s="1"/>
  <c r="L2471"/>
  <c r="P2471" s="1"/>
  <c r="K2471"/>
  <c r="O2471" s="1"/>
  <c r="U2470"/>
  <c r="T2470"/>
  <c r="S2470"/>
  <c r="N2470"/>
  <c r="R2470" s="1"/>
  <c r="M2470"/>
  <c r="Q2470" s="1"/>
  <c r="L2470"/>
  <c r="P2470" s="1"/>
  <c r="K2470"/>
  <c r="O2470" s="1"/>
  <c r="U2469"/>
  <c r="T2469"/>
  <c r="S2469"/>
  <c r="N2469"/>
  <c r="R2469" s="1"/>
  <c r="M2469"/>
  <c r="Q2469" s="1"/>
  <c r="L2469"/>
  <c r="P2469" s="1"/>
  <c r="K2469"/>
  <c r="O2469" s="1"/>
  <c r="U2468"/>
  <c r="T2468"/>
  <c r="S2468"/>
  <c r="N2468"/>
  <c r="R2468" s="1"/>
  <c r="M2468"/>
  <c r="Q2468" s="1"/>
  <c r="L2468"/>
  <c r="P2468" s="1"/>
  <c r="K2468"/>
  <c r="O2468" s="1"/>
  <c r="U2467"/>
  <c r="T2467"/>
  <c r="S2467"/>
  <c r="N2467"/>
  <c r="R2467" s="1"/>
  <c r="M2467"/>
  <c r="Q2467" s="1"/>
  <c r="L2467"/>
  <c r="P2467" s="1"/>
  <c r="K2467"/>
  <c r="O2467" s="1"/>
  <c r="U2466"/>
  <c r="T2466"/>
  <c r="S2466"/>
  <c r="N2466"/>
  <c r="R2466" s="1"/>
  <c r="M2466"/>
  <c r="Q2466" s="1"/>
  <c r="L2466"/>
  <c r="P2466" s="1"/>
  <c r="K2466"/>
  <c r="O2466" s="1"/>
  <c r="U2465"/>
  <c r="T2465"/>
  <c r="S2465"/>
  <c r="N2465"/>
  <c r="R2465" s="1"/>
  <c r="M2465"/>
  <c r="Q2465" s="1"/>
  <c r="L2465"/>
  <c r="P2465" s="1"/>
  <c r="K2465"/>
  <c r="O2465" s="1"/>
  <c r="U2464"/>
  <c r="T2464"/>
  <c r="S2464"/>
  <c r="N2464"/>
  <c r="R2464" s="1"/>
  <c r="M2464"/>
  <c r="Q2464" s="1"/>
  <c r="L2464"/>
  <c r="P2464" s="1"/>
  <c r="K2464"/>
  <c r="O2464" s="1"/>
  <c r="U2463"/>
  <c r="T2463"/>
  <c r="S2463"/>
  <c r="N2463"/>
  <c r="R2463" s="1"/>
  <c r="M2463"/>
  <c r="Q2463" s="1"/>
  <c r="L2463"/>
  <c r="P2463" s="1"/>
  <c r="K2463"/>
  <c r="O2463" s="1"/>
  <c r="U2462"/>
  <c r="T2462"/>
  <c r="S2462"/>
  <c r="N2462"/>
  <c r="R2462" s="1"/>
  <c r="M2462"/>
  <c r="Q2462" s="1"/>
  <c r="L2462"/>
  <c r="P2462" s="1"/>
  <c r="K2462"/>
  <c r="O2462" s="1"/>
  <c r="U2461"/>
  <c r="T2461"/>
  <c r="S2461"/>
  <c r="N2461"/>
  <c r="R2461" s="1"/>
  <c r="M2461"/>
  <c r="Q2461" s="1"/>
  <c r="L2461"/>
  <c r="P2461" s="1"/>
  <c r="K2461"/>
  <c r="O2461" s="1"/>
  <c r="U2460"/>
  <c r="T2460"/>
  <c r="S2460"/>
  <c r="N2460"/>
  <c r="R2460" s="1"/>
  <c r="M2460"/>
  <c r="Q2460" s="1"/>
  <c r="L2460"/>
  <c r="P2460" s="1"/>
  <c r="K2460"/>
  <c r="O2460" s="1"/>
  <c r="U2459"/>
  <c r="T2459"/>
  <c r="S2459"/>
  <c r="N2459"/>
  <c r="R2459" s="1"/>
  <c r="M2459"/>
  <c r="Q2459" s="1"/>
  <c r="L2459"/>
  <c r="P2459" s="1"/>
  <c r="K2459"/>
  <c r="O2459" s="1"/>
  <c r="U2458"/>
  <c r="T2458"/>
  <c r="S2458"/>
  <c r="N2458"/>
  <c r="R2458" s="1"/>
  <c r="M2458"/>
  <c r="Q2458" s="1"/>
  <c r="L2458"/>
  <c r="P2458" s="1"/>
  <c r="K2458"/>
  <c r="O2458" s="1"/>
  <c r="U2457"/>
  <c r="T2457"/>
  <c r="S2457"/>
  <c r="N2457"/>
  <c r="R2457" s="1"/>
  <c r="M2457"/>
  <c r="Q2457" s="1"/>
  <c r="L2457"/>
  <c r="P2457" s="1"/>
  <c r="K2457"/>
  <c r="O2457" s="1"/>
  <c r="U2456"/>
  <c r="T2456"/>
  <c r="S2456"/>
  <c r="N2456"/>
  <c r="R2456" s="1"/>
  <c r="M2456"/>
  <c r="Q2456" s="1"/>
  <c r="L2456"/>
  <c r="P2456" s="1"/>
  <c r="K2456"/>
  <c r="O2456" s="1"/>
  <c r="U2455"/>
  <c r="T2455"/>
  <c r="S2455"/>
  <c r="N2455"/>
  <c r="R2455" s="1"/>
  <c r="M2455"/>
  <c r="Q2455" s="1"/>
  <c r="L2455"/>
  <c r="P2455" s="1"/>
  <c r="K2455"/>
  <c r="O2455" s="1"/>
  <c r="U2454"/>
  <c r="T2454"/>
  <c r="S2454"/>
  <c r="N2454"/>
  <c r="R2454" s="1"/>
  <c r="M2454"/>
  <c r="Q2454" s="1"/>
  <c r="L2454"/>
  <c r="P2454" s="1"/>
  <c r="K2454"/>
  <c r="O2454" s="1"/>
  <c r="U2453"/>
  <c r="T2453"/>
  <c r="S2453"/>
  <c r="N2453"/>
  <c r="R2453" s="1"/>
  <c r="M2453"/>
  <c r="Q2453" s="1"/>
  <c r="L2453"/>
  <c r="P2453" s="1"/>
  <c r="K2453"/>
  <c r="O2453" s="1"/>
  <c r="U2452"/>
  <c r="T2452"/>
  <c r="S2452"/>
  <c r="N2452"/>
  <c r="R2452" s="1"/>
  <c r="M2452"/>
  <c r="Q2452" s="1"/>
  <c r="L2452"/>
  <c r="P2452" s="1"/>
  <c r="K2452"/>
  <c r="O2452" s="1"/>
  <c r="U2451"/>
  <c r="T2451"/>
  <c r="S2451"/>
  <c r="N2451"/>
  <c r="R2451" s="1"/>
  <c r="M2451"/>
  <c r="Q2451" s="1"/>
  <c r="L2451"/>
  <c r="P2451" s="1"/>
  <c r="K2451"/>
  <c r="O2451" s="1"/>
  <c r="U2450"/>
  <c r="T2450"/>
  <c r="S2450"/>
  <c r="N2450"/>
  <c r="R2450" s="1"/>
  <c r="M2450"/>
  <c r="Q2450" s="1"/>
  <c r="L2450"/>
  <c r="P2450" s="1"/>
  <c r="K2450"/>
  <c r="O2450" s="1"/>
  <c r="U2449"/>
  <c r="T2449"/>
  <c r="S2449"/>
  <c r="N2449"/>
  <c r="R2449" s="1"/>
  <c r="M2449"/>
  <c r="Q2449" s="1"/>
  <c r="L2449"/>
  <c r="P2449" s="1"/>
  <c r="K2449"/>
  <c r="O2449" s="1"/>
  <c r="U2448"/>
  <c r="T2448"/>
  <c r="S2448"/>
  <c r="N2448"/>
  <c r="R2448" s="1"/>
  <c r="M2448"/>
  <c r="Q2448" s="1"/>
  <c r="L2448"/>
  <c r="P2448" s="1"/>
  <c r="K2448"/>
  <c r="O2448" s="1"/>
  <c r="U2447"/>
  <c r="T2447"/>
  <c r="S2447"/>
  <c r="N2447"/>
  <c r="R2447" s="1"/>
  <c r="M2447"/>
  <c r="Q2447" s="1"/>
  <c r="L2447"/>
  <c r="P2447" s="1"/>
  <c r="K2447"/>
  <c r="O2447" s="1"/>
  <c r="U2446"/>
  <c r="T2446"/>
  <c r="S2446"/>
  <c r="N2446"/>
  <c r="R2446" s="1"/>
  <c r="M2446"/>
  <c r="Q2446" s="1"/>
  <c r="L2446"/>
  <c r="P2446" s="1"/>
  <c r="K2446"/>
  <c r="O2446" s="1"/>
  <c r="U2445"/>
  <c r="T2445"/>
  <c r="S2445"/>
  <c r="N2445"/>
  <c r="R2445" s="1"/>
  <c r="M2445"/>
  <c r="Q2445" s="1"/>
  <c r="L2445"/>
  <c r="P2445" s="1"/>
  <c r="K2445"/>
  <c r="O2445" s="1"/>
  <c r="U2444"/>
  <c r="T2444"/>
  <c r="S2444"/>
  <c r="N2444"/>
  <c r="R2444" s="1"/>
  <c r="M2444"/>
  <c r="Q2444" s="1"/>
  <c r="L2444"/>
  <c r="P2444" s="1"/>
  <c r="K2444"/>
  <c r="O2444" s="1"/>
  <c r="U2443"/>
  <c r="T2443"/>
  <c r="S2443"/>
  <c r="N2443"/>
  <c r="R2443" s="1"/>
  <c r="M2443"/>
  <c r="Q2443" s="1"/>
  <c r="L2443"/>
  <c r="P2443" s="1"/>
  <c r="K2443"/>
  <c r="O2443" s="1"/>
  <c r="U2442"/>
  <c r="T2442"/>
  <c r="S2442"/>
  <c r="N2442"/>
  <c r="R2442" s="1"/>
  <c r="M2442"/>
  <c r="Q2442" s="1"/>
  <c r="L2442"/>
  <c r="P2442" s="1"/>
  <c r="K2442"/>
  <c r="O2442" s="1"/>
  <c r="U2441"/>
  <c r="T2441"/>
  <c r="S2441"/>
  <c r="N2441"/>
  <c r="R2441" s="1"/>
  <c r="M2441"/>
  <c r="Q2441" s="1"/>
  <c r="L2441"/>
  <c r="P2441" s="1"/>
  <c r="K2441"/>
  <c r="O2441" s="1"/>
  <c r="U2440"/>
  <c r="T2440"/>
  <c r="S2440"/>
  <c r="N2440"/>
  <c r="R2440" s="1"/>
  <c r="M2440"/>
  <c r="Q2440" s="1"/>
  <c r="L2440"/>
  <c r="P2440" s="1"/>
  <c r="K2440"/>
  <c r="O2440" s="1"/>
  <c r="U2439"/>
  <c r="T2439"/>
  <c r="S2439"/>
  <c r="N2439"/>
  <c r="R2439" s="1"/>
  <c r="M2439"/>
  <c r="Q2439" s="1"/>
  <c r="L2439"/>
  <c r="P2439" s="1"/>
  <c r="K2439"/>
  <c r="O2439" s="1"/>
  <c r="U2438"/>
  <c r="T2438"/>
  <c r="S2438"/>
  <c r="N2438"/>
  <c r="R2438" s="1"/>
  <c r="M2438"/>
  <c r="Q2438" s="1"/>
  <c r="L2438"/>
  <c r="P2438" s="1"/>
  <c r="K2438"/>
  <c r="O2438" s="1"/>
  <c r="U2437"/>
  <c r="T2437"/>
  <c r="S2437"/>
  <c r="N2437"/>
  <c r="R2437" s="1"/>
  <c r="M2437"/>
  <c r="Q2437" s="1"/>
  <c r="L2437"/>
  <c r="P2437" s="1"/>
  <c r="K2437"/>
  <c r="O2437" s="1"/>
  <c r="U2436"/>
  <c r="T2436"/>
  <c r="S2436"/>
  <c r="N2436"/>
  <c r="R2436" s="1"/>
  <c r="M2436"/>
  <c r="Q2436" s="1"/>
  <c r="L2436"/>
  <c r="P2436" s="1"/>
  <c r="K2436"/>
  <c r="O2436" s="1"/>
  <c r="U2435"/>
  <c r="T2435"/>
  <c r="S2435"/>
  <c r="N2435"/>
  <c r="R2435" s="1"/>
  <c r="M2435"/>
  <c r="Q2435" s="1"/>
  <c r="L2435"/>
  <c r="P2435" s="1"/>
  <c r="K2435"/>
  <c r="O2435" s="1"/>
  <c r="U2434"/>
  <c r="T2434"/>
  <c r="S2434"/>
  <c r="N2434"/>
  <c r="R2434" s="1"/>
  <c r="M2434"/>
  <c r="Q2434" s="1"/>
  <c r="L2434"/>
  <c r="P2434" s="1"/>
  <c r="K2434"/>
  <c r="O2434" s="1"/>
  <c r="U2433"/>
  <c r="T2433"/>
  <c r="S2433"/>
  <c r="N2433"/>
  <c r="R2433" s="1"/>
  <c r="M2433"/>
  <c r="Q2433" s="1"/>
  <c r="L2433"/>
  <c r="P2433" s="1"/>
  <c r="K2433"/>
  <c r="O2433" s="1"/>
  <c r="U2432"/>
  <c r="T2432"/>
  <c r="S2432"/>
  <c r="N2432"/>
  <c r="R2432" s="1"/>
  <c r="M2432"/>
  <c r="Q2432" s="1"/>
  <c r="L2432"/>
  <c r="P2432" s="1"/>
  <c r="K2432"/>
  <c r="O2432" s="1"/>
  <c r="U2431"/>
  <c r="T2431"/>
  <c r="S2431"/>
  <c r="N2431"/>
  <c r="R2431" s="1"/>
  <c r="M2431"/>
  <c r="Q2431" s="1"/>
  <c r="L2431"/>
  <c r="P2431" s="1"/>
  <c r="K2431"/>
  <c r="O2431" s="1"/>
  <c r="U2430"/>
  <c r="T2430"/>
  <c r="S2430"/>
  <c r="N2430"/>
  <c r="R2430" s="1"/>
  <c r="M2430"/>
  <c r="Q2430" s="1"/>
  <c r="L2430"/>
  <c r="P2430" s="1"/>
  <c r="K2430"/>
  <c r="O2430" s="1"/>
  <c r="U2429"/>
  <c r="T2429"/>
  <c r="S2429"/>
  <c r="N2429"/>
  <c r="R2429" s="1"/>
  <c r="M2429"/>
  <c r="Q2429" s="1"/>
  <c r="L2429"/>
  <c r="P2429" s="1"/>
  <c r="K2429"/>
  <c r="O2429" s="1"/>
  <c r="U2428"/>
  <c r="T2428"/>
  <c r="S2428"/>
  <c r="N2428"/>
  <c r="R2428" s="1"/>
  <c r="M2428"/>
  <c r="Q2428" s="1"/>
  <c r="L2428"/>
  <c r="P2428" s="1"/>
  <c r="K2428"/>
  <c r="O2428" s="1"/>
  <c r="U2427"/>
  <c r="T2427"/>
  <c r="S2427"/>
  <c r="N2427"/>
  <c r="R2427" s="1"/>
  <c r="M2427"/>
  <c r="Q2427" s="1"/>
  <c r="L2427"/>
  <c r="P2427" s="1"/>
  <c r="K2427"/>
  <c r="O2427" s="1"/>
  <c r="U2426"/>
  <c r="T2426"/>
  <c r="S2426"/>
  <c r="N2426"/>
  <c r="R2426" s="1"/>
  <c r="M2426"/>
  <c r="Q2426" s="1"/>
  <c r="L2426"/>
  <c r="P2426" s="1"/>
  <c r="K2426"/>
  <c r="O2426" s="1"/>
  <c r="U2425"/>
  <c r="T2425"/>
  <c r="S2425"/>
  <c r="N2425"/>
  <c r="R2425" s="1"/>
  <c r="M2425"/>
  <c r="Q2425" s="1"/>
  <c r="L2425"/>
  <c r="P2425" s="1"/>
  <c r="K2425"/>
  <c r="O2425" s="1"/>
  <c r="U2424"/>
  <c r="T2424"/>
  <c r="S2424"/>
  <c r="N2424"/>
  <c r="R2424" s="1"/>
  <c r="M2424"/>
  <c r="Q2424" s="1"/>
  <c r="L2424"/>
  <c r="P2424" s="1"/>
  <c r="K2424"/>
  <c r="O2424" s="1"/>
  <c r="U2423"/>
  <c r="T2423"/>
  <c r="S2423"/>
  <c r="N2423"/>
  <c r="R2423" s="1"/>
  <c r="M2423"/>
  <c r="Q2423" s="1"/>
  <c r="L2423"/>
  <c r="P2423" s="1"/>
  <c r="K2423"/>
  <c r="O2423" s="1"/>
  <c r="U2422"/>
  <c r="T2422"/>
  <c r="S2422"/>
  <c r="N2422"/>
  <c r="R2422" s="1"/>
  <c r="M2422"/>
  <c r="Q2422" s="1"/>
  <c r="L2422"/>
  <c r="P2422" s="1"/>
  <c r="K2422"/>
  <c r="O2422" s="1"/>
  <c r="U2421"/>
  <c r="T2421"/>
  <c r="S2421"/>
  <c r="N2421"/>
  <c r="R2421" s="1"/>
  <c r="M2421"/>
  <c r="Q2421" s="1"/>
  <c r="L2421"/>
  <c r="P2421" s="1"/>
  <c r="K2421"/>
  <c r="O2421" s="1"/>
  <c r="U2420"/>
  <c r="T2420"/>
  <c r="S2420"/>
  <c r="N2420"/>
  <c r="R2420" s="1"/>
  <c r="M2420"/>
  <c r="Q2420" s="1"/>
  <c r="L2420"/>
  <c r="P2420" s="1"/>
  <c r="K2420"/>
  <c r="O2420" s="1"/>
  <c r="U2419"/>
  <c r="T2419"/>
  <c r="S2419"/>
  <c r="N2419"/>
  <c r="R2419" s="1"/>
  <c r="M2419"/>
  <c r="Q2419" s="1"/>
  <c r="L2419"/>
  <c r="P2419" s="1"/>
  <c r="K2419"/>
  <c r="O2419" s="1"/>
  <c r="U2418"/>
  <c r="T2418"/>
  <c r="S2418"/>
  <c r="N2418"/>
  <c r="R2418" s="1"/>
  <c r="M2418"/>
  <c r="Q2418" s="1"/>
  <c r="L2418"/>
  <c r="P2418" s="1"/>
  <c r="K2418"/>
  <c r="O2418" s="1"/>
  <c r="U2417"/>
  <c r="T2417"/>
  <c r="S2417"/>
  <c r="N2417"/>
  <c r="R2417" s="1"/>
  <c r="M2417"/>
  <c r="Q2417" s="1"/>
  <c r="L2417"/>
  <c r="P2417" s="1"/>
  <c r="K2417"/>
  <c r="O2417" s="1"/>
  <c r="U2416"/>
  <c r="T2416"/>
  <c r="S2416"/>
  <c r="N2416"/>
  <c r="R2416" s="1"/>
  <c r="M2416"/>
  <c r="Q2416" s="1"/>
  <c r="L2416"/>
  <c r="P2416" s="1"/>
  <c r="K2416"/>
  <c r="O2416" s="1"/>
  <c r="U2415"/>
  <c r="T2415"/>
  <c r="S2415"/>
  <c r="N2415"/>
  <c r="R2415" s="1"/>
  <c r="M2415"/>
  <c r="Q2415" s="1"/>
  <c r="L2415"/>
  <c r="P2415" s="1"/>
  <c r="K2415"/>
  <c r="O2415" s="1"/>
  <c r="U2414"/>
  <c r="T2414"/>
  <c r="S2414"/>
  <c r="N2414"/>
  <c r="R2414" s="1"/>
  <c r="M2414"/>
  <c r="Q2414" s="1"/>
  <c r="L2414"/>
  <c r="P2414" s="1"/>
  <c r="K2414"/>
  <c r="O2414" s="1"/>
  <c r="U2413"/>
  <c r="T2413"/>
  <c r="S2413"/>
  <c r="N2413"/>
  <c r="R2413" s="1"/>
  <c r="M2413"/>
  <c r="Q2413" s="1"/>
  <c r="L2413"/>
  <c r="P2413" s="1"/>
  <c r="K2413"/>
  <c r="O2413" s="1"/>
  <c r="U2412"/>
  <c r="T2412"/>
  <c r="S2412"/>
  <c r="N2412"/>
  <c r="R2412" s="1"/>
  <c r="M2412"/>
  <c r="Q2412" s="1"/>
  <c r="L2412"/>
  <c r="P2412" s="1"/>
  <c r="K2412"/>
  <c r="O2412" s="1"/>
  <c r="U2411"/>
  <c r="T2411"/>
  <c r="S2411"/>
  <c r="N2411"/>
  <c r="R2411" s="1"/>
  <c r="M2411"/>
  <c r="Q2411" s="1"/>
  <c r="L2411"/>
  <c r="P2411" s="1"/>
  <c r="K2411"/>
  <c r="O2411" s="1"/>
  <c r="U2410"/>
  <c r="T2410"/>
  <c r="S2410"/>
  <c r="N2410"/>
  <c r="R2410" s="1"/>
  <c r="M2410"/>
  <c r="Q2410" s="1"/>
  <c r="L2410"/>
  <c r="P2410" s="1"/>
  <c r="K2410"/>
  <c r="O2410" s="1"/>
  <c r="U2409"/>
  <c r="T2409"/>
  <c r="S2409"/>
  <c r="N2409"/>
  <c r="R2409" s="1"/>
  <c r="M2409"/>
  <c r="Q2409" s="1"/>
  <c r="L2409"/>
  <c r="P2409" s="1"/>
  <c r="K2409"/>
  <c r="O2409" s="1"/>
  <c r="U2408"/>
  <c r="T2408"/>
  <c r="S2408"/>
  <c r="N2408"/>
  <c r="R2408" s="1"/>
  <c r="M2408"/>
  <c r="Q2408" s="1"/>
  <c r="L2408"/>
  <c r="P2408" s="1"/>
  <c r="K2408"/>
  <c r="O2408" s="1"/>
  <c r="U2407"/>
  <c r="T2407"/>
  <c r="S2407"/>
  <c r="N2407"/>
  <c r="R2407" s="1"/>
  <c r="M2407"/>
  <c r="Q2407" s="1"/>
  <c r="L2407"/>
  <c r="P2407" s="1"/>
  <c r="K2407"/>
  <c r="O2407" s="1"/>
  <c r="U2406"/>
  <c r="T2406"/>
  <c r="S2406"/>
  <c r="N2406"/>
  <c r="R2406" s="1"/>
  <c r="M2406"/>
  <c r="Q2406" s="1"/>
  <c r="L2406"/>
  <c r="P2406" s="1"/>
  <c r="K2406"/>
  <c r="O2406" s="1"/>
  <c r="U2405"/>
  <c r="T2405"/>
  <c r="S2405"/>
  <c r="N2405"/>
  <c r="R2405" s="1"/>
  <c r="M2405"/>
  <c r="Q2405" s="1"/>
  <c r="L2405"/>
  <c r="P2405" s="1"/>
  <c r="K2405"/>
  <c r="O2405" s="1"/>
  <c r="U2404"/>
  <c r="T2404"/>
  <c r="S2404"/>
  <c r="N2404"/>
  <c r="R2404" s="1"/>
  <c r="M2404"/>
  <c r="Q2404" s="1"/>
  <c r="L2404"/>
  <c r="P2404" s="1"/>
  <c r="K2404"/>
  <c r="O2404" s="1"/>
  <c r="U2403"/>
  <c r="T2403"/>
  <c r="S2403"/>
  <c r="N2403"/>
  <c r="R2403" s="1"/>
  <c r="M2403"/>
  <c r="Q2403" s="1"/>
  <c r="L2403"/>
  <c r="P2403" s="1"/>
  <c r="K2403"/>
  <c r="O2403" s="1"/>
  <c r="U2402"/>
  <c r="T2402"/>
  <c r="S2402"/>
  <c r="N2402"/>
  <c r="R2402" s="1"/>
  <c r="M2402"/>
  <c r="Q2402" s="1"/>
  <c r="L2402"/>
  <c r="P2402" s="1"/>
  <c r="K2402"/>
  <c r="O2402" s="1"/>
  <c r="U2401"/>
  <c r="T2401"/>
  <c r="S2401"/>
  <c r="N2401"/>
  <c r="R2401" s="1"/>
  <c r="M2401"/>
  <c r="Q2401" s="1"/>
  <c r="L2401"/>
  <c r="P2401" s="1"/>
  <c r="K2401"/>
  <c r="O2401" s="1"/>
  <c r="U2400"/>
  <c r="T2400"/>
  <c r="S2400"/>
  <c r="N2400"/>
  <c r="R2400" s="1"/>
  <c r="M2400"/>
  <c r="Q2400" s="1"/>
  <c r="L2400"/>
  <c r="P2400" s="1"/>
  <c r="K2400"/>
  <c r="O2400" s="1"/>
  <c r="U2399"/>
  <c r="T2399"/>
  <c r="S2399"/>
  <c r="N2399"/>
  <c r="R2399" s="1"/>
  <c r="M2399"/>
  <c r="Q2399" s="1"/>
  <c r="L2399"/>
  <c r="P2399" s="1"/>
  <c r="K2399"/>
  <c r="O2399" s="1"/>
  <c r="U2398"/>
  <c r="T2398"/>
  <c r="S2398"/>
  <c r="N2398"/>
  <c r="R2398" s="1"/>
  <c r="M2398"/>
  <c r="Q2398" s="1"/>
  <c r="L2398"/>
  <c r="P2398" s="1"/>
  <c r="K2398"/>
  <c r="O2398" s="1"/>
  <c r="U2397"/>
  <c r="T2397"/>
  <c r="S2397"/>
  <c r="N2397"/>
  <c r="R2397" s="1"/>
  <c r="M2397"/>
  <c r="Q2397" s="1"/>
  <c r="L2397"/>
  <c r="P2397" s="1"/>
  <c r="K2397"/>
  <c r="O2397" s="1"/>
  <c r="U2396"/>
  <c r="T2396"/>
  <c r="S2396"/>
  <c r="N2396"/>
  <c r="R2396" s="1"/>
  <c r="M2396"/>
  <c r="Q2396" s="1"/>
  <c r="L2396"/>
  <c r="P2396" s="1"/>
  <c r="K2396"/>
  <c r="O2396" s="1"/>
  <c r="U2395"/>
  <c r="T2395"/>
  <c r="S2395"/>
  <c r="N2395"/>
  <c r="R2395" s="1"/>
  <c r="M2395"/>
  <c r="Q2395" s="1"/>
  <c r="L2395"/>
  <c r="P2395" s="1"/>
  <c r="K2395"/>
  <c r="O2395" s="1"/>
  <c r="U2394"/>
  <c r="T2394"/>
  <c r="S2394"/>
  <c r="N2394"/>
  <c r="R2394" s="1"/>
  <c r="M2394"/>
  <c r="Q2394" s="1"/>
  <c r="L2394"/>
  <c r="P2394" s="1"/>
  <c r="K2394"/>
  <c r="O2394" s="1"/>
  <c r="U2393"/>
  <c r="T2393"/>
  <c r="S2393"/>
  <c r="N2393"/>
  <c r="R2393" s="1"/>
  <c r="M2393"/>
  <c r="Q2393" s="1"/>
  <c r="L2393"/>
  <c r="P2393" s="1"/>
  <c r="K2393"/>
  <c r="O2393" s="1"/>
  <c r="U2392"/>
  <c r="T2392"/>
  <c r="S2392"/>
  <c r="N2392"/>
  <c r="R2392" s="1"/>
  <c r="M2392"/>
  <c r="Q2392" s="1"/>
  <c r="L2392"/>
  <c r="P2392" s="1"/>
  <c r="K2392"/>
  <c r="O2392" s="1"/>
  <c r="U2391"/>
  <c r="T2391"/>
  <c r="S2391"/>
  <c r="N2391"/>
  <c r="R2391" s="1"/>
  <c r="M2391"/>
  <c r="Q2391" s="1"/>
  <c r="L2391"/>
  <c r="P2391" s="1"/>
  <c r="K2391"/>
  <c r="O2391" s="1"/>
  <c r="U2390"/>
  <c r="T2390"/>
  <c r="S2390"/>
  <c r="N2390"/>
  <c r="R2390" s="1"/>
  <c r="M2390"/>
  <c r="Q2390" s="1"/>
  <c r="L2390"/>
  <c r="P2390" s="1"/>
  <c r="K2390"/>
  <c r="O2390" s="1"/>
  <c r="U2389"/>
  <c r="T2389"/>
  <c r="S2389"/>
  <c r="N2389"/>
  <c r="R2389" s="1"/>
  <c r="M2389"/>
  <c r="Q2389" s="1"/>
  <c r="L2389"/>
  <c r="P2389" s="1"/>
  <c r="K2389"/>
  <c r="O2389" s="1"/>
  <c r="U2388"/>
  <c r="T2388"/>
  <c r="S2388"/>
  <c r="N2388"/>
  <c r="R2388" s="1"/>
  <c r="M2388"/>
  <c r="Q2388" s="1"/>
  <c r="L2388"/>
  <c r="P2388" s="1"/>
  <c r="K2388"/>
  <c r="O2388" s="1"/>
  <c r="U2387"/>
  <c r="T2387"/>
  <c r="S2387"/>
  <c r="N2387"/>
  <c r="R2387" s="1"/>
  <c r="M2387"/>
  <c r="Q2387" s="1"/>
  <c r="L2387"/>
  <c r="P2387" s="1"/>
  <c r="K2387"/>
  <c r="O2387" s="1"/>
  <c r="U2386"/>
  <c r="T2386"/>
  <c r="S2386"/>
  <c r="N2386"/>
  <c r="R2386" s="1"/>
  <c r="M2386"/>
  <c r="Q2386" s="1"/>
  <c r="L2386"/>
  <c r="P2386" s="1"/>
  <c r="K2386"/>
  <c r="O2386" s="1"/>
  <c r="U2385"/>
  <c r="T2385"/>
  <c r="S2385"/>
  <c r="N2385"/>
  <c r="R2385" s="1"/>
  <c r="M2385"/>
  <c r="Q2385" s="1"/>
  <c r="L2385"/>
  <c r="P2385" s="1"/>
  <c r="K2385"/>
  <c r="O2385" s="1"/>
  <c r="U2384"/>
  <c r="T2384"/>
  <c r="S2384"/>
  <c r="N2384"/>
  <c r="R2384" s="1"/>
  <c r="M2384"/>
  <c r="Q2384" s="1"/>
  <c r="L2384"/>
  <c r="P2384" s="1"/>
  <c r="K2384"/>
  <c r="O2384" s="1"/>
  <c r="U2383"/>
  <c r="T2383"/>
  <c r="S2383"/>
  <c r="N2383"/>
  <c r="R2383" s="1"/>
  <c r="M2383"/>
  <c r="Q2383" s="1"/>
  <c r="L2383"/>
  <c r="P2383" s="1"/>
  <c r="K2383"/>
  <c r="O2383" s="1"/>
  <c r="U2382"/>
  <c r="T2382"/>
  <c r="S2382"/>
  <c r="N2382"/>
  <c r="R2382" s="1"/>
  <c r="M2382"/>
  <c r="Q2382" s="1"/>
  <c r="L2382"/>
  <c r="P2382" s="1"/>
  <c r="K2382"/>
  <c r="O2382" s="1"/>
  <c r="U2381"/>
  <c r="T2381"/>
  <c r="S2381"/>
  <c r="N2381"/>
  <c r="R2381" s="1"/>
  <c r="M2381"/>
  <c r="Q2381" s="1"/>
  <c r="L2381"/>
  <c r="P2381" s="1"/>
  <c r="K2381"/>
  <c r="O2381" s="1"/>
  <c r="U2380"/>
  <c r="T2380"/>
  <c r="S2380"/>
  <c r="N2380"/>
  <c r="R2380" s="1"/>
  <c r="M2380"/>
  <c r="Q2380" s="1"/>
  <c r="L2380"/>
  <c r="P2380" s="1"/>
  <c r="K2380"/>
  <c r="O2380" s="1"/>
  <c r="U2379"/>
  <c r="T2379"/>
  <c r="S2379"/>
  <c r="N2379"/>
  <c r="R2379" s="1"/>
  <c r="M2379"/>
  <c r="Q2379" s="1"/>
  <c r="L2379"/>
  <c r="P2379" s="1"/>
  <c r="K2379"/>
  <c r="O2379" s="1"/>
  <c r="U2378"/>
  <c r="T2378"/>
  <c r="S2378"/>
  <c r="N2378"/>
  <c r="R2378" s="1"/>
  <c r="M2378"/>
  <c r="Q2378" s="1"/>
  <c r="L2378"/>
  <c r="P2378" s="1"/>
  <c r="K2378"/>
  <c r="O2378" s="1"/>
  <c r="U2377"/>
  <c r="T2377"/>
  <c r="S2377"/>
  <c r="N2377"/>
  <c r="R2377" s="1"/>
  <c r="M2377"/>
  <c r="Q2377" s="1"/>
  <c r="L2377"/>
  <c r="P2377" s="1"/>
  <c r="K2377"/>
  <c r="O2377" s="1"/>
  <c r="U2376"/>
  <c r="T2376"/>
  <c r="S2376"/>
  <c r="N2376"/>
  <c r="R2376" s="1"/>
  <c r="M2376"/>
  <c r="Q2376" s="1"/>
  <c r="L2376"/>
  <c r="P2376" s="1"/>
  <c r="K2376"/>
  <c r="O2376" s="1"/>
  <c r="U2375"/>
  <c r="T2375"/>
  <c r="S2375"/>
  <c r="N2375"/>
  <c r="R2375" s="1"/>
  <c r="M2375"/>
  <c r="Q2375" s="1"/>
  <c r="L2375"/>
  <c r="P2375" s="1"/>
  <c r="K2375"/>
  <c r="O2375" s="1"/>
  <c r="U2374"/>
  <c r="T2374"/>
  <c r="S2374"/>
  <c r="N2374"/>
  <c r="R2374" s="1"/>
  <c r="M2374"/>
  <c r="Q2374" s="1"/>
  <c r="L2374"/>
  <c r="P2374" s="1"/>
  <c r="K2374"/>
  <c r="O2374" s="1"/>
  <c r="U2373"/>
  <c r="T2373"/>
  <c r="S2373"/>
  <c r="N2373"/>
  <c r="R2373" s="1"/>
  <c r="M2373"/>
  <c r="Q2373" s="1"/>
  <c r="L2373"/>
  <c r="P2373" s="1"/>
  <c r="K2373"/>
  <c r="O2373" s="1"/>
  <c r="U2372"/>
  <c r="T2372"/>
  <c r="S2372"/>
  <c r="N2372"/>
  <c r="R2372" s="1"/>
  <c r="M2372"/>
  <c r="Q2372" s="1"/>
  <c r="L2372"/>
  <c r="P2372" s="1"/>
  <c r="K2372"/>
  <c r="O2372" s="1"/>
  <c r="U2371"/>
  <c r="T2371"/>
  <c r="S2371"/>
  <c r="N2371"/>
  <c r="R2371" s="1"/>
  <c r="M2371"/>
  <c r="Q2371" s="1"/>
  <c r="L2371"/>
  <c r="P2371" s="1"/>
  <c r="K2371"/>
  <c r="O2371" s="1"/>
  <c r="U2370"/>
  <c r="T2370"/>
  <c r="S2370"/>
  <c r="N2370"/>
  <c r="R2370" s="1"/>
  <c r="M2370"/>
  <c r="Q2370" s="1"/>
  <c r="L2370"/>
  <c r="P2370" s="1"/>
  <c r="K2370"/>
  <c r="O2370" s="1"/>
  <c r="U2369"/>
  <c r="T2369"/>
  <c r="S2369"/>
  <c r="N2369"/>
  <c r="R2369" s="1"/>
  <c r="M2369"/>
  <c r="Q2369" s="1"/>
  <c r="L2369"/>
  <c r="P2369" s="1"/>
  <c r="K2369"/>
  <c r="O2369" s="1"/>
  <c r="U2368"/>
  <c r="T2368"/>
  <c r="S2368"/>
  <c r="N2368"/>
  <c r="R2368" s="1"/>
  <c r="M2368"/>
  <c r="Q2368" s="1"/>
  <c r="L2368"/>
  <c r="P2368" s="1"/>
  <c r="K2368"/>
  <c r="O2368" s="1"/>
  <c r="U2367"/>
  <c r="T2367"/>
  <c r="S2367"/>
  <c r="N2367"/>
  <c r="R2367" s="1"/>
  <c r="M2367"/>
  <c r="Q2367" s="1"/>
  <c r="L2367"/>
  <c r="P2367" s="1"/>
  <c r="K2367"/>
  <c r="O2367" s="1"/>
  <c r="U2366"/>
  <c r="T2366"/>
  <c r="S2366"/>
  <c r="N2366"/>
  <c r="R2366" s="1"/>
  <c r="M2366"/>
  <c r="Q2366" s="1"/>
  <c r="L2366"/>
  <c r="P2366" s="1"/>
  <c r="K2366"/>
  <c r="O2366" s="1"/>
  <c r="U2365"/>
  <c r="T2365"/>
  <c r="S2365"/>
  <c r="N2365"/>
  <c r="R2365" s="1"/>
  <c r="M2365"/>
  <c r="Q2365" s="1"/>
  <c r="L2365"/>
  <c r="P2365" s="1"/>
  <c r="K2365"/>
  <c r="O2365" s="1"/>
  <c r="U2364"/>
  <c r="T2364"/>
  <c r="S2364"/>
  <c r="N2364"/>
  <c r="R2364" s="1"/>
  <c r="M2364"/>
  <c r="Q2364" s="1"/>
  <c r="L2364"/>
  <c r="P2364" s="1"/>
  <c r="K2364"/>
  <c r="O2364" s="1"/>
  <c r="U2363"/>
  <c r="T2363"/>
  <c r="S2363"/>
  <c r="N2363"/>
  <c r="R2363" s="1"/>
  <c r="M2363"/>
  <c r="Q2363" s="1"/>
  <c r="L2363"/>
  <c r="P2363" s="1"/>
  <c r="K2363"/>
  <c r="O2363" s="1"/>
  <c r="U2362"/>
  <c r="T2362"/>
  <c r="S2362"/>
  <c r="N2362"/>
  <c r="R2362" s="1"/>
  <c r="M2362"/>
  <c r="Q2362" s="1"/>
  <c r="L2362"/>
  <c r="P2362" s="1"/>
  <c r="K2362"/>
  <c r="O2362" s="1"/>
  <c r="U2361"/>
  <c r="T2361"/>
  <c r="S2361"/>
  <c r="N2361"/>
  <c r="R2361" s="1"/>
  <c r="M2361"/>
  <c r="Q2361" s="1"/>
  <c r="L2361"/>
  <c r="P2361" s="1"/>
  <c r="K2361"/>
  <c r="O2361" s="1"/>
  <c r="U2360"/>
  <c r="T2360"/>
  <c r="S2360"/>
  <c r="N2360"/>
  <c r="R2360" s="1"/>
  <c r="M2360"/>
  <c r="Q2360" s="1"/>
  <c r="L2360"/>
  <c r="P2360" s="1"/>
  <c r="K2360"/>
  <c r="O2360" s="1"/>
  <c r="U2359"/>
  <c r="T2359"/>
  <c r="S2359"/>
  <c r="N2359"/>
  <c r="R2359" s="1"/>
  <c r="M2359"/>
  <c r="Q2359" s="1"/>
  <c r="L2359"/>
  <c r="P2359" s="1"/>
  <c r="K2359"/>
  <c r="O2359" s="1"/>
  <c r="U2358"/>
  <c r="T2358"/>
  <c r="S2358"/>
  <c r="N2358"/>
  <c r="R2358" s="1"/>
  <c r="M2358"/>
  <c r="Q2358" s="1"/>
  <c r="L2358"/>
  <c r="P2358" s="1"/>
  <c r="K2358"/>
  <c r="O2358" s="1"/>
  <c r="U2357"/>
  <c r="T2357"/>
  <c r="S2357"/>
  <c r="N2357"/>
  <c r="R2357" s="1"/>
  <c r="M2357"/>
  <c r="Q2357" s="1"/>
  <c r="L2357"/>
  <c r="P2357" s="1"/>
  <c r="K2357"/>
  <c r="O2357" s="1"/>
  <c r="U2356"/>
  <c r="T2356"/>
  <c r="S2356"/>
  <c r="N2356"/>
  <c r="R2356" s="1"/>
  <c r="M2356"/>
  <c r="Q2356" s="1"/>
  <c r="L2356"/>
  <c r="P2356" s="1"/>
  <c r="K2356"/>
  <c r="O2356" s="1"/>
  <c r="U2355"/>
  <c r="T2355"/>
  <c r="S2355"/>
  <c r="N2355"/>
  <c r="R2355" s="1"/>
  <c r="M2355"/>
  <c r="Q2355" s="1"/>
  <c r="L2355"/>
  <c r="P2355" s="1"/>
  <c r="K2355"/>
  <c r="O2355" s="1"/>
  <c r="U2354"/>
  <c r="T2354"/>
  <c r="S2354"/>
  <c r="N2354"/>
  <c r="R2354" s="1"/>
  <c r="M2354"/>
  <c r="Q2354" s="1"/>
  <c r="L2354"/>
  <c r="P2354" s="1"/>
  <c r="K2354"/>
  <c r="O2354" s="1"/>
  <c r="U2353"/>
  <c r="T2353"/>
  <c r="S2353"/>
  <c r="N2353"/>
  <c r="R2353" s="1"/>
  <c r="M2353"/>
  <c r="Q2353" s="1"/>
  <c r="L2353"/>
  <c r="P2353" s="1"/>
  <c r="K2353"/>
  <c r="O2353" s="1"/>
  <c r="U2352"/>
  <c r="T2352"/>
  <c r="S2352"/>
  <c r="N2352"/>
  <c r="R2352" s="1"/>
  <c r="M2352"/>
  <c r="Q2352" s="1"/>
  <c r="L2352"/>
  <c r="P2352" s="1"/>
  <c r="K2352"/>
  <c r="O2352" s="1"/>
  <c r="U2351"/>
  <c r="T2351"/>
  <c r="S2351"/>
  <c r="N2351"/>
  <c r="R2351" s="1"/>
  <c r="M2351"/>
  <c r="Q2351" s="1"/>
  <c r="L2351"/>
  <c r="P2351" s="1"/>
  <c r="K2351"/>
  <c r="O2351" s="1"/>
  <c r="U2350"/>
  <c r="T2350"/>
  <c r="S2350"/>
  <c r="N2350"/>
  <c r="R2350" s="1"/>
  <c r="M2350"/>
  <c r="Q2350" s="1"/>
  <c r="L2350"/>
  <c r="P2350" s="1"/>
  <c r="K2350"/>
  <c r="O2350" s="1"/>
  <c r="U2349"/>
  <c r="T2349"/>
  <c r="S2349"/>
  <c r="N2349"/>
  <c r="R2349" s="1"/>
  <c r="M2349"/>
  <c r="Q2349" s="1"/>
  <c r="L2349"/>
  <c r="P2349" s="1"/>
  <c r="K2349"/>
  <c r="O2349" s="1"/>
  <c r="U2348"/>
  <c r="T2348"/>
  <c r="S2348"/>
  <c r="N2348"/>
  <c r="R2348" s="1"/>
  <c r="M2348"/>
  <c r="Q2348" s="1"/>
  <c r="L2348"/>
  <c r="P2348" s="1"/>
  <c r="K2348"/>
  <c r="O2348" s="1"/>
  <c r="U2347"/>
  <c r="T2347"/>
  <c r="S2347"/>
  <c r="N2347"/>
  <c r="R2347" s="1"/>
  <c r="M2347"/>
  <c r="Q2347" s="1"/>
  <c r="L2347"/>
  <c r="P2347" s="1"/>
  <c r="K2347"/>
  <c r="O2347" s="1"/>
  <c r="U2346"/>
  <c r="T2346"/>
  <c r="S2346"/>
  <c r="N2346"/>
  <c r="R2346" s="1"/>
  <c r="M2346"/>
  <c r="Q2346" s="1"/>
  <c r="L2346"/>
  <c r="P2346" s="1"/>
  <c r="K2346"/>
  <c r="O2346" s="1"/>
  <c r="U2345"/>
  <c r="T2345"/>
  <c r="S2345"/>
  <c r="N2345"/>
  <c r="R2345" s="1"/>
  <c r="M2345"/>
  <c r="Q2345" s="1"/>
  <c r="L2345"/>
  <c r="P2345" s="1"/>
  <c r="K2345"/>
  <c r="O2345" s="1"/>
  <c r="U2344"/>
  <c r="T2344"/>
  <c r="S2344"/>
  <c r="N2344"/>
  <c r="R2344" s="1"/>
  <c r="M2344"/>
  <c r="Q2344" s="1"/>
  <c r="L2344"/>
  <c r="P2344" s="1"/>
  <c r="K2344"/>
  <c r="O2344" s="1"/>
  <c r="U2343"/>
  <c r="T2343"/>
  <c r="S2343"/>
  <c r="N2343"/>
  <c r="R2343" s="1"/>
  <c r="M2343"/>
  <c r="Q2343" s="1"/>
  <c r="L2343"/>
  <c r="P2343" s="1"/>
  <c r="K2343"/>
  <c r="O2343" s="1"/>
  <c r="U2342"/>
  <c r="T2342"/>
  <c r="S2342"/>
  <c r="N2342"/>
  <c r="R2342" s="1"/>
  <c r="M2342"/>
  <c r="Q2342" s="1"/>
  <c r="L2342"/>
  <c r="P2342" s="1"/>
  <c r="K2342"/>
  <c r="O2342" s="1"/>
  <c r="U2341"/>
  <c r="T2341"/>
  <c r="S2341"/>
  <c r="N2341"/>
  <c r="R2341" s="1"/>
  <c r="M2341"/>
  <c r="Q2341" s="1"/>
  <c r="L2341"/>
  <c r="P2341" s="1"/>
  <c r="K2341"/>
  <c r="O2341" s="1"/>
  <c r="U2340"/>
  <c r="T2340"/>
  <c r="S2340"/>
  <c r="N2340"/>
  <c r="R2340" s="1"/>
  <c r="M2340"/>
  <c r="Q2340" s="1"/>
  <c r="L2340"/>
  <c r="P2340" s="1"/>
  <c r="K2340"/>
  <c r="O2340" s="1"/>
  <c r="U2339"/>
  <c r="T2339"/>
  <c r="S2339"/>
  <c r="N2339"/>
  <c r="R2339" s="1"/>
  <c r="M2339"/>
  <c r="Q2339" s="1"/>
  <c r="L2339"/>
  <c r="P2339" s="1"/>
  <c r="K2339"/>
  <c r="O2339" s="1"/>
  <c r="U2338"/>
  <c r="T2338"/>
  <c r="S2338"/>
  <c r="N2338"/>
  <c r="R2338" s="1"/>
  <c r="M2338"/>
  <c r="Q2338" s="1"/>
  <c r="L2338"/>
  <c r="P2338" s="1"/>
  <c r="K2338"/>
  <c r="O2338" s="1"/>
  <c r="U2337"/>
  <c r="T2337"/>
  <c r="S2337"/>
  <c r="N2337"/>
  <c r="R2337" s="1"/>
  <c r="M2337"/>
  <c r="Q2337" s="1"/>
  <c r="L2337"/>
  <c r="P2337" s="1"/>
  <c r="K2337"/>
  <c r="O2337" s="1"/>
  <c r="U2336"/>
  <c r="T2336"/>
  <c r="S2336"/>
  <c r="N2336"/>
  <c r="R2336" s="1"/>
  <c r="M2336"/>
  <c r="Q2336" s="1"/>
  <c r="L2336"/>
  <c r="P2336" s="1"/>
  <c r="K2336"/>
  <c r="O2336" s="1"/>
  <c r="U2335"/>
  <c r="T2335"/>
  <c r="S2335"/>
  <c r="N2335"/>
  <c r="R2335" s="1"/>
  <c r="M2335"/>
  <c r="Q2335" s="1"/>
  <c r="L2335"/>
  <c r="P2335" s="1"/>
  <c r="K2335"/>
  <c r="O2335" s="1"/>
  <c r="U2334"/>
  <c r="T2334"/>
  <c r="S2334"/>
  <c r="N2334"/>
  <c r="R2334" s="1"/>
  <c r="M2334"/>
  <c r="Q2334" s="1"/>
  <c r="L2334"/>
  <c r="P2334" s="1"/>
  <c r="K2334"/>
  <c r="O2334" s="1"/>
  <c r="U2333"/>
  <c r="T2333"/>
  <c r="S2333"/>
  <c r="N2333"/>
  <c r="R2333" s="1"/>
  <c r="M2333"/>
  <c r="Q2333" s="1"/>
  <c r="L2333"/>
  <c r="P2333" s="1"/>
  <c r="K2333"/>
  <c r="O2333" s="1"/>
  <c r="U2332"/>
  <c r="T2332"/>
  <c r="S2332"/>
  <c r="N2332"/>
  <c r="R2332" s="1"/>
  <c r="M2332"/>
  <c r="Q2332" s="1"/>
  <c r="L2332"/>
  <c r="P2332" s="1"/>
  <c r="K2332"/>
  <c r="O2332" s="1"/>
  <c r="U2331"/>
  <c r="T2331"/>
  <c r="S2331"/>
  <c r="N2331"/>
  <c r="R2331" s="1"/>
  <c r="M2331"/>
  <c r="Q2331" s="1"/>
  <c r="L2331"/>
  <c r="P2331" s="1"/>
  <c r="K2331"/>
  <c r="O2331" s="1"/>
  <c r="U2330"/>
  <c r="T2330"/>
  <c r="S2330"/>
  <c r="N2330"/>
  <c r="R2330" s="1"/>
  <c r="M2330"/>
  <c r="Q2330" s="1"/>
  <c r="L2330"/>
  <c r="P2330" s="1"/>
  <c r="K2330"/>
  <c r="O2330" s="1"/>
  <c r="U2329"/>
  <c r="T2329"/>
  <c r="S2329"/>
  <c r="N2329"/>
  <c r="R2329" s="1"/>
  <c r="M2329"/>
  <c r="Q2329" s="1"/>
  <c r="L2329"/>
  <c r="P2329" s="1"/>
  <c r="K2329"/>
  <c r="O2329" s="1"/>
  <c r="U2328"/>
  <c r="T2328"/>
  <c r="S2328"/>
  <c r="N2328"/>
  <c r="R2328" s="1"/>
  <c r="M2328"/>
  <c r="Q2328" s="1"/>
  <c r="L2328"/>
  <c r="P2328" s="1"/>
  <c r="K2328"/>
  <c r="O2328" s="1"/>
  <c r="U2327"/>
  <c r="T2327"/>
  <c r="S2327"/>
  <c r="N2327"/>
  <c r="R2327" s="1"/>
  <c r="M2327"/>
  <c r="Q2327" s="1"/>
  <c r="L2327"/>
  <c r="P2327" s="1"/>
  <c r="K2327"/>
  <c r="O2327" s="1"/>
  <c r="U2326"/>
  <c r="T2326"/>
  <c r="S2326"/>
  <c r="N2326"/>
  <c r="R2326" s="1"/>
  <c r="M2326"/>
  <c r="Q2326" s="1"/>
  <c r="L2326"/>
  <c r="P2326" s="1"/>
  <c r="K2326"/>
  <c r="O2326" s="1"/>
  <c r="U2325"/>
  <c r="T2325"/>
  <c r="S2325"/>
  <c r="N2325"/>
  <c r="R2325" s="1"/>
  <c r="M2325"/>
  <c r="Q2325" s="1"/>
  <c r="L2325"/>
  <c r="P2325" s="1"/>
  <c r="K2325"/>
  <c r="O2325" s="1"/>
  <c r="U2324"/>
  <c r="T2324"/>
  <c r="S2324"/>
  <c r="N2324"/>
  <c r="R2324" s="1"/>
  <c r="M2324"/>
  <c r="Q2324" s="1"/>
  <c r="L2324"/>
  <c r="P2324" s="1"/>
  <c r="K2324"/>
  <c r="O2324" s="1"/>
  <c r="U2323"/>
  <c r="T2323"/>
  <c r="S2323"/>
  <c r="N2323"/>
  <c r="R2323" s="1"/>
  <c r="M2323"/>
  <c r="Q2323" s="1"/>
  <c r="L2323"/>
  <c r="P2323" s="1"/>
  <c r="K2323"/>
  <c r="O2323" s="1"/>
  <c r="U2322"/>
  <c r="T2322"/>
  <c r="S2322"/>
  <c r="N2322"/>
  <c r="R2322" s="1"/>
  <c r="M2322"/>
  <c r="Q2322" s="1"/>
  <c r="L2322"/>
  <c r="P2322" s="1"/>
  <c r="K2322"/>
  <c r="O2322" s="1"/>
  <c r="U2321"/>
  <c r="T2321"/>
  <c r="S2321"/>
  <c r="N2321"/>
  <c r="R2321" s="1"/>
  <c r="M2321"/>
  <c r="Q2321" s="1"/>
  <c r="L2321"/>
  <c r="P2321" s="1"/>
  <c r="K2321"/>
  <c r="O2321" s="1"/>
  <c r="U2320"/>
  <c r="T2320"/>
  <c r="S2320"/>
  <c r="N2320"/>
  <c r="R2320" s="1"/>
  <c r="M2320"/>
  <c r="Q2320" s="1"/>
  <c r="L2320"/>
  <c r="P2320" s="1"/>
  <c r="K2320"/>
  <c r="O2320" s="1"/>
  <c r="U2319"/>
  <c r="T2319"/>
  <c r="S2319"/>
  <c r="N2319"/>
  <c r="R2319" s="1"/>
  <c r="M2319"/>
  <c r="Q2319" s="1"/>
  <c r="L2319"/>
  <c r="P2319" s="1"/>
  <c r="K2319"/>
  <c r="O2319" s="1"/>
  <c r="U2318"/>
  <c r="T2318"/>
  <c r="S2318"/>
  <c r="N2318"/>
  <c r="R2318" s="1"/>
  <c r="M2318"/>
  <c r="Q2318" s="1"/>
  <c r="L2318"/>
  <c r="P2318" s="1"/>
  <c r="K2318"/>
  <c r="O2318" s="1"/>
  <c r="U2317"/>
  <c r="T2317"/>
  <c r="S2317"/>
  <c r="N2317"/>
  <c r="R2317" s="1"/>
  <c r="M2317"/>
  <c r="Q2317" s="1"/>
  <c r="L2317"/>
  <c r="P2317" s="1"/>
  <c r="K2317"/>
  <c r="O2317" s="1"/>
  <c r="U2316"/>
  <c r="T2316"/>
  <c r="S2316"/>
  <c r="N2316"/>
  <c r="R2316" s="1"/>
  <c r="M2316"/>
  <c r="Q2316" s="1"/>
  <c r="L2316"/>
  <c r="P2316" s="1"/>
  <c r="K2316"/>
  <c r="O2316" s="1"/>
  <c r="U2315"/>
  <c r="T2315"/>
  <c r="S2315"/>
  <c r="N2315"/>
  <c r="R2315" s="1"/>
  <c r="M2315"/>
  <c r="Q2315" s="1"/>
  <c r="L2315"/>
  <c r="P2315" s="1"/>
  <c r="K2315"/>
  <c r="O2315" s="1"/>
  <c r="U2314"/>
  <c r="T2314"/>
  <c r="S2314"/>
  <c r="N2314"/>
  <c r="R2314" s="1"/>
  <c r="M2314"/>
  <c r="Q2314" s="1"/>
  <c r="L2314"/>
  <c r="P2314" s="1"/>
  <c r="K2314"/>
  <c r="O2314" s="1"/>
  <c r="U2313"/>
  <c r="T2313"/>
  <c r="S2313"/>
  <c r="N2313"/>
  <c r="R2313" s="1"/>
  <c r="M2313"/>
  <c r="Q2313" s="1"/>
  <c r="L2313"/>
  <c r="P2313" s="1"/>
  <c r="K2313"/>
  <c r="O2313" s="1"/>
  <c r="U2312"/>
  <c r="T2312"/>
  <c r="S2312"/>
  <c r="N2312"/>
  <c r="R2312" s="1"/>
  <c r="M2312"/>
  <c r="Q2312" s="1"/>
  <c r="L2312"/>
  <c r="P2312" s="1"/>
  <c r="K2312"/>
  <c r="O2312" s="1"/>
  <c r="U2311"/>
  <c r="T2311"/>
  <c r="S2311"/>
  <c r="N2311"/>
  <c r="R2311" s="1"/>
  <c r="M2311"/>
  <c r="Q2311" s="1"/>
  <c r="L2311"/>
  <c r="P2311" s="1"/>
  <c r="K2311"/>
  <c r="O2311" s="1"/>
  <c r="U2310"/>
  <c r="T2310"/>
  <c r="S2310"/>
  <c r="N2310"/>
  <c r="R2310" s="1"/>
  <c r="M2310"/>
  <c r="Q2310" s="1"/>
  <c r="L2310"/>
  <c r="P2310" s="1"/>
  <c r="K2310"/>
  <c r="O2310" s="1"/>
  <c r="U2309"/>
  <c r="T2309"/>
  <c r="S2309"/>
  <c r="N2309"/>
  <c r="R2309" s="1"/>
  <c r="M2309"/>
  <c r="Q2309" s="1"/>
  <c r="L2309"/>
  <c r="P2309" s="1"/>
  <c r="K2309"/>
  <c r="O2309" s="1"/>
  <c r="U2308"/>
  <c r="T2308"/>
  <c r="S2308"/>
  <c r="N2308"/>
  <c r="R2308" s="1"/>
  <c r="M2308"/>
  <c r="Q2308" s="1"/>
  <c r="L2308"/>
  <c r="P2308" s="1"/>
  <c r="K2308"/>
  <c r="O2308" s="1"/>
  <c r="U2307"/>
  <c r="T2307"/>
  <c r="S2307"/>
  <c r="N2307"/>
  <c r="R2307" s="1"/>
  <c r="M2307"/>
  <c r="Q2307" s="1"/>
  <c r="L2307"/>
  <c r="P2307" s="1"/>
  <c r="K2307"/>
  <c r="O2307" s="1"/>
  <c r="U2306"/>
  <c r="T2306"/>
  <c r="S2306"/>
  <c r="N2306"/>
  <c r="R2306" s="1"/>
  <c r="M2306"/>
  <c r="Q2306" s="1"/>
  <c r="L2306"/>
  <c r="P2306" s="1"/>
  <c r="K2306"/>
  <c r="O2306" s="1"/>
  <c r="U2305"/>
  <c r="T2305"/>
  <c r="S2305"/>
  <c r="N2305"/>
  <c r="R2305" s="1"/>
  <c r="M2305"/>
  <c r="Q2305" s="1"/>
  <c r="L2305"/>
  <c r="P2305" s="1"/>
  <c r="K2305"/>
  <c r="O2305" s="1"/>
  <c r="U2304"/>
  <c r="T2304"/>
  <c r="S2304"/>
  <c r="N2304"/>
  <c r="R2304" s="1"/>
  <c r="M2304"/>
  <c r="Q2304" s="1"/>
  <c r="L2304"/>
  <c r="P2304" s="1"/>
  <c r="K2304"/>
  <c r="O2304" s="1"/>
  <c r="U2303"/>
  <c r="T2303"/>
  <c r="S2303"/>
  <c r="N2303"/>
  <c r="R2303" s="1"/>
  <c r="M2303"/>
  <c r="Q2303" s="1"/>
  <c r="L2303"/>
  <c r="P2303" s="1"/>
  <c r="K2303"/>
  <c r="O2303" s="1"/>
  <c r="U2302"/>
  <c r="T2302"/>
  <c r="S2302"/>
  <c r="N2302"/>
  <c r="R2302" s="1"/>
  <c r="M2302"/>
  <c r="Q2302" s="1"/>
  <c r="L2302"/>
  <c r="P2302" s="1"/>
  <c r="K2302"/>
  <c r="O2302" s="1"/>
  <c r="U2301"/>
  <c r="T2301"/>
  <c r="S2301"/>
  <c r="N2301"/>
  <c r="R2301" s="1"/>
  <c r="M2301"/>
  <c r="Q2301" s="1"/>
  <c r="L2301"/>
  <c r="P2301" s="1"/>
  <c r="K2301"/>
  <c r="O2301" s="1"/>
  <c r="U2300"/>
  <c r="T2300"/>
  <c r="S2300"/>
  <c r="N2300"/>
  <c r="R2300" s="1"/>
  <c r="M2300"/>
  <c r="Q2300" s="1"/>
  <c r="L2300"/>
  <c r="P2300" s="1"/>
  <c r="K2300"/>
  <c r="O2300" s="1"/>
  <c r="U2299"/>
  <c r="T2299"/>
  <c r="S2299"/>
  <c r="N2299"/>
  <c r="R2299" s="1"/>
  <c r="M2299"/>
  <c r="Q2299" s="1"/>
  <c r="L2299"/>
  <c r="P2299" s="1"/>
  <c r="K2299"/>
  <c r="O2299" s="1"/>
  <c r="U2298"/>
  <c r="T2298"/>
  <c r="S2298"/>
  <c r="N2298"/>
  <c r="R2298" s="1"/>
  <c r="M2298"/>
  <c r="Q2298" s="1"/>
  <c r="L2298"/>
  <c r="P2298" s="1"/>
  <c r="K2298"/>
  <c r="O2298" s="1"/>
  <c r="U2297"/>
  <c r="T2297"/>
  <c r="S2297"/>
  <c r="N2297"/>
  <c r="R2297" s="1"/>
  <c r="M2297"/>
  <c r="Q2297" s="1"/>
  <c r="L2297"/>
  <c r="P2297" s="1"/>
  <c r="K2297"/>
  <c r="O2297" s="1"/>
  <c r="U2296"/>
  <c r="T2296"/>
  <c r="S2296"/>
  <c r="N2296"/>
  <c r="R2296" s="1"/>
  <c r="M2296"/>
  <c r="Q2296" s="1"/>
  <c r="L2296"/>
  <c r="P2296" s="1"/>
  <c r="K2296"/>
  <c r="O2296" s="1"/>
  <c r="U2295"/>
  <c r="T2295"/>
  <c r="S2295"/>
  <c r="N2295"/>
  <c r="R2295" s="1"/>
  <c r="M2295"/>
  <c r="Q2295" s="1"/>
  <c r="L2295"/>
  <c r="P2295" s="1"/>
  <c r="K2295"/>
  <c r="O2295" s="1"/>
  <c r="U2294"/>
  <c r="T2294"/>
  <c r="S2294"/>
  <c r="N2294"/>
  <c r="R2294" s="1"/>
  <c r="M2294"/>
  <c r="Q2294" s="1"/>
  <c r="L2294"/>
  <c r="P2294" s="1"/>
  <c r="K2294"/>
  <c r="O2294" s="1"/>
  <c r="U2293"/>
  <c r="T2293"/>
  <c r="S2293"/>
  <c r="N2293"/>
  <c r="R2293" s="1"/>
  <c r="M2293"/>
  <c r="Q2293" s="1"/>
  <c r="L2293"/>
  <c r="P2293" s="1"/>
  <c r="K2293"/>
  <c r="O2293" s="1"/>
  <c r="U2292"/>
  <c r="T2292"/>
  <c r="S2292"/>
  <c r="N2292"/>
  <c r="R2292" s="1"/>
  <c r="M2292"/>
  <c r="Q2292" s="1"/>
  <c r="L2292"/>
  <c r="P2292" s="1"/>
  <c r="K2292"/>
  <c r="O2292" s="1"/>
  <c r="U2291"/>
  <c r="T2291"/>
  <c r="S2291"/>
  <c r="N2291"/>
  <c r="R2291" s="1"/>
  <c r="M2291"/>
  <c r="Q2291" s="1"/>
  <c r="L2291"/>
  <c r="P2291" s="1"/>
  <c r="K2291"/>
  <c r="O2291" s="1"/>
  <c r="U2290"/>
  <c r="T2290"/>
  <c r="S2290"/>
  <c r="N2290"/>
  <c r="R2290" s="1"/>
  <c r="M2290"/>
  <c r="Q2290" s="1"/>
  <c r="L2290"/>
  <c r="P2290" s="1"/>
  <c r="K2290"/>
  <c r="O2290" s="1"/>
  <c r="U2289"/>
  <c r="T2289"/>
  <c r="S2289"/>
  <c r="N2289"/>
  <c r="R2289" s="1"/>
  <c r="M2289"/>
  <c r="Q2289" s="1"/>
  <c r="L2289"/>
  <c r="P2289" s="1"/>
  <c r="K2289"/>
  <c r="O2289" s="1"/>
  <c r="U2288"/>
  <c r="T2288"/>
  <c r="S2288"/>
  <c r="N2288"/>
  <c r="R2288" s="1"/>
  <c r="M2288"/>
  <c r="Q2288" s="1"/>
  <c r="L2288"/>
  <c r="P2288" s="1"/>
  <c r="K2288"/>
  <c r="O2288" s="1"/>
  <c r="U2287"/>
  <c r="T2287"/>
  <c r="S2287"/>
  <c r="N2287"/>
  <c r="R2287" s="1"/>
  <c r="M2287"/>
  <c r="Q2287" s="1"/>
  <c r="L2287"/>
  <c r="P2287" s="1"/>
  <c r="K2287"/>
  <c r="O2287" s="1"/>
  <c r="U2286"/>
  <c r="T2286"/>
  <c r="S2286"/>
  <c r="N2286"/>
  <c r="R2286" s="1"/>
  <c r="M2286"/>
  <c r="Q2286" s="1"/>
  <c r="L2286"/>
  <c r="P2286" s="1"/>
  <c r="K2286"/>
  <c r="O2286" s="1"/>
  <c r="U2285"/>
  <c r="T2285"/>
  <c r="S2285"/>
  <c r="R2285"/>
  <c r="N2285"/>
  <c r="M2285"/>
  <c r="Q2285" s="1"/>
  <c r="L2285"/>
  <c r="P2285" s="1"/>
  <c r="K2285"/>
  <c r="O2285" s="1"/>
  <c r="U2284"/>
  <c r="T2284"/>
  <c r="S2284"/>
  <c r="N2284"/>
  <c r="R2284" s="1"/>
  <c r="M2284"/>
  <c r="Q2284" s="1"/>
  <c r="L2284"/>
  <c r="P2284" s="1"/>
  <c r="K2284"/>
  <c r="O2284" s="1"/>
  <c r="U2283"/>
  <c r="T2283"/>
  <c r="S2283"/>
  <c r="Q2283"/>
  <c r="N2283"/>
  <c r="R2283" s="1"/>
  <c r="M2283"/>
  <c r="L2283"/>
  <c r="P2283" s="1"/>
  <c r="K2283"/>
  <c r="O2283" s="1"/>
  <c r="U2282"/>
  <c r="T2282"/>
  <c r="S2282"/>
  <c r="N2282"/>
  <c r="R2282" s="1"/>
  <c r="M2282"/>
  <c r="Q2282" s="1"/>
  <c r="L2282"/>
  <c r="P2282" s="1"/>
  <c r="K2282"/>
  <c r="O2282" s="1"/>
  <c r="U2281"/>
  <c r="T2281"/>
  <c r="S2281"/>
  <c r="N2281"/>
  <c r="R2281" s="1"/>
  <c r="M2281"/>
  <c r="Q2281" s="1"/>
  <c r="L2281"/>
  <c r="P2281" s="1"/>
  <c r="K2281"/>
  <c r="O2281" s="1"/>
  <c r="U2280"/>
  <c r="T2280"/>
  <c r="S2280"/>
  <c r="Q2280"/>
  <c r="N2280"/>
  <c r="R2280" s="1"/>
  <c r="M2280"/>
  <c r="L2280"/>
  <c r="P2280" s="1"/>
  <c r="K2280"/>
  <c r="O2280" s="1"/>
  <c r="U2279"/>
  <c r="T2279"/>
  <c r="S2279"/>
  <c r="N2279"/>
  <c r="R2279" s="1"/>
  <c r="M2279"/>
  <c r="Q2279" s="1"/>
  <c r="L2279"/>
  <c r="P2279" s="1"/>
  <c r="K2279"/>
  <c r="O2279" s="1"/>
  <c r="U2278"/>
  <c r="T2278"/>
  <c r="S2278"/>
  <c r="N2278"/>
  <c r="R2278" s="1"/>
  <c r="M2278"/>
  <c r="Q2278" s="1"/>
  <c r="L2278"/>
  <c r="P2278" s="1"/>
  <c r="K2278"/>
  <c r="O2278" s="1"/>
  <c r="U2277"/>
  <c r="T2277"/>
  <c r="S2277"/>
  <c r="N2277"/>
  <c r="R2277" s="1"/>
  <c r="M2277"/>
  <c r="Q2277" s="1"/>
  <c r="L2277"/>
  <c r="P2277" s="1"/>
  <c r="K2277"/>
  <c r="O2277" s="1"/>
  <c r="U2276"/>
  <c r="T2276"/>
  <c r="S2276"/>
  <c r="Q2276"/>
  <c r="N2276"/>
  <c r="R2276" s="1"/>
  <c r="M2276"/>
  <c r="L2276"/>
  <c r="P2276" s="1"/>
  <c r="K2276"/>
  <c r="O2276" s="1"/>
  <c r="U2275"/>
  <c r="T2275"/>
  <c r="S2275"/>
  <c r="N2275"/>
  <c r="R2275" s="1"/>
  <c r="M2275"/>
  <c r="Q2275" s="1"/>
  <c r="L2275"/>
  <c r="P2275" s="1"/>
  <c r="K2275"/>
  <c r="O2275" s="1"/>
  <c r="U2274"/>
  <c r="T2274"/>
  <c r="S2274"/>
  <c r="N2274"/>
  <c r="R2274" s="1"/>
  <c r="M2274"/>
  <c r="Q2274" s="1"/>
  <c r="L2274"/>
  <c r="P2274" s="1"/>
  <c r="K2274"/>
  <c r="O2274" s="1"/>
  <c r="U2273"/>
  <c r="T2273"/>
  <c r="S2273"/>
  <c r="N2273"/>
  <c r="R2273" s="1"/>
  <c r="M2273"/>
  <c r="Q2273" s="1"/>
  <c r="L2273"/>
  <c r="P2273" s="1"/>
  <c r="K2273"/>
  <c r="O2273" s="1"/>
  <c r="U2272"/>
  <c r="T2272"/>
  <c r="S2272"/>
  <c r="N2272"/>
  <c r="R2272" s="1"/>
  <c r="M2272"/>
  <c r="Q2272" s="1"/>
  <c r="L2272"/>
  <c r="P2272" s="1"/>
  <c r="K2272"/>
  <c r="O2272" s="1"/>
  <c r="U2271"/>
  <c r="T2271"/>
  <c r="S2271"/>
  <c r="N2271"/>
  <c r="R2271" s="1"/>
  <c r="M2271"/>
  <c r="Q2271" s="1"/>
  <c r="L2271"/>
  <c r="P2271" s="1"/>
  <c r="K2271"/>
  <c r="O2271" s="1"/>
  <c r="U2270"/>
  <c r="T2270"/>
  <c r="S2270"/>
  <c r="N2270"/>
  <c r="R2270" s="1"/>
  <c r="M2270"/>
  <c r="Q2270" s="1"/>
  <c r="L2270"/>
  <c r="P2270" s="1"/>
  <c r="K2270"/>
  <c r="O2270" s="1"/>
  <c r="U2269"/>
  <c r="T2269"/>
  <c r="S2269"/>
  <c r="N2269"/>
  <c r="R2269" s="1"/>
  <c r="M2269"/>
  <c r="Q2269" s="1"/>
  <c r="L2269"/>
  <c r="P2269" s="1"/>
  <c r="K2269"/>
  <c r="O2269" s="1"/>
  <c r="U2268"/>
  <c r="T2268"/>
  <c r="S2268"/>
  <c r="N2268"/>
  <c r="R2268" s="1"/>
  <c r="M2268"/>
  <c r="Q2268" s="1"/>
  <c r="L2268"/>
  <c r="P2268" s="1"/>
  <c r="K2268"/>
  <c r="O2268" s="1"/>
  <c r="U2267"/>
  <c r="T2267"/>
  <c r="S2267"/>
  <c r="N2267"/>
  <c r="R2267" s="1"/>
  <c r="M2267"/>
  <c r="Q2267" s="1"/>
  <c r="L2267"/>
  <c r="P2267" s="1"/>
  <c r="K2267"/>
  <c r="O2267" s="1"/>
  <c r="U2266"/>
  <c r="T2266"/>
  <c r="S2266"/>
  <c r="N2266"/>
  <c r="R2266" s="1"/>
  <c r="M2266"/>
  <c r="Q2266" s="1"/>
  <c r="L2266"/>
  <c r="P2266" s="1"/>
  <c r="K2266"/>
  <c r="O2266" s="1"/>
  <c r="U2265"/>
  <c r="T2265"/>
  <c r="S2265"/>
  <c r="N2265"/>
  <c r="R2265" s="1"/>
  <c r="M2265"/>
  <c r="Q2265" s="1"/>
  <c r="L2265"/>
  <c r="P2265" s="1"/>
  <c r="K2265"/>
  <c r="O2265" s="1"/>
  <c r="U2264"/>
  <c r="T2264"/>
  <c r="S2264"/>
  <c r="N2264"/>
  <c r="R2264" s="1"/>
  <c r="M2264"/>
  <c r="Q2264" s="1"/>
  <c r="L2264"/>
  <c r="P2264" s="1"/>
  <c r="K2264"/>
  <c r="O2264" s="1"/>
  <c r="U2263"/>
  <c r="T2263"/>
  <c r="S2263"/>
  <c r="N2263"/>
  <c r="R2263" s="1"/>
  <c r="M2263"/>
  <c r="Q2263" s="1"/>
  <c r="L2263"/>
  <c r="P2263" s="1"/>
  <c r="K2263"/>
  <c r="O2263" s="1"/>
  <c r="U2262"/>
  <c r="T2262"/>
  <c r="S2262"/>
  <c r="N2262"/>
  <c r="R2262" s="1"/>
  <c r="M2262"/>
  <c r="Q2262" s="1"/>
  <c r="L2262"/>
  <c r="P2262" s="1"/>
  <c r="K2262"/>
  <c r="O2262" s="1"/>
  <c r="U2261"/>
  <c r="T2261"/>
  <c r="S2261"/>
  <c r="N2261"/>
  <c r="R2261" s="1"/>
  <c r="M2261"/>
  <c r="Q2261" s="1"/>
  <c r="L2261"/>
  <c r="P2261" s="1"/>
  <c r="K2261"/>
  <c r="O2261" s="1"/>
  <c r="U2260"/>
  <c r="T2260"/>
  <c r="S2260"/>
  <c r="N2260"/>
  <c r="R2260" s="1"/>
  <c r="M2260"/>
  <c r="Q2260" s="1"/>
  <c r="L2260"/>
  <c r="P2260" s="1"/>
  <c r="K2260"/>
  <c r="O2260" s="1"/>
  <c r="U2259"/>
  <c r="T2259"/>
  <c r="S2259"/>
  <c r="N2259"/>
  <c r="R2259" s="1"/>
  <c r="M2259"/>
  <c r="Q2259" s="1"/>
  <c r="L2259"/>
  <c r="P2259" s="1"/>
  <c r="K2259"/>
  <c r="O2259" s="1"/>
  <c r="U2258"/>
  <c r="T2258"/>
  <c r="S2258"/>
  <c r="N2258"/>
  <c r="R2258" s="1"/>
  <c r="M2258"/>
  <c r="Q2258" s="1"/>
  <c r="L2258"/>
  <c r="P2258" s="1"/>
  <c r="K2258"/>
  <c r="O2258" s="1"/>
  <c r="U2257"/>
  <c r="T2257"/>
  <c r="S2257"/>
  <c r="N2257"/>
  <c r="R2257" s="1"/>
  <c r="M2257"/>
  <c r="Q2257" s="1"/>
  <c r="L2257"/>
  <c r="P2257" s="1"/>
  <c r="K2257"/>
  <c r="O2257" s="1"/>
  <c r="U2256"/>
  <c r="T2256"/>
  <c r="S2256"/>
  <c r="N2256"/>
  <c r="R2256" s="1"/>
  <c r="M2256"/>
  <c r="Q2256" s="1"/>
  <c r="L2256"/>
  <c r="P2256" s="1"/>
  <c r="K2256"/>
  <c r="O2256" s="1"/>
  <c r="U2255"/>
  <c r="T2255"/>
  <c r="S2255"/>
  <c r="N2255"/>
  <c r="R2255" s="1"/>
  <c r="M2255"/>
  <c r="Q2255" s="1"/>
  <c r="L2255"/>
  <c r="P2255" s="1"/>
  <c r="K2255"/>
  <c r="O2255" s="1"/>
  <c r="U2254"/>
  <c r="T2254"/>
  <c r="S2254"/>
  <c r="N2254"/>
  <c r="R2254" s="1"/>
  <c r="M2254"/>
  <c r="Q2254" s="1"/>
  <c r="L2254"/>
  <c r="P2254" s="1"/>
  <c r="K2254"/>
  <c r="O2254" s="1"/>
  <c r="U2253"/>
  <c r="T2253"/>
  <c r="S2253"/>
  <c r="N2253"/>
  <c r="R2253" s="1"/>
  <c r="M2253"/>
  <c r="Q2253" s="1"/>
  <c r="L2253"/>
  <c r="P2253" s="1"/>
  <c r="K2253"/>
  <c r="O2253" s="1"/>
  <c r="U2252"/>
  <c r="T2252"/>
  <c r="S2252"/>
  <c r="N2252"/>
  <c r="R2252" s="1"/>
  <c r="M2252"/>
  <c r="Q2252" s="1"/>
  <c r="L2252"/>
  <c r="P2252" s="1"/>
  <c r="K2252"/>
  <c r="O2252" s="1"/>
  <c r="U2251"/>
  <c r="T2251"/>
  <c r="S2251"/>
  <c r="N2251"/>
  <c r="R2251" s="1"/>
  <c r="M2251"/>
  <c r="Q2251" s="1"/>
  <c r="L2251"/>
  <c r="P2251" s="1"/>
  <c r="K2251"/>
  <c r="O2251" s="1"/>
  <c r="U2250"/>
  <c r="T2250"/>
  <c r="S2250"/>
  <c r="N2250"/>
  <c r="R2250" s="1"/>
  <c r="M2250"/>
  <c r="Q2250" s="1"/>
  <c r="L2250"/>
  <c r="P2250" s="1"/>
  <c r="K2250"/>
  <c r="O2250" s="1"/>
  <c r="U2249"/>
  <c r="T2249"/>
  <c r="S2249"/>
  <c r="N2249"/>
  <c r="R2249" s="1"/>
  <c r="M2249"/>
  <c r="Q2249" s="1"/>
  <c r="L2249"/>
  <c r="P2249" s="1"/>
  <c r="K2249"/>
  <c r="O2249" s="1"/>
  <c r="U2248"/>
  <c r="T2248"/>
  <c r="S2248"/>
  <c r="N2248"/>
  <c r="R2248" s="1"/>
  <c r="M2248"/>
  <c r="Q2248" s="1"/>
  <c r="L2248"/>
  <c r="P2248" s="1"/>
  <c r="K2248"/>
  <c r="O2248" s="1"/>
  <c r="U2247"/>
  <c r="T2247"/>
  <c r="S2247"/>
  <c r="N2247"/>
  <c r="R2247" s="1"/>
  <c r="M2247"/>
  <c r="Q2247" s="1"/>
  <c r="L2247"/>
  <c r="P2247" s="1"/>
  <c r="K2247"/>
  <c r="O2247" s="1"/>
  <c r="U2246"/>
  <c r="T2246"/>
  <c r="S2246"/>
  <c r="N2246"/>
  <c r="R2246" s="1"/>
  <c r="M2246"/>
  <c r="Q2246" s="1"/>
  <c r="L2246"/>
  <c r="P2246" s="1"/>
  <c r="K2246"/>
  <c r="O2246" s="1"/>
  <c r="U2245"/>
  <c r="T2245"/>
  <c r="S2245"/>
  <c r="N2245"/>
  <c r="R2245" s="1"/>
  <c r="M2245"/>
  <c r="Q2245" s="1"/>
  <c r="L2245"/>
  <c r="P2245" s="1"/>
  <c r="K2245"/>
  <c r="O2245" s="1"/>
  <c r="U2244"/>
  <c r="T2244"/>
  <c r="S2244"/>
  <c r="N2244"/>
  <c r="R2244" s="1"/>
  <c r="M2244"/>
  <c r="Q2244" s="1"/>
  <c r="L2244"/>
  <c r="P2244" s="1"/>
  <c r="K2244"/>
  <c r="O2244" s="1"/>
  <c r="U2243"/>
  <c r="T2243"/>
  <c r="S2243"/>
  <c r="N2243"/>
  <c r="R2243" s="1"/>
  <c r="M2243"/>
  <c r="Q2243" s="1"/>
  <c r="L2243"/>
  <c r="P2243" s="1"/>
  <c r="K2243"/>
  <c r="O2243" s="1"/>
  <c r="U2242"/>
  <c r="T2242"/>
  <c r="S2242"/>
  <c r="N2242"/>
  <c r="R2242" s="1"/>
  <c r="M2242"/>
  <c r="Q2242" s="1"/>
  <c r="L2242"/>
  <c r="P2242" s="1"/>
  <c r="K2242"/>
  <c r="O2242" s="1"/>
  <c r="U2241"/>
  <c r="T2241"/>
  <c r="S2241"/>
  <c r="N2241"/>
  <c r="R2241" s="1"/>
  <c r="M2241"/>
  <c r="Q2241" s="1"/>
  <c r="L2241"/>
  <c r="P2241" s="1"/>
  <c r="K2241"/>
  <c r="O2241" s="1"/>
  <c r="U2240"/>
  <c r="T2240"/>
  <c r="S2240"/>
  <c r="N2240"/>
  <c r="R2240" s="1"/>
  <c r="M2240"/>
  <c r="Q2240" s="1"/>
  <c r="L2240"/>
  <c r="P2240" s="1"/>
  <c r="K2240"/>
  <c r="O2240" s="1"/>
  <c r="U2239"/>
  <c r="T2239"/>
  <c r="S2239"/>
  <c r="N2239"/>
  <c r="R2239" s="1"/>
  <c r="M2239"/>
  <c r="Q2239" s="1"/>
  <c r="L2239"/>
  <c r="P2239" s="1"/>
  <c r="K2239"/>
  <c r="O2239" s="1"/>
  <c r="U2238"/>
  <c r="T2238"/>
  <c r="S2238"/>
  <c r="N2238"/>
  <c r="R2238" s="1"/>
  <c r="M2238"/>
  <c r="Q2238" s="1"/>
  <c r="L2238"/>
  <c r="P2238" s="1"/>
  <c r="K2238"/>
  <c r="O2238" s="1"/>
  <c r="U2237"/>
  <c r="T2237"/>
  <c r="S2237"/>
  <c r="N2237"/>
  <c r="R2237" s="1"/>
  <c r="M2237"/>
  <c r="Q2237" s="1"/>
  <c r="L2237"/>
  <c r="P2237" s="1"/>
  <c r="K2237"/>
  <c r="O2237" s="1"/>
  <c r="U2236"/>
  <c r="T2236"/>
  <c r="S2236"/>
  <c r="N2236"/>
  <c r="R2236" s="1"/>
  <c r="M2236"/>
  <c r="Q2236" s="1"/>
  <c r="L2236"/>
  <c r="P2236" s="1"/>
  <c r="K2236"/>
  <c r="O2236" s="1"/>
  <c r="U2235"/>
  <c r="T2235"/>
  <c r="S2235"/>
  <c r="N2235"/>
  <c r="R2235" s="1"/>
  <c r="M2235"/>
  <c r="Q2235" s="1"/>
  <c r="L2235"/>
  <c r="P2235" s="1"/>
  <c r="K2235"/>
  <c r="O2235" s="1"/>
  <c r="U2234"/>
  <c r="T2234"/>
  <c r="S2234"/>
  <c r="N2234"/>
  <c r="R2234" s="1"/>
  <c r="M2234"/>
  <c r="Q2234" s="1"/>
  <c r="L2234"/>
  <c r="P2234" s="1"/>
  <c r="K2234"/>
  <c r="O2234" s="1"/>
  <c r="U2233"/>
  <c r="T2233"/>
  <c r="S2233"/>
  <c r="N2233"/>
  <c r="R2233" s="1"/>
  <c r="M2233"/>
  <c r="Q2233" s="1"/>
  <c r="L2233"/>
  <c r="P2233" s="1"/>
  <c r="K2233"/>
  <c r="O2233" s="1"/>
  <c r="U2232"/>
  <c r="T2232"/>
  <c r="S2232"/>
  <c r="N2232"/>
  <c r="R2232" s="1"/>
  <c r="M2232"/>
  <c r="Q2232" s="1"/>
  <c r="L2232"/>
  <c r="P2232" s="1"/>
  <c r="K2232"/>
  <c r="O2232" s="1"/>
  <c r="U2231"/>
  <c r="T2231"/>
  <c r="S2231"/>
  <c r="N2231"/>
  <c r="R2231" s="1"/>
  <c r="M2231"/>
  <c r="Q2231" s="1"/>
  <c r="L2231"/>
  <c r="P2231" s="1"/>
  <c r="K2231"/>
  <c r="O2231" s="1"/>
  <c r="U2230"/>
  <c r="T2230"/>
  <c r="S2230"/>
  <c r="N2230"/>
  <c r="R2230" s="1"/>
  <c r="M2230"/>
  <c r="Q2230" s="1"/>
  <c r="L2230"/>
  <c r="P2230" s="1"/>
  <c r="K2230"/>
  <c r="O2230" s="1"/>
  <c r="U2229"/>
  <c r="T2229"/>
  <c r="S2229"/>
  <c r="N2229"/>
  <c r="R2229" s="1"/>
  <c r="M2229"/>
  <c r="Q2229" s="1"/>
  <c r="L2229"/>
  <c r="P2229" s="1"/>
  <c r="K2229"/>
  <c r="O2229" s="1"/>
  <c r="U2228"/>
  <c r="T2228"/>
  <c r="S2228"/>
  <c r="N2228"/>
  <c r="R2228" s="1"/>
  <c r="M2228"/>
  <c r="Q2228" s="1"/>
  <c r="L2228"/>
  <c r="P2228" s="1"/>
  <c r="K2228"/>
  <c r="O2228" s="1"/>
  <c r="U2227"/>
  <c r="T2227"/>
  <c r="S2227"/>
  <c r="N2227"/>
  <c r="R2227" s="1"/>
  <c r="M2227"/>
  <c r="Q2227" s="1"/>
  <c r="L2227"/>
  <c r="P2227" s="1"/>
  <c r="K2227"/>
  <c r="O2227" s="1"/>
  <c r="U2226"/>
  <c r="T2226"/>
  <c r="S2226"/>
  <c r="N2226"/>
  <c r="R2226" s="1"/>
  <c r="M2226"/>
  <c r="Q2226" s="1"/>
  <c r="L2226"/>
  <c r="P2226" s="1"/>
  <c r="K2226"/>
  <c r="O2226" s="1"/>
  <c r="U2225"/>
  <c r="T2225"/>
  <c r="S2225"/>
  <c r="N2225"/>
  <c r="R2225" s="1"/>
  <c r="M2225"/>
  <c r="Q2225" s="1"/>
  <c r="L2225"/>
  <c r="P2225" s="1"/>
  <c r="K2225"/>
  <c r="O2225" s="1"/>
  <c r="U2224"/>
  <c r="T2224"/>
  <c r="S2224"/>
  <c r="N2224"/>
  <c r="R2224" s="1"/>
  <c r="M2224"/>
  <c r="Q2224" s="1"/>
  <c r="L2224"/>
  <c r="P2224" s="1"/>
  <c r="K2224"/>
  <c r="O2224" s="1"/>
  <c r="U2223"/>
  <c r="T2223"/>
  <c r="S2223"/>
  <c r="N2223"/>
  <c r="R2223" s="1"/>
  <c r="M2223"/>
  <c r="Q2223" s="1"/>
  <c r="L2223"/>
  <c r="P2223" s="1"/>
  <c r="K2223"/>
  <c r="O2223" s="1"/>
  <c r="U2222"/>
  <c r="T2222"/>
  <c r="S2222"/>
  <c r="N2222"/>
  <c r="R2222" s="1"/>
  <c r="M2222"/>
  <c r="Q2222" s="1"/>
  <c r="L2222"/>
  <c r="P2222" s="1"/>
  <c r="K2222"/>
  <c r="O2222" s="1"/>
  <c r="U2221"/>
  <c r="T2221"/>
  <c r="S2221"/>
  <c r="N2221"/>
  <c r="R2221" s="1"/>
  <c r="M2221"/>
  <c r="Q2221" s="1"/>
  <c r="L2221"/>
  <c r="P2221" s="1"/>
  <c r="K2221"/>
  <c r="O2221" s="1"/>
  <c r="U2220"/>
  <c r="T2220"/>
  <c r="S2220"/>
  <c r="N2220"/>
  <c r="R2220" s="1"/>
  <c r="M2220"/>
  <c r="Q2220" s="1"/>
  <c r="L2220"/>
  <c r="P2220" s="1"/>
  <c r="K2220"/>
  <c r="O2220" s="1"/>
  <c r="U2219"/>
  <c r="T2219"/>
  <c r="S2219"/>
  <c r="N2219"/>
  <c r="R2219" s="1"/>
  <c r="M2219"/>
  <c r="Q2219" s="1"/>
  <c r="L2219"/>
  <c r="P2219" s="1"/>
  <c r="K2219"/>
  <c r="O2219" s="1"/>
  <c r="U2218"/>
  <c r="T2218"/>
  <c r="S2218"/>
  <c r="N2218"/>
  <c r="R2218" s="1"/>
  <c r="M2218"/>
  <c r="Q2218" s="1"/>
  <c r="L2218"/>
  <c r="P2218" s="1"/>
  <c r="K2218"/>
  <c r="O2218" s="1"/>
  <c r="U2217"/>
  <c r="T2217"/>
  <c r="S2217"/>
  <c r="N2217"/>
  <c r="R2217" s="1"/>
  <c r="M2217"/>
  <c r="Q2217" s="1"/>
  <c r="L2217"/>
  <c r="P2217" s="1"/>
  <c r="K2217"/>
  <c r="O2217" s="1"/>
  <c r="U2216"/>
  <c r="T2216"/>
  <c r="S2216"/>
  <c r="N2216"/>
  <c r="R2216" s="1"/>
  <c r="M2216"/>
  <c r="Q2216" s="1"/>
  <c r="L2216"/>
  <c r="P2216" s="1"/>
  <c r="K2216"/>
  <c r="O2216" s="1"/>
  <c r="U2215"/>
  <c r="T2215"/>
  <c r="S2215"/>
  <c r="N2215"/>
  <c r="R2215" s="1"/>
  <c r="M2215"/>
  <c r="Q2215" s="1"/>
  <c r="L2215"/>
  <c r="P2215" s="1"/>
  <c r="K2215"/>
  <c r="O2215" s="1"/>
  <c r="U2214"/>
  <c r="T2214"/>
  <c r="S2214"/>
  <c r="N2214"/>
  <c r="R2214" s="1"/>
  <c r="M2214"/>
  <c r="Q2214" s="1"/>
  <c r="L2214"/>
  <c r="P2214" s="1"/>
  <c r="K2214"/>
  <c r="O2214" s="1"/>
  <c r="U2213"/>
  <c r="T2213"/>
  <c r="S2213"/>
  <c r="N2213"/>
  <c r="R2213" s="1"/>
  <c r="M2213"/>
  <c r="Q2213" s="1"/>
  <c r="L2213"/>
  <c r="P2213" s="1"/>
  <c r="K2213"/>
  <c r="O2213" s="1"/>
  <c r="U2212"/>
  <c r="T2212"/>
  <c r="S2212"/>
  <c r="N2212"/>
  <c r="R2212" s="1"/>
  <c r="M2212"/>
  <c r="Q2212" s="1"/>
  <c r="L2212"/>
  <c r="P2212" s="1"/>
  <c r="K2212"/>
  <c r="O2212" s="1"/>
  <c r="U2211"/>
  <c r="T2211"/>
  <c r="S2211"/>
  <c r="N2211"/>
  <c r="R2211" s="1"/>
  <c r="M2211"/>
  <c r="Q2211" s="1"/>
  <c r="L2211"/>
  <c r="P2211" s="1"/>
  <c r="K2211"/>
  <c r="O2211" s="1"/>
  <c r="U2210"/>
  <c r="T2210"/>
  <c r="S2210"/>
  <c r="N2210"/>
  <c r="R2210" s="1"/>
  <c r="M2210"/>
  <c r="Q2210" s="1"/>
  <c r="L2210"/>
  <c r="P2210" s="1"/>
  <c r="K2210"/>
  <c r="O2210" s="1"/>
  <c r="U2209"/>
  <c r="T2209"/>
  <c r="S2209"/>
  <c r="N2209"/>
  <c r="R2209" s="1"/>
  <c r="M2209"/>
  <c r="Q2209" s="1"/>
  <c r="L2209"/>
  <c r="P2209" s="1"/>
  <c r="K2209"/>
  <c r="O2209" s="1"/>
  <c r="U2208"/>
  <c r="T2208"/>
  <c r="S2208"/>
  <c r="N2208"/>
  <c r="R2208" s="1"/>
  <c r="M2208"/>
  <c r="Q2208" s="1"/>
  <c r="L2208"/>
  <c r="P2208" s="1"/>
  <c r="K2208"/>
  <c r="O2208" s="1"/>
  <c r="U2207"/>
  <c r="T2207"/>
  <c r="S2207"/>
  <c r="N2207"/>
  <c r="R2207" s="1"/>
  <c r="M2207"/>
  <c r="Q2207" s="1"/>
  <c r="L2207"/>
  <c r="P2207" s="1"/>
  <c r="K2207"/>
  <c r="O2207" s="1"/>
  <c r="U2206"/>
  <c r="T2206"/>
  <c r="S2206"/>
  <c r="N2206"/>
  <c r="R2206" s="1"/>
  <c r="M2206"/>
  <c r="Q2206" s="1"/>
  <c r="L2206"/>
  <c r="P2206" s="1"/>
  <c r="K2206"/>
  <c r="O2206" s="1"/>
  <c r="U2205"/>
  <c r="T2205"/>
  <c r="S2205"/>
  <c r="N2205"/>
  <c r="R2205" s="1"/>
  <c r="M2205"/>
  <c r="Q2205" s="1"/>
  <c r="L2205"/>
  <c r="P2205" s="1"/>
  <c r="K2205"/>
  <c r="O2205" s="1"/>
  <c r="U2204"/>
  <c r="T2204"/>
  <c r="S2204"/>
  <c r="N2204"/>
  <c r="R2204" s="1"/>
  <c r="M2204"/>
  <c r="Q2204" s="1"/>
  <c r="L2204"/>
  <c r="P2204" s="1"/>
  <c r="K2204"/>
  <c r="O2204" s="1"/>
  <c r="U2203"/>
  <c r="T2203"/>
  <c r="S2203"/>
  <c r="N2203"/>
  <c r="R2203" s="1"/>
  <c r="M2203"/>
  <c r="Q2203" s="1"/>
  <c r="L2203"/>
  <c r="P2203" s="1"/>
  <c r="K2203"/>
  <c r="O2203" s="1"/>
  <c r="U2202"/>
  <c r="T2202"/>
  <c r="S2202"/>
  <c r="N2202"/>
  <c r="R2202" s="1"/>
  <c r="M2202"/>
  <c r="Q2202" s="1"/>
  <c r="L2202"/>
  <c r="P2202" s="1"/>
  <c r="K2202"/>
  <c r="O2202" s="1"/>
  <c r="U2201"/>
  <c r="T2201"/>
  <c r="S2201"/>
  <c r="N2201"/>
  <c r="R2201" s="1"/>
  <c r="M2201"/>
  <c r="Q2201" s="1"/>
  <c r="L2201"/>
  <c r="P2201" s="1"/>
  <c r="K2201"/>
  <c r="O2201" s="1"/>
  <c r="U2200"/>
  <c r="T2200"/>
  <c r="S2200"/>
  <c r="N2200"/>
  <c r="R2200" s="1"/>
  <c r="M2200"/>
  <c r="Q2200" s="1"/>
  <c r="L2200"/>
  <c r="P2200" s="1"/>
  <c r="K2200"/>
  <c r="O2200" s="1"/>
  <c r="U2199"/>
  <c r="T2199"/>
  <c r="S2199"/>
  <c r="N2199"/>
  <c r="R2199" s="1"/>
  <c r="M2199"/>
  <c r="Q2199" s="1"/>
  <c r="L2199"/>
  <c r="P2199" s="1"/>
  <c r="K2199"/>
  <c r="O2199" s="1"/>
  <c r="U2198"/>
  <c r="T2198"/>
  <c r="S2198"/>
  <c r="N2198"/>
  <c r="R2198" s="1"/>
  <c r="M2198"/>
  <c r="Q2198" s="1"/>
  <c r="L2198"/>
  <c r="P2198" s="1"/>
  <c r="K2198"/>
  <c r="O2198" s="1"/>
  <c r="U2197"/>
  <c r="T2197"/>
  <c r="S2197"/>
  <c r="N2197"/>
  <c r="R2197" s="1"/>
  <c r="M2197"/>
  <c r="Q2197" s="1"/>
  <c r="L2197"/>
  <c r="P2197" s="1"/>
  <c r="K2197"/>
  <c r="O2197" s="1"/>
  <c r="U2196"/>
  <c r="T2196"/>
  <c r="S2196"/>
  <c r="N2196"/>
  <c r="R2196" s="1"/>
  <c r="M2196"/>
  <c r="Q2196" s="1"/>
  <c r="L2196"/>
  <c r="P2196" s="1"/>
  <c r="K2196"/>
  <c r="O2196" s="1"/>
  <c r="U2195"/>
  <c r="T2195"/>
  <c r="S2195"/>
  <c r="N2195"/>
  <c r="R2195" s="1"/>
  <c r="M2195"/>
  <c r="Q2195" s="1"/>
  <c r="L2195"/>
  <c r="P2195" s="1"/>
  <c r="K2195"/>
  <c r="O2195" s="1"/>
  <c r="U2194"/>
  <c r="T2194"/>
  <c r="S2194"/>
  <c r="N2194"/>
  <c r="R2194" s="1"/>
  <c r="M2194"/>
  <c r="Q2194" s="1"/>
  <c r="L2194"/>
  <c r="P2194" s="1"/>
  <c r="K2194"/>
  <c r="O2194" s="1"/>
  <c r="U2193"/>
  <c r="T2193"/>
  <c r="S2193"/>
  <c r="N2193"/>
  <c r="R2193" s="1"/>
  <c r="M2193"/>
  <c r="Q2193" s="1"/>
  <c r="L2193"/>
  <c r="P2193" s="1"/>
  <c r="K2193"/>
  <c r="O2193" s="1"/>
  <c r="U2192"/>
  <c r="T2192"/>
  <c r="S2192"/>
  <c r="N2192"/>
  <c r="R2192" s="1"/>
  <c r="M2192"/>
  <c r="Q2192" s="1"/>
  <c r="L2192"/>
  <c r="P2192" s="1"/>
  <c r="K2192"/>
  <c r="O2192" s="1"/>
  <c r="U2191"/>
  <c r="T2191"/>
  <c r="S2191"/>
  <c r="N2191"/>
  <c r="R2191" s="1"/>
  <c r="M2191"/>
  <c r="Q2191" s="1"/>
  <c r="L2191"/>
  <c r="P2191" s="1"/>
  <c r="K2191"/>
  <c r="O2191" s="1"/>
  <c r="U2190"/>
  <c r="T2190"/>
  <c r="S2190"/>
  <c r="N2190"/>
  <c r="R2190" s="1"/>
  <c r="M2190"/>
  <c r="Q2190" s="1"/>
  <c r="L2190"/>
  <c r="P2190" s="1"/>
  <c r="K2190"/>
  <c r="O2190" s="1"/>
  <c r="U2189"/>
  <c r="T2189"/>
  <c r="S2189"/>
  <c r="N2189"/>
  <c r="R2189" s="1"/>
  <c r="M2189"/>
  <c r="Q2189" s="1"/>
  <c r="L2189"/>
  <c r="P2189" s="1"/>
  <c r="K2189"/>
  <c r="O2189" s="1"/>
  <c r="U2188"/>
  <c r="T2188"/>
  <c r="S2188"/>
  <c r="N2188"/>
  <c r="R2188" s="1"/>
  <c r="M2188"/>
  <c r="Q2188" s="1"/>
  <c r="L2188"/>
  <c r="P2188" s="1"/>
  <c r="K2188"/>
  <c r="O2188" s="1"/>
  <c r="U2187"/>
  <c r="T2187"/>
  <c r="S2187"/>
  <c r="N2187"/>
  <c r="R2187" s="1"/>
  <c r="M2187"/>
  <c r="Q2187" s="1"/>
  <c r="L2187"/>
  <c r="P2187" s="1"/>
  <c r="K2187"/>
  <c r="O2187" s="1"/>
  <c r="U2186"/>
  <c r="T2186"/>
  <c r="S2186"/>
  <c r="N2186"/>
  <c r="R2186" s="1"/>
  <c r="M2186"/>
  <c r="Q2186" s="1"/>
  <c r="L2186"/>
  <c r="P2186" s="1"/>
  <c r="K2186"/>
  <c r="O2186" s="1"/>
  <c r="U2185"/>
  <c r="T2185"/>
  <c r="S2185"/>
  <c r="N2185"/>
  <c r="R2185" s="1"/>
  <c r="M2185"/>
  <c r="Q2185" s="1"/>
  <c r="L2185"/>
  <c r="P2185" s="1"/>
  <c r="K2185"/>
  <c r="O2185" s="1"/>
  <c r="U2184"/>
  <c r="T2184"/>
  <c r="S2184"/>
  <c r="N2184"/>
  <c r="R2184" s="1"/>
  <c r="M2184"/>
  <c r="Q2184" s="1"/>
  <c r="L2184"/>
  <c r="P2184" s="1"/>
  <c r="K2184"/>
  <c r="O2184" s="1"/>
  <c r="U2183"/>
  <c r="T2183"/>
  <c r="S2183"/>
  <c r="N2183"/>
  <c r="R2183" s="1"/>
  <c r="M2183"/>
  <c r="Q2183" s="1"/>
  <c r="L2183"/>
  <c r="P2183" s="1"/>
  <c r="K2183"/>
  <c r="O2183" s="1"/>
  <c r="U2182"/>
  <c r="T2182"/>
  <c r="S2182"/>
  <c r="N2182"/>
  <c r="R2182" s="1"/>
  <c r="M2182"/>
  <c r="Q2182" s="1"/>
  <c r="L2182"/>
  <c r="P2182" s="1"/>
  <c r="K2182"/>
  <c r="O2182" s="1"/>
  <c r="U2181"/>
  <c r="T2181"/>
  <c r="S2181"/>
  <c r="N2181"/>
  <c r="R2181" s="1"/>
  <c r="M2181"/>
  <c r="Q2181" s="1"/>
  <c r="L2181"/>
  <c r="P2181" s="1"/>
  <c r="K2181"/>
  <c r="O2181" s="1"/>
  <c r="U2180"/>
  <c r="T2180"/>
  <c r="S2180"/>
  <c r="N2180"/>
  <c r="R2180" s="1"/>
  <c r="M2180"/>
  <c r="Q2180" s="1"/>
  <c r="L2180"/>
  <c r="P2180" s="1"/>
  <c r="K2180"/>
  <c r="O2180" s="1"/>
  <c r="U2179"/>
  <c r="T2179"/>
  <c r="S2179"/>
  <c r="N2179"/>
  <c r="R2179" s="1"/>
  <c r="M2179"/>
  <c r="Q2179" s="1"/>
  <c r="L2179"/>
  <c r="P2179" s="1"/>
  <c r="K2179"/>
  <c r="O2179" s="1"/>
  <c r="U2178"/>
  <c r="T2178"/>
  <c r="S2178"/>
  <c r="N2178"/>
  <c r="R2178" s="1"/>
  <c r="M2178"/>
  <c r="Q2178" s="1"/>
  <c r="L2178"/>
  <c r="P2178" s="1"/>
  <c r="K2178"/>
  <c r="O2178" s="1"/>
  <c r="U2177"/>
  <c r="T2177"/>
  <c r="S2177"/>
  <c r="N2177"/>
  <c r="R2177" s="1"/>
  <c r="M2177"/>
  <c r="Q2177" s="1"/>
  <c r="L2177"/>
  <c r="P2177" s="1"/>
  <c r="K2177"/>
  <c r="O2177" s="1"/>
  <c r="U2176"/>
  <c r="T2176"/>
  <c r="S2176"/>
  <c r="N2176"/>
  <c r="R2176" s="1"/>
  <c r="M2176"/>
  <c r="Q2176" s="1"/>
  <c r="L2176"/>
  <c r="P2176" s="1"/>
  <c r="K2176"/>
  <c r="O2176" s="1"/>
  <c r="U2175"/>
  <c r="T2175"/>
  <c r="S2175"/>
  <c r="N2175"/>
  <c r="R2175" s="1"/>
  <c r="M2175"/>
  <c r="Q2175" s="1"/>
  <c r="L2175"/>
  <c r="P2175" s="1"/>
  <c r="K2175"/>
  <c r="O2175" s="1"/>
  <c r="U2174"/>
  <c r="T2174"/>
  <c r="S2174"/>
  <c r="N2174"/>
  <c r="R2174" s="1"/>
  <c r="M2174"/>
  <c r="Q2174" s="1"/>
  <c r="L2174"/>
  <c r="P2174" s="1"/>
  <c r="K2174"/>
  <c r="O2174" s="1"/>
  <c r="U2173"/>
  <c r="T2173"/>
  <c r="S2173"/>
  <c r="N2173"/>
  <c r="R2173" s="1"/>
  <c r="M2173"/>
  <c r="Q2173" s="1"/>
  <c r="L2173"/>
  <c r="P2173" s="1"/>
  <c r="K2173"/>
  <c r="O2173" s="1"/>
  <c r="U2172"/>
  <c r="T2172"/>
  <c r="S2172"/>
  <c r="N2172"/>
  <c r="R2172" s="1"/>
  <c r="M2172"/>
  <c r="Q2172" s="1"/>
  <c r="L2172"/>
  <c r="P2172" s="1"/>
  <c r="K2172"/>
  <c r="O2172" s="1"/>
  <c r="U2171"/>
  <c r="T2171"/>
  <c r="S2171"/>
  <c r="N2171"/>
  <c r="R2171" s="1"/>
  <c r="M2171"/>
  <c r="Q2171" s="1"/>
  <c r="L2171"/>
  <c r="P2171" s="1"/>
  <c r="K2171"/>
  <c r="O2171" s="1"/>
  <c r="U2170"/>
  <c r="T2170"/>
  <c r="S2170"/>
  <c r="N2170"/>
  <c r="R2170" s="1"/>
  <c r="M2170"/>
  <c r="Q2170" s="1"/>
  <c r="L2170"/>
  <c r="P2170" s="1"/>
  <c r="K2170"/>
  <c r="O2170" s="1"/>
  <c r="U2169"/>
  <c r="T2169"/>
  <c r="S2169"/>
  <c r="N2169"/>
  <c r="R2169" s="1"/>
  <c r="M2169"/>
  <c r="Q2169" s="1"/>
  <c r="L2169"/>
  <c r="P2169" s="1"/>
  <c r="K2169"/>
  <c r="O2169" s="1"/>
  <c r="U2168"/>
  <c r="T2168"/>
  <c r="S2168"/>
  <c r="N2168"/>
  <c r="R2168" s="1"/>
  <c r="M2168"/>
  <c r="Q2168" s="1"/>
  <c r="L2168"/>
  <c r="P2168" s="1"/>
  <c r="K2168"/>
  <c r="O2168" s="1"/>
  <c r="U2167"/>
  <c r="T2167"/>
  <c r="S2167"/>
  <c r="N2167"/>
  <c r="R2167" s="1"/>
  <c r="M2167"/>
  <c r="Q2167" s="1"/>
  <c r="L2167"/>
  <c r="P2167" s="1"/>
  <c r="K2167"/>
  <c r="O2167" s="1"/>
  <c r="U2166"/>
  <c r="T2166"/>
  <c r="S2166"/>
  <c r="N2166"/>
  <c r="R2166" s="1"/>
  <c r="M2166"/>
  <c r="Q2166" s="1"/>
  <c r="L2166"/>
  <c r="P2166" s="1"/>
  <c r="K2166"/>
  <c r="O2166" s="1"/>
  <c r="U2165"/>
  <c r="T2165"/>
  <c r="S2165"/>
  <c r="N2165"/>
  <c r="R2165" s="1"/>
  <c r="M2165"/>
  <c r="Q2165" s="1"/>
  <c r="L2165"/>
  <c r="P2165" s="1"/>
  <c r="K2165"/>
  <c r="O2165" s="1"/>
  <c r="U2164"/>
  <c r="T2164"/>
  <c r="S2164"/>
  <c r="N2164"/>
  <c r="R2164" s="1"/>
  <c r="M2164"/>
  <c r="Q2164" s="1"/>
  <c r="L2164"/>
  <c r="P2164" s="1"/>
  <c r="K2164"/>
  <c r="O2164" s="1"/>
  <c r="U2163"/>
  <c r="T2163"/>
  <c r="S2163"/>
  <c r="N2163"/>
  <c r="R2163" s="1"/>
  <c r="M2163"/>
  <c r="Q2163" s="1"/>
  <c r="L2163"/>
  <c r="P2163" s="1"/>
  <c r="K2163"/>
  <c r="O2163" s="1"/>
  <c r="U2162"/>
  <c r="T2162"/>
  <c r="S2162"/>
  <c r="N2162"/>
  <c r="R2162" s="1"/>
  <c r="M2162"/>
  <c r="Q2162" s="1"/>
  <c r="L2162"/>
  <c r="P2162" s="1"/>
  <c r="K2162"/>
  <c r="O2162" s="1"/>
  <c r="U2161"/>
  <c r="T2161"/>
  <c r="S2161"/>
  <c r="N2161"/>
  <c r="R2161" s="1"/>
  <c r="M2161"/>
  <c r="Q2161" s="1"/>
  <c r="L2161"/>
  <c r="P2161" s="1"/>
  <c r="K2161"/>
  <c r="O2161" s="1"/>
  <c r="U2160"/>
  <c r="T2160"/>
  <c r="S2160"/>
  <c r="N2160"/>
  <c r="R2160" s="1"/>
  <c r="M2160"/>
  <c r="Q2160" s="1"/>
  <c r="L2160"/>
  <c r="P2160" s="1"/>
  <c r="K2160"/>
  <c r="O2160" s="1"/>
  <c r="U2159"/>
  <c r="T2159"/>
  <c r="S2159"/>
  <c r="N2159"/>
  <c r="R2159" s="1"/>
  <c r="M2159"/>
  <c r="Q2159" s="1"/>
  <c r="L2159"/>
  <c r="P2159" s="1"/>
  <c r="K2159"/>
  <c r="O2159" s="1"/>
  <c r="U2158"/>
  <c r="T2158"/>
  <c r="S2158"/>
  <c r="N2158"/>
  <c r="R2158" s="1"/>
  <c r="M2158"/>
  <c r="Q2158" s="1"/>
  <c r="L2158"/>
  <c r="P2158" s="1"/>
  <c r="K2158"/>
  <c r="O2158" s="1"/>
  <c r="U2157"/>
  <c r="T2157"/>
  <c r="S2157"/>
  <c r="N2157"/>
  <c r="R2157" s="1"/>
  <c r="M2157"/>
  <c r="Q2157" s="1"/>
  <c r="L2157"/>
  <c r="P2157" s="1"/>
  <c r="K2157"/>
  <c r="O2157" s="1"/>
  <c r="U2156"/>
  <c r="T2156"/>
  <c r="S2156"/>
  <c r="N2156"/>
  <c r="R2156" s="1"/>
  <c r="M2156"/>
  <c r="Q2156" s="1"/>
  <c r="L2156"/>
  <c r="P2156" s="1"/>
  <c r="K2156"/>
  <c r="O2156" s="1"/>
  <c r="U2155"/>
  <c r="T2155"/>
  <c r="S2155"/>
  <c r="N2155"/>
  <c r="R2155" s="1"/>
  <c r="M2155"/>
  <c r="Q2155" s="1"/>
  <c r="L2155"/>
  <c r="P2155" s="1"/>
  <c r="K2155"/>
  <c r="O2155" s="1"/>
  <c r="U2154"/>
  <c r="T2154"/>
  <c r="S2154"/>
  <c r="N2154"/>
  <c r="R2154" s="1"/>
  <c r="M2154"/>
  <c r="Q2154" s="1"/>
  <c r="L2154"/>
  <c r="P2154" s="1"/>
  <c r="K2154"/>
  <c r="O2154" s="1"/>
  <c r="U2153"/>
  <c r="T2153"/>
  <c r="S2153"/>
  <c r="N2153"/>
  <c r="R2153" s="1"/>
  <c r="M2153"/>
  <c r="Q2153" s="1"/>
  <c r="L2153"/>
  <c r="P2153" s="1"/>
  <c r="K2153"/>
  <c r="O2153" s="1"/>
  <c r="U2152"/>
  <c r="T2152"/>
  <c r="S2152"/>
  <c r="N2152"/>
  <c r="R2152" s="1"/>
  <c r="M2152"/>
  <c r="Q2152" s="1"/>
  <c r="L2152"/>
  <c r="P2152" s="1"/>
  <c r="K2152"/>
  <c r="O2152" s="1"/>
  <c r="U2151"/>
  <c r="T2151"/>
  <c r="S2151"/>
  <c r="N2151"/>
  <c r="R2151" s="1"/>
  <c r="M2151"/>
  <c r="Q2151" s="1"/>
  <c r="L2151"/>
  <c r="P2151" s="1"/>
  <c r="K2151"/>
  <c r="O2151" s="1"/>
  <c r="U2150"/>
  <c r="T2150"/>
  <c r="S2150"/>
  <c r="N2150"/>
  <c r="R2150" s="1"/>
  <c r="M2150"/>
  <c r="Q2150" s="1"/>
  <c r="L2150"/>
  <c r="P2150" s="1"/>
  <c r="K2150"/>
  <c r="O2150" s="1"/>
  <c r="U2149"/>
  <c r="T2149"/>
  <c r="S2149"/>
  <c r="N2149"/>
  <c r="R2149" s="1"/>
  <c r="M2149"/>
  <c r="Q2149" s="1"/>
  <c r="L2149"/>
  <c r="P2149" s="1"/>
  <c r="K2149"/>
  <c r="O2149" s="1"/>
  <c r="U2148"/>
  <c r="T2148"/>
  <c r="S2148"/>
  <c r="N2148"/>
  <c r="R2148" s="1"/>
  <c r="M2148"/>
  <c r="Q2148" s="1"/>
  <c r="L2148"/>
  <c r="P2148" s="1"/>
  <c r="K2148"/>
  <c r="O2148" s="1"/>
  <c r="U2147"/>
  <c r="T2147"/>
  <c r="S2147"/>
  <c r="N2147"/>
  <c r="R2147" s="1"/>
  <c r="M2147"/>
  <c r="Q2147" s="1"/>
  <c r="L2147"/>
  <c r="P2147" s="1"/>
  <c r="K2147"/>
  <c r="O2147" s="1"/>
  <c r="U2146"/>
  <c r="T2146"/>
  <c r="S2146"/>
  <c r="N2146"/>
  <c r="R2146" s="1"/>
  <c r="M2146"/>
  <c r="Q2146" s="1"/>
  <c r="L2146"/>
  <c r="P2146" s="1"/>
  <c r="K2146"/>
  <c r="O2146" s="1"/>
  <c r="U2145"/>
  <c r="T2145"/>
  <c r="S2145"/>
  <c r="N2145"/>
  <c r="R2145" s="1"/>
  <c r="M2145"/>
  <c r="Q2145" s="1"/>
  <c r="L2145"/>
  <c r="P2145" s="1"/>
  <c r="K2145"/>
  <c r="O2145" s="1"/>
  <c r="U2144"/>
  <c r="T2144"/>
  <c r="S2144"/>
  <c r="N2144"/>
  <c r="R2144" s="1"/>
  <c r="M2144"/>
  <c r="Q2144" s="1"/>
  <c r="L2144"/>
  <c r="P2144" s="1"/>
  <c r="K2144"/>
  <c r="O2144" s="1"/>
  <c r="U2143"/>
  <c r="T2143"/>
  <c r="S2143"/>
  <c r="N2143"/>
  <c r="R2143" s="1"/>
  <c r="M2143"/>
  <c r="Q2143" s="1"/>
  <c r="L2143"/>
  <c r="P2143" s="1"/>
  <c r="K2143"/>
  <c r="O2143" s="1"/>
  <c r="U2142"/>
  <c r="T2142"/>
  <c r="S2142"/>
  <c r="N2142"/>
  <c r="R2142" s="1"/>
  <c r="M2142"/>
  <c r="Q2142" s="1"/>
  <c r="L2142"/>
  <c r="P2142" s="1"/>
  <c r="K2142"/>
  <c r="O2142" s="1"/>
  <c r="U2141"/>
  <c r="T2141"/>
  <c r="S2141"/>
  <c r="N2141"/>
  <c r="R2141" s="1"/>
  <c r="M2141"/>
  <c r="Q2141" s="1"/>
  <c r="L2141"/>
  <c r="P2141" s="1"/>
  <c r="K2141"/>
  <c r="O2141" s="1"/>
  <c r="U2140"/>
  <c r="T2140"/>
  <c r="S2140"/>
  <c r="N2140"/>
  <c r="R2140" s="1"/>
  <c r="M2140"/>
  <c r="Q2140" s="1"/>
  <c r="L2140"/>
  <c r="P2140" s="1"/>
  <c r="K2140"/>
  <c r="O2140" s="1"/>
  <c r="U2139"/>
  <c r="T2139"/>
  <c r="S2139"/>
  <c r="N2139"/>
  <c r="R2139" s="1"/>
  <c r="M2139"/>
  <c r="Q2139" s="1"/>
  <c r="L2139"/>
  <c r="P2139" s="1"/>
  <c r="K2139"/>
  <c r="O2139" s="1"/>
  <c r="U2138"/>
  <c r="T2138"/>
  <c r="S2138"/>
  <c r="N2138"/>
  <c r="R2138" s="1"/>
  <c r="M2138"/>
  <c r="Q2138" s="1"/>
  <c r="L2138"/>
  <c r="P2138" s="1"/>
  <c r="K2138"/>
  <c r="O2138" s="1"/>
  <c r="U2137"/>
  <c r="T2137"/>
  <c r="S2137"/>
  <c r="N2137"/>
  <c r="R2137" s="1"/>
  <c r="M2137"/>
  <c r="Q2137" s="1"/>
  <c r="L2137"/>
  <c r="P2137" s="1"/>
  <c r="K2137"/>
  <c r="O2137" s="1"/>
  <c r="U2136"/>
  <c r="T2136"/>
  <c r="S2136"/>
  <c r="N2136"/>
  <c r="R2136" s="1"/>
  <c r="M2136"/>
  <c r="Q2136" s="1"/>
  <c r="L2136"/>
  <c r="P2136" s="1"/>
  <c r="K2136"/>
  <c r="O2136" s="1"/>
  <c r="U2135"/>
  <c r="T2135"/>
  <c r="S2135"/>
  <c r="N2135"/>
  <c r="R2135" s="1"/>
  <c r="M2135"/>
  <c r="Q2135" s="1"/>
  <c r="L2135"/>
  <c r="P2135" s="1"/>
  <c r="K2135"/>
  <c r="O2135" s="1"/>
  <c r="U2134"/>
  <c r="T2134"/>
  <c r="S2134"/>
  <c r="N2134"/>
  <c r="R2134" s="1"/>
  <c r="M2134"/>
  <c r="Q2134" s="1"/>
  <c r="L2134"/>
  <c r="P2134" s="1"/>
  <c r="K2134"/>
  <c r="O2134" s="1"/>
  <c r="U2133"/>
  <c r="T2133"/>
  <c r="S2133"/>
  <c r="N2133"/>
  <c r="R2133" s="1"/>
  <c r="M2133"/>
  <c r="Q2133" s="1"/>
  <c r="L2133"/>
  <c r="P2133" s="1"/>
  <c r="K2133"/>
  <c r="O2133" s="1"/>
  <c r="U2132"/>
  <c r="T2132"/>
  <c r="S2132"/>
  <c r="N2132"/>
  <c r="R2132" s="1"/>
  <c r="M2132"/>
  <c r="Q2132" s="1"/>
  <c r="L2132"/>
  <c r="P2132" s="1"/>
  <c r="K2132"/>
  <c r="O2132" s="1"/>
  <c r="U2131"/>
  <c r="T2131"/>
  <c r="S2131"/>
  <c r="N2131"/>
  <c r="R2131" s="1"/>
  <c r="M2131"/>
  <c r="Q2131" s="1"/>
  <c r="L2131"/>
  <c r="P2131" s="1"/>
  <c r="K2131"/>
  <c r="O2131" s="1"/>
  <c r="U2130"/>
  <c r="T2130"/>
  <c r="S2130"/>
  <c r="N2130"/>
  <c r="R2130" s="1"/>
  <c r="M2130"/>
  <c r="Q2130" s="1"/>
  <c r="L2130"/>
  <c r="P2130" s="1"/>
  <c r="K2130"/>
  <c r="O2130" s="1"/>
  <c r="U2129"/>
  <c r="T2129"/>
  <c r="S2129"/>
  <c r="N2129"/>
  <c r="R2129" s="1"/>
  <c r="M2129"/>
  <c r="Q2129" s="1"/>
  <c r="L2129"/>
  <c r="P2129" s="1"/>
  <c r="K2129"/>
  <c r="O2129" s="1"/>
  <c r="U2128"/>
  <c r="T2128"/>
  <c r="S2128"/>
  <c r="N2128"/>
  <c r="R2128" s="1"/>
  <c r="M2128"/>
  <c r="Q2128" s="1"/>
  <c r="L2128"/>
  <c r="P2128" s="1"/>
  <c r="K2128"/>
  <c r="O2128" s="1"/>
  <c r="U2127"/>
  <c r="T2127"/>
  <c r="S2127"/>
  <c r="N2127"/>
  <c r="R2127" s="1"/>
  <c r="M2127"/>
  <c r="Q2127" s="1"/>
  <c r="L2127"/>
  <c r="P2127" s="1"/>
  <c r="K2127"/>
  <c r="O2127" s="1"/>
  <c r="U2126"/>
  <c r="T2126"/>
  <c r="S2126"/>
  <c r="N2126"/>
  <c r="R2126" s="1"/>
  <c r="M2126"/>
  <c r="Q2126" s="1"/>
  <c r="L2126"/>
  <c r="P2126" s="1"/>
  <c r="K2126"/>
  <c r="O2126" s="1"/>
  <c r="U2125"/>
  <c r="T2125"/>
  <c r="S2125"/>
  <c r="N2125"/>
  <c r="R2125" s="1"/>
  <c r="M2125"/>
  <c r="Q2125" s="1"/>
  <c r="L2125"/>
  <c r="P2125" s="1"/>
  <c r="K2125"/>
  <c r="O2125" s="1"/>
  <c r="U2124"/>
  <c r="T2124"/>
  <c r="S2124"/>
  <c r="N2124"/>
  <c r="R2124" s="1"/>
  <c r="M2124"/>
  <c r="Q2124" s="1"/>
  <c r="L2124"/>
  <c r="P2124" s="1"/>
  <c r="K2124"/>
  <c r="O2124" s="1"/>
  <c r="U2123"/>
  <c r="T2123"/>
  <c r="S2123"/>
  <c r="N2123"/>
  <c r="R2123" s="1"/>
  <c r="M2123"/>
  <c r="Q2123" s="1"/>
  <c r="L2123"/>
  <c r="P2123" s="1"/>
  <c r="K2123"/>
  <c r="O2123" s="1"/>
  <c r="U2122"/>
  <c r="T2122"/>
  <c r="S2122"/>
  <c r="N2122"/>
  <c r="R2122" s="1"/>
  <c r="M2122"/>
  <c r="Q2122" s="1"/>
  <c r="L2122"/>
  <c r="P2122" s="1"/>
  <c r="K2122"/>
  <c r="O2122" s="1"/>
  <c r="U2121"/>
  <c r="T2121"/>
  <c r="S2121"/>
  <c r="N2121"/>
  <c r="R2121" s="1"/>
  <c r="M2121"/>
  <c r="Q2121" s="1"/>
  <c r="L2121"/>
  <c r="P2121" s="1"/>
  <c r="K2121"/>
  <c r="O2121" s="1"/>
  <c r="U2120"/>
  <c r="T2120"/>
  <c r="S2120"/>
  <c r="N2120"/>
  <c r="R2120" s="1"/>
  <c r="M2120"/>
  <c r="Q2120" s="1"/>
  <c r="L2120"/>
  <c r="P2120" s="1"/>
  <c r="K2120"/>
  <c r="O2120" s="1"/>
  <c r="U2119"/>
  <c r="T2119"/>
  <c r="S2119"/>
  <c r="N2119"/>
  <c r="R2119" s="1"/>
  <c r="M2119"/>
  <c r="Q2119" s="1"/>
  <c r="L2119"/>
  <c r="P2119" s="1"/>
  <c r="K2119"/>
  <c r="O2119" s="1"/>
  <c r="U2118"/>
  <c r="T2118"/>
  <c r="S2118"/>
  <c r="N2118"/>
  <c r="R2118" s="1"/>
  <c r="M2118"/>
  <c r="Q2118" s="1"/>
  <c r="L2118"/>
  <c r="P2118" s="1"/>
  <c r="K2118"/>
  <c r="O2118" s="1"/>
  <c r="U2117"/>
  <c r="T2117"/>
  <c r="S2117"/>
  <c r="N2117"/>
  <c r="R2117" s="1"/>
  <c r="M2117"/>
  <c r="Q2117" s="1"/>
  <c r="L2117"/>
  <c r="P2117" s="1"/>
  <c r="K2117"/>
  <c r="O2117" s="1"/>
  <c r="U2116"/>
  <c r="T2116"/>
  <c r="S2116"/>
  <c r="N2116"/>
  <c r="R2116" s="1"/>
  <c r="M2116"/>
  <c r="Q2116" s="1"/>
  <c r="L2116"/>
  <c r="P2116" s="1"/>
  <c r="K2116"/>
  <c r="O2116" s="1"/>
  <c r="U2115"/>
  <c r="T2115"/>
  <c r="S2115"/>
  <c r="N2115"/>
  <c r="R2115" s="1"/>
  <c r="M2115"/>
  <c r="Q2115" s="1"/>
  <c r="L2115"/>
  <c r="P2115" s="1"/>
  <c r="K2115"/>
  <c r="O2115" s="1"/>
  <c r="U2114"/>
  <c r="T2114"/>
  <c r="S2114"/>
  <c r="N2114"/>
  <c r="R2114" s="1"/>
  <c r="M2114"/>
  <c r="Q2114" s="1"/>
  <c r="L2114"/>
  <c r="P2114" s="1"/>
  <c r="K2114"/>
  <c r="O2114" s="1"/>
  <c r="U2113"/>
  <c r="T2113"/>
  <c r="S2113"/>
  <c r="N2113"/>
  <c r="R2113" s="1"/>
  <c r="M2113"/>
  <c r="Q2113" s="1"/>
  <c r="L2113"/>
  <c r="P2113" s="1"/>
  <c r="K2113"/>
  <c r="O2113" s="1"/>
  <c r="U2112"/>
  <c r="T2112"/>
  <c r="S2112"/>
  <c r="N2112"/>
  <c r="R2112" s="1"/>
  <c r="M2112"/>
  <c r="Q2112" s="1"/>
  <c r="L2112"/>
  <c r="P2112" s="1"/>
  <c r="K2112"/>
  <c r="O2112" s="1"/>
  <c r="U2111"/>
  <c r="T2111"/>
  <c r="S2111"/>
  <c r="N2111"/>
  <c r="R2111" s="1"/>
  <c r="M2111"/>
  <c r="Q2111" s="1"/>
  <c r="L2111"/>
  <c r="P2111" s="1"/>
  <c r="K2111"/>
  <c r="O2111" s="1"/>
  <c r="U2110"/>
  <c r="T2110"/>
  <c r="S2110"/>
  <c r="N2110"/>
  <c r="R2110" s="1"/>
  <c r="M2110"/>
  <c r="Q2110" s="1"/>
  <c r="L2110"/>
  <c r="P2110" s="1"/>
  <c r="K2110"/>
  <c r="O2110" s="1"/>
  <c r="U2109"/>
  <c r="T2109"/>
  <c r="S2109"/>
  <c r="N2109"/>
  <c r="R2109" s="1"/>
  <c r="M2109"/>
  <c r="Q2109" s="1"/>
  <c r="L2109"/>
  <c r="P2109" s="1"/>
  <c r="K2109"/>
  <c r="O2109" s="1"/>
  <c r="U2108"/>
  <c r="T2108"/>
  <c r="S2108"/>
  <c r="N2108"/>
  <c r="R2108" s="1"/>
  <c r="M2108"/>
  <c r="Q2108" s="1"/>
  <c r="L2108"/>
  <c r="P2108" s="1"/>
  <c r="K2108"/>
  <c r="O2108" s="1"/>
  <c r="U2107"/>
  <c r="T2107"/>
  <c r="S2107"/>
  <c r="N2107"/>
  <c r="R2107" s="1"/>
  <c r="M2107"/>
  <c r="Q2107" s="1"/>
  <c r="L2107"/>
  <c r="P2107" s="1"/>
  <c r="K2107"/>
  <c r="O2107" s="1"/>
  <c r="U2106"/>
  <c r="T2106"/>
  <c r="S2106"/>
  <c r="N2106"/>
  <c r="R2106" s="1"/>
  <c r="M2106"/>
  <c r="Q2106" s="1"/>
  <c r="L2106"/>
  <c r="P2106" s="1"/>
  <c r="K2106"/>
  <c r="O2106" s="1"/>
  <c r="U2105"/>
  <c r="T2105"/>
  <c r="S2105"/>
  <c r="N2105"/>
  <c r="R2105" s="1"/>
  <c r="M2105"/>
  <c r="Q2105" s="1"/>
  <c r="L2105"/>
  <c r="P2105" s="1"/>
  <c r="K2105"/>
  <c r="O2105" s="1"/>
  <c r="U2104"/>
  <c r="T2104"/>
  <c r="S2104"/>
  <c r="N2104"/>
  <c r="R2104" s="1"/>
  <c r="M2104"/>
  <c r="Q2104" s="1"/>
  <c r="L2104"/>
  <c r="P2104" s="1"/>
  <c r="K2104"/>
  <c r="O2104" s="1"/>
  <c r="U2103"/>
  <c r="T2103"/>
  <c r="S2103"/>
  <c r="N2103"/>
  <c r="R2103" s="1"/>
  <c r="M2103"/>
  <c r="Q2103" s="1"/>
  <c r="L2103"/>
  <c r="P2103" s="1"/>
  <c r="K2103"/>
  <c r="O2103" s="1"/>
  <c r="U2102"/>
  <c r="T2102"/>
  <c r="S2102"/>
  <c r="N2102"/>
  <c r="R2102" s="1"/>
  <c r="M2102"/>
  <c r="Q2102" s="1"/>
  <c r="L2102"/>
  <c r="P2102" s="1"/>
  <c r="K2102"/>
  <c r="O2102" s="1"/>
  <c r="U2101"/>
  <c r="T2101"/>
  <c r="S2101"/>
  <c r="N2101"/>
  <c r="R2101" s="1"/>
  <c r="M2101"/>
  <c r="Q2101" s="1"/>
  <c r="L2101"/>
  <c r="P2101" s="1"/>
  <c r="K2101"/>
  <c r="O2101" s="1"/>
  <c r="U2100"/>
  <c r="T2100"/>
  <c r="S2100"/>
  <c r="N2100"/>
  <c r="R2100" s="1"/>
  <c r="M2100"/>
  <c r="Q2100" s="1"/>
  <c r="L2100"/>
  <c r="P2100" s="1"/>
  <c r="K2100"/>
  <c r="O2100" s="1"/>
  <c r="U2099"/>
  <c r="T2099"/>
  <c r="S2099"/>
  <c r="N2099"/>
  <c r="R2099" s="1"/>
  <c r="M2099"/>
  <c r="Q2099" s="1"/>
  <c r="L2099"/>
  <c r="P2099" s="1"/>
  <c r="K2099"/>
  <c r="O2099" s="1"/>
  <c r="U2098"/>
  <c r="T2098"/>
  <c r="S2098"/>
  <c r="N2098"/>
  <c r="R2098" s="1"/>
  <c r="M2098"/>
  <c r="Q2098" s="1"/>
  <c r="L2098"/>
  <c r="P2098" s="1"/>
  <c r="K2098"/>
  <c r="O2098" s="1"/>
  <c r="U2097"/>
  <c r="T2097"/>
  <c r="S2097"/>
  <c r="N2097"/>
  <c r="R2097" s="1"/>
  <c r="M2097"/>
  <c r="Q2097" s="1"/>
  <c r="L2097"/>
  <c r="P2097" s="1"/>
  <c r="K2097"/>
  <c r="O2097" s="1"/>
  <c r="U2096"/>
  <c r="T2096"/>
  <c r="S2096"/>
  <c r="N2096"/>
  <c r="R2096" s="1"/>
  <c r="M2096"/>
  <c r="Q2096" s="1"/>
  <c r="L2096"/>
  <c r="P2096" s="1"/>
  <c r="K2096"/>
  <c r="O2096" s="1"/>
  <c r="U2095"/>
  <c r="T2095"/>
  <c r="S2095"/>
  <c r="N2095"/>
  <c r="R2095" s="1"/>
  <c r="M2095"/>
  <c r="Q2095" s="1"/>
  <c r="L2095"/>
  <c r="P2095" s="1"/>
  <c r="K2095"/>
  <c r="O2095" s="1"/>
  <c r="U2094"/>
  <c r="T2094"/>
  <c r="S2094"/>
  <c r="N2094"/>
  <c r="R2094" s="1"/>
  <c r="M2094"/>
  <c r="Q2094" s="1"/>
  <c r="L2094"/>
  <c r="P2094" s="1"/>
  <c r="K2094"/>
  <c r="O2094" s="1"/>
  <c r="U2093"/>
  <c r="T2093"/>
  <c r="S2093"/>
  <c r="N2093"/>
  <c r="R2093" s="1"/>
  <c r="M2093"/>
  <c r="Q2093" s="1"/>
  <c r="L2093"/>
  <c r="P2093" s="1"/>
  <c r="K2093"/>
  <c r="O2093" s="1"/>
  <c r="U2092"/>
  <c r="T2092"/>
  <c r="S2092"/>
  <c r="N2092"/>
  <c r="R2092" s="1"/>
  <c r="M2092"/>
  <c r="Q2092" s="1"/>
  <c r="L2092"/>
  <c r="P2092" s="1"/>
  <c r="K2092"/>
  <c r="O2092" s="1"/>
  <c r="U2091"/>
  <c r="T2091"/>
  <c r="S2091"/>
  <c r="N2091"/>
  <c r="R2091" s="1"/>
  <c r="M2091"/>
  <c r="Q2091" s="1"/>
  <c r="L2091"/>
  <c r="P2091" s="1"/>
  <c r="K2091"/>
  <c r="O2091" s="1"/>
  <c r="U2090"/>
  <c r="T2090"/>
  <c r="S2090"/>
  <c r="N2090"/>
  <c r="R2090" s="1"/>
  <c r="M2090"/>
  <c r="Q2090" s="1"/>
  <c r="L2090"/>
  <c r="P2090" s="1"/>
  <c r="K2090"/>
  <c r="O2090" s="1"/>
  <c r="U2089"/>
  <c r="T2089"/>
  <c r="S2089"/>
  <c r="N2089"/>
  <c r="R2089" s="1"/>
  <c r="M2089"/>
  <c r="Q2089" s="1"/>
  <c r="L2089"/>
  <c r="P2089" s="1"/>
  <c r="K2089"/>
  <c r="O2089" s="1"/>
  <c r="U2088"/>
  <c r="T2088"/>
  <c r="S2088"/>
  <c r="N2088"/>
  <c r="R2088" s="1"/>
  <c r="M2088"/>
  <c r="Q2088" s="1"/>
  <c r="L2088"/>
  <c r="P2088" s="1"/>
  <c r="K2088"/>
  <c r="O2088" s="1"/>
  <c r="U2087"/>
  <c r="T2087"/>
  <c r="S2087"/>
  <c r="N2087"/>
  <c r="R2087" s="1"/>
  <c r="M2087"/>
  <c r="Q2087" s="1"/>
  <c r="L2087"/>
  <c r="P2087" s="1"/>
  <c r="K2087"/>
  <c r="O2087" s="1"/>
  <c r="U2086"/>
  <c r="T2086"/>
  <c r="S2086"/>
  <c r="N2086"/>
  <c r="R2086" s="1"/>
  <c r="M2086"/>
  <c r="Q2086" s="1"/>
  <c r="L2086"/>
  <c r="P2086" s="1"/>
  <c r="K2086"/>
  <c r="O2086" s="1"/>
  <c r="U2085"/>
  <c r="T2085"/>
  <c r="S2085"/>
  <c r="N2085"/>
  <c r="R2085" s="1"/>
  <c r="M2085"/>
  <c r="Q2085" s="1"/>
  <c r="L2085"/>
  <c r="P2085" s="1"/>
  <c r="K2085"/>
  <c r="O2085" s="1"/>
  <c r="U2084"/>
  <c r="T2084"/>
  <c r="S2084"/>
  <c r="N2084"/>
  <c r="R2084" s="1"/>
  <c r="M2084"/>
  <c r="Q2084" s="1"/>
  <c r="L2084"/>
  <c r="P2084" s="1"/>
  <c r="K2084"/>
  <c r="O2084" s="1"/>
  <c r="U2083"/>
  <c r="T2083"/>
  <c r="S2083"/>
  <c r="N2083"/>
  <c r="R2083" s="1"/>
  <c r="M2083"/>
  <c r="Q2083" s="1"/>
  <c r="L2083"/>
  <c r="P2083" s="1"/>
  <c r="K2083"/>
  <c r="O2083" s="1"/>
  <c r="U2082"/>
  <c r="T2082"/>
  <c r="S2082"/>
  <c r="N2082"/>
  <c r="R2082" s="1"/>
  <c r="M2082"/>
  <c r="Q2082" s="1"/>
  <c r="L2082"/>
  <c r="P2082" s="1"/>
  <c r="K2082"/>
  <c r="O2082" s="1"/>
  <c r="U2081"/>
  <c r="T2081"/>
  <c r="S2081"/>
  <c r="N2081"/>
  <c r="R2081" s="1"/>
  <c r="M2081"/>
  <c r="Q2081" s="1"/>
  <c r="L2081"/>
  <c r="P2081" s="1"/>
  <c r="K2081"/>
  <c r="O2081" s="1"/>
  <c r="U2080"/>
  <c r="T2080"/>
  <c r="S2080"/>
  <c r="N2080"/>
  <c r="R2080" s="1"/>
  <c r="M2080"/>
  <c r="Q2080" s="1"/>
  <c r="L2080"/>
  <c r="P2080" s="1"/>
  <c r="K2080"/>
  <c r="O2080" s="1"/>
  <c r="U2079"/>
  <c r="T2079"/>
  <c r="S2079"/>
  <c r="N2079"/>
  <c r="R2079" s="1"/>
  <c r="M2079"/>
  <c r="Q2079" s="1"/>
  <c r="L2079"/>
  <c r="P2079" s="1"/>
  <c r="K2079"/>
  <c r="O2079" s="1"/>
  <c r="U2078"/>
  <c r="T2078"/>
  <c r="S2078"/>
  <c r="N2078"/>
  <c r="R2078" s="1"/>
  <c r="M2078"/>
  <c r="Q2078" s="1"/>
  <c r="L2078"/>
  <c r="P2078" s="1"/>
  <c r="K2078"/>
  <c r="O2078" s="1"/>
  <c r="U2077"/>
  <c r="T2077"/>
  <c r="S2077"/>
  <c r="N2077"/>
  <c r="R2077" s="1"/>
  <c r="M2077"/>
  <c r="Q2077" s="1"/>
  <c r="L2077"/>
  <c r="P2077" s="1"/>
  <c r="K2077"/>
  <c r="O2077" s="1"/>
  <c r="U2076"/>
  <c r="T2076"/>
  <c r="S2076"/>
  <c r="N2076"/>
  <c r="R2076" s="1"/>
  <c r="M2076"/>
  <c r="Q2076" s="1"/>
  <c r="L2076"/>
  <c r="P2076" s="1"/>
  <c r="K2076"/>
  <c r="O2076" s="1"/>
  <c r="U2075"/>
  <c r="T2075"/>
  <c r="S2075"/>
  <c r="N2075"/>
  <c r="R2075" s="1"/>
  <c r="M2075"/>
  <c r="Q2075" s="1"/>
  <c r="L2075"/>
  <c r="P2075" s="1"/>
  <c r="K2075"/>
  <c r="O2075" s="1"/>
  <c r="U2074"/>
  <c r="T2074"/>
  <c r="S2074"/>
  <c r="N2074"/>
  <c r="R2074" s="1"/>
  <c r="M2074"/>
  <c r="Q2074" s="1"/>
  <c r="L2074"/>
  <c r="P2074" s="1"/>
  <c r="K2074"/>
  <c r="O2074" s="1"/>
  <c r="U2073"/>
  <c r="T2073"/>
  <c r="S2073"/>
  <c r="N2073"/>
  <c r="R2073" s="1"/>
  <c r="M2073"/>
  <c r="Q2073" s="1"/>
  <c r="L2073"/>
  <c r="P2073" s="1"/>
  <c r="K2073"/>
  <c r="O2073" s="1"/>
  <c r="U2072"/>
  <c r="T2072"/>
  <c r="S2072"/>
  <c r="N2072"/>
  <c r="R2072" s="1"/>
  <c r="M2072"/>
  <c r="Q2072" s="1"/>
  <c r="L2072"/>
  <c r="P2072" s="1"/>
  <c r="K2072"/>
  <c r="O2072" s="1"/>
  <c r="U2071"/>
  <c r="T2071"/>
  <c r="S2071"/>
  <c r="N2071"/>
  <c r="R2071" s="1"/>
  <c r="M2071"/>
  <c r="Q2071" s="1"/>
  <c r="L2071"/>
  <c r="P2071" s="1"/>
  <c r="K2071"/>
  <c r="O2071" s="1"/>
  <c r="U2070"/>
  <c r="T2070"/>
  <c r="S2070"/>
  <c r="N2070"/>
  <c r="R2070" s="1"/>
  <c r="M2070"/>
  <c r="Q2070" s="1"/>
  <c r="L2070"/>
  <c r="P2070" s="1"/>
  <c r="K2070"/>
  <c r="O2070" s="1"/>
  <c r="U2069"/>
  <c r="T2069"/>
  <c r="S2069"/>
  <c r="N2069"/>
  <c r="R2069" s="1"/>
  <c r="M2069"/>
  <c r="Q2069" s="1"/>
  <c r="L2069"/>
  <c r="P2069" s="1"/>
  <c r="K2069"/>
  <c r="O2069" s="1"/>
  <c r="U2068"/>
  <c r="T2068"/>
  <c r="S2068"/>
  <c r="N2068"/>
  <c r="R2068" s="1"/>
  <c r="M2068"/>
  <c r="Q2068" s="1"/>
  <c r="L2068"/>
  <c r="P2068" s="1"/>
  <c r="K2068"/>
  <c r="O2068" s="1"/>
  <c r="U2067"/>
  <c r="T2067"/>
  <c r="S2067"/>
  <c r="N2067"/>
  <c r="R2067" s="1"/>
  <c r="M2067"/>
  <c r="Q2067" s="1"/>
  <c r="L2067"/>
  <c r="P2067" s="1"/>
  <c r="K2067"/>
  <c r="O2067" s="1"/>
  <c r="U2066"/>
  <c r="T2066"/>
  <c r="S2066"/>
  <c r="N2066"/>
  <c r="R2066" s="1"/>
  <c r="M2066"/>
  <c r="Q2066" s="1"/>
  <c r="L2066"/>
  <c r="P2066" s="1"/>
  <c r="K2066"/>
  <c r="O2066" s="1"/>
  <c r="U2065"/>
  <c r="T2065"/>
  <c r="S2065"/>
  <c r="N2065"/>
  <c r="R2065" s="1"/>
  <c r="M2065"/>
  <c r="Q2065" s="1"/>
  <c r="L2065"/>
  <c r="P2065" s="1"/>
  <c r="K2065"/>
  <c r="O2065" s="1"/>
  <c r="U2064"/>
  <c r="T2064"/>
  <c r="S2064"/>
  <c r="N2064"/>
  <c r="R2064" s="1"/>
  <c r="M2064"/>
  <c r="Q2064" s="1"/>
  <c r="L2064"/>
  <c r="P2064" s="1"/>
  <c r="K2064"/>
  <c r="O2064" s="1"/>
  <c r="U2063"/>
  <c r="T2063"/>
  <c r="S2063"/>
  <c r="N2063"/>
  <c r="R2063" s="1"/>
  <c r="M2063"/>
  <c r="Q2063" s="1"/>
  <c r="L2063"/>
  <c r="P2063" s="1"/>
  <c r="K2063"/>
  <c r="O2063" s="1"/>
  <c r="U2062"/>
  <c r="T2062"/>
  <c r="S2062"/>
  <c r="N2062"/>
  <c r="R2062" s="1"/>
  <c r="M2062"/>
  <c r="Q2062" s="1"/>
  <c r="L2062"/>
  <c r="P2062" s="1"/>
  <c r="K2062"/>
  <c r="O2062" s="1"/>
  <c r="U2061"/>
  <c r="T2061"/>
  <c r="S2061"/>
  <c r="N2061"/>
  <c r="R2061" s="1"/>
  <c r="M2061"/>
  <c r="Q2061" s="1"/>
  <c r="L2061"/>
  <c r="P2061" s="1"/>
  <c r="K2061"/>
  <c r="O2061" s="1"/>
  <c r="U2060"/>
  <c r="T2060"/>
  <c r="S2060"/>
  <c r="N2060"/>
  <c r="R2060" s="1"/>
  <c r="M2060"/>
  <c r="Q2060" s="1"/>
  <c r="L2060"/>
  <c r="P2060" s="1"/>
  <c r="K2060"/>
  <c r="O2060" s="1"/>
  <c r="U2059"/>
  <c r="T2059"/>
  <c r="S2059"/>
  <c r="N2059"/>
  <c r="R2059" s="1"/>
  <c r="M2059"/>
  <c r="Q2059" s="1"/>
  <c r="L2059"/>
  <c r="P2059" s="1"/>
  <c r="K2059"/>
  <c r="O2059" s="1"/>
  <c r="U2058"/>
  <c r="T2058"/>
  <c r="S2058"/>
  <c r="N2058"/>
  <c r="R2058" s="1"/>
  <c r="M2058"/>
  <c r="Q2058" s="1"/>
  <c r="L2058"/>
  <c r="P2058" s="1"/>
  <c r="K2058"/>
  <c r="O2058" s="1"/>
  <c r="U2057"/>
  <c r="T2057"/>
  <c r="S2057"/>
  <c r="N2057"/>
  <c r="R2057" s="1"/>
  <c r="M2057"/>
  <c r="Q2057" s="1"/>
  <c r="L2057"/>
  <c r="P2057" s="1"/>
  <c r="K2057"/>
  <c r="O2057" s="1"/>
  <c r="U2056"/>
  <c r="T2056"/>
  <c r="S2056"/>
  <c r="N2056"/>
  <c r="R2056" s="1"/>
  <c r="M2056"/>
  <c r="Q2056" s="1"/>
  <c r="L2056"/>
  <c r="P2056" s="1"/>
  <c r="K2056"/>
  <c r="O2056" s="1"/>
  <c r="U2055"/>
  <c r="T2055"/>
  <c r="S2055"/>
  <c r="N2055"/>
  <c r="R2055" s="1"/>
  <c r="M2055"/>
  <c r="Q2055" s="1"/>
  <c r="L2055"/>
  <c r="P2055" s="1"/>
  <c r="K2055"/>
  <c r="O2055" s="1"/>
  <c r="U2054"/>
  <c r="T2054"/>
  <c r="S2054"/>
  <c r="N2054"/>
  <c r="R2054" s="1"/>
  <c r="M2054"/>
  <c r="Q2054" s="1"/>
  <c r="L2054"/>
  <c r="P2054" s="1"/>
  <c r="K2054"/>
  <c r="O2054" s="1"/>
  <c r="U2053"/>
  <c r="T2053"/>
  <c r="S2053"/>
  <c r="N2053"/>
  <c r="R2053" s="1"/>
  <c r="M2053"/>
  <c r="Q2053" s="1"/>
  <c r="L2053"/>
  <c r="P2053" s="1"/>
  <c r="K2053"/>
  <c r="O2053" s="1"/>
  <c r="U2052"/>
  <c r="T2052"/>
  <c r="S2052"/>
  <c r="N2052"/>
  <c r="R2052" s="1"/>
  <c r="M2052"/>
  <c r="Q2052" s="1"/>
  <c r="L2052"/>
  <c r="P2052" s="1"/>
  <c r="K2052"/>
  <c r="O2052" s="1"/>
  <c r="U2051"/>
  <c r="T2051"/>
  <c r="S2051"/>
  <c r="N2051"/>
  <c r="R2051" s="1"/>
  <c r="M2051"/>
  <c r="Q2051" s="1"/>
  <c r="L2051"/>
  <c r="P2051" s="1"/>
  <c r="K2051"/>
  <c r="O2051" s="1"/>
  <c r="U2050"/>
  <c r="T2050"/>
  <c r="S2050"/>
  <c r="N2050"/>
  <c r="R2050" s="1"/>
  <c r="M2050"/>
  <c r="Q2050" s="1"/>
  <c r="L2050"/>
  <c r="P2050" s="1"/>
  <c r="K2050"/>
  <c r="O2050" s="1"/>
  <c r="U2049"/>
  <c r="T2049"/>
  <c r="S2049"/>
  <c r="N2049"/>
  <c r="R2049" s="1"/>
  <c r="M2049"/>
  <c r="Q2049" s="1"/>
  <c r="L2049"/>
  <c r="P2049" s="1"/>
  <c r="K2049"/>
  <c r="O2049" s="1"/>
  <c r="U2048"/>
  <c r="T2048"/>
  <c r="S2048"/>
  <c r="N2048"/>
  <c r="R2048" s="1"/>
  <c r="M2048"/>
  <c r="Q2048" s="1"/>
  <c r="L2048"/>
  <c r="P2048" s="1"/>
  <c r="K2048"/>
  <c r="O2048" s="1"/>
  <c r="U2047"/>
  <c r="T2047"/>
  <c r="S2047"/>
  <c r="N2047"/>
  <c r="R2047" s="1"/>
  <c r="M2047"/>
  <c r="Q2047" s="1"/>
  <c r="L2047"/>
  <c r="P2047" s="1"/>
  <c r="K2047"/>
  <c r="O2047" s="1"/>
  <c r="U2046"/>
  <c r="T2046"/>
  <c r="S2046"/>
  <c r="N2046"/>
  <c r="R2046" s="1"/>
  <c r="M2046"/>
  <c r="Q2046" s="1"/>
  <c r="L2046"/>
  <c r="P2046" s="1"/>
  <c r="K2046"/>
  <c r="O2046" s="1"/>
  <c r="U2045"/>
  <c r="T2045"/>
  <c r="S2045"/>
  <c r="N2045"/>
  <c r="R2045" s="1"/>
  <c r="M2045"/>
  <c r="Q2045" s="1"/>
  <c r="L2045"/>
  <c r="P2045" s="1"/>
  <c r="K2045"/>
  <c r="O2045" s="1"/>
  <c r="U2044"/>
  <c r="T2044"/>
  <c r="S2044"/>
  <c r="N2044"/>
  <c r="R2044" s="1"/>
  <c r="M2044"/>
  <c r="Q2044" s="1"/>
  <c r="L2044"/>
  <c r="P2044" s="1"/>
  <c r="K2044"/>
  <c r="O2044" s="1"/>
  <c r="U2043"/>
  <c r="T2043"/>
  <c r="S2043"/>
  <c r="N2043"/>
  <c r="R2043" s="1"/>
  <c r="M2043"/>
  <c r="Q2043" s="1"/>
  <c r="L2043"/>
  <c r="P2043" s="1"/>
  <c r="K2043"/>
  <c r="O2043" s="1"/>
  <c r="U2042"/>
  <c r="T2042"/>
  <c r="S2042"/>
  <c r="N2042"/>
  <c r="R2042" s="1"/>
  <c r="M2042"/>
  <c r="Q2042" s="1"/>
  <c r="L2042"/>
  <c r="P2042" s="1"/>
  <c r="K2042"/>
  <c r="O2042" s="1"/>
  <c r="U2041"/>
  <c r="T2041"/>
  <c r="S2041"/>
  <c r="N2041"/>
  <c r="R2041" s="1"/>
  <c r="M2041"/>
  <c r="Q2041" s="1"/>
  <c r="L2041"/>
  <c r="P2041" s="1"/>
  <c r="K2041"/>
  <c r="O2041" s="1"/>
  <c r="U2040"/>
  <c r="T2040"/>
  <c r="S2040"/>
  <c r="N2040"/>
  <c r="R2040" s="1"/>
  <c r="M2040"/>
  <c r="Q2040" s="1"/>
  <c r="L2040"/>
  <c r="P2040" s="1"/>
  <c r="K2040"/>
  <c r="O2040" s="1"/>
  <c r="U2039"/>
  <c r="T2039"/>
  <c r="S2039"/>
  <c r="N2039"/>
  <c r="R2039" s="1"/>
  <c r="M2039"/>
  <c r="Q2039" s="1"/>
  <c r="L2039"/>
  <c r="P2039" s="1"/>
  <c r="K2039"/>
  <c r="O2039" s="1"/>
  <c r="U2038"/>
  <c r="T2038"/>
  <c r="S2038"/>
  <c r="N2038"/>
  <c r="R2038" s="1"/>
  <c r="M2038"/>
  <c r="Q2038" s="1"/>
  <c r="L2038"/>
  <c r="P2038" s="1"/>
  <c r="K2038"/>
  <c r="O2038" s="1"/>
  <c r="U2037"/>
  <c r="T2037"/>
  <c r="S2037"/>
  <c r="N2037"/>
  <c r="R2037" s="1"/>
  <c r="M2037"/>
  <c r="Q2037" s="1"/>
  <c r="L2037"/>
  <c r="P2037" s="1"/>
  <c r="K2037"/>
  <c r="O2037" s="1"/>
  <c r="U2036"/>
  <c r="T2036"/>
  <c r="S2036"/>
  <c r="N2036"/>
  <c r="R2036" s="1"/>
  <c r="M2036"/>
  <c r="Q2036" s="1"/>
  <c r="L2036"/>
  <c r="P2036" s="1"/>
  <c r="K2036"/>
  <c r="O2036" s="1"/>
  <c r="U2035"/>
  <c r="T2035"/>
  <c r="S2035"/>
  <c r="R2035"/>
  <c r="N2035"/>
  <c r="M2035"/>
  <c r="Q2035" s="1"/>
  <c r="L2035"/>
  <c r="P2035" s="1"/>
  <c r="K2035"/>
  <c r="O2035" s="1"/>
  <c r="U2034"/>
  <c r="T2034"/>
  <c r="S2034"/>
  <c r="N2034"/>
  <c r="R2034" s="1"/>
  <c r="M2034"/>
  <c r="Q2034" s="1"/>
  <c r="L2034"/>
  <c r="P2034" s="1"/>
  <c r="K2034"/>
  <c r="O2034" s="1"/>
  <c r="U2033"/>
  <c r="T2033"/>
  <c r="S2033"/>
  <c r="N2033"/>
  <c r="R2033" s="1"/>
  <c r="M2033"/>
  <c r="Q2033" s="1"/>
  <c r="L2033"/>
  <c r="P2033" s="1"/>
  <c r="K2033"/>
  <c r="O2033" s="1"/>
  <c r="U2032"/>
  <c r="T2032"/>
  <c r="S2032"/>
  <c r="N2032"/>
  <c r="R2032" s="1"/>
  <c r="M2032"/>
  <c r="Q2032" s="1"/>
  <c r="L2032"/>
  <c r="P2032" s="1"/>
  <c r="K2032"/>
  <c r="O2032" s="1"/>
  <c r="U2031"/>
  <c r="T2031"/>
  <c r="S2031"/>
  <c r="N2031"/>
  <c r="R2031" s="1"/>
  <c r="M2031"/>
  <c r="Q2031" s="1"/>
  <c r="L2031"/>
  <c r="P2031" s="1"/>
  <c r="K2031"/>
  <c r="O2031" s="1"/>
  <c r="U2030"/>
  <c r="T2030"/>
  <c r="S2030"/>
  <c r="N2030"/>
  <c r="R2030" s="1"/>
  <c r="M2030"/>
  <c r="Q2030" s="1"/>
  <c r="L2030"/>
  <c r="P2030" s="1"/>
  <c r="K2030"/>
  <c r="O2030" s="1"/>
  <c r="U2029"/>
  <c r="T2029"/>
  <c r="S2029"/>
  <c r="R2029"/>
  <c r="N2029"/>
  <c r="M2029"/>
  <c r="Q2029" s="1"/>
  <c r="L2029"/>
  <c r="P2029" s="1"/>
  <c r="K2029"/>
  <c r="O2029" s="1"/>
  <c r="U2028"/>
  <c r="T2028"/>
  <c r="S2028"/>
  <c r="N2028"/>
  <c r="R2028" s="1"/>
  <c r="M2028"/>
  <c r="Q2028" s="1"/>
  <c r="L2028"/>
  <c r="P2028" s="1"/>
  <c r="K2028"/>
  <c r="O2028" s="1"/>
  <c r="U2027"/>
  <c r="T2027"/>
  <c r="S2027"/>
  <c r="N2027"/>
  <c r="R2027" s="1"/>
  <c r="M2027"/>
  <c r="Q2027" s="1"/>
  <c r="L2027"/>
  <c r="P2027" s="1"/>
  <c r="K2027"/>
  <c r="O2027" s="1"/>
  <c r="U2026"/>
  <c r="T2026"/>
  <c r="S2026"/>
  <c r="N2026"/>
  <c r="R2026" s="1"/>
  <c r="M2026"/>
  <c r="Q2026" s="1"/>
  <c r="L2026"/>
  <c r="P2026" s="1"/>
  <c r="K2026"/>
  <c r="O2026" s="1"/>
  <c r="U2025"/>
  <c r="T2025"/>
  <c r="S2025"/>
  <c r="N2025"/>
  <c r="R2025" s="1"/>
  <c r="M2025"/>
  <c r="Q2025" s="1"/>
  <c r="L2025"/>
  <c r="P2025" s="1"/>
  <c r="K2025"/>
  <c r="O2025" s="1"/>
  <c r="U2024"/>
  <c r="T2024"/>
  <c r="S2024"/>
  <c r="N2024"/>
  <c r="R2024" s="1"/>
  <c r="M2024"/>
  <c r="Q2024" s="1"/>
  <c r="L2024"/>
  <c r="P2024" s="1"/>
  <c r="K2024"/>
  <c r="O2024" s="1"/>
  <c r="U2023"/>
  <c r="T2023"/>
  <c r="S2023"/>
  <c r="N2023"/>
  <c r="R2023" s="1"/>
  <c r="M2023"/>
  <c r="Q2023" s="1"/>
  <c r="L2023"/>
  <c r="P2023" s="1"/>
  <c r="K2023"/>
  <c r="O2023" s="1"/>
  <c r="U2022"/>
  <c r="T2022"/>
  <c r="S2022"/>
  <c r="N2022"/>
  <c r="R2022" s="1"/>
  <c r="M2022"/>
  <c r="Q2022" s="1"/>
  <c r="L2022"/>
  <c r="P2022" s="1"/>
  <c r="K2022"/>
  <c r="O2022" s="1"/>
  <c r="U2021"/>
  <c r="T2021"/>
  <c r="S2021"/>
  <c r="N2021"/>
  <c r="R2021" s="1"/>
  <c r="M2021"/>
  <c r="Q2021" s="1"/>
  <c r="L2021"/>
  <c r="P2021" s="1"/>
  <c r="K2021"/>
  <c r="O2021" s="1"/>
  <c r="U2020"/>
  <c r="T2020"/>
  <c r="S2020"/>
  <c r="N2020"/>
  <c r="R2020" s="1"/>
  <c r="M2020"/>
  <c r="Q2020" s="1"/>
  <c r="L2020"/>
  <c r="P2020" s="1"/>
  <c r="K2020"/>
  <c r="O2020" s="1"/>
  <c r="U2019"/>
  <c r="T2019"/>
  <c r="S2019"/>
  <c r="N2019"/>
  <c r="R2019" s="1"/>
  <c r="M2019"/>
  <c r="Q2019" s="1"/>
  <c r="L2019"/>
  <c r="P2019" s="1"/>
  <c r="K2019"/>
  <c r="O2019" s="1"/>
  <c r="U2018"/>
  <c r="T2018"/>
  <c r="S2018"/>
  <c r="N2018"/>
  <c r="R2018" s="1"/>
  <c r="M2018"/>
  <c r="Q2018" s="1"/>
  <c r="L2018"/>
  <c r="P2018" s="1"/>
  <c r="K2018"/>
  <c r="O2018" s="1"/>
  <c r="U2017"/>
  <c r="T2017"/>
  <c r="S2017"/>
  <c r="N2017"/>
  <c r="R2017" s="1"/>
  <c r="M2017"/>
  <c r="Q2017" s="1"/>
  <c r="L2017"/>
  <c r="P2017" s="1"/>
  <c r="K2017"/>
  <c r="O2017" s="1"/>
  <c r="U2016"/>
  <c r="T2016"/>
  <c r="S2016"/>
  <c r="N2016"/>
  <c r="R2016" s="1"/>
  <c r="M2016"/>
  <c r="Q2016" s="1"/>
  <c r="L2016"/>
  <c r="P2016" s="1"/>
  <c r="K2016"/>
  <c r="O2016" s="1"/>
  <c r="U2015"/>
  <c r="T2015"/>
  <c r="S2015"/>
  <c r="N2015"/>
  <c r="R2015" s="1"/>
  <c r="M2015"/>
  <c r="Q2015" s="1"/>
  <c r="L2015"/>
  <c r="P2015" s="1"/>
  <c r="K2015"/>
  <c r="O2015" s="1"/>
  <c r="U2014"/>
  <c r="T2014"/>
  <c r="S2014"/>
  <c r="N2014"/>
  <c r="R2014" s="1"/>
  <c r="M2014"/>
  <c r="Q2014" s="1"/>
  <c r="L2014"/>
  <c r="P2014" s="1"/>
  <c r="K2014"/>
  <c r="O2014" s="1"/>
  <c r="U2013"/>
  <c r="T2013"/>
  <c r="S2013"/>
  <c r="N2013"/>
  <c r="R2013" s="1"/>
  <c r="M2013"/>
  <c r="Q2013" s="1"/>
  <c r="L2013"/>
  <c r="P2013" s="1"/>
  <c r="K2013"/>
  <c r="O2013" s="1"/>
  <c r="U2012"/>
  <c r="T2012"/>
  <c r="S2012"/>
  <c r="N2012"/>
  <c r="R2012" s="1"/>
  <c r="M2012"/>
  <c r="Q2012" s="1"/>
  <c r="L2012"/>
  <c r="P2012" s="1"/>
  <c r="K2012"/>
  <c r="O2012" s="1"/>
  <c r="U2011"/>
  <c r="T2011"/>
  <c r="S2011"/>
  <c r="N2011"/>
  <c r="R2011" s="1"/>
  <c r="M2011"/>
  <c r="Q2011" s="1"/>
  <c r="L2011"/>
  <c r="P2011" s="1"/>
  <c r="K2011"/>
  <c r="O2011" s="1"/>
  <c r="U2010"/>
  <c r="T2010"/>
  <c r="S2010"/>
  <c r="N2010"/>
  <c r="R2010" s="1"/>
  <c r="M2010"/>
  <c r="Q2010" s="1"/>
  <c r="L2010"/>
  <c r="P2010" s="1"/>
  <c r="K2010"/>
  <c r="O2010" s="1"/>
  <c r="U2009"/>
  <c r="T2009"/>
  <c r="S2009"/>
  <c r="N2009"/>
  <c r="R2009" s="1"/>
  <c r="M2009"/>
  <c r="Q2009" s="1"/>
  <c r="L2009"/>
  <c r="P2009" s="1"/>
  <c r="K2009"/>
  <c r="O2009" s="1"/>
  <c r="U2008"/>
  <c r="T2008"/>
  <c r="S2008"/>
  <c r="N2008"/>
  <c r="R2008" s="1"/>
  <c r="M2008"/>
  <c r="Q2008" s="1"/>
  <c r="L2008"/>
  <c r="P2008" s="1"/>
  <c r="K2008"/>
  <c r="O2008" s="1"/>
  <c r="U2007"/>
  <c r="T2007"/>
  <c r="S2007"/>
  <c r="N2007"/>
  <c r="R2007" s="1"/>
  <c r="M2007"/>
  <c r="Q2007" s="1"/>
  <c r="L2007"/>
  <c r="P2007" s="1"/>
  <c r="K2007"/>
  <c r="O2007" s="1"/>
  <c r="U2006"/>
  <c r="T2006"/>
  <c r="S2006"/>
  <c r="N2006"/>
  <c r="R2006" s="1"/>
  <c r="M2006"/>
  <c r="Q2006" s="1"/>
  <c r="L2006"/>
  <c r="P2006" s="1"/>
  <c r="K2006"/>
  <c r="O2006" s="1"/>
  <c r="U2005"/>
  <c r="T2005"/>
  <c r="S2005"/>
  <c r="N2005"/>
  <c r="R2005" s="1"/>
  <c r="M2005"/>
  <c r="Q2005" s="1"/>
  <c r="L2005"/>
  <c r="P2005" s="1"/>
  <c r="K2005"/>
  <c r="O2005" s="1"/>
  <c r="U2004"/>
  <c r="T2004"/>
  <c r="S2004"/>
  <c r="N2004"/>
  <c r="R2004" s="1"/>
  <c r="M2004"/>
  <c r="Q2004" s="1"/>
  <c r="L2004"/>
  <c r="P2004" s="1"/>
  <c r="K2004"/>
  <c r="O2004" s="1"/>
  <c r="U2003"/>
  <c r="T2003"/>
  <c r="S2003"/>
  <c r="N2003"/>
  <c r="R2003" s="1"/>
  <c r="M2003"/>
  <c r="Q2003" s="1"/>
  <c r="L2003"/>
  <c r="P2003" s="1"/>
  <c r="K2003"/>
  <c r="O2003" s="1"/>
  <c r="U2002"/>
  <c r="T2002"/>
  <c r="S2002"/>
  <c r="N2002"/>
  <c r="R2002" s="1"/>
  <c r="M2002"/>
  <c r="Q2002" s="1"/>
  <c r="L2002"/>
  <c r="P2002" s="1"/>
  <c r="K2002"/>
  <c r="O2002" s="1"/>
  <c r="U2001"/>
  <c r="T2001"/>
  <c r="S2001"/>
  <c r="N2001"/>
  <c r="R2001" s="1"/>
  <c r="M2001"/>
  <c r="Q2001" s="1"/>
  <c r="L2001"/>
  <c r="P2001" s="1"/>
  <c r="K2001"/>
  <c r="O2001" s="1"/>
  <c r="U2000"/>
  <c r="T2000"/>
  <c r="S2000"/>
  <c r="N2000"/>
  <c r="R2000" s="1"/>
  <c r="M2000"/>
  <c r="Q2000" s="1"/>
  <c r="L2000"/>
  <c r="P2000" s="1"/>
  <c r="K2000"/>
  <c r="O2000" s="1"/>
  <c r="U1999"/>
  <c r="T1999"/>
  <c r="S1999"/>
  <c r="N1999"/>
  <c r="R1999" s="1"/>
  <c r="M1999"/>
  <c r="Q1999" s="1"/>
  <c r="L1999"/>
  <c r="P1999" s="1"/>
  <c r="K1999"/>
  <c r="O1999" s="1"/>
  <c r="U1998"/>
  <c r="T1998"/>
  <c r="S1998"/>
  <c r="N1998"/>
  <c r="R1998" s="1"/>
  <c r="M1998"/>
  <c r="Q1998" s="1"/>
  <c r="L1998"/>
  <c r="P1998" s="1"/>
  <c r="K1998"/>
  <c r="O1998" s="1"/>
  <c r="U1997"/>
  <c r="T1997"/>
  <c r="S1997"/>
  <c r="N1997"/>
  <c r="R1997" s="1"/>
  <c r="M1997"/>
  <c r="Q1997" s="1"/>
  <c r="L1997"/>
  <c r="P1997" s="1"/>
  <c r="K1997"/>
  <c r="O1997" s="1"/>
  <c r="U1996"/>
  <c r="T1996"/>
  <c r="S1996"/>
  <c r="N1996"/>
  <c r="R1996" s="1"/>
  <c r="M1996"/>
  <c r="Q1996" s="1"/>
  <c r="L1996"/>
  <c r="P1996" s="1"/>
  <c r="K1996"/>
  <c r="O1996" s="1"/>
  <c r="U1995"/>
  <c r="T1995"/>
  <c r="S1995"/>
  <c r="N1995"/>
  <c r="R1995" s="1"/>
  <c r="M1995"/>
  <c r="Q1995" s="1"/>
  <c r="L1995"/>
  <c r="P1995" s="1"/>
  <c r="K1995"/>
  <c r="O1995" s="1"/>
  <c r="U1994"/>
  <c r="T1994"/>
  <c r="S1994"/>
  <c r="N1994"/>
  <c r="R1994" s="1"/>
  <c r="M1994"/>
  <c r="Q1994" s="1"/>
  <c r="L1994"/>
  <c r="P1994" s="1"/>
  <c r="K1994"/>
  <c r="O1994" s="1"/>
  <c r="U1993"/>
  <c r="T1993"/>
  <c r="S1993"/>
  <c r="N1993"/>
  <c r="R1993" s="1"/>
  <c r="M1993"/>
  <c r="Q1993" s="1"/>
  <c r="L1993"/>
  <c r="P1993" s="1"/>
  <c r="K1993"/>
  <c r="O1993" s="1"/>
  <c r="U1992"/>
  <c r="T1992"/>
  <c r="S1992"/>
  <c r="N1992"/>
  <c r="R1992" s="1"/>
  <c r="M1992"/>
  <c r="Q1992" s="1"/>
  <c r="L1992"/>
  <c r="P1992" s="1"/>
  <c r="K1992"/>
  <c r="O1992" s="1"/>
  <c r="U1991"/>
  <c r="T1991"/>
  <c r="S1991"/>
  <c r="N1991"/>
  <c r="R1991" s="1"/>
  <c r="M1991"/>
  <c r="Q1991" s="1"/>
  <c r="L1991"/>
  <c r="P1991" s="1"/>
  <c r="K1991"/>
  <c r="O1991" s="1"/>
  <c r="U1990"/>
  <c r="T1990"/>
  <c r="S1990"/>
  <c r="N1990"/>
  <c r="R1990" s="1"/>
  <c r="M1990"/>
  <c r="Q1990" s="1"/>
  <c r="L1990"/>
  <c r="P1990" s="1"/>
  <c r="K1990"/>
  <c r="O1990" s="1"/>
  <c r="U1989"/>
  <c r="T1989"/>
  <c r="S1989"/>
  <c r="N1989"/>
  <c r="R1989" s="1"/>
  <c r="M1989"/>
  <c r="Q1989" s="1"/>
  <c r="L1989"/>
  <c r="P1989" s="1"/>
  <c r="K1989"/>
  <c r="O1989" s="1"/>
  <c r="U1988"/>
  <c r="T1988"/>
  <c r="S1988"/>
  <c r="N1988"/>
  <c r="R1988" s="1"/>
  <c r="M1988"/>
  <c r="Q1988" s="1"/>
  <c r="L1988"/>
  <c r="P1988" s="1"/>
  <c r="K1988"/>
  <c r="O1988" s="1"/>
  <c r="U1987"/>
  <c r="T1987"/>
  <c r="S1987"/>
  <c r="N1987"/>
  <c r="R1987" s="1"/>
  <c r="M1987"/>
  <c r="Q1987" s="1"/>
  <c r="L1987"/>
  <c r="P1987" s="1"/>
  <c r="K1987"/>
  <c r="O1987" s="1"/>
  <c r="U1986"/>
  <c r="T1986"/>
  <c r="S1986"/>
  <c r="N1986"/>
  <c r="R1986" s="1"/>
  <c r="M1986"/>
  <c r="Q1986" s="1"/>
  <c r="L1986"/>
  <c r="P1986" s="1"/>
  <c r="K1986"/>
  <c r="O1986" s="1"/>
  <c r="U1985"/>
  <c r="T1985"/>
  <c r="S1985"/>
  <c r="N1985"/>
  <c r="R1985" s="1"/>
  <c r="M1985"/>
  <c r="Q1985" s="1"/>
  <c r="L1985"/>
  <c r="P1985" s="1"/>
  <c r="K1985"/>
  <c r="O1985" s="1"/>
  <c r="U1984"/>
  <c r="T1984"/>
  <c r="S1984"/>
  <c r="N1984"/>
  <c r="R1984" s="1"/>
  <c r="M1984"/>
  <c r="Q1984" s="1"/>
  <c r="L1984"/>
  <c r="P1984" s="1"/>
  <c r="K1984"/>
  <c r="O1984" s="1"/>
  <c r="U1983"/>
  <c r="T1983"/>
  <c r="S1983"/>
  <c r="N1983"/>
  <c r="R1983" s="1"/>
  <c r="M1983"/>
  <c r="Q1983" s="1"/>
  <c r="L1983"/>
  <c r="P1983" s="1"/>
  <c r="K1983"/>
  <c r="O1983" s="1"/>
  <c r="U1982"/>
  <c r="T1982"/>
  <c r="S1982"/>
  <c r="N1982"/>
  <c r="R1982" s="1"/>
  <c r="M1982"/>
  <c r="Q1982" s="1"/>
  <c r="L1982"/>
  <c r="P1982" s="1"/>
  <c r="K1982"/>
  <c r="O1982" s="1"/>
  <c r="U1981"/>
  <c r="T1981"/>
  <c r="S1981"/>
  <c r="N1981"/>
  <c r="R1981" s="1"/>
  <c r="M1981"/>
  <c r="Q1981" s="1"/>
  <c r="L1981"/>
  <c r="P1981" s="1"/>
  <c r="K1981"/>
  <c r="O1981" s="1"/>
  <c r="U1980"/>
  <c r="T1980"/>
  <c r="S1980"/>
  <c r="N1980"/>
  <c r="R1980" s="1"/>
  <c r="M1980"/>
  <c r="Q1980" s="1"/>
  <c r="L1980"/>
  <c r="P1980" s="1"/>
  <c r="K1980"/>
  <c r="O1980" s="1"/>
  <c r="U1979"/>
  <c r="T1979"/>
  <c r="S1979"/>
  <c r="N1979"/>
  <c r="R1979" s="1"/>
  <c r="M1979"/>
  <c r="Q1979" s="1"/>
  <c r="L1979"/>
  <c r="P1979" s="1"/>
  <c r="K1979"/>
  <c r="O1979" s="1"/>
  <c r="U1978"/>
  <c r="T1978"/>
  <c r="S1978"/>
  <c r="N1978"/>
  <c r="R1978" s="1"/>
  <c r="M1978"/>
  <c r="Q1978" s="1"/>
  <c r="L1978"/>
  <c r="P1978" s="1"/>
  <c r="K1978"/>
  <c r="O1978" s="1"/>
  <c r="U1977"/>
  <c r="T1977"/>
  <c r="S1977"/>
  <c r="N1977"/>
  <c r="R1977" s="1"/>
  <c r="M1977"/>
  <c r="Q1977" s="1"/>
  <c r="L1977"/>
  <c r="P1977" s="1"/>
  <c r="K1977"/>
  <c r="O1977" s="1"/>
  <c r="U1976"/>
  <c r="T1976"/>
  <c r="S1976"/>
  <c r="N1976"/>
  <c r="R1976" s="1"/>
  <c r="M1976"/>
  <c r="Q1976" s="1"/>
  <c r="L1976"/>
  <c r="P1976" s="1"/>
  <c r="K1976"/>
  <c r="O1976" s="1"/>
  <c r="U1975"/>
  <c r="T1975"/>
  <c r="S1975"/>
  <c r="N1975"/>
  <c r="R1975" s="1"/>
  <c r="M1975"/>
  <c r="Q1975" s="1"/>
  <c r="L1975"/>
  <c r="P1975" s="1"/>
  <c r="K1975"/>
  <c r="O1975" s="1"/>
  <c r="U1974"/>
  <c r="T1974"/>
  <c r="S1974"/>
  <c r="N1974"/>
  <c r="R1974" s="1"/>
  <c r="M1974"/>
  <c r="Q1974" s="1"/>
  <c r="L1974"/>
  <c r="P1974" s="1"/>
  <c r="K1974"/>
  <c r="O1974" s="1"/>
  <c r="U1973"/>
  <c r="T1973"/>
  <c r="S1973"/>
  <c r="N1973"/>
  <c r="R1973" s="1"/>
  <c r="M1973"/>
  <c r="Q1973" s="1"/>
  <c r="L1973"/>
  <c r="P1973" s="1"/>
  <c r="K1973"/>
  <c r="O1973" s="1"/>
  <c r="U1972"/>
  <c r="T1972"/>
  <c r="S1972"/>
  <c r="N1972"/>
  <c r="R1972" s="1"/>
  <c r="M1972"/>
  <c r="Q1972" s="1"/>
  <c r="L1972"/>
  <c r="P1972" s="1"/>
  <c r="K1972"/>
  <c r="O1972" s="1"/>
  <c r="U1971"/>
  <c r="T1971"/>
  <c r="S1971"/>
  <c r="N1971"/>
  <c r="R1971" s="1"/>
  <c r="M1971"/>
  <c r="Q1971" s="1"/>
  <c r="L1971"/>
  <c r="P1971" s="1"/>
  <c r="K1971"/>
  <c r="O1971" s="1"/>
  <c r="U1970"/>
  <c r="T1970"/>
  <c r="S1970"/>
  <c r="N1970"/>
  <c r="R1970" s="1"/>
  <c r="M1970"/>
  <c r="Q1970" s="1"/>
  <c r="L1970"/>
  <c r="P1970" s="1"/>
  <c r="K1970"/>
  <c r="O1970" s="1"/>
  <c r="U1969"/>
  <c r="T1969"/>
  <c r="S1969"/>
  <c r="N1969"/>
  <c r="R1969" s="1"/>
  <c r="M1969"/>
  <c r="Q1969" s="1"/>
  <c r="L1969"/>
  <c r="P1969" s="1"/>
  <c r="K1969"/>
  <c r="O1969" s="1"/>
  <c r="U1968"/>
  <c r="T1968"/>
  <c r="S1968"/>
  <c r="N1968"/>
  <c r="R1968" s="1"/>
  <c r="M1968"/>
  <c r="Q1968" s="1"/>
  <c r="L1968"/>
  <c r="P1968" s="1"/>
  <c r="K1968"/>
  <c r="O1968" s="1"/>
  <c r="U1967"/>
  <c r="T1967"/>
  <c r="S1967"/>
  <c r="N1967"/>
  <c r="R1967" s="1"/>
  <c r="M1967"/>
  <c r="Q1967" s="1"/>
  <c r="L1967"/>
  <c r="P1967" s="1"/>
  <c r="K1967"/>
  <c r="O1967" s="1"/>
  <c r="U1966"/>
  <c r="T1966"/>
  <c r="S1966"/>
  <c r="N1966"/>
  <c r="R1966" s="1"/>
  <c r="M1966"/>
  <c r="Q1966" s="1"/>
  <c r="L1966"/>
  <c r="P1966" s="1"/>
  <c r="K1966"/>
  <c r="O1966" s="1"/>
  <c r="U1965"/>
  <c r="T1965"/>
  <c r="S1965"/>
  <c r="N1965"/>
  <c r="R1965" s="1"/>
  <c r="M1965"/>
  <c r="Q1965" s="1"/>
  <c r="L1965"/>
  <c r="P1965" s="1"/>
  <c r="K1965"/>
  <c r="O1965" s="1"/>
  <c r="U1964"/>
  <c r="T1964"/>
  <c r="S1964"/>
  <c r="N1964"/>
  <c r="R1964" s="1"/>
  <c r="M1964"/>
  <c r="Q1964" s="1"/>
  <c r="L1964"/>
  <c r="P1964" s="1"/>
  <c r="K1964"/>
  <c r="O1964" s="1"/>
  <c r="U1963"/>
  <c r="T1963"/>
  <c r="S1963"/>
  <c r="N1963"/>
  <c r="R1963" s="1"/>
  <c r="M1963"/>
  <c r="Q1963" s="1"/>
  <c r="L1963"/>
  <c r="P1963" s="1"/>
  <c r="K1963"/>
  <c r="O1963" s="1"/>
  <c r="U1962"/>
  <c r="T1962"/>
  <c r="S1962"/>
  <c r="N1962"/>
  <c r="R1962" s="1"/>
  <c r="M1962"/>
  <c r="Q1962" s="1"/>
  <c r="L1962"/>
  <c r="P1962" s="1"/>
  <c r="K1962"/>
  <c r="O1962" s="1"/>
  <c r="U1961"/>
  <c r="T1961"/>
  <c r="S1961"/>
  <c r="N1961"/>
  <c r="R1961" s="1"/>
  <c r="M1961"/>
  <c r="Q1961" s="1"/>
  <c r="L1961"/>
  <c r="P1961" s="1"/>
  <c r="K1961"/>
  <c r="O1961" s="1"/>
  <c r="U1960"/>
  <c r="T1960"/>
  <c r="S1960"/>
  <c r="N1960"/>
  <c r="R1960" s="1"/>
  <c r="M1960"/>
  <c r="Q1960" s="1"/>
  <c r="L1960"/>
  <c r="P1960" s="1"/>
  <c r="K1960"/>
  <c r="O1960" s="1"/>
  <c r="U1959"/>
  <c r="T1959"/>
  <c r="S1959"/>
  <c r="N1959"/>
  <c r="R1959" s="1"/>
  <c r="M1959"/>
  <c r="Q1959" s="1"/>
  <c r="L1959"/>
  <c r="P1959" s="1"/>
  <c r="K1959"/>
  <c r="O1959" s="1"/>
  <c r="U1958"/>
  <c r="T1958"/>
  <c r="S1958"/>
  <c r="N1958"/>
  <c r="R1958" s="1"/>
  <c r="M1958"/>
  <c r="Q1958" s="1"/>
  <c r="L1958"/>
  <c r="P1958" s="1"/>
  <c r="K1958"/>
  <c r="O1958" s="1"/>
  <c r="U1957"/>
  <c r="T1957"/>
  <c r="S1957"/>
  <c r="N1957"/>
  <c r="R1957" s="1"/>
  <c r="M1957"/>
  <c r="Q1957" s="1"/>
  <c r="L1957"/>
  <c r="P1957" s="1"/>
  <c r="K1957"/>
  <c r="O1957" s="1"/>
  <c r="U1956"/>
  <c r="T1956"/>
  <c r="S1956"/>
  <c r="N1956"/>
  <c r="R1956" s="1"/>
  <c r="M1956"/>
  <c r="Q1956" s="1"/>
  <c r="L1956"/>
  <c r="P1956" s="1"/>
  <c r="K1956"/>
  <c r="O1956" s="1"/>
  <c r="U1955"/>
  <c r="T1955"/>
  <c r="S1955"/>
  <c r="N1955"/>
  <c r="R1955" s="1"/>
  <c r="M1955"/>
  <c r="Q1955" s="1"/>
  <c r="L1955"/>
  <c r="P1955" s="1"/>
  <c r="K1955"/>
  <c r="O1955" s="1"/>
  <c r="U1954"/>
  <c r="T1954"/>
  <c r="S1954"/>
  <c r="N1954"/>
  <c r="R1954" s="1"/>
  <c r="M1954"/>
  <c r="Q1954" s="1"/>
  <c r="L1954"/>
  <c r="P1954" s="1"/>
  <c r="K1954"/>
  <c r="O1954" s="1"/>
  <c r="U1953"/>
  <c r="T1953"/>
  <c r="S1953"/>
  <c r="N1953"/>
  <c r="R1953" s="1"/>
  <c r="M1953"/>
  <c r="Q1953" s="1"/>
  <c r="L1953"/>
  <c r="P1953" s="1"/>
  <c r="K1953"/>
  <c r="O1953" s="1"/>
  <c r="U1952"/>
  <c r="T1952"/>
  <c r="S1952"/>
  <c r="N1952"/>
  <c r="R1952" s="1"/>
  <c r="M1952"/>
  <c r="Q1952" s="1"/>
  <c r="L1952"/>
  <c r="P1952" s="1"/>
  <c r="K1952"/>
  <c r="O1952" s="1"/>
  <c r="U1951"/>
  <c r="T1951"/>
  <c r="S1951"/>
  <c r="N1951"/>
  <c r="R1951" s="1"/>
  <c r="M1951"/>
  <c r="Q1951" s="1"/>
  <c r="L1951"/>
  <c r="P1951" s="1"/>
  <c r="K1951"/>
  <c r="O1951" s="1"/>
  <c r="U1950"/>
  <c r="T1950"/>
  <c r="S1950"/>
  <c r="N1950"/>
  <c r="R1950" s="1"/>
  <c r="M1950"/>
  <c r="Q1950" s="1"/>
  <c r="L1950"/>
  <c r="P1950" s="1"/>
  <c r="K1950"/>
  <c r="O1950" s="1"/>
  <c r="U1949"/>
  <c r="T1949"/>
  <c r="S1949"/>
  <c r="N1949"/>
  <c r="R1949" s="1"/>
  <c r="M1949"/>
  <c r="Q1949" s="1"/>
  <c r="L1949"/>
  <c r="P1949" s="1"/>
  <c r="K1949"/>
  <c r="O1949" s="1"/>
  <c r="U1948"/>
  <c r="T1948"/>
  <c r="S1948"/>
  <c r="N1948"/>
  <c r="R1948" s="1"/>
  <c r="M1948"/>
  <c r="Q1948" s="1"/>
  <c r="L1948"/>
  <c r="P1948" s="1"/>
  <c r="K1948"/>
  <c r="O1948" s="1"/>
  <c r="U1947"/>
  <c r="T1947"/>
  <c r="S1947"/>
  <c r="N1947"/>
  <c r="R1947" s="1"/>
  <c r="M1947"/>
  <c r="Q1947" s="1"/>
  <c r="L1947"/>
  <c r="P1947" s="1"/>
  <c r="K1947"/>
  <c r="O1947" s="1"/>
  <c r="U1946"/>
  <c r="T1946"/>
  <c r="S1946"/>
  <c r="N1946"/>
  <c r="R1946" s="1"/>
  <c r="M1946"/>
  <c r="Q1946" s="1"/>
  <c r="L1946"/>
  <c r="P1946" s="1"/>
  <c r="K1946"/>
  <c r="O1946" s="1"/>
  <c r="U1945"/>
  <c r="T1945"/>
  <c r="S1945"/>
  <c r="N1945"/>
  <c r="R1945" s="1"/>
  <c r="M1945"/>
  <c r="Q1945" s="1"/>
  <c r="L1945"/>
  <c r="P1945" s="1"/>
  <c r="K1945"/>
  <c r="O1945" s="1"/>
  <c r="U1944"/>
  <c r="T1944"/>
  <c r="S1944"/>
  <c r="N1944"/>
  <c r="R1944" s="1"/>
  <c r="M1944"/>
  <c r="Q1944" s="1"/>
  <c r="L1944"/>
  <c r="P1944" s="1"/>
  <c r="K1944"/>
  <c r="O1944" s="1"/>
  <c r="U1943"/>
  <c r="T1943"/>
  <c r="S1943"/>
  <c r="N1943"/>
  <c r="R1943" s="1"/>
  <c r="M1943"/>
  <c r="Q1943" s="1"/>
  <c r="L1943"/>
  <c r="P1943" s="1"/>
  <c r="K1943"/>
  <c r="O1943" s="1"/>
  <c r="U1942"/>
  <c r="T1942"/>
  <c r="S1942"/>
  <c r="N1942"/>
  <c r="R1942" s="1"/>
  <c r="M1942"/>
  <c r="Q1942" s="1"/>
  <c r="L1942"/>
  <c r="P1942" s="1"/>
  <c r="K1942"/>
  <c r="O1942" s="1"/>
  <c r="U1941"/>
  <c r="T1941"/>
  <c r="S1941"/>
  <c r="N1941"/>
  <c r="R1941" s="1"/>
  <c r="M1941"/>
  <c r="Q1941" s="1"/>
  <c r="L1941"/>
  <c r="P1941" s="1"/>
  <c r="K1941"/>
  <c r="O1941" s="1"/>
  <c r="U1940"/>
  <c r="T1940"/>
  <c r="S1940"/>
  <c r="N1940"/>
  <c r="R1940" s="1"/>
  <c r="M1940"/>
  <c r="Q1940" s="1"/>
  <c r="L1940"/>
  <c r="P1940" s="1"/>
  <c r="K1940"/>
  <c r="O1940" s="1"/>
  <c r="U1939"/>
  <c r="T1939"/>
  <c r="S1939"/>
  <c r="N1939"/>
  <c r="R1939" s="1"/>
  <c r="M1939"/>
  <c r="Q1939" s="1"/>
  <c r="L1939"/>
  <c r="P1939" s="1"/>
  <c r="K1939"/>
  <c r="O1939" s="1"/>
  <c r="U1938"/>
  <c r="T1938"/>
  <c r="S1938"/>
  <c r="N1938"/>
  <c r="R1938" s="1"/>
  <c r="M1938"/>
  <c r="Q1938" s="1"/>
  <c r="L1938"/>
  <c r="P1938" s="1"/>
  <c r="K1938"/>
  <c r="O1938" s="1"/>
  <c r="U1937"/>
  <c r="T1937"/>
  <c r="S1937"/>
  <c r="N1937"/>
  <c r="R1937" s="1"/>
  <c r="M1937"/>
  <c r="Q1937" s="1"/>
  <c r="L1937"/>
  <c r="P1937" s="1"/>
  <c r="K1937"/>
  <c r="O1937" s="1"/>
  <c r="U1936"/>
  <c r="T1936"/>
  <c r="S1936"/>
  <c r="N1936"/>
  <c r="R1936" s="1"/>
  <c r="M1936"/>
  <c r="Q1936" s="1"/>
  <c r="L1936"/>
  <c r="P1936" s="1"/>
  <c r="K1936"/>
  <c r="O1936" s="1"/>
  <c r="U1935"/>
  <c r="T1935"/>
  <c r="S1935"/>
  <c r="N1935"/>
  <c r="R1935" s="1"/>
  <c r="M1935"/>
  <c r="Q1935" s="1"/>
  <c r="L1935"/>
  <c r="P1935" s="1"/>
  <c r="K1935"/>
  <c r="O1935" s="1"/>
  <c r="U1934"/>
  <c r="T1934"/>
  <c r="S1934"/>
  <c r="N1934"/>
  <c r="R1934" s="1"/>
  <c r="M1934"/>
  <c r="Q1934" s="1"/>
  <c r="L1934"/>
  <c r="P1934" s="1"/>
  <c r="K1934"/>
  <c r="O1934" s="1"/>
  <c r="U1933"/>
  <c r="T1933"/>
  <c r="S1933"/>
  <c r="N1933"/>
  <c r="R1933" s="1"/>
  <c r="M1933"/>
  <c r="Q1933" s="1"/>
  <c r="L1933"/>
  <c r="P1933" s="1"/>
  <c r="K1933"/>
  <c r="O1933" s="1"/>
  <c r="U1932"/>
  <c r="T1932"/>
  <c r="S1932"/>
  <c r="N1932"/>
  <c r="R1932" s="1"/>
  <c r="M1932"/>
  <c r="Q1932" s="1"/>
  <c r="L1932"/>
  <c r="P1932" s="1"/>
  <c r="K1932"/>
  <c r="O1932" s="1"/>
  <c r="U1931"/>
  <c r="T1931"/>
  <c r="S1931"/>
  <c r="N1931"/>
  <c r="R1931" s="1"/>
  <c r="M1931"/>
  <c r="Q1931" s="1"/>
  <c r="L1931"/>
  <c r="P1931" s="1"/>
  <c r="K1931"/>
  <c r="O1931" s="1"/>
  <c r="U1930"/>
  <c r="T1930"/>
  <c r="S1930"/>
  <c r="N1930"/>
  <c r="R1930" s="1"/>
  <c r="M1930"/>
  <c r="Q1930" s="1"/>
  <c r="L1930"/>
  <c r="P1930" s="1"/>
  <c r="K1930"/>
  <c r="O1930" s="1"/>
  <c r="U1929"/>
  <c r="T1929"/>
  <c r="S1929"/>
  <c r="N1929"/>
  <c r="R1929" s="1"/>
  <c r="M1929"/>
  <c r="Q1929" s="1"/>
  <c r="L1929"/>
  <c r="P1929" s="1"/>
  <c r="K1929"/>
  <c r="O1929" s="1"/>
  <c r="U1928"/>
  <c r="T1928"/>
  <c r="S1928"/>
  <c r="N1928"/>
  <c r="R1928" s="1"/>
  <c r="M1928"/>
  <c r="Q1928" s="1"/>
  <c r="L1928"/>
  <c r="P1928" s="1"/>
  <c r="K1928"/>
  <c r="O1928" s="1"/>
  <c r="U1927"/>
  <c r="T1927"/>
  <c r="S1927"/>
  <c r="N1927"/>
  <c r="R1927" s="1"/>
  <c r="M1927"/>
  <c r="Q1927" s="1"/>
  <c r="L1927"/>
  <c r="P1927" s="1"/>
  <c r="K1927"/>
  <c r="O1927" s="1"/>
  <c r="U1926"/>
  <c r="T1926"/>
  <c r="S1926"/>
  <c r="N1926"/>
  <c r="R1926" s="1"/>
  <c r="M1926"/>
  <c r="Q1926" s="1"/>
  <c r="L1926"/>
  <c r="P1926" s="1"/>
  <c r="K1926"/>
  <c r="O1926" s="1"/>
  <c r="U1925"/>
  <c r="T1925"/>
  <c r="S1925"/>
  <c r="N1925"/>
  <c r="R1925" s="1"/>
  <c r="M1925"/>
  <c r="Q1925" s="1"/>
  <c r="L1925"/>
  <c r="P1925" s="1"/>
  <c r="K1925"/>
  <c r="O1925" s="1"/>
  <c r="U1924"/>
  <c r="T1924"/>
  <c r="S1924"/>
  <c r="N1924"/>
  <c r="R1924" s="1"/>
  <c r="M1924"/>
  <c r="Q1924" s="1"/>
  <c r="L1924"/>
  <c r="P1924" s="1"/>
  <c r="K1924"/>
  <c r="O1924" s="1"/>
  <c r="U1923"/>
  <c r="T1923"/>
  <c r="S1923"/>
  <c r="N1923"/>
  <c r="R1923" s="1"/>
  <c r="M1923"/>
  <c r="Q1923" s="1"/>
  <c r="L1923"/>
  <c r="P1923" s="1"/>
  <c r="K1923"/>
  <c r="O1923" s="1"/>
  <c r="U1922"/>
  <c r="T1922"/>
  <c r="S1922"/>
  <c r="N1922"/>
  <c r="R1922" s="1"/>
  <c r="M1922"/>
  <c r="Q1922" s="1"/>
  <c r="L1922"/>
  <c r="P1922" s="1"/>
  <c r="K1922"/>
  <c r="O1922" s="1"/>
  <c r="U1921"/>
  <c r="T1921"/>
  <c r="S1921"/>
  <c r="N1921"/>
  <c r="R1921" s="1"/>
  <c r="M1921"/>
  <c r="Q1921" s="1"/>
  <c r="L1921"/>
  <c r="P1921" s="1"/>
  <c r="K1921"/>
  <c r="O1921" s="1"/>
  <c r="U1920"/>
  <c r="T1920"/>
  <c r="S1920"/>
  <c r="N1920"/>
  <c r="R1920" s="1"/>
  <c r="M1920"/>
  <c r="Q1920" s="1"/>
  <c r="L1920"/>
  <c r="P1920" s="1"/>
  <c r="K1920"/>
  <c r="O1920" s="1"/>
  <c r="U1919"/>
  <c r="T1919"/>
  <c r="S1919"/>
  <c r="N1919"/>
  <c r="R1919" s="1"/>
  <c r="M1919"/>
  <c r="Q1919" s="1"/>
  <c r="L1919"/>
  <c r="P1919" s="1"/>
  <c r="K1919"/>
  <c r="O1919" s="1"/>
  <c r="U1918"/>
  <c r="T1918"/>
  <c r="S1918"/>
  <c r="N1918"/>
  <c r="R1918" s="1"/>
  <c r="M1918"/>
  <c r="Q1918" s="1"/>
  <c r="L1918"/>
  <c r="P1918" s="1"/>
  <c r="K1918"/>
  <c r="O1918" s="1"/>
  <c r="U1917"/>
  <c r="T1917"/>
  <c r="S1917"/>
  <c r="N1917"/>
  <c r="R1917" s="1"/>
  <c r="M1917"/>
  <c r="Q1917" s="1"/>
  <c r="L1917"/>
  <c r="P1917" s="1"/>
  <c r="K1917"/>
  <c r="O1917" s="1"/>
  <c r="U1916"/>
  <c r="T1916"/>
  <c r="S1916"/>
  <c r="N1916"/>
  <c r="R1916" s="1"/>
  <c r="M1916"/>
  <c r="Q1916" s="1"/>
  <c r="L1916"/>
  <c r="P1916" s="1"/>
  <c r="K1916"/>
  <c r="O1916" s="1"/>
  <c r="U1915"/>
  <c r="T1915"/>
  <c r="S1915"/>
  <c r="N1915"/>
  <c r="R1915" s="1"/>
  <c r="M1915"/>
  <c r="Q1915" s="1"/>
  <c r="L1915"/>
  <c r="P1915" s="1"/>
  <c r="K1915"/>
  <c r="O1915" s="1"/>
  <c r="U1914"/>
  <c r="T1914"/>
  <c r="S1914"/>
  <c r="N1914"/>
  <c r="R1914" s="1"/>
  <c r="M1914"/>
  <c r="Q1914" s="1"/>
  <c r="L1914"/>
  <c r="P1914" s="1"/>
  <c r="K1914"/>
  <c r="O1914" s="1"/>
  <c r="U1913"/>
  <c r="T1913"/>
  <c r="S1913"/>
  <c r="N1913"/>
  <c r="R1913" s="1"/>
  <c r="M1913"/>
  <c r="Q1913" s="1"/>
  <c r="L1913"/>
  <c r="P1913" s="1"/>
  <c r="K1913"/>
  <c r="O1913" s="1"/>
  <c r="U1912"/>
  <c r="T1912"/>
  <c r="S1912"/>
  <c r="N1912"/>
  <c r="R1912" s="1"/>
  <c r="M1912"/>
  <c r="Q1912" s="1"/>
  <c r="L1912"/>
  <c r="P1912" s="1"/>
  <c r="K1912"/>
  <c r="O1912" s="1"/>
  <c r="U1911"/>
  <c r="T1911"/>
  <c r="S1911"/>
  <c r="N1911"/>
  <c r="R1911" s="1"/>
  <c r="M1911"/>
  <c r="Q1911" s="1"/>
  <c r="L1911"/>
  <c r="P1911" s="1"/>
  <c r="K1911"/>
  <c r="O1911" s="1"/>
  <c r="U1910"/>
  <c r="T1910"/>
  <c r="S1910"/>
  <c r="N1910"/>
  <c r="R1910" s="1"/>
  <c r="M1910"/>
  <c r="Q1910" s="1"/>
  <c r="L1910"/>
  <c r="P1910" s="1"/>
  <c r="K1910"/>
  <c r="O1910" s="1"/>
  <c r="U1909"/>
  <c r="T1909"/>
  <c r="S1909"/>
  <c r="N1909"/>
  <c r="R1909" s="1"/>
  <c r="M1909"/>
  <c r="Q1909" s="1"/>
  <c r="L1909"/>
  <c r="P1909" s="1"/>
  <c r="K1909"/>
  <c r="O1909" s="1"/>
  <c r="U1908"/>
  <c r="T1908"/>
  <c r="S1908"/>
  <c r="N1908"/>
  <c r="R1908" s="1"/>
  <c r="M1908"/>
  <c r="Q1908" s="1"/>
  <c r="L1908"/>
  <c r="P1908" s="1"/>
  <c r="K1908"/>
  <c r="O1908" s="1"/>
  <c r="U1907"/>
  <c r="T1907"/>
  <c r="S1907"/>
  <c r="N1907"/>
  <c r="R1907" s="1"/>
  <c r="M1907"/>
  <c r="Q1907" s="1"/>
  <c r="L1907"/>
  <c r="P1907" s="1"/>
  <c r="K1907"/>
  <c r="O1907" s="1"/>
  <c r="U1906"/>
  <c r="T1906"/>
  <c r="S1906"/>
  <c r="N1906"/>
  <c r="R1906" s="1"/>
  <c r="M1906"/>
  <c r="Q1906" s="1"/>
  <c r="L1906"/>
  <c r="P1906" s="1"/>
  <c r="K1906"/>
  <c r="O1906" s="1"/>
  <c r="U1905"/>
  <c r="T1905"/>
  <c r="S1905"/>
  <c r="N1905"/>
  <c r="R1905" s="1"/>
  <c r="M1905"/>
  <c r="Q1905" s="1"/>
  <c r="L1905"/>
  <c r="P1905" s="1"/>
  <c r="K1905"/>
  <c r="O1905" s="1"/>
  <c r="U1904"/>
  <c r="T1904"/>
  <c r="S1904"/>
  <c r="N1904"/>
  <c r="R1904" s="1"/>
  <c r="M1904"/>
  <c r="Q1904" s="1"/>
  <c r="L1904"/>
  <c r="P1904" s="1"/>
  <c r="K1904"/>
  <c r="O1904" s="1"/>
  <c r="U1903"/>
  <c r="T1903"/>
  <c r="S1903"/>
  <c r="N1903"/>
  <c r="R1903" s="1"/>
  <c r="M1903"/>
  <c r="Q1903" s="1"/>
  <c r="L1903"/>
  <c r="P1903" s="1"/>
  <c r="K1903"/>
  <c r="O1903" s="1"/>
  <c r="U1902"/>
  <c r="T1902"/>
  <c r="S1902"/>
  <c r="N1902"/>
  <c r="R1902" s="1"/>
  <c r="M1902"/>
  <c r="Q1902" s="1"/>
  <c r="L1902"/>
  <c r="P1902" s="1"/>
  <c r="K1902"/>
  <c r="O1902" s="1"/>
  <c r="U1901"/>
  <c r="T1901"/>
  <c r="S1901"/>
  <c r="N1901"/>
  <c r="R1901" s="1"/>
  <c r="M1901"/>
  <c r="Q1901" s="1"/>
  <c r="L1901"/>
  <c r="P1901" s="1"/>
  <c r="K1901"/>
  <c r="O1901" s="1"/>
  <c r="U1900"/>
  <c r="T1900"/>
  <c r="S1900"/>
  <c r="N1900"/>
  <c r="R1900" s="1"/>
  <c r="M1900"/>
  <c r="Q1900" s="1"/>
  <c r="L1900"/>
  <c r="P1900" s="1"/>
  <c r="K1900"/>
  <c r="O1900" s="1"/>
  <c r="U1899"/>
  <c r="T1899"/>
  <c r="S1899"/>
  <c r="N1899"/>
  <c r="R1899" s="1"/>
  <c r="M1899"/>
  <c r="Q1899" s="1"/>
  <c r="L1899"/>
  <c r="P1899" s="1"/>
  <c r="K1899"/>
  <c r="O1899" s="1"/>
  <c r="U1898"/>
  <c r="T1898"/>
  <c r="S1898"/>
  <c r="N1898"/>
  <c r="R1898" s="1"/>
  <c r="M1898"/>
  <c r="Q1898" s="1"/>
  <c r="L1898"/>
  <c r="P1898" s="1"/>
  <c r="K1898"/>
  <c r="O1898" s="1"/>
  <c r="U1897"/>
  <c r="T1897"/>
  <c r="S1897"/>
  <c r="N1897"/>
  <c r="R1897" s="1"/>
  <c r="M1897"/>
  <c r="Q1897" s="1"/>
  <c r="L1897"/>
  <c r="P1897" s="1"/>
  <c r="K1897"/>
  <c r="O1897" s="1"/>
  <c r="U1896"/>
  <c r="T1896"/>
  <c r="S1896"/>
  <c r="N1896"/>
  <c r="R1896" s="1"/>
  <c r="M1896"/>
  <c r="Q1896" s="1"/>
  <c r="L1896"/>
  <c r="P1896" s="1"/>
  <c r="K1896"/>
  <c r="O1896" s="1"/>
  <c r="U1895"/>
  <c r="T1895"/>
  <c r="S1895"/>
  <c r="N1895"/>
  <c r="R1895" s="1"/>
  <c r="M1895"/>
  <c r="Q1895" s="1"/>
  <c r="L1895"/>
  <c r="P1895" s="1"/>
  <c r="K1895"/>
  <c r="O1895" s="1"/>
  <c r="U1894"/>
  <c r="T1894"/>
  <c r="S1894"/>
  <c r="N1894"/>
  <c r="R1894" s="1"/>
  <c r="M1894"/>
  <c r="Q1894" s="1"/>
  <c r="L1894"/>
  <c r="P1894" s="1"/>
  <c r="K1894"/>
  <c r="O1894" s="1"/>
  <c r="U1893"/>
  <c r="T1893"/>
  <c r="S1893"/>
  <c r="N1893"/>
  <c r="R1893" s="1"/>
  <c r="M1893"/>
  <c r="Q1893" s="1"/>
  <c r="L1893"/>
  <c r="P1893" s="1"/>
  <c r="K1893"/>
  <c r="O1893" s="1"/>
  <c r="U1892"/>
  <c r="T1892"/>
  <c r="S1892"/>
  <c r="N1892"/>
  <c r="R1892" s="1"/>
  <c r="M1892"/>
  <c r="Q1892" s="1"/>
  <c r="L1892"/>
  <c r="P1892" s="1"/>
  <c r="K1892"/>
  <c r="O1892" s="1"/>
  <c r="U1891"/>
  <c r="T1891"/>
  <c r="S1891"/>
  <c r="N1891"/>
  <c r="R1891" s="1"/>
  <c r="M1891"/>
  <c r="Q1891" s="1"/>
  <c r="L1891"/>
  <c r="P1891" s="1"/>
  <c r="K1891"/>
  <c r="O1891" s="1"/>
  <c r="U1890"/>
  <c r="T1890"/>
  <c r="S1890"/>
  <c r="N1890"/>
  <c r="R1890" s="1"/>
  <c r="M1890"/>
  <c r="Q1890" s="1"/>
  <c r="L1890"/>
  <c r="P1890" s="1"/>
  <c r="K1890"/>
  <c r="O1890" s="1"/>
  <c r="U1889"/>
  <c r="T1889"/>
  <c r="S1889"/>
  <c r="N1889"/>
  <c r="R1889" s="1"/>
  <c r="M1889"/>
  <c r="Q1889" s="1"/>
  <c r="L1889"/>
  <c r="P1889" s="1"/>
  <c r="K1889"/>
  <c r="O1889" s="1"/>
  <c r="U1888"/>
  <c r="T1888"/>
  <c r="S1888"/>
  <c r="N1888"/>
  <c r="R1888" s="1"/>
  <c r="M1888"/>
  <c r="Q1888" s="1"/>
  <c r="L1888"/>
  <c r="P1888" s="1"/>
  <c r="K1888"/>
  <c r="O1888" s="1"/>
  <c r="U1887"/>
  <c r="T1887"/>
  <c r="S1887"/>
  <c r="N1887"/>
  <c r="R1887" s="1"/>
  <c r="M1887"/>
  <c r="Q1887" s="1"/>
  <c r="L1887"/>
  <c r="P1887" s="1"/>
  <c r="K1887"/>
  <c r="O1887" s="1"/>
  <c r="U1886"/>
  <c r="T1886"/>
  <c r="S1886"/>
  <c r="N1886"/>
  <c r="R1886" s="1"/>
  <c r="M1886"/>
  <c r="Q1886" s="1"/>
  <c r="L1886"/>
  <c r="P1886" s="1"/>
  <c r="K1886"/>
  <c r="O1886" s="1"/>
  <c r="U1885"/>
  <c r="T1885"/>
  <c r="S1885"/>
  <c r="N1885"/>
  <c r="R1885" s="1"/>
  <c r="M1885"/>
  <c r="Q1885" s="1"/>
  <c r="L1885"/>
  <c r="P1885" s="1"/>
  <c r="K1885"/>
  <c r="O1885" s="1"/>
  <c r="U1884"/>
  <c r="T1884"/>
  <c r="S1884"/>
  <c r="N1884"/>
  <c r="R1884" s="1"/>
  <c r="M1884"/>
  <c r="Q1884" s="1"/>
  <c r="L1884"/>
  <c r="P1884" s="1"/>
  <c r="K1884"/>
  <c r="O1884" s="1"/>
  <c r="U1883"/>
  <c r="T1883"/>
  <c r="S1883"/>
  <c r="N1883"/>
  <c r="R1883" s="1"/>
  <c r="M1883"/>
  <c r="Q1883" s="1"/>
  <c r="L1883"/>
  <c r="P1883" s="1"/>
  <c r="K1883"/>
  <c r="O1883" s="1"/>
  <c r="U1882"/>
  <c r="T1882"/>
  <c r="S1882"/>
  <c r="N1882"/>
  <c r="R1882" s="1"/>
  <c r="M1882"/>
  <c r="Q1882" s="1"/>
  <c r="L1882"/>
  <c r="P1882" s="1"/>
  <c r="K1882"/>
  <c r="O1882" s="1"/>
  <c r="U1881"/>
  <c r="T1881"/>
  <c r="S1881"/>
  <c r="N1881"/>
  <c r="R1881" s="1"/>
  <c r="M1881"/>
  <c r="Q1881" s="1"/>
  <c r="L1881"/>
  <c r="P1881" s="1"/>
  <c r="K1881"/>
  <c r="O1881" s="1"/>
  <c r="U1880"/>
  <c r="T1880"/>
  <c r="S1880"/>
  <c r="N1880"/>
  <c r="R1880" s="1"/>
  <c r="M1880"/>
  <c r="Q1880" s="1"/>
  <c r="L1880"/>
  <c r="P1880" s="1"/>
  <c r="K1880"/>
  <c r="O1880" s="1"/>
  <c r="U1879"/>
  <c r="T1879"/>
  <c r="S1879"/>
  <c r="N1879"/>
  <c r="R1879" s="1"/>
  <c r="M1879"/>
  <c r="Q1879" s="1"/>
  <c r="L1879"/>
  <c r="P1879" s="1"/>
  <c r="K1879"/>
  <c r="O1879" s="1"/>
  <c r="U1878"/>
  <c r="T1878"/>
  <c r="S1878"/>
  <c r="N1878"/>
  <c r="R1878" s="1"/>
  <c r="M1878"/>
  <c r="Q1878" s="1"/>
  <c r="L1878"/>
  <c r="P1878" s="1"/>
  <c r="K1878"/>
  <c r="O1878" s="1"/>
  <c r="U1877"/>
  <c r="T1877"/>
  <c r="S1877"/>
  <c r="N1877"/>
  <c r="R1877" s="1"/>
  <c r="M1877"/>
  <c r="Q1877" s="1"/>
  <c r="L1877"/>
  <c r="P1877" s="1"/>
  <c r="K1877"/>
  <c r="O1877" s="1"/>
  <c r="U1876"/>
  <c r="T1876"/>
  <c r="S1876"/>
  <c r="N1876"/>
  <c r="R1876" s="1"/>
  <c r="M1876"/>
  <c r="Q1876" s="1"/>
  <c r="L1876"/>
  <c r="P1876" s="1"/>
  <c r="K1876"/>
  <c r="O1876" s="1"/>
  <c r="U1875"/>
  <c r="T1875"/>
  <c r="S1875"/>
  <c r="N1875"/>
  <c r="R1875" s="1"/>
  <c r="M1875"/>
  <c r="Q1875" s="1"/>
  <c r="L1875"/>
  <c r="P1875" s="1"/>
  <c r="K1875"/>
  <c r="O1875" s="1"/>
  <c r="U1874"/>
  <c r="T1874"/>
  <c r="S1874"/>
  <c r="N1874"/>
  <c r="R1874" s="1"/>
  <c r="M1874"/>
  <c r="Q1874" s="1"/>
  <c r="L1874"/>
  <c r="P1874" s="1"/>
  <c r="K1874"/>
  <c r="O1874" s="1"/>
  <c r="U1873"/>
  <c r="T1873"/>
  <c r="S1873"/>
  <c r="N1873"/>
  <c r="R1873" s="1"/>
  <c r="M1873"/>
  <c r="Q1873" s="1"/>
  <c r="L1873"/>
  <c r="P1873" s="1"/>
  <c r="K1873"/>
  <c r="O1873" s="1"/>
  <c r="U1872"/>
  <c r="T1872"/>
  <c r="S1872"/>
  <c r="N1872"/>
  <c r="R1872" s="1"/>
  <c r="M1872"/>
  <c r="Q1872" s="1"/>
  <c r="L1872"/>
  <c r="P1872" s="1"/>
  <c r="K1872"/>
  <c r="O1872" s="1"/>
  <c r="U1871"/>
  <c r="T1871"/>
  <c r="S1871"/>
  <c r="N1871"/>
  <c r="R1871" s="1"/>
  <c r="M1871"/>
  <c r="Q1871" s="1"/>
  <c r="L1871"/>
  <c r="P1871" s="1"/>
  <c r="K1871"/>
  <c r="O1871" s="1"/>
  <c r="U1870"/>
  <c r="T1870"/>
  <c r="S1870"/>
  <c r="N1870"/>
  <c r="R1870" s="1"/>
  <c r="M1870"/>
  <c r="Q1870" s="1"/>
  <c r="L1870"/>
  <c r="P1870" s="1"/>
  <c r="K1870"/>
  <c r="O1870" s="1"/>
  <c r="U1869"/>
  <c r="T1869"/>
  <c r="S1869"/>
  <c r="N1869"/>
  <c r="R1869" s="1"/>
  <c r="M1869"/>
  <c r="Q1869" s="1"/>
  <c r="L1869"/>
  <c r="P1869" s="1"/>
  <c r="K1869"/>
  <c r="O1869" s="1"/>
  <c r="U1868"/>
  <c r="T1868"/>
  <c r="S1868"/>
  <c r="N1868"/>
  <c r="R1868" s="1"/>
  <c r="M1868"/>
  <c r="Q1868" s="1"/>
  <c r="L1868"/>
  <c r="P1868" s="1"/>
  <c r="K1868"/>
  <c r="O1868" s="1"/>
  <c r="U1867"/>
  <c r="T1867"/>
  <c r="S1867"/>
  <c r="N1867"/>
  <c r="R1867" s="1"/>
  <c r="M1867"/>
  <c r="Q1867" s="1"/>
  <c r="L1867"/>
  <c r="P1867" s="1"/>
  <c r="K1867"/>
  <c r="O1867" s="1"/>
  <c r="U1866"/>
  <c r="T1866"/>
  <c r="S1866"/>
  <c r="N1866"/>
  <c r="R1866" s="1"/>
  <c r="M1866"/>
  <c r="Q1866" s="1"/>
  <c r="L1866"/>
  <c r="P1866" s="1"/>
  <c r="K1866"/>
  <c r="O1866" s="1"/>
  <c r="U1865"/>
  <c r="T1865"/>
  <c r="S1865"/>
  <c r="N1865"/>
  <c r="R1865" s="1"/>
  <c r="M1865"/>
  <c r="Q1865" s="1"/>
  <c r="L1865"/>
  <c r="P1865" s="1"/>
  <c r="K1865"/>
  <c r="O1865" s="1"/>
  <c r="U1864"/>
  <c r="T1864"/>
  <c r="S1864"/>
  <c r="N1864"/>
  <c r="R1864" s="1"/>
  <c r="M1864"/>
  <c r="Q1864" s="1"/>
  <c r="L1864"/>
  <c r="P1864" s="1"/>
  <c r="K1864"/>
  <c r="O1864" s="1"/>
  <c r="U1863"/>
  <c r="T1863"/>
  <c r="S1863"/>
  <c r="N1863"/>
  <c r="R1863" s="1"/>
  <c r="M1863"/>
  <c r="Q1863" s="1"/>
  <c r="L1863"/>
  <c r="P1863" s="1"/>
  <c r="K1863"/>
  <c r="O1863" s="1"/>
  <c r="U1862"/>
  <c r="T1862"/>
  <c r="S1862"/>
  <c r="N1862"/>
  <c r="R1862" s="1"/>
  <c r="M1862"/>
  <c r="Q1862" s="1"/>
  <c r="L1862"/>
  <c r="P1862" s="1"/>
  <c r="K1862"/>
  <c r="O1862" s="1"/>
  <c r="U1861"/>
  <c r="T1861"/>
  <c r="S1861"/>
  <c r="N1861"/>
  <c r="R1861" s="1"/>
  <c r="M1861"/>
  <c r="Q1861" s="1"/>
  <c r="L1861"/>
  <c r="P1861" s="1"/>
  <c r="K1861"/>
  <c r="O1861" s="1"/>
  <c r="U1860"/>
  <c r="T1860"/>
  <c r="S1860"/>
  <c r="N1860"/>
  <c r="R1860" s="1"/>
  <c r="M1860"/>
  <c r="Q1860" s="1"/>
  <c r="L1860"/>
  <c r="P1860" s="1"/>
  <c r="K1860"/>
  <c r="O1860" s="1"/>
  <c r="U1859"/>
  <c r="T1859"/>
  <c r="S1859"/>
  <c r="N1859"/>
  <c r="R1859" s="1"/>
  <c r="M1859"/>
  <c r="Q1859" s="1"/>
  <c r="L1859"/>
  <c r="P1859" s="1"/>
  <c r="K1859"/>
  <c r="O1859" s="1"/>
  <c r="U1858"/>
  <c r="T1858"/>
  <c r="S1858"/>
  <c r="N1858"/>
  <c r="R1858" s="1"/>
  <c r="M1858"/>
  <c r="Q1858" s="1"/>
  <c r="L1858"/>
  <c r="P1858" s="1"/>
  <c r="K1858"/>
  <c r="O1858" s="1"/>
  <c r="U1857"/>
  <c r="T1857"/>
  <c r="S1857"/>
  <c r="N1857"/>
  <c r="R1857" s="1"/>
  <c r="M1857"/>
  <c r="Q1857" s="1"/>
  <c r="L1857"/>
  <c r="P1857" s="1"/>
  <c r="K1857"/>
  <c r="O1857" s="1"/>
  <c r="U1856"/>
  <c r="T1856"/>
  <c r="S1856"/>
  <c r="N1856"/>
  <c r="R1856" s="1"/>
  <c r="M1856"/>
  <c r="Q1856" s="1"/>
  <c r="L1856"/>
  <c r="P1856" s="1"/>
  <c r="K1856"/>
  <c r="O1856" s="1"/>
  <c r="U1855"/>
  <c r="T1855"/>
  <c r="S1855"/>
  <c r="N1855"/>
  <c r="R1855" s="1"/>
  <c r="M1855"/>
  <c r="Q1855" s="1"/>
  <c r="L1855"/>
  <c r="P1855" s="1"/>
  <c r="K1855"/>
  <c r="O1855" s="1"/>
  <c r="U1854"/>
  <c r="T1854"/>
  <c r="S1854"/>
  <c r="N1854"/>
  <c r="R1854" s="1"/>
  <c r="M1854"/>
  <c r="Q1854" s="1"/>
  <c r="L1854"/>
  <c r="P1854" s="1"/>
  <c r="K1854"/>
  <c r="O1854" s="1"/>
  <c r="U1853"/>
  <c r="T1853"/>
  <c r="S1853"/>
  <c r="N1853"/>
  <c r="R1853" s="1"/>
  <c r="M1853"/>
  <c r="Q1853" s="1"/>
  <c r="L1853"/>
  <c r="P1853" s="1"/>
  <c r="K1853"/>
  <c r="O1853" s="1"/>
  <c r="U1852"/>
  <c r="T1852"/>
  <c r="S1852"/>
  <c r="N1852"/>
  <c r="R1852" s="1"/>
  <c r="M1852"/>
  <c r="Q1852" s="1"/>
  <c r="L1852"/>
  <c r="P1852" s="1"/>
  <c r="K1852"/>
  <c r="O1852" s="1"/>
  <c r="U1851"/>
  <c r="T1851"/>
  <c r="S1851"/>
  <c r="N1851"/>
  <c r="R1851" s="1"/>
  <c r="M1851"/>
  <c r="Q1851" s="1"/>
  <c r="L1851"/>
  <c r="P1851" s="1"/>
  <c r="K1851"/>
  <c r="O1851" s="1"/>
  <c r="U1850"/>
  <c r="T1850"/>
  <c r="S1850"/>
  <c r="N1850"/>
  <c r="R1850" s="1"/>
  <c r="M1850"/>
  <c r="Q1850" s="1"/>
  <c r="L1850"/>
  <c r="P1850" s="1"/>
  <c r="K1850"/>
  <c r="O1850" s="1"/>
  <c r="U1849"/>
  <c r="T1849"/>
  <c r="S1849"/>
  <c r="N1849"/>
  <c r="R1849" s="1"/>
  <c r="M1849"/>
  <c r="Q1849" s="1"/>
  <c r="L1849"/>
  <c r="P1849" s="1"/>
  <c r="K1849"/>
  <c r="O1849" s="1"/>
  <c r="U1848"/>
  <c r="T1848"/>
  <c r="S1848"/>
  <c r="N1848"/>
  <c r="R1848" s="1"/>
  <c r="M1848"/>
  <c r="Q1848" s="1"/>
  <c r="L1848"/>
  <c r="P1848" s="1"/>
  <c r="K1848"/>
  <c r="O1848" s="1"/>
  <c r="U1847"/>
  <c r="T1847"/>
  <c r="S1847"/>
  <c r="N1847"/>
  <c r="R1847" s="1"/>
  <c r="M1847"/>
  <c r="Q1847" s="1"/>
  <c r="L1847"/>
  <c r="P1847" s="1"/>
  <c r="K1847"/>
  <c r="O1847" s="1"/>
  <c r="U1846"/>
  <c r="T1846"/>
  <c r="S1846"/>
  <c r="N1846"/>
  <c r="R1846" s="1"/>
  <c r="M1846"/>
  <c r="Q1846" s="1"/>
  <c r="L1846"/>
  <c r="P1846" s="1"/>
  <c r="K1846"/>
  <c r="O1846" s="1"/>
  <c r="U1845"/>
  <c r="T1845"/>
  <c r="S1845"/>
  <c r="N1845"/>
  <c r="R1845" s="1"/>
  <c r="M1845"/>
  <c r="Q1845" s="1"/>
  <c r="L1845"/>
  <c r="P1845" s="1"/>
  <c r="K1845"/>
  <c r="O1845" s="1"/>
  <c r="U1844"/>
  <c r="T1844"/>
  <c r="S1844"/>
  <c r="N1844"/>
  <c r="R1844" s="1"/>
  <c r="M1844"/>
  <c r="Q1844" s="1"/>
  <c r="L1844"/>
  <c r="P1844" s="1"/>
  <c r="K1844"/>
  <c r="O1844" s="1"/>
  <c r="U1843"/>
  <c r="T1843"/>
  <c r="S1843"/>
  <c r="N1843"/>
  <c r="R1843" s="1"/>
  <c r="M1843"/>
  <c r="Q1843" s="1"/>
  <c r="L1843"/>
  <c r="P1843" s="1"/>
  <c r="K1843"/>
  <c r="O1843" s="1"/>
  <c r="U1842"/>
  <c r="T1842"/>
  <c r="S1842"/>
  <c r="N1842"/>
  <c r="R1842" s="1"/>
  <c r="M1842"/>
  <c r="Q1842" s="1"/>
  <c r="L1842"/>
  <c r="P1842" s="1"/>
  <c r="K1842"/>
  <c r="O1842" s="1"/>
  <c r="U1841"/>
  <c r="T1841"/>
  <c r="S1841"/>
  <c r="N1841"/>
  <c r="R1841" s="1"/>
  <c r="M1841"/>
  <c r="Q1841" s="1"/>
  <c r="L1841"/>
  <c r="P1841" s="1"/>
  <c r="K1841"/>
  <c r="O1841" s="1"/>
  <c r="U1840"/>
  <c r="T1840"/>
  <c r="S1840"/>
  <c r="N1840"/>
  <c r="R1840" s="1"/>
  <c r="M1840"/>
  <c r="Q1840" s="1"/>
  <c r="L1840"/>
  <c r="P1840" s="1"/>
  <c r="K1840"/>
  <c r="O1840" s="1"/>
  <c r="U1839"/>
  <c r="T1839"/>
  <c r="S1839"/>
  <c r="N1839"/>
  <c r="R1839" s="1"/>
  <c r="M1839"/>
  <c r="Q1839" s="1"/>
  <c r="L1839"/>
  <c r="P1839" s="1"/>
  <c r="K1839"/>
  <c r="O1839" s="1"/>
  <c r="U1838"/>
  <c r="T1838"/>
  <c r="S1838"/>
  <c r="N1838"/>
  <c r="R1838" s="1"/>
  <c r="M1838"/>
  <c r="Q1838" s="1"/>
  <c r="L1838"/>
  <c r="P1838" s="1"/>
  <c r="K1838"/>
  <c r="O1838" s="1"/>
  <c r="U1837"/>
  <c r="T1837"/>
  <c r="S1837"/>
  <c r="N1837"/>
  <c r="R1837" s="1"/>
  <c r="M1837"/>
  <c r="Q1837" s="1"/>
  <c r="L1837"/>
  <c r="P1837" s="1"/>
  <c r="K1837"/>
  <c r="O1837" s="1"/>
  <c r="U1836"/>
  <c r="T1836"/>
  <c r="S1836"/>
  <c r="N1836"/>
  <c r="R1836" s="1"/>
  <c r="M1836"/>
  <c r="Q1836" s="1"/>
  <c r="L1836"/>
  <c r="P1836" s="1"/>
  <c r="K1836"/>
  <c r="O1836" s="1"/>
  <c r="U1835"/>
  <c r="T1835"/>
  <c r="S1835"/>
  <c r="N1835"/>
  <c r="R1835" s="1"/>
  <c r="M1835"/>
  <c r="Q1835" s="1"/>
  <c r="L1835"/>
  <c r="P1835" s="1"/>
  <c r="K1835"/>
  <c r="O1835" s="1"/>
  <c r="U1834"/>
  <c r="T1834"/>
  <c r="S1834"/>
  <c r="N1834"/>
  <c r="R1834" s="1"/>
  <c r="M1834"/>
  <c r="Q1834" s="1"/>
  <c r="L1834"/>
  <c r="P1834" s="1"/>
  <c r="K1834"/>
  <c r="O1834" s="1"/>
  <c r="U1833"/>
  <c r="T1833"/>
  <c r="S1833"/>
  <c r="N1833"/>
  <c r="R1833" s="1"/>
  <c r="M1833"/>
  <c r="Q1833" s="1"/>
  <c r="L1833"/>
  <c r="P1833" s="1"/>
  <c r="K1833"/>
  <c r="O1833" s="1"/>
  <c r="U1832"/>
  <c r="T1832"/>
  <c r="S1832"/>
  <c r="N1832"/>
  <c r="R1832" s="1"/>
  <c r="M1832"/>
  <c r="Q1832" s="1"/>
  <c r="L1832"/>
  <c r="P1832" s="1"/>
  <c r="K1832"/>
  <c r="O1832" s="1"/>
  <c r="U1831"/>
  <c r="T1831"/>
  <c r="S1831"/>
  <c r="N1831"/>
  <c r="R1831" s="1"/>
  <c r="M1831"/>
  <c r="Q1831" s="1"/>
  <c r="L1831"/>
  <c r="P1831" s="1"/>
  <c r="K1831"/>
  <c r="O1831" s="1"/>
  <c r="U1830"/>
  <c r="T1830"/>
  <c r="S1830"/>
  <c r="N1830"/>
  <c r="R1830" s="1"/>
  <c r="M1830"/>
  <c r="Q1830" s="1"/>
  <c r="L1830"/>
  <c r="P1830" s="1"/>
  <c r="K1830"/>
  <c r="O1830" s="1"/>
  <c r="U1829"/>
  <c r="T1829"/>
  <c r="S1829"/>
  <c r="N1829"/>
  <c r="R1829" s="1"/>
  <c r="M1829"/>
  <c r="Q1829" s="1"/>
  <c r="L1829"/>
  <c r="P1829" s="1"/>
  <c r="K1829"/>
  <c r="O1829" s="1"/>
  <c r="U1828"/>
  <c r="T1828"/>
  <c r="S1828"/>
  <c r="N1828"/>
  <c r="R1828" s="1"/>
  <c r="M1828"/>
  <c r="Q1828" s="1"/>
  <c r="L1828"/>
  <c r="P1828" s="1"/>
  <c r="K1828"/>
  <c r="O1828" s="1"/>
  <c r="U1827"/>
  <c r="T1827"/>
  <c r="S1827"/>
  <c r="N1827"/>
  <c r="R1827" s="1"/>
  <c r="M1827"/>
  <c r="Q1827" s="1"/>
  <c r="L1827"/>
  <c r="P1827" s="1"/>
  <c r="K1827"/>
  <c r="O1827" s="1"/>
  <c r="U1826"/>
  <c r="T1826"/>
  <c r="S1826"/>
  <c r="N1826"/>
  <c r="R1826" s="1"/>
  <c r="M1826"/>
  <c r="Q1826" s="1"/>
  <c r="L1826"/>
  <c r="P1826" s="1"/>
  <c r="K1826"/>
  <c r="O1826" s="1"/>
  <c r="U1825"/>
  <c r="T1825"/>
  <c r="S1825"/>
  <c r="N1825"/>
  <c r="R1825" s="1"/>
  <c r="M1825"/>
  <c r="Q1825" s="1"/>
  <c r="L1825"/>
  <c r="P1825" s="1"/>
  <c r="K1825"/>
  <c r="O1825" s="1"/>
  <c r="U1824"/>
  <c r="T1824"/>
  <c r="S1824"/>
  <c r="N1824"/>
  <c r="R1824" s="1"/>
  <c r="M1824"/>
  <c r="Q1824" s="1"/>
  <c r="L1824"/>
  <c r="P1824" s="1"/>
  <c r="K1824"/>
  <c r="O1824" s="1"/>
  <c r="U1823"/>
  <c r="T1823"/>
  <c r="S1823"/>
  <c r="N1823"/>
  <c r="R1823" s="1"/>
  <c r="M1823"/>
  <c r="Q1823" s="1"/>
  <c r="L1823"/>
  <c r="P1823" s="1"/>
  <c r="K1823"/>
  <c r="O1823" s="1"/>
  <c r="U1822"/>
  <c r="T1822"/>
  <c r="S1822"/>
  <c r="N1822"/>
  <c r="R1822" s="1"/>
  <c r="M1822"/>
  <c r="Q1822" s="1"/>
  <c r="L1822"/>
  <c r="P1822" s="1"/>
  <c r="K1822"/>
  <c r="O1822" s="1"/>
  <c r="U1821"/>
  <c r="T1821"/>
  <c r="S1821"/>
  <c r="N1821"/>
  <c r="R1821" s="1"/>
  <c r="M1821"/>
  <c r="Q1821" s="1"/>
  <c r="L1821"/>
  <c r="P1821" s="1"/>
  <c r="K1821"/>
  <c r="O1821" s="1"/>
  <c r="U1820"/>
  <c r="T1820"/>
  <c r="S1820"/>
  <c r="N1820"/>
  <c r="R1820" s="1"/>
  <c r="M1820"/>
  <c r="Q1820" s="1"/>
  <c r="L1820"/>
  <c r="P1820" s="1"/>
  <c r="K1820"/>
  <c r="O1820" s="1"/>
  <c r="U1819"/>
  <c r="T1819"/>
  <c r="S1819"/>
  <c r="N1819"/>
  <c r="R1819" s="1"/>
  <c r="M1819"/>
  <c r="Q1819" s="1"/>
  <c r="L1819"/>
  <c r="P1819" s="1"/>
  <c r="K1819"/>
  <c r="O1819" s="1"/>
  <c r="U1818"/>
  <c r="T1818"/>
  <c r="S1818"/>
  <c r="N1818"/>
  <c r="R1818" s="1"/>
  <c r="M1818"/>
  <c r="Q1818" s="1"/>
  <c r="L1818"/>
  <c r="P1818" s="1"/>
  <c r="K1818"/>
  <c r="O1818" s="1"/>
  <c r="U1817"/>
  <c r="T1817"/>
  <c r="S1817"/>
  <c r="N1817"/>
  <c r="R1817" s="1"/>
  <c r="M1817"/>
  <c r="Q1817" s="1"/>
  <c r="L1817"/>
  <c r="P1817" s="1"/>
  <c r="K1817"/>
  <c r="O1817" s="1"/>
  <c r="U1816"/>
  <c r="T1816"/>
  <c r="S1816"/>
  <c r="N1816"/>
  <c r="R1816" s="1"/>
  <c r="M1816"/>
  <c r="Q1816" s="1"/>
  <c r="L1816"/>
  <c r="P1816" s="1"/>
  <c r="K1816"/>
  <c r="O1816" s="1"/>
  <c r="U1815"/>
  <c r="T1815"/>
  <c r="S1815"/>
  <c r="N1815"/>
  <c r="R1815" s="1"/>
  <c r="M1815"/>
  <c r="Q1815" s="1"/>
  <c r="L1815"/>
  <c r="P1815" s="1"/>
  <c r="K1815"/>
  <c r="O1815" s="1"/>
  <c r="U1814"/>
  <c r="T1814"/>
  <c r="S1814"/>
  <c r="N1814"/>
  <c r="R1814" s="1"/>
  <c r="M1814"/>
  <c r="Q1814" s="1"/>
  <c r="L1814"/>
  <c r="P1814" s="1"/>
  <c r="K1814"/>
  <c r="O1814" s="1"/>
  <c r="U1813"/>
  <c r="T1813"/>
  <c r="S1813"/>
  <c r="N1813"/>
  <c r="R1813" s="1"/>
  <c r="M1813"/>
  <c r="Q1813" s="1"/>
  <c r="L1813"/>
  <c r="P1813" s="1"/>
  <c r="K1813"/>
  <c r="O1813" s="1"/>
  <c r="U1812"/>
  <c r="T1812"/>
  <c r="S1812"/>
  <c r="N1812"/>
  <c r="R1812" s="1"/>
  <c r="M1812"/>
  <c r="Q1812" s="1"/>
  <c r="L1812"/>
  <c r="P1812" s="1"/>
  <c r="K1812"/>
  <c r="O1812" s="1"/>
  <c r="U1811"/>
  <c r="T1811"/>
  <c r="S1811"/>
  <c r="N1811"/>
  <c r="R1811" s="1"/>
  <c r="M1811"/>
  <c r="Q1811" s="1"/>
  <c r="L1811"/>
  <c r="P1811" s="1"/>
  <c r="K1811"/>
  <c r="O1811" s="1"/>
  <c r="U1810"/>
  <c r="T1810"/>
  <c r="S1810"/>
  <c r="N1810"/>
  <c r="R1810" s="1"/>
  <c r="M1810"/>
  <c r="Q1810" s="1"/>
  <c r="L1810"/>
  <c r="P1810" s="1"/>
  <c r="K1810"/>
  <c r="O1810" s="1"/>
  <c r="U1809"/>
  <c r="T1809"/>
  <c r="S1809"/>
  <c r="N1809"/>
  <c r="R1809" s="1"/>
  <c r="M1809"/>
  <c r="Q1809" s="1"/>
  <c r="L1809"/>
  <c r="P1809" s="1"/>
  <c r="K1809"/>
  <c r="O1809" s="1"/>
  <c r="U1808"/>
  <c r="T1808"/>
  <c r="S1808"/>
  <c r="N1808"/>
  <c r="R1808" s="1"/>
  <c r="M1808"/>
  <c r="Q1808" s="1"/>
  <c r="L1808"/>
  <c r="P1808" s="1"/>
  <c r="K1808"/>
  <c r="O1808" s="1"/>
  <c r="U1807"/>
  <c r="T1807"/>
  <c r="S1807"/>
  <c r="N1807"/>
  <c r="R1807" s="1"/>
  <c r="M1807"/>
  <c r="Q1807" s="1"/>
  <c r="L1807"/>
  <c r="P1807" s="1"/>
  <c r="K1807"/>
  <c r="O1807" s="1"/>
  <c r="U1806"/>
  <c r="T1806"/>
  <c r="S1806"/>
  <c r="N1806"/>
  <c r="R1806" s="1"/>
  <c r="M1806"/>
  <c r="Q1806" s="1"/>
  <c r="L1806"/>
  <c r="P1806" s="1"/>
  <c r="K1806"/>
  <c r="O1806" s="1"/>
  <c r="U1805"/>
  <c r="T1805"/>
  <c r="S1805"/>
  <c r="N1805"/>
  <c r="R1805" s="1"/>
  <c r="M1805"/>
  <c r="Q1805" s="1"/>
  <c r="L1805"/>
  <c r="P1805" s="1"/>
  <c r="K1805"/>
  <c r="O1805" s="1"/>
  <c r="U1804"/>
  <c r="T1804"/>
  <c r="S1804"/>
  <c r="N1804"/>
  <c r="R1804" s="1"/>
  <c r="M1804"/>
  <c r="Q1804" s="1"/>
  <c r="L1804"/>
  <c r="P1804" s="1"/>
  <c r="K1804"/>
  <c r="O1804" s="1"/>
  <c r="U1803"/>
  <c r="T1803"/>
  <c r="S1803"/>
  <c r="N1803"/>
  <c r="R1803" s="1"/>
  <c r="M1803"/>
  <c r="Q1803" s="1"/>
  <c r="L1803"/>
  <c r="P1803" s="1"/>
  <c r="K1803"/>
  <c r="O1803" s="1"/>
  <c r="U1802"/>
  <c r="T1802"/>
  <c r="S1802"/>
  <c r="N1802"/>
  <c r="R1802" s="1"/>
  <c r="M1802"/>
  <c r="Q1802" s="1"/>
  <c r="L1802"/>
  <c r="P1802" s="1"/>
  <c r="K1802"/>
  <c r="O1802" s="1"/>
  <c r="U1801"/>
  <c r="T1801"/>
  <c r="S1801"/>
  <c r="N1801"/>
  <c r="R1801" s="1"/>
  <c r="M1801"/>
  <c r="Q1801" s="1"/>
  <c r="L1801"/>
  <c r="P1801" s="1"/>
  <c r="K1801"/>
  <c r="O1801" s="1"/>
  <c r="U1800"/>
  <c r="T1800"/>
  <c r="S1800"/>
  <c r="N1800"/>
  <c r="R1800" s="1"/>
  <c r="M1800"/>
  <c r="Q1800" s="1"/>
  <c r="L1800"/>
  <c r="P1800" s="1"/>
  <c r="K1800"/>
  <c r="O1800" s="1"/>
  <c r="U1799"/>
  <c r="T1799"/>
  <c r="S1799"/>
  <c r="N1799"/>
  <c r="R1799" s="1"/>
  <c r="M1799"/>
  <c r="Q1799" s="1"/>
  <c r="L1799"/>
  <c r="P1799" s="1"/>
  <c r="K1799"/>
  <c r="O1799" s="1"/>
  <c r="U1798"/>
  <c r="T1798"/>
  <c r="S1798"/>
  <c r="N1798"/>
  <c r="R1798" s="1"/>
  <c r="M1798"/>
  <c r="Q1798" s="1"/>
  <c r="L1798"/>
  <c r="P1798" s="1"/>
  <c r="K1798"/>
  <c r="O1798" s="1"/>
  <c r="U1797"/>
  <c r="T1797"/>
  <c r="S1797"/>
  <c r="N1797"/>
  <c r="R1797" s="1"/>
  <c r="M1797"/>
  <c r="Q1797" s="1"/>
  <c r="L1797"/>
  <c r="P1797" s="1"/>
  <c r="K1797"/>
  <c r="O1797" s="1"/>
  <c r="U1796"/>
  <c r="T1796"/>
  <c r="S1796"/>
  <c r="N1796"/>
  <c r="R1796" s="1"/>
  <c r="M1796"/>
  <c r="Q1796" s="1"/>
  <c r="L1796"/>
  <c r="P1796" s="1"/>
  <c r="K1796"/>
  <c r="O1796" s="1"/>
  <c r="U1795"/>
  <c r="T1795"/>
  <c r="S1795"/>
  <c r="N1795"/>
  <c r="R1795" s="1"/>
  <c r="M1795"/>
  <c r="Q1795" s="1"/>
  <c r="L1795"/>
  <c r="P1795" s="1"/>
  <c r="K1795"/>
  <c r="O1795" s="1"/>
  <c r="U1794"/>
  <c r="T1794"/>
  <c r="S1794"/>
  <c r="N1794"/>
  <c r="R1794" s="1"/>
  <c r="M1794"/>
  <c r="Q1794" s="1"/>
  <c r="L1794"/>
  <c r="P1794" s="1"/>
  <c r="K1794"/>
  <c r="O1794" s="1"/>
  <c r="U1793"/>
  <c r="T1793"/>
  <c r="S1793"/>
  <c r="N1793"/>
  <c r="R1793" s="1"/>
  <c r="M1793"/>
  <c r="Q1793" s="1"/>
  <c r="L1793"/>
  <c r="P1793" s="1"/>
  <c r="K1793"/>
  <c r="O1793" s="1"/>
  <c r="U1792"/>
  <c r="T1792"/>
  <c r="S1792"/>
  <c r="N1792"/>
  <c r="R1792" s="1"/>
  <c r="M1792"/>
  <c r="Q1792" s="1"/>
  <c r="L1792"/>
  <c r="P1792" s="1"/>
  <c r="K1792"/>
  <c r="O1792" s="1"/>
  <c r="U1791"/>
  <c r="T1791"/>
  <c r="S1791"/>
  <c r="N1791"/>
  <c r="R1791" s="1"/>
  <c r="M1791"/>
  <c r="Q1791" s="1"/>
  <c r="L1791"/>
  <c r="P1791" s="1"/>
  <c r="K1791"/>
  <c r="O1791" s="1"/>
  <c r="U1790"/>
  <c r="T1790"/>
  <c r="S1790"/>
  <c r="N1790"/>
  <c r="R1790" s="1"/>
  <c r="M1790"/>
  <c r="Q1790" s="1"/>
  <c r="L1790"/>
  <c r="P1790" s="1"/>
  <c r="K1790"/>
  <c r="O1790" s="1"/>
  <c r="U1789"/>
  <c r="T1789"/>
  <c r="S1789"/>
  <c r="N1789"/>
  <c r="R1789" s="1"/>
  <c r="M1789"/>
  <c r="Q1789" s="1"/>
  <c r="L1789"/>
  <c r="P1789" s="1"/>
  <c r="K1789"/>
  <c r="O1789" s="1"/>
  <c r="U1788"/>
  <c r="T1788"/>
  <c r="S1788"/>
  <c r="N1788"/>
  <c r="R1788" s="1"/>
  <c r="M1788"/>
  <c r="Q1788" s="1"/>
  <c r="L1788"/>
  <c r="P1788" s="1"/>
  <c r="K1788"/>
  <c r="O1788" s="1"/>
  <c r="U1787"/>
  <c r="T1787"/>
  <c r="S1787"/>
  <c r="N1787"/>
  <c r="R1787" s="1"/>
  <c r="M1787"/>
  <c r="Q1787" s="1"/>
  <c r="L1787"/>
  <c r="P1787" s="1"/>
  <c r="K1787"/>
  <c r="O1787" s="1"/>
  <c r="U1786"/>
  <c r="T1786"/>
  <c r="S1786"/>
  <c r="N1786"/>
  <c r="R1786" s="1"/>
  <c r="M1786"/>
  <c r="Q1786" s="1"/>
  <c r="L1786"/>
  <c r="P1786" s="1"/>
  <c r="K1786"/>
  <c r="O1786" s="1"/>
  <c r="U1785"/>
  <c r="T1785"/>
  <c r="S1785"/>
  <c r="N1785"/>
  <c r="R1785" s="1"/>
  <c r="M1785"/>
  <c r="Q1785" s="1"/>
  <c r="L1785"/>
  <c r="P1785" s="1"/>
  <c r="K1785"/>
  <c r="O1785" s="1"/>
  <c r="U1784"/>
  <c r="T1784"/>
  <c r="S1784"/>
  <c r="N1784"/>
  <c r="R1784" s="1"/>
  <c r="M1784"/>
  <c r="Q1784" s="1"/>
  <c r="L1784"/>
  <c r="P1784" s="1"/>
  <c r="K1784"/>
  <c r="O1784" s="1"/>
  <c r="U1783"/>
  <c r="T1783"/>
  <c r="S1783"/>
  <c r="N1783"/>
  <c r="R1783" s="1"/>
  <c r="M1783"/>
  <c r="Q1783" s="1"/>
  <c r="L1783"/>
  <c r="P1783" s="1"/>
  <c r="K1783"/>
  <c r="O1783" s="1"/>
  <c r="U1782"/>
  <c r="T1782"/>
  <c r="S1782"/>
  <c r="N1782"/>
  <c r="R1782" s="1"/>
  <c r="M1782"/>
  <c r="Q1782" s="1"/>
  <c r="L1782"/>
  <c r="P1782" s="1"/>
  <c r="K1782"/>
  <c r="O1782" s="1"/>
  <c r="U1781"/>
  <c r="T1781"/>
  <c r="S1781"/>
  <c r="N1781"/>
  <c r="R1781" s="1"/>
  <c r="M1781"/>
  <c r="Q1781" s="1"/>
  <c r="L1781"/>
  <c r="P1781" s="1"/>
  <c r="K1781"/>
  <c r="O1781" s="1"/>
  <c r="U1780"/>
  <c r="T1780"/>
  <c r="S1780"/>
  <c r="N1780"/>
  <c r="R1780" s="1"/>
  <c r="M1780"/>
  <c r="Q1780" s="1"/>
  <c r="L1780"/>
  <c r="P1780" s="1"/>
  <c r="K1780"/>
  <c r="O1780" s="1"/>
  <c r="U1779"/>
  <c r="T1779"/>
  <c r="S1779"/>
  <c r="N1779"/>
  <c r="R1779" s="1"/>
  <c r="M1779"/>
  <c r="Q1779" s="1"/>
  <c r="L1779"/>
  <c r="P1779" s="1"/>
  <c r="K1779"/>
  <c r="O1779" s="1"/>
  <c r="U1778"/>
  <c r="T1778"/>
  <c r="S1778"/>
  <c r="N1778"/>
  <c r="R1778" s="1"/>
  <c r="M1778"/>
  <c r="Q1778" s="1"/>
  <c r="L1778"/>
  <c r="P1778" s="1"/>
  <c r="K1778"/>
  <c r="O1778" s="1"/>
  <c r="U1777"/>
  <c r="T1777"/>
  <c r="S1777"/>
  <c r="R1777"/>
  <c r="N1777"/>
  <c r="M1777"/>
  <c r="Q1777" s="1"/>
  <c r="L1777"/>
  <c r="P1777" s="1"/>
  <c r="K1777"/>
  <c r="O1777" s="1"/>
  <c r="U1776"/>
  <c r="T1776"/>
  <c r="S1776"/>
  <c r="N1776"/>
  <c r="R1776" s="1"/>
  <c r="M1776"/>
  <c r="Q1776" s="1"/>
  <c r="L1776"/>
  <c r="P1776" s="1"/>
  <c r="K1776"/>
  <c r="O1776" s="1"/>
  <c r="U1775"/>
  <c r="T1775"/>
  <c r="S1775"/>
  <c r="N1775"/>
  <c r="R1775" s="1"/>
  <c r="M1775"/>
  <c r="Q1775" s="1"/>
  <c r="L1775"/>
  <c r="P1775" s="1"/>
  <c r="K1775"/>
  <c r="O1775" s="1"/>
  <c r="U1774"/>
  <c r="T1774"/>
  <c r="S1774"/>
  <c r="N1774"/>
  <c r="R1774" s="1"/>
  <c r="M1774"/>
  <c r="Q1774" s="1"/>
  <c r="L1774"/>
  <c r="P1774" s="1"/>
  <c r="K1774"/>
  <c r="O1774" s="1"/>
  <c r="U1773"/>
  <c r="T1773"/>
  <c r="S1773"/>
  <c r="R1773"/>
  <c r="N1773"/>
  <c r="M1773"/>
  <c r="Q1773" s="1"/>
  <c r="L1773"/>
  <c r="P1773" s="1"/>
  <c r="K1773"/>
  <c r="O1773" s="1"/>
  <c r="U1772"/>
  <c r="T1772"/>
  <c r="S1772"/>
  <c r="N1772"/>
  <c r="R1772" s="1"/>
  <c r="M1772"/>
  <c r="Q1772" s="1"/>
  <c r="L1772"/>
  <c r="P1772" s="1"/>
  <c r="K1772"/>
  <c r="O1772" s="1"/>
  <c r="U1771"/>
  <c r="T1771"/>
  <c r="S1771"/>
  <c r="N1771"/>
  <c r="R1771" s="1"/>
  <c r="M1771"/>
  <c r="Q1771" s="1"/>
  <c r="L1771"/>
  <c r="P1771" s="1"/>
  <c r="K1771"/>
  <c r="O1771" s="1"/>
  <c r="U1770"/>
  <c r="T1770"/>
  <c r="S1770"/>
  <c r="Q1770"/>
  <c r="N1770"/>
  <c r="R1770" s="1"/>
  <c r="M1770"/>
  <c r="L1770"/>
  <c r="P1770" s="1"/>
  <c r="K1770"/>
  <c r="O1770" s="1"/>
  <c r="U1769"/>
  <c r="T1769"/>
  <c r="S1769"/>
  <c r="Q1769"/>
  <c r="N1769"/>
  <c r="R1769" s="1"/>
  <c r="M1769"/>
  <c r="L1769"/>
  <c r="P1769" s="1"/>
  <c r="K1769"/>
  <c r="O1769" s="1"/>
  <c r="U1768"/>
  <c r="T1768"/>
  <c r="S1768"/>
  <c r="N1768"/>
  <c r="R1768" s="1"/>
  <c r="M1768"/>
  <c r="Q1768" s="1"/>
  <c r="L1768"/>
  <c r="P1768" s="1"/>
  <c r="K1768"/>
  <c r="O1768" s="1"/>
  <c r="U1767"/>
  <c r="T1767"/>
  <c r="S1767"/>
  <c r="N1767"/>
  <c r="R1767" s="1"/>
  <c r="M1767"/>
  <c r="Q1767" s="1"/>
  <c r="L1767"/>
  <c r="P1767" s="1"/>
  <c r="K1767"/>
  <c r="O1767" s="1"/>
  <c r="U1766"/>
  <c r="T1766"/>
  <c r="S1766"/>
  <c r="N1766"/>
  <c r="R1766" s="1"/>
  <c r="M1766"/>
  <c r="Q1766" s="1"/>
  <c r="L1766"/>
  <c r="P1766" s="1"/>
  <c r="K1766"/>
  <c r="O1766" s="1"/>
  <c r="U1765"/>
  <c r="T1765"/>
  <c r="S1765"/>
  <c r="N1765"/>
  <c r="R1765" s="1"/>
  <c r="M1765"/>
  <c r="Q1765" s="1"/>
  <c r="L1765"/>
  <c r="P1765" s="1"/>
  <c r="K1765"/>
  <c r="O1765" s="1"/>
  <c r="U1764"/>
  <c r="T1764"/>
  <c r="S1764"/>
  <c r="N1764"/>
  <c r="R1764" s="1"/>
  <c r="M1764"/>
  <c r="Q1764" s="1"/>
  <c r="L1764"/>
  <c r="P1764" s="1"/>
  <c r="K1764"/>
  <c r="O1764" s="1"/>
  <c r="U1763"/>
  <c r="T1763"/>
  <c r="S1763"/>
  <c r="N1763"/>
  <c r="R1763" s="1"/>
  <c r="M1763"/>
  <c r="Q1763" s="1"/>
  <c r="L1763"/>
  <c r="P1763" s="1"/>
  <c r="K1763"/>
  <c r="O1763" s="1"/>
  <c r="U1762"/>
  <c r="T1762"/>
  <c r="S1762"/>
  <c r="N1762"/>
  <c r="R1762" s="1"/>
  <c r="M1762"/>
  <c r="Q1762" s="1"/>
  <c r="L1762"/>
  <c r="P1762" s="1"/>
  <c r="K1762"/>
  <c r="O1762" s="1"/>
  <c r="U1761"/>
  <c r="T1761"/>
  <c r="S1761"/>
  <c r="N1761"/>
  <c r="R1761" s="1"/>
  <c r="M1761"/>
  <c r="Q1761" s="1"/>
  <c r="L1761"/>
  <c r="P1761" s="1"/>
  <c r="K1761"/>
  <c r="O1761" s="1"/>
  <c r="U1760"/>
  <c r="T1760"/>
  <c r="S1760"/>
  <c r="N1760"/>
  <c r="R1760" s="1"/>
  <c r="M1760"/>
  <c r="Q1760" s="1"/>
  <c r="L1760"/>
  <c r="P1760" s="1"/>
  <c r="K1760"/>
  <c r="O1760" s="1"/>
  <c r="U1759"/>
  <c r="T1759"/>
  <c r="S1759"/>
  <c r="N1759"/>
  <c r="R1759" s="1"/>
  <c r="M1759"/>
  <c r="Q1759" s="1"/>
  <c r="L1759"/>
  <c r="P1759" s="1"/>
  <c r="K1759"/>
  <c r="O1759" s="1"/>
  <c r="U1758"/>
  <c r="T1758"/>
  <c r="S1758"/>
  <c r="N1758"/>
  <c r="R1758" s="1"/>
  <c r="M1758"/>
  <c r="Q1758" s="1"/>
  <c r="L1758"/>
  <c r="P1758" s="1"/>
  <c r="K1758"/>
  <c r="O1758" s="1"/>
  <c r="U1757"/>
  <c r="T1757"/>
  <c r="S1757"/>
  <c r="N1757"/>
  <c r="R1757" s="1"/>
  <c r="M1757"/>
  <c r="Q1757" s="1"/>
  <c r="L1757"/>
  <c r="P1757" s="1"/>
  <c r="K1757"/>
  <c r="O1757" s="1"/>
  <c r="U1756"/>
  <c r="T1756"/>
  <c r="S1756"/>
  <c r="N1756"/>
  <c r="R1756" s="1"/>
  <c r="M1756"/>
  <c r="Q1756" s="1"/>
  <c r="L1756"/>
  <c r="P1756" s="1"/>
  <c r="K1756"/>
  <c r="O1756" s="1"/>
  <c r="U1755"/>
  <c r="T1755"/>
  <c r="S1755"/>
  <c r="N1755"/>
  <c r="R1755" s="1"/>
  <c r="M1755"/>
  <c r="Q1755" s="1"/>
  <c r="L1755"/>
  <c r="P1755" s="1"/>
  <c r="K1755"/>
  <c r="O1755" s="1"/>
  <c r="U1754"/>
  <c r="T1754"/>
  <c r="S1754"/>
  <c r="N1754"/>
  <c r="R1754" s="1"/>
  <c r="M1754"/>
  <c r="Q1754" s="1"/>
  <c r="L1754"/>
  <c r="P1754" s="1"/>
  <c r="K1754"/>
  <c r="O1754" s="1"/>
  <c r="U1753"/>
  <c r="T1753"/>
  <c r="S1753"/>
  <c r="N1753"/>
  <c r="R1753" s="1"/>
  <c r="M1753"/>
  <c r="Q1753" s="1"/>
  <c r="L1753"/>
  <c r="P1753" s="1"/>
  <c r="K1753"/>
  <c r="O1753" s="1"/>
  <c r="U1752"/>
  <c r="T1752"/>
  <c r="S1752"/>
  <c r="N1752"/>
  <c r="R1752" s="1"/>
  <c r="M1752"/>
  <c r="Q1752" s="1"/>
  <c r="L1752"/>
  <c r="P1752" s="1"/>
  <c r="K1752"/>
  <c r="O1752" s="1"/>
  <c r="U1751"/>
  <c r="T1751"/>
  <c r="S1751"/>
  <c r="N1751"/>
  <c r="R1751" s="1"/>
  <c r="M1751"/>
  <c r="Q1751" s="1"/>
  <c r="L1751"/>
  <c r="P1751" s="1"/>
  <c r="K1751"/>
  <c r="O1751" s="1"/>
  <c r="U1750"/>
  <c r="T1750"/>
  <c r="S1750"/>
  <c r="N1750"/>
  <c r="R1750" s="1"/>
  <c r="M1750"/>
  <c r="Q1750" s="1"/>
  <c r="L1750"/>
  <c r="P1750" s="1"/>
  <c r="K1750"/>
  <c r="O1750" s="1"/>
  <c r="U1749"/>
  <c r="T1749"/>
  <c r="S1749"/>
  <c r="N1749"/>
  <c r="R1749" s="1"/>
  <c r="M1749"/>
  <c r="Q1749" s="1"/>
  <c r="L1749"/>
  <c r="P1749" s="1"/>
  <c r="K1749"/>
  <c r="O1749" s="1"/>
  <c r="U1748"/>
  <c r="T1748"/>
  <c r="S1748"/>
  <c r="N1748"/>
  <c r="R1748" s="1"/>
  <c r="M1748"/>
  <c r="Q1748" s="1"/>
  <c r="L1748"/>
  <c r="P1748" s="1"/>
  <c r="K1748"/>
  <c r="O1748" s="1"/>
  <c r="U1747"/>
  <c r="T1747"/>
  <c r="S1747"/>
  <c r="N1747"/>
  <c r="R1747" s="1"/>
  <c r="M1747"/>
  <c r="Q1747" s="1"/>
  <c r="L1747"/>
  <c r="P1747" s="1"/>
  <c r="K1747"/>
  <c r="O1747" s="1"/>
  <c r="U1746"/>
  <c r="T1746"/>
  <c r="S1746"/>
  <c r="N1746"/>
  <c r="R1746" s="1"/>
  <c r="M1746"/>
  <c r="Q1746" s="1"/>
  <c r="L1746"/>
  <c r="P1746" s="1"/>
  <c r="K1746"/>
  <c r="O1746" s="1"/>
  <c r="U1745"/>
  <c r="T1745"/>
  <c r="S1745"/>
  <c r="N1745"/>
  <c r="R1745" s="1"/>
  <c r="M1745"/>
  <c r="Q1745" s="1"/>
  <c r="L1745"/>
  <c r="P1745" s="1"/>
  <c r="K1745"/>
  <c r="O1745" s="1"/>
  <c r="U1744"/>
  <c r="T1744"/>
  <c r="S1744"/>
  <c r="N1744"/>
  <c r="R1744" s="1"/>
  <c r="M1744"/>
  <c r="Q1744" s="1"/>
  <c r="L1744"/>
  <c r="P1744" s="1"/>
  <c r="K1744"/>
  <c r="O1744" s="1"/>
  <c r="U1743"/>
  <c r="T1743"/>
  <c r="S1743"/>
  <c r="N1743"/>
  <c r="R1743" s="1"/>
  <c r="M1743"/>
  <c r="Q1743" s="1"/>
  <c r="L1743"/>
  <c r="P1743" s="1"/>
  <c r="K1743"/>
  <c r="O1743" s="1"/>
  <c r="U1742"/>
  <c r="T1742"/>
  <c r="S1742"/>
  <c r="N1742"/>
  <c r="R1742" s="1"/>
  <c r="M1742"/>
  <c r="Q1742" s="1"/>
  <c r="L1742"/>
  <c r="P1742" s="1"/>
  <c r="K1742"/>
  <c r="O1742" s="1"/>
  <c r="U1741"/>
  <c r="T1741"/>
  <c r="S1741"/>
  <c r="N1741"/>
  <c r="R1741" s="1"/>
  <c r="M1741"/>
  <c r="Q1741" s="1"/>
  <c r="L1741"/>
  <c r="P1741" s="1"/>
  <c r="K1741"/>
  <c r="O1741" s="1"/>
  <c r="U1740"/>
  <c r="T1740"/>
  <c r="S1740"/>
  <c r="N1740"/>
  <c r="R1740" s="1"/>
  <c r="M1740"/>
  <c r="Q1740" s="1"/>
  <c r="L1740"/>
  <c r="P1740" s="1"/>
  <c r="K1740"/>
  <c r="O1740" s="1"/>
  <c r="U1739"/>
  <c r="T1739"/>
  <c r="S1739"/>
  <c r="N1739"/>
  <c r="R1739" s="1"/>
  <c r="M1739"/>
  <c r="Q1739" s="1"/>
  <c r="L1739"/>
  <c r="P1739" s="1"/>
  <c r="K1739"/>
  <c r="O1739" s="1"/>
  <c r="U1738"/>
  <c r="T1738"/>
  <c r="S1738"/>
  <c r="N1738"/>
  <c r="R1738" s="1"/>
  <c r="M1738"/>
  <c r="Q1738" s="1"/>
  <c r="L1738"/>
  <c r="P1738" s="1"/>
  <c r="K1738"/>
  <c r="O1738" s="1"/>
  <c r="U1737"/>
  <c r="T1737"/>
  <c r="S1737"/>
  <c r="N1737"/>
  <c r="R1737" s="1"/>
  <c r="M1737"/>
  <c r="Q1737" s="1"/>
  <c r="L1737"/>
  <c r="P1737" s="1"/>
  <c r="K1737"/>
  <c r="O1737" s="1"/>
  <c r="U1736"/>
  <c r="T1736"/>
  <c r="S1736"/>
  <c r="N1736"/>
  <c r="R1736" s="1"/>
  <c r="M1736"/>
  <c r="Q1736" s="1"/>
  <c r="L1736"/>
  <c r="P1736" s="1"/>
  <c r="K1736"/>
  <c r="O1736" s="1"/>
  <c r="U1735"/>
  <c r="T1735"/>
  <c r="S1735"/>
  <c r="N1735"/>
  <c r="R1735" s="1"/>
  <c r="M1735"/>
  <c r="Q1735" s="1"/>
  <c r="L1735"/>
  <c r="P1735" s="1"/>
  <c r="K1735"/>
  <c r="O1735" s="1"/>
  <c r="U1734"/>
  <c r="T1734"/>
  <c r="S1734"/>
  <c r="N1734"/>
  <c r="R1734" s="1"/>
  <c r="M1734"/>
  <c r="Q1734" s="1"/>
  <c r="L1734"/>
  <c r="P1734" s="1"/>
  <c r="K1734"/>
  <c r="O1734" s="1"/>
  <c r="U1733"/>
  <c r="T1733"/>
  <c r="S1733"/>
  <c r="N1733"/>
  <c r="R1733" s="1"/>
  <c r="M1733"/>
  <c r="Q1733" s="1"/>
  <c r="L1733"/>
  <c r="P1733" s="1"/>
  <c r="K1733"/>
  <c r="O1733" s="1"/>
  <c r="U1732"/>
  <c r="T1732"/>
  <c r="S1732"/>
  <c r="N1732"/>
  <c r="R1732" s="1"/>
  <c r="M1732"/>
  <c r="Q1732" s="1"/>
  <c r="L1732"/>
  <c r="P1732" s="1"/>
  <c r="K1732"/>
  <c r="O1732" s="1"/>
  <c r="U1731"/>
  <c r="T1731"/>
  <c r="S1731"/>
  <c r="N1731"/>
  <c r="R1731" s="1"/>
  <c r="M1731"/>
  <c r="Q1731" s="1"/>
  <c r="L1731"/>
  <c r="P1731" s="1"/>
  <c r="K1731"/>
  <c r="O1731" s="1"/>
  <c r="U1730"/>
  <c r="T1730"/>
  <c r="S1730"/>
  <c r="N1730"/>
  <c r="R1730" s="1"/>
  <c r="M1730"/>
  <c r="Q1730" s="1"/>
  <c r="L1730"/>
  <c r="P1730" s="1"/>
  <c r="K1730"/>
  <c r="O1730" s="1"/>
  <c r="U1729"/>
  <c r="T1729"/>
  <c r="S1729"/>
  <c r="N1729"/>
  <c r="R1729" s="1"/>
  <c r="M1729"/>
  <c r="Q1729" s="1"/>
  <c r="L1729"/>
  <c r="P1729" s="1"/>
  <c r="K1729"/>
  <c r="O1729" s="1"/>
  <c r="U1728"/>
  <c r="T1728"/>
  <c r="S1728"/>
  <c r="N1728"/>
  <c r="R1728" s="1"/>
  <c r="M1728"/>
  <c r="Q1728" s="1"/>
  <c r="L1728"/>
  <c r="P1728" s="1"/>
  <c r="K1728"/>
  <c r="O1728" s="1"/>
  <c r="U1727"/>
  <c r="T1727"/>
  <c r="S1727"/>
  <c r="N1727"/>
  <c r="R1727" s="1"/>
  <c r="M1727"/>
  <c r="Q1727" s="1"/>
  <c r="L1727"/>
  <c r="P1727" s="1"/>
  <c r="K1727"/>
  <c r="O1727" s="1"/>
  <c r="U1726"/>
  <c r="T1726"/>
  <c r="S1726"/>
  <c r="N1726"/>
  <c r="R1726" s="1"/>
  <c r="M1726"/>
  <c r="Q1726" s="1"/>
  <c r="L1726"/>
  <c r="P1726" s="1"/>
  <c r="K1726"/>
  <c r="O1726" s="1"/>
  <c r="U1725"/>
  <c r="T1725"/>
  <c r="S1725"/>
  <c r="N1725"/>
  <c r="R1725" s="1"/>
  <c r="M1725"/>
  <c r="Q1725" s="1"/>
  <c r="L1725"/>
  <c r="P1725" s="1"/>
  <c r="K1725"/>
  <c r="O1725" s="1"/>
  <c r="U1724"/>
  <c r="T1724"/>
  <c r="S1724"/>
  <c r="N1724"/>
  <c r="R1724" s="1"/>
  <c r="M1724"/>
  <c r="Q1724" s="1"/>
  <c r="L1724"/>
  <c r="P1724" s="1"/>
  <c r="K1724"/>
  <c r="O1724" s="1"/>
  <c r="U1723"/>
  <c r="T1723"/>
  <c r="S1723"/>
  <c r="N1723"/>
  <c r="R1723" s="1"/>
  <c r="M1723"/>
  <c r="Q1723" s="1"/>
  <c r="L1723"/>
  <c r="P1723" s="1"/>
  <c r="K1723"/>
  <c r="O1723" s="1"/>
  <c r="U1722"/>
  <c r="T1722"/>
  <c r="S1722"/>
  <c r="N1722"/>
  <c r="R1722" s="1"/>
  <c r="M1722"/>
  <c r="Q1722" s="1"/>
  <c r="L1722"/>
  <c r="P1722" s="1"/>
  <c r="K1722"/>
  <c r="O1722" s="1"/>
  <c r="U1721"/>
  <c r="T1721"/>
  <c r="S1721"/>
  <c r="N1721"/>
  <c r="R1721" s="1"/>
  <c r="M1721"/>
  <c r="Q1721" s="1"/>
  <c r="L1721"/>
  <c r="P1721" s="1"/>
  <c r="K1721"/>
  <c r="O1721" s="1"/>
  <c r="U1720"/>
  <c r="T1720"/>
  <c r="S1720"/>
  <c r="N1720"/>
  <c r="R1720" s="1"/>
  <c r="M1720"/>
  <c r="Q1720" s="1"/>
  <c r="L1720"/>
  <c r="P1720" s="1"/>
  <c r="K1720"/>
  <c r="O1720" s="1"/>
  <c r="U1719"/>
  <c r="T1719"/>
  <c r="S1719"/>
  <c r="N1719"/>
  <c r="R1719" s="1"/>
  <c r="M1719"/>
  <c r="Q1719" s="1"/>
  <c r="L1719"/>
  <c r="P1719" s="1"/>
  <c r="K1719"/>
  <c r="O1719" s="1"/>
  <c r="U1718"/>
  <c r="T1718"/>
  <c r="S1718"/>
  <c r="N1718"/>
  <c r="R1718" s="1"/>
  <c r="M1718"/>
  <c r="Q1718" s="1"/>
  <c r="L1718"/>
  <c r="P1718" s="1"/>
  <c r="K1718"/>
  <c r="O1718" s="1"/>
  <c r="U1717"/>
  <c r="T1717"/>
  <c r="S1717"/>
  <c r="N1717"/>
  <c r="R1717" s="1"/>
  <c r="M1717"/>
  <c r="Q1717" s="1"/>
  <c r="L1717"/>
  <c r="P1717" s="1"/>
  <c r="K1717"/>
  <c r="O1717" s="1"/>
  <c r="U1716"/>
  <c r="T1716"/>
  <c r="S1716"/>
  <c r="N1716"/>
  <c r="R1716" s="1"/>
  <c r="M1716"/>
  <c r="Q1716" s="1"/>
  <c r="L1716"/>
  <c r="P1716" s="1"/>
  <c r="K1716"/>
  <c r="O1716" s="1"/>
  <c r="U1715"/>
  <c r="T1715"/>
  <c r="S1715"/>
  <c r="N1715"/>
  <c r="R1715" s="1"/>
  <c r="M1715"/>
  <c r="Q1715" s="1"/>
  <c r="L1715"/>
  <c r="P1715" s="1"/>
  <c r="K1715"/>
  <c r="O1715" s="1"/>
  <c r="U1714"/>
  <c r="T1714"/>
  <c r="S1714"/>
  <c r="N1714"/>
  <c r="R1714" s="1"/>
  <c r="M1714"/>
  <c r="Q1714" s="1"/>
  <c r="L1714"/>
  <c r="P1714" s="1"/>
  <c r="K1714"/>
  <c r="O1714" s="1"/>
  <c r="U1713"/>
  <c r="T1713"/>
  <c r="S1713"/>
  <c r="N1713"/>
  <c r="R1713" s="1"/>
  <c r="M1713"/>
  <c r="Q1713" s="1"/>
  <c r="L1713"/>
  <c r="P1713" s="1"/>
  <c r="K1713"/>
  <c r="O1713" s="1"/>
  <c r="U1712"/>
  <c r="T1712"/>
  <c r="S1712"/>
  <c r="N1712"/>
  <c r="R1712" s="1"/>
  <c r="M1712"/>
  <c r="Q1712" s="1"/>
  <c r="L1712"/>
  <c r="P1712" s="1"/>
  <c r="K1712"/>
  <c r="O1712" s="1"/>
  <c r="U1711"/>
  <c r="T1711"/>
  <c r="S1711"/>
  <c r="N1711"/>
  <c r="R1711" s="1"/>
  <c r="M1711"/>
  <c r="Q1711" s="1"/>
  <c r="L1711"/>
  <c r="P1711" s="1"/>
  <c r="K1711"/>
  <c r="O1711" s="1"/>
  <c r="U1710"/>
  <c r="T1710"/>
  <c r="S1710"/>
  <c r="N1710"/>
  <c r="R1710" s="1"/>
  <c r="M1710"/>
  <c r="Q1710" s="1"/>
  <c r="L1710"/>
  <c r="P1710" s="1"/>
  <c r="K1710"/>
  <c r="O1710" s="1"/>
  <c r="U1709"/>
  <c r="T1709"/>
  <c r="S1709"/>
  <c r="N1709"/>
  <c r="R1709" s="1"/>
  <c r="M1709"/>
  <c r="Q1709" s="1"/>
  <c r="L1709"/>
  <c r="P1709" s="1"/>
  <c r="K1709"/>
  <c r="O1709" s="1"/>
  <c r="U1708"/>
  <c r="T1708"/>
  <c r="S1708"/>
  <c r="N1708"/>
  <c r="R1708" s="1"/>
  <c r="M1708"/>
  <c r="Q1708" s="1"/>
  <c r="L1708"/>
  <c r="P1708" s="1"/>
  <c r="K1708"/>
  <c r="O1708" s="1"/>
  <c r="U1707"/>
  <c r="T1707"/>
  <c r="S1707"/>
  <c r="N1707"/>
  <c r="R1707" s="1"/>
  <c r="M1707"/>
  <c r="Q1707" s="1"/>
  <c r="L1707"/>
  <c r="P1707" s="1"/>
  <c r="K1707"/>
  <c r="O1707" s="1"/>
  <c r="U1706"/>
  <c r="T1706"/>
  <c r="S1706"/>
  <c r="N1706"/>
  <c r="R1706" s="1"/>
  <c r="M1706"/>
  <c r="Q1706" s="1"/>
  <c r="L1706"/>
  <c r="P1706" s="1"/>
  <c r="K1706"/>
  <c r="O1706" s="1"/>
  <c r="U1705"/>
  <c r="T1705"/>
  <c r="S1705"/>
  <c r="N1705"/>
  <c r="R1705" s="1"/>
  <c r="M1705"/>
  <c r="Q1705" s="1"/>
  <c r="L1705"/>
  <c r="P1705" s="1"/>
  <c r="K1705"/>
  <c r="O1705" s="1"/>
  <c r="U1704"/>
  <c r="T1704"/>
  <c r="S1704"/>
  <c r="N1704"/>
  <c r="R1704" s="1"/>
  <c r="M1704"/>
  <c r="Q1704" s="1"/>
  <c r="L1704"/>
  <c r="P1704" s="1"/>
  <c r="K1704"/>
  <c r="O1704" s="1"/>
  <c r="U1703"/>
  <c r="T1703"/>
  <c r="S1703"/>
  <c r="N1703"/>
  <c r="R1703" s="1"/>
  <c r="M1703"/>
  <c r="Q1703" s="1"/>
  <c r="L1703"/>
  <c r="P1703" s="1"/>
  <c r="K1703"/>
  <c r="O1703" s="1"/>
  <c r="U1702"/>
  <c r="T1702"/>
  <c r="S1702"/>
  <c r="N1702"/>
  <c r="R1702" s="1"/>
  <c r="M1702"/>
  <c r="Q1702" s="1"/>
  <c r="L1702"/>
  <c r="P1702" s="1"/>
  <c r="K1702"/>
  <c r="O1702" s="1"/>
  <c r="U1701"/>
  <c r="T1701"/>
  <c r="S1701"/>
  <c r="N1701"/>
  <c r="R1701" s="1"/>
  <c r="M1701"/>
  <c r="Q1701" s="1"/>
  <c r="L1701"/>
  <c r="P1701" s="1"/>
  <c r="K1701"/>
  <c r="O1701" s="1"/>
  <c r="U1700"/>
  <c r="T1700"/>
  <c r="S1700"/>
  <c r="N1700"/>
  <c r="R1700" s="1"/>
  <c r="M1700"/>
  <c r="Q1700" s="1"/>
  <c r="L1700"/>
  <c r="P1700" s="1"/>
  <c r="K1700"/>
  <c r="O1700" s="1"/>
  <c r="U1699"/>
  <c r="T1699"/>
  <c r="S1699"/>
  <c r="N1699"/>
  <c r="R1699" s="1"/>
  <c r="M1699"/>
  <c r="Q1699" s="1"/>
  <c r="L1699"/>
  <c r="P1699" s="1"/>
  <c r="K1699"/>
  <c r="O1699" s="1"/>
  <c r="U1698"/>
  <c r="T1698"/>
  <c r="S1698"/>
  <c r="N1698"/>
  <c r="R1698" s="1"/>
  <c r="M1698"/>
  <c r="Q1698" s="1"/>
  <c r="L1698"/>
  <c r="P1698" s="1"/>
  <c r="K1698"/>
  <c r="O1698" s="1"/>
  <c r="U1697"/>
  <c r="T1697"/>
  <c r="S1697"/>
  <c r="N1697"/>
  <c r="R1697" s="1"/>
  <c r="M1697"/>
  <c r="Q1697" s="1"/>
  <c r="L1697"/>
  <c r="P1697" s="1"/>
  <c r="K1697"/>
  <c r="O1697" s="1"/>
  <c r="U1696"/>
  <c r="T1696"/>
  <c r="S1696"/>
  <c r="N1696"/>
  <c r="R1696" s="1"/>
  <c r="M1696"/>
  <c r="Q1696" s="1"/>
  <c r="L1696"/>
  <c r="P1696" s="1"/>
  <c r="K1696"/>
  <c r="O1696" s="1"/>
  <c r="U1695"/>
  <c r="T1695"/>
  <c r="S1695"/>
  <c r="N1695"/>
  <c r="R1695" s="1"/>
  <c r="M1695"/>
  <c r="Q1695" s="1"/>
  <c r="L1695"/>
  <c r="P1695" s="1"/>
  <c r="K1695"/>
  <c r="O1695" s="1"/>
  <c r="U1694"/>
  <c r="T1694"/>
  <c r="S1694"/>
  <c r="N1694"/>
  <c r="R1694" s="1"/>
  <c r="M1694"/>
  <c r="Q1694" s="1"/>
  <c r="L1694"/>
  <c r="P1694" s="1"/>
  <c r="K1694"/>
  <c r="O1694" s="1"/>
  <c r="U1693"/>
  <c r="T1693"/>
  <c r="S1693"/>
  <c r="N1693"/>
  <c r="R1693" s="1"/>
  <c r="M1693"/>
  <c r="Q1693" s="1"/>
  <c r="L1693"/>
  <c r="P1693" s="1"/>
  <c r="K1693"/>
  <c r="O1693" s="1"/>
  <c r="U1692"/>
  <c r="T1692"/>
  <c r="S1692"/>
  <c r="N1692"/>
  <c r="R1692" s="1"/>
  <c r="M1692"/>
  <c r="Q1692" s="1"/>
  <c r="L1692"/>
  <c r="P1692" s="1"/>
  <c r="K1692"/>
  <c r="O1692" s="1"/>
  <c r="U1691"/>
  <c r="T1691"/>
  <c r="S1691"/>
  <c r="N1691"/>
  <c r="R1691" s="1"/>
  <c r="M1691"/>
  <c r="Q1691" s="1"/>
  <c r="L1691"/>
  <c r="P1691" s="1"/>
  <c r="K1691"/>
  <c r="O1691" s="1"/>
  <c r="U1690"/>
  <c r="T1690"/>
  <c r="S1690"/>
  <c r="N1690"/>
  <c r="R1690" s="1"/>
  <c r="M1690"/>
  <c r="Q1690" s="1"/>
  <c r="L1690"/>
  <c r="P1690" s="1"/>
  <c r="K1690"/>
  <c r="O1690" s="1"/>
  <c r="U1689"/>
  <c r="T1689"/>
  <c r="S1689"/>
  <c r="N1689"/>
  <c r="R1689" s="1"/>
  <c r="M1689"/>
  <c r="Q1689" s="1"/>
  <c r="L1689"/>
  <c r="P1689" s="1"/>
  <c r="K1689"/>
  <c r="O1689" s="1"/>
  <c r="U1688"/>
  <c r="T1688"/>
  <c r="S1688"/>
  <c r="N1688"/>
  <c r="R1688" s="1"/>
  <c r="M1688"/>
  <c r="Q1688" s="1"/>
  <c r="L1688"/>
  <c r="P1688" s="1"/>
  <c r="K1688"/>
  <c r="O1688" s="1"/>
  <c r="U1687"/>
  <c r="T1687"/>
  <c r="S1687"/>
  <c r="N1687"/>
  <c r="R1687" s="1"/>
  <c r="M1687"/>
  <c r="Q1687" s="1"/>
  <c r="L1687"/>
  <c r="P1687" s="1"/>
  <c r="K1687"/>
  <c r="O1687" s="1"/>
  <c r="U1686"/>
  <c r="T1686"/>
  <c r="S1686"/>
  <c r="N1686"/>
  <c r="R1686" s="1"/>
  <c r="M1686"/>
  <c r="Q1686" s="1"/>
  <c r="L1686"/>
  <c r="P1686" s="1"/>
  <c r="K1686"/>
  <c r="O1686" s="1"/>
  <c r="U1685"/>
  <c r="T1685"/>
  <c r="S1685"/>
  <c r="N1685"/>
  <c r="R1685" s="1"/>
  <c r="M1685"/>
  <c r="Q1685" s="1"/>
  <c r="L1685"/>
  <c r="P1685" s="1"/>
  <c r="K1685"/>
  <c r="O1685" s="1"/>
  <c r="U1684"/>
  <c r="T1684"/>
  <c r="S1684"/>
  <c r="N1684"/>
  <c r="R1684" s="1"/>
  <c r="M1684"/>
  <c r="Q1684" s="1"/>
  <c r="L1684"/>
  <c r="P1684" s="1"/>
  <c r="K1684"/>
  <c r="O1684" s="1"/>
  <c r="U1683"/>
  <c r="T1683"/>
  <c r="S1683"/>
  <c r="N1683"/>
  <c r="R1683" s="1"/>
  <c r="M1683"/>
  <c r="Q1683" s="1"/>
  <c r="L1683"/>
  <c r="P1683" s="1"/>
  <c r="K1683"/>
  <c r="O1683" s="1"/>
  <c r="U1682"/>
  <c r="T1682"/>
  <c r="S1682"/>
  <c r="N1682"/>
  <c r="R1682" s="1"/>
  <c r="M1682"/>
  <c r="Q1682" s="1"/>
  <c r="L1682"/>
  <c r="P1682" s="1"/>
  <c r="K1682"/>
  <c r="O1682" s="1"/>
  <c r="U1681"/>
  <c r="T1681"/>
  <c r="S1681"/>
  <c r="N1681"/>
  <c r="R1681" s="1"/>
  <c r="M1681"/>
  <c r="Q1681" s="1"/>
  <c r="L1681"/>
  <c r="P1681" s="1"/>
  <c r="K1681"/>
  <c r="O1681" s="1"/>
  <c r="U1680"/>
  <c r="T1680"/>
  <c r="S1680"/>
  <c r="N1680"/>
  <c r="R1680" s="1"/>
  <c r="M1680"/>
  <c r="Q1680" s="1"/>
  <c r="L1680"/>
  <c r="P1680" s="1"/>
  <c r="K1680"/>
  <c r="O1680" s="1"/>
  <c r="U1679"/>
  <c r="T1679"/>
  <c r="S1679"/>
  <c r="N1679"/>
  <c r="R1679" s="1"/>
  <c r="M1679"/>
  <c r="Q1679" s="1"/>
  <c r="L1679"/>
  <c r="P1679" s="1"/>
  <c r="K1679"/>
  <c r="O1679" s="1"/>
  <c r="U1678"/>
  <c r="T1678"/>
  <c r="S1678"/>
  <c r="N1678"/>
  <c r="R1678" s="1"/>
  <c r="M1678"/>
  <c r="Q1678" s="1"/>
  <c r="L1678"/>
  <c r="P1678" s="1"/>
  <c r="K1678"/>
  <c r="O1678" s="1"/>
  <c r="U1677"/>
  <c r="T1677"/>
  <c r="S1677"/>
  <c r="N1677"/>
  <c r="R1677" s="1"/>
  <c r="M1677"/>
  <c r="Q1677" s="1"/>
  <c r="L1677"/>
  <c r="P1677" s="1"/>
  <c r="K1677"/>
  <c r="O1677" s="1"/>
  <c r="U1676"/>
  <c r="T1676"/>
  <c r="S1676"/>
  <c r="N1676"/>
  <c r="R1676" s="1"/>
  <c r="M1676"/>
  <c r="Q1676" s="1"/>
  <c r="L1676"/>
  <c r="P1676" s="1"/>
  <c r="K1676"/>
  <c r="O1676" s="1"/>
  <c r="U1675"/>
  <c r="T1675"/>
  <c r="S1675"/>
  <c r="N1675"/>
  <c r="R1675" s="1"/>
  <c r="M1675"/>
  <c r="Q1675" s="1"/>
  <c r="L1675"/>
  <c r="P1675" s="1"/>
  <c r="K1675"/>
  <c r="O1675" s="1"/>
  <c r="U1674"/>
  <c r="T1674"/>
  <c r="S1674"/>
  <c r="N1674"/>
  <c r="R1674" s="1"/>
  <c r="M1674"/>
  <c r="Q1674" s="1"/>
  <c r="L1674"/>
  <c r="P1674" s="1"/>
  <c r="K1674"/>
  <c r="O1674" s="1"/>
  <c r="U1673"/>
  <c r="T1673"/>
  <c r="S1673"/>
  <c r="N1673"/>
  <c r="R1673" s="1"/>
  <c r="M1673"/>
  <c r="Q1673" s="1"/>
  <c r="L1673"/>
  <c r="P1673" s="1"/>
  <c r="K1673"/>
  <c r="O1673" s="1"/>
  <c r="U1672"/>
  <c r="T1672"/>
  <c r="S1672"/>
  <c r="N1672"/>
  <c r="R1672" s="1"/>
  <c r="M1672"/>
  <c r="Q1672" s="1"/>
  <c r="L1672"/>
  <c r="P1672" s="1"/>
  <c r="K1672"/>
  <c r="O1672" s="1"/>
  <c r="U1671"/>
  <c r="T1671"/>
  <c r="S1671"/>
  <c r="N1671"/>
  <c r="R1671" s="1"/>
  <c r="M1671"/>
  <c r="Q1671" s="1"/>
  <c r="L1671"/>
  <c r="P1671" s="1"/>
  <c r="K1671"/>
  <c r="O1671" s="1"/>
  <c r="U1670"/>
  <c r="T1670"/>
  <c r="S1670"/>
  <c r="N1670"/>
  <c r="R1670" s="1"/>
  <c r="M1670"/>
  <c r="Q1670" s="1"/>
  <c r="L1670"/>
  <c r="P1670" s="1"/>
  <c r="K1670"/>
  <c r="O1670" s="1"/>
  <c r="U1669"/>
  <c r="T1669"/>
  <c r="S1669"/>
  <c r="N1669"/>
  <c r="R1669" s="1"/>
  <c r="M1669"/>
  <c r="Q1669" s="1"/>
  <c r="L1669"/>
  <c r="P1669" s="1"/>
  <c r="K1669"/>
  <c r="O1669" s="1"/>
  <c r="U1668"/>
  <c r="T1668"/>
  <c r="S1668"/>
  <c r="N1668"/>
  <c r="R1668" s="1"/>
  <c r="M1668"/>
  <c r="Q1668" s="1"/>
  <c r="L1668"/>
  <c r="P1668" s="1"/>
  <c r="K1668"/>
  <c r="O1668" s="1"/>
  <c r="U1667"/>
  <c r="T1667"/>
  <c r="S1667"/>
  <c r="N1667"/>
  <c r="R1667" s="1"/>
  <c r="M1667"/>
  <c r="Q1667" s="1"/>
  <c r="L1667"/>
  <c r="P1667" s="1"/>
  <c r="K1667"/>
  <c r="O1667" s="1"/>
  <c r="U1666"/>
  <c r="T1666"/>
  <c r="S1666"/>
  <c r="N1666"/>
  <c r="R1666" s="1"/>
  <c r="M1666"/>
  <c r="Q1666" s="1"/>
  <c r="L1666"/>
  <c r="P1666" s="1"/>
  <c r="K1666"/>
  <c r="O1666" s="1"/>
  <c r="U1665"/>
  <c r="T1665"/>
  <c r="S1665"/>
  <c r="N1665"/>
  <c r="R1665" s="1"/>
  <c r="M1665"/>
  <c r="Q1665" s="1"/>
  <c r="L1665"/>
  <c r="P1665" s="1"/>
  <c r="K1665"/>
  <c r="O1665" s="1"/>
  <c r="U1664"/>
  <c r="T1664"/>
  <c r="S1664"/>
  <c r="N1664"/>
  <c r="R1664" s="1"/>
  <c r="M1664"/>
  <c r="Q1664" s="1"/>
  <c r="L1664"/>
  <c r="P1664" s="1"/>
  <c r="K1664"/>
  <c r="O1664" s="1"/>
  <c r="U1663"/>
  <c r="T1663"/>
  <c r="S1663"/>
  <c r="N1663"/>
  <c r="R1663" s="1"/>
  <c r="M1663"/>
  <c r="Q1663" s="1"/>
  <c r="L1663"/>
  <c r="P1663" s="1"/>
  <c r="K1663"/>
  <c r="O1663" s="1"/>
  <c r="U1662"/>
  <c r="T1662"/>
  <c r="S1662"/>
  <c r="N1662"/>
  <c r="R1662" s="1"/>
  <c r="M1662"/>
  <c r="Q1662" s="1"/>
  <c r="L1662"/>
  <c r="P1662" s="1"/>
  <c r="K1662"/>
  <c r="O1662" s="1"/>
  <c r="U1661"/>
  <c r="T1661"/>
  <c r="S1661"/>
  <c r="N1661"/>
  <c r="R1661" s="1"/>
  <c r="M1661"/>
  <c r="Q1661" s="1"/>
  <c r="L1661"/>
  <c r="P1661" s="1"/>
  <c r="K1661"/>
  <c r="O1661" s="1"/>
  <c r="U1660"/>
  <c r="T1660"/>
  <c r="S1660"/>
  <c r="N1660"/>
  <c r="R1660" s="1"/>
  <c r="M1660"/>
  <c r="Q1660" s="1"/>
  <c r="L1660"/>
  <c r="P1660" s="1"/>
  <c r="K1660"/>
  <c r="O1660" s="1"/>
  <c r="U1659"/>
  <c r="T1659"/>
  <c r="S1659"/>
  <c r="N1659"/>
  <c r="R1659" s="1"/>
  <c r="M1659"/>
  <c r="Q1659" s="1"/>
  <c r="L1659"/>
  <c r="P1659" s="1"/>
  <c r="K1659"/>
  <c r="O1659" s="1"/>
  <c r="U1658"/>
  <c r="T1658"/>
  <c r="S1658"/>
  <c r="N1658"/>
  <c r="R1658" s="1"/>
  <c r="M1658"/>
  <c r="Q1658" s="1"/>
  <c r="L1658"/>
  <c r="P1658" s="1"/>
  <c r="K1658"/>
  <c r="O1658" s="1"/>
  <c r="U1657"/>
  <c r="T1657"/>
  <c r="S1657"/>
  <c r="N1657"/>
  <c r="R1657" s="1"/>
  <c r="M1657"/>
  <c r="Q1657" s="1"/>
  <c r="L1657"/>
  <c r="P1657" s="1"/>
  <c r="K1657"/>
  <c r="O1657" s="1"/>
  <c r="U1656"/>
  <c r="T1656"/>
  <c r="S1656"/>
  <c r="N1656"/>
  <c r="R1656" s="1"/>
  <c r="M1656"/>
  <c r="Q1656" s="1"/>
  <c r="L1656"/>
  <c r="P1656" s="1"/>
  <c r="K1656"/>
  <c r="O1656" s="1"/>
  <c r="U1655"/>
  <c r="T1655"/>
  <c r="S1655"/>
  <c r="N1655"/>
  <c r="R1655" s="1"/>
  <c r="M1655"/>
  <c r="Q1655" s="1"/>
  <c r="L1655"/>
  <c r="P1655" s="1"/>
  <c r="K1655"/>
  <c r="O1655" s="1"/>
  <c r="U1654"/>
  <c r="T1654"/>
  <c r="S1654"/>
  <c r="N1654"/>
  <c r="R1654" s="1"/>
  <c r="M1654"/>
  <c r="Q1654" s="1"/>
  <c r="L1654"/>
  <c r="P1654" s="1"/>
  <c r="K1654"/>
  <c r="O1654" s="1"/>
  <c r="U1653"/>
  <c r="T1653"/>
  <c r="S1653"/>
  <c r="N1653"/>
  <c r="R1653" s="1"/>
  <c r="M1653"/>
  <c r="Q1653" s="1"/>
  <c r="L1653"/>
  <c r="P1653" s="1"/>
  <c r="K1653"/>
  <c r="O1653" s="1"/>
  <c r="U1652"/>
  <c r="T1652"/>
  <c r="S1652"/>
  <c r="N1652"/>
  <c r="R1652" s="1"/>
  <c r="M1652"/>
  <c r="Q1652" s="1"/>
  <c r="L1652"/>
  <c r="P1652" s="1"/>
  <c r="K1652"/>
  <c r="O1652" s="1"/>
  <c r="U1651"/>
  <c r="T1651"/>
  <c r="S1651"/>
  <c r="N1651"/>
  <c r="R1651" s="1"/>
  <c r="M1651"/>
  <c r="Q1651" s="1"/>
  <c r="L1651"/>
  <c r="P1651" s="1"/>
  <c r="K1651"/>
  <c r="O1651" s="1"/>
  <c r="U1650"/>
  <c r="T1650"/>
  <c r="S1650"/>
  <c r="N1650"/>
  <c r="R1650" s="1"/>
  <c r="M1650"/>
  <c r="Q1650" s="1"/>
  <c r="L1650"/>
  <c r="P1650" s="1"/>
  <c r="K1650"/>
  <c r="O1650" s="1"/>
  <c r="U1649"/>
  <c r="T1649"/>
  <c r="S1649"/>
  <c r="N1649"/>
  <c r="R1649" s="1"/>
  <c r="M1649"/>
  <c r="Q1649" s="1"/>
  <c r="L1649"/>
  <c r="P1649" s="1"/>
  <c r="K1649"/>
  <c r="O1649" s="1"/>
  <c r="U1648"/>
  <c r="T1648"/>
  <c r="S1648"/>
  <c r="N1648"/>
  <c r="R1648" s="1"/>
  <c r="M1648"/>
  <c r="Q1648" s="1"/>
  <c r="L1648"/>
  <c r="P1648" s="1"/>
  <c r="K1648"/>
  <c r="O1648" s="1"/>
  <c r="U1647"/>
  <c r="T1647"/>
  <c r="S1647"/>
  <c r="N1647"/>
  <c r="R1647" s="1"/>
  <c r="M1647"/>
  <c r="Q1647" s="1"/>
  <c r="L1647"/>
  <c r="P1647" s="1"/>
  <c r="K1647"/>
  <c r="O1647" s="1"/>
  <c r="U1646"/>
  <c r="T1646"/>
  <c r="S1646"/>
  <c r="N1646"/>
  <c r="R1646" s="1"/>
  <c r="M1646"/>
  <c r="Q1646" s="1"/>
  <c r="L1646"/>
  <c r="P1646" s="1"/>
  <c r="K1646"/>
  <c r="O1646" s="1"/>
  <c r="U1645"/>
  <c r="T1645"/>
  <c r="S1645"/>
  <c r="N1645"/>
  <c r="R1645" s="1"/>
  <c r="M1645"/>
  <c r="Q1645" s="1"/>
  <c r="L1645"/>
  <c r="P1645" s="1"/>
  <c r="K1645"/>
  <c r="O1645" s="1"/>
  <c r="U1644"/>
  <c r="T1644"/>
  <c r="S1644"/>
  <c r="N1644"/>
  <c r="R1644" s="1"/>
  <c r="M1644"/>
  <c r="Q1644" s="1"/>
  <c r="L1644"/>
  <c r="P1644" s="1"/>
  <c r="K1644"/>
  <c r="O1644" s="1"/>
  <c r="U1643"/>
  <c r="T1643"/>
  <c r="S1643"/>
  <c r="N1643"/>
  <c r="R1643" s="1"/>
  <c r="M1643"/>
  <c r="Q1643" s="1"/>
  <c r="L1643"/>
  <c r="P1643" s="1"/>
  <c r="K1643"/>
  <c r="O1643" s="1"/>
  <c r="U1642"/>
  <c r="T1642"/>
  <c r="S1642"/>
  <c r="N1642"/>
  <c r="R1642" s="1"/>
  <c r="M1642"/>
  <c r="Q1642" s="1"/>
  <c r="L1642"/>
  <c r="P1642" s="1"/>
  <c r="K1642"/>
  <c r="O1642" s="1"/>
  <c r="U1641"/>
  <c r="T1641"/>
  <c r="S1641"/>
  <c r="N1641"/>
  <c r="R1641" s="1"/>
  <c r="M1641"/>
  <c r="Q1641" s="1"/>
  <c r="L1641"/>
  <c r="P1641" s="1"/>
  <c r="K1641"/>
  <c r="O1641" s="1"/>
  <c r="U1640"/>
  <c r="T1640"/>
  <c r="S1640"/>
  <c r="N1640"/>
  <c r="R1640" s="1"/>
  <c r="M1640"/>
  <c r="Q1640" s="1"/>
  <c r="L1640"/>
  <c r="P1640" s="1"/>
  <c r="K1640"/>
  <c r="O1640" s="1"/>
  <c r="U1639"/>
  <c r="T1639"/>
  <c r="S1639"/>
  <c r="N1639"/>
  <c r="R1639" s="1"/>
  <c r="M1639"/>
  <c r="Q1639" s="1"/>
  <c r="L1639"/>
  <c r="P1639" s="1"/>
  <c r="K1639"/>
  <c r="O1639" s="1"/>
  <c r="U1638"/>
  <c r="T1638"/>
  <c r="S1638"/>
  <c r="N1638"/>
  <c r="R1638" s="1"/>
  <c r="M1638"/>
  <c r="Q1638" s="1"/>
  <c r="L1638"/>
  <c r="P1638" s="1"/>
  <c r="K1638"/>
  <c r="O1638" s="1"/>
  <c r="U1637"/>
  <c r="T1637"/>
  <c r="S1637"/>
  <c r="N1637"/>
  <c r="R1637" s="1"/>
  <c r="M1637"/>
  <c r="Q1637" s="1"/>
  <c r="L1637"/>
  <c r="P1637" s="1"/>
  <c r="K1637"/>
  <c r="O1637" s="1"/>
  <c r="U1636"/>
  <c r="T1636"/>
  <c r="S1636"/>
  <c r="N1636"/>
  <c r="R1636" s="1"/>
  <c r="M1636"/>
  <c r="Q1636" s="1"/>
  <c r="L1636"/>
  <c r="P1636" s="1"/>
  <c r="K1636"/>
  <c r="O1636" s="1"/>
  <c r="U1635"/>
  <c r="T1635"/>
  <c r="S1635"/>
  <c r="N1635"/>
  <c r="R1635" s="1"/>
  <c r="M1635"/>
  <c r="Q1635" s="1"/>
  <c r="L1635"/>
  <c r="P1635" s="1"/>
  <c r="K1635"/>
  <c r="O1635" s="1"/>
  <c r="U1634"/>
  <c r="T1634"/>
  <c r="S1634"/>
  <c r="N1634"/>
  <c r="R1634" s="1"/>
  <c r="M1634"/>
  <c r="Q1634" s="1"/>
  <c r="L1634"/>
  <c r="P1634" s="1"/>
  <c r="K1634"/>
  <c r="O1634" s="1"/>
  <c r="U1633"/>
  <c r="T1633"/>
  <c r="S1633"/>
  <c r="N1633"/>
  <c r="R1633" s="1"/>
  <c r="M1633"/>
  <c r="Q1633" s="1"/>
  <c r="L1633"/>
  <c r="P1633" s="1"/>
  <c r="K1633"/>
  <c r="O1633" s="1"/>
  <c r="U1632"/>
  <c r="T1632"/>
  <c r="S1632"/>
  <c r="N1632"/>
  <c r="R1632" s="1"/>
  <c r="M1632"/>
  <c r="Q1632" s="1"/>
  <c r="L1632"/>
  <c r="P1632" s="1"/>
  <c r="K1632"/>
  <c r="O1632" s="1"/>
  <c r="U1631"/>
  <c r="T1631"/>
  <c r="S1631"/>
  <c r="N1631"/>
  <c r="R1631" s="1"/>
  <c r="M1631"/>
  <c r="Q1631" s="1"/>
  <c r="L1631"/>
  <c r="P1631" s="1"/>
  <c r="K1631"/>
  <c r="O1631" s="1"/>
  <c r="U1630"/>
  <c r="T1630"/>
  <c r="S1630"/>
  <c r="N1630"/>
  <c r="R1630" s="1"/>
  <c r="M1630"/>
  <c r="Q1630" s="1"/>
  <c r="L1630"/>
  <c r="P1630" s="1"/>
  <c r="K1630"/>
  <c r="O1630" s="1"/>
  <c r="U1629"/>
  <c r="T1629"/>
  <c r="S1629"/>
  <c r="N1629"/>
  <c r="R1629" s="1"/>
  <c r="M1629"/>
  <c r="Q1629" s="1"/>
  <c r="L1629"/>
  <c r="P1629" s="1"/>
  <c r="K1629"/>
  <c r="O1629" s="1"/>
  <c r="U1628"/>
  <c r="T1628"/>
  <c r="S1628"/>
  <c r="N1628"/>
  <c r="R1628" s="1"/>
  <c r="M1628"/>
  <c r="Q1628" s="1"/>
  <c r="L1628"/>
  <c r="P1628" s="1"/>
  <c r="K1628"/>
  <c r="O1628" s="1"/>
  <c r="U1627"/>
  <c r="T1627"/>
  <c r="S1627"/>
  <c r="N1627"/>
  <c r="R1627" s="1"/>
  <c r="M1627"/>
  <c r="Q1627" s="1"/>
  <c r="L1627"/>
  <c r="P1627" s="1"/>
  <c r="K1627"/>
  <c r="O1627" s="1"/>
  <c r="U1626"/>
  <c r="T1626"/>
  <c r="S1626"/>
  <c r="N1626"/>
  <c r="R1626" s="1"/>
  <c r="M1626"/>
  <c r="Q1626" s="1"/>
  <c r="L1626"/>
  <c r="P1626" s="1"/>
  <c r="K1626"/>
  <c r="O1626" s="1"/>
  <c r="U1625"/>
  <c r="T1625"/>
  <c r="S1625"/>
  <c r="N1625"/>
  <c r="R1625" s="1"/>
  <c r="M1625"/>
  <c r="Q1625" s="1"/>
  <c r="L1625"/>
  <c r="P1625" s="1"/>
  <c r="K1625"/>
  <c r="O1625" s="1"/>
  <c r="U1624"/>
  <c r="T1624"/>
  <c r="S1624"/>
  <c r="N1624"/>
  <c r="R1624" s="1"/>
  <c r="M1624"/>
  <c r="Q1624" s="1"/>
  <c r="L1624"/>
  <c r="P1624" s="1"/>
  <c r="K1624"/>
  <c r="O1624" s="1"/>
  <c r="U1623"/>
  <c r="T1623"/>
  <c r="S1623"/>
  <c r="N1623"/>
  <c r="R1623" s="1"/>
  <c r="M1623"/>
  <c r="Q1623" s="1"/>
  <c r="L1623"/>
  <c r="P1623" s="1"/>
  <c r="K1623"/>
  <c r="O1623" s="1"/>
  <c r="U1622"/>
  <c r="T1622"/>
  <c r="S1622"/>
  <c r="N1622"/>
  <c r="R1622" s="1"/>
  <c r="M1622"/>
  <c r="Q1622" s="1"/>
  <c r="L1622"/>
  <c r="P1622" s="1"/>
  <c r="K1622"/>
  <c r="O1622" s="1"/>
  <c r="U1621"/>
  <c r="T1621"/>
  <c r="S1621"/>
  <c r="N1621"/>
  <c r="R1621" s="1"/>
  <c r="M1621"/>
  <c r="Q1621" s="1"/>
  <c r="L1621"/>
  <c r="P1621" s="1"/>
  <c r="K1621"/>
  <c r="O1621" s="1"/>
  <c r="U1620"/>
  <c r="T1620"/>
  <c r="S1620"/>
  <c r="N1620"/>
  <c r="R1620" s="1"/>
  <c r="M1620"/>
  <c r="Q1620" s="1"/>
  <c r="L1620"/>
  <c r="P1620" s="1"/>
  <c r="K1620"/>
  <c r="O1620" s="1"/>
  <c r="U1619"/>
  <c r="T1619"/>
  <c r="S1619"/>
  <c r="N1619"/>
  <c r="R1619" s="1"/>
  <c r="M1619"/>
  <c r="Q1619" s="1"/>
  <c r="L1619"/>
  <c r="P1619" s="1"/>
  <c r="K1619"/>
  <c r="O1619" s="1"/>
  <c r="U1618"/>
  <c r="T1618"/>
  <c r="S1618"/>
  <c r="N1618"/>
  <c r="R1618" s="1"/>
  <c r="M1618"/>
  <c r="Q1618" s="1"/>
  <c r="L1618"/>
  <c r="P1618" s="1"/>
  <c r="K1618"/>
  <c r="O1618" s="1"/>
  <c r="U1617"/>
  <c r="T1617"/>
  <c r="S1617"/>
  <c r="N1617"/>
  <c r="R1617" s="1"/>
  <c r="M1617"/>
  <c r="Q1617" s="1"/>
  <c r="L1617"/>
  <c r="P1617" s="1"/>
  <c r="K1617"/>
  <c r="O1617" s="1"/>
  <c r="U1616"/>
  <c r="T1616"/>
  <c r="S1616"/>
  <c r="N1616"/>
  <c r="R1616" s="1"/>
  <c r="M1616"/>
  <c r="Q1616" s="1"/>
  <c r="L1616"/>
  <c r="P1616" s="1"/>
  <c r="K1616"/>
  <c r="O1616" s="1"/>
  <c r="U1615"/>
  <c r="T1615"/>
  <c r="S1615"/>
  <c r="N1615"/>
  <c r="R1615" s="1"/>
  <c r="M1615"/>
  <c r="Q1615" s="1"/>
  <c r="L1615"/>
  <c r="P1615" s="1"/>
  <c r="K1615"/>
  <c r="O1615" s="1"/>
  <c r="U1614"/>
  <c r="T1614"/>
  <c r="S1614"/>
  <c r="N1614"/>
  <c r="R1614" s="1"/>
  <c r="M1614"/>
  <c r="Q1614" s="1"/>
  <c r="L1614"/>
  <c r="P1614" s="1"/>
  <c r="K1614"/>
  <c r="O1614" s="1"/>
  <c r="U1613"/>
  <c r="T1613"/>
  <c r="S1613"/>
  <c r="N1613"/>
  <c r="R1613" s="1"/>
  <c r="M1613"/>
  <c r="Q1613" s="1"/>
  <c r="L1613"/>
  <c r="P1613" s="1"/>
  <c r="K1613"/>
  <c r="O1613" s="1"/>
  <c r="U1612"/>
  <c r="T1612"/>
  <c r="S1612"/>
  <c r="N1612"/>
  <c r="R1612" s="1"/>
  <c r="M1612"/>
  <c r="Q1612" s="1"/>
  <c r="L1612"/>
  <c r="P1612" s="1"/>
  <c r="K1612"/>
  <c r="O1612" s="1"/>
  <c r="U1611"/>
  <c r="T1611"/>
  <c r="S1611"/>
  <c r="N1611"/>
  <c r="R1611" s="1"/>
  <c r="M1611"/>
  <c r="Q1611" s="1"/>
  <c r="L1611"/>
  <c r="P1611" s="1"/>
  <c r="K1611"/>
  <c r="O1611" s="1"/>
  <c r="U1610"/>
  <c r="T1610"/>
  <c r="S1610"/>
  <c r="N1610"/>
  <c r="R1610" s="1"/>
  <c r="M1610"/>
  <c r="Q1610" s="1"/>
  <c r="L1610"/>
  <c r="P1610" s="1"/>
  <c r="K1610"/>
  <c r="O1610" s="1"/>
  <c r="U1609"/>
  <c r="T1609"/>
  <c r="S1609"/>
  <c r="N1609"/>
  <c r="R1609" s="1"/>
  <c r="M1609"/>
  <c r="Q1609" s="1"/>
  <c r="L1609"/>
  <c r="P1609" s="1"/>
  <c r="K1609"/>
  <c r="O1609" s="1"/>
  <c r="U1608"/>
  <c r="T1608"/>
  <c r="S1608"/>
  <c r="N1608"/>
  <c r="R1608" s="1"/>
  <c r="M1608"/>
  <c r="Q1608" s="1"/>
  <c r="L1608"/>
  <c r="P1608" s="1"/>
  <c r="K1608"/>
  <c r="O1608" s="1"/>
  <c r="U1607"/>
  <c r="T1607"/>
  <c r="S1607"/>
  <c r="N1607"/>
  <c r="R1607" s="1"/>
  <c r="M1607"/>
  <c r="Q1607" s="1"/>
  <c r="L1607"/>
  <c r="P1607" s="1"/>
  <c r="K1607"/>
  <c r="O1607" s="1"/>
  <c r="U1606"/>
  <c r="T1606"/>
  <c r="S1606"/>
  <c r="N1606"/>
  <c r="R1606" s="1"/>
  <c r="M1606"/>
  <c r="Q1606" s="1"/>
  <c r="L1606"/>
  <c r="P1606" s="1"/>
  <c r="K1606"/>
  <c r="O1606" s="1"/>
  <c r="U1605"/>
  <c r="T1605"/>
  <c r="S1605"/>
  <c r="N1605"/>
  <c r="R1605" s="1"/>
  <c r="M1605"/>
  <c r="Q1605" s="1"/>
  <c r="L1605"/>
  <c r="P1605" s="1"/>
  <c r="K1605"/>
  <c r="O1605" s="1"/>
  <c r="U1604"/>
  <c r="T1604"/>
  <c r="S1604"/>
  <c r="N1604"/>
  <c r="R1604" s="1"/>
  <c r="M1604"/>
  <c r="Q1604" s="1"/>
  <c r="L1604"/>
  <c r="P1604" s="1"/>
  <c r="K1604"/>
  <c r="O1604" s="1"/>
  <c r="U1603"/>
  <c r="T1603"/>
  <c r="S1603"/>
  <c r="N1603"/>
  <c r="R1603" s="1"/>
  <c r="M1603"/>
  <c r="Q1603" s="1"/>
  <c r="L1603"/>
  <c r="P1603" s="1"/>
  <c r="K1603"/>
  <c r="O1603" s="1"/>
  <c r="U1602"/>
  <c r="T1602"/>
  <c r="S1602"/>
  <c r="N1602"/>
  <c r="R1602" s="1"/>
  <c r="M1602"/>
  <c r="Q1602" s="1"/>
  <c r="L1602"/>
  <c r="P1602" s="1"/>
  <c r="K1602"/>
  <c r="O1602" s="1"/>
  <c r="U1601"/>
  <c r="T1601"/>
  <c r="S1601"/>
  <c r="N1601"/>
  <c r="R1601" s="1"/>
  <c r="M1601"/>
  <c r="Q1601" s="1"/>
  <c r="L1601"/>
  <c r="P1601" s="1"/>
  <c r="K1601"/>
  <c r="O1601" s="1"/>
  <c r="U1600"/>
  <c r="T1600"/>
  <c r="S1600"/>
  <c r="N1600"/>
  <c r="R1600" s="1"/>
  <c r="M1600"/>
  <c r="Q1600" s="1"/>
  <c r="L1600"/>
  <c r="P1600" s="1"/>
  <c r="K1600"/>
  <c r="O1600" s="1"/>
  <c r="U1599"/>
  <c r="T1599"/>
  <c r="S1599"/>
  <c r="N1599"/>
  <c r="R1599" s="1"/>
  <c r="M1599"/>
  <c r="Q1599" s="1"/>
  <c r="L1599"/>
  <c r="P1599" s="1"/>
  <c r="K1599"/>
  <c r="O1599" s="1"/>
  <c r="U1598"/>
  <c r="T1598"/>
  <c r="S1598"/>
  <c r="N1598"/>
  <c r="R1598" s="1"/>
  <c r="M1598"/>
  <c r="Q1598" s="1"/>
  <c r="L1598"/>
  <c r="P1598" s="1"/>
  <c r="K1598"/>
  <c r="O1598" s="1"/>
  <c r="U1597"/>
  <c r="T1597"/>
  <c r="S1597"/>
  <c r="N1597"/>
  <c r="R1597" s="1"/>
  <c r="M1597"/>
  <c r="Q1597" s="1"/>
  <c r="L1597"/>
  <c r="P1597" s="1"/>
  <c r="K1597"/>
  <c r="O1597" s="1"/>
  <c r="U1596"/>
  <c r="T1596"/>
  <c r="S1596"/>
  <c r="N1596"/>
  <c r="R1596" s="1"/>
  <c r="M1596"/>
  <c r="Q1596" s="1"/>
  <c r="L1596"/>
  <c r="P1596" s="1"/>
  <c r="K1596"/>
  <c r="O1596" s="1"/>
  <c r="U1595"/>
  <c r="T1595"/>
  <c r="S1595"/>
  <c r="N1595"/>
  <c r="R1595" s="1"/>
  <c r="M1595"/>
  <c r="Q1595" s="1"/>
  <c r="L1595"/>
  <c r="P1595" s="1"/>
  <c r="K1595"/>
  <c r="O1595" s="1"/>
  <c r="U1594"/>
  <c r="T1594"/>
  <c r="S1594"/>
  <c r="N1594"/>
  <c r="R1594" s="1"/>
  <c r="M1594"/>
  <c r="Q1594" s="1"/>
  <c r="L1594"/>
  <c r="P1594" s="1"/>
  <c r="K1594"/>
  <c r="O1594" s="1"/>
  <c r="U1593"/>
  <c r="T1593"/>
  <c r="S1593"/>
  <c r="N1593"/>
  <c r="R1593" s="1"/>
  <c r="M1593"/>
  <c r="Q1593" s="1"/>
  <c r="L1593"/>
  <c r="P1593" s="1"/>
  <c r="K1593"/>
  <c r="O1593" s="1"/>
  <c r="U1592"/>
  <c r="T1592"/>
  <c r="S1592"/>
  <c r="N1592"/>
  <c r="R1592" s="1"/>
  <c r="M1592"/>
  <c r="Q1592" s="1"/>
  <c r="L1592"/>
  <c r="P1592" s="1"/>
  <c r="K1592"/>
  <c r="O1592" s="1"/>
  <c r="U1591"/>
  <c r="T1591"/>
  <c r="S1591"/>
  <c r="N1591"/>
  <c r="R1591" s="1"/>
  <c r="M1591"/>
  <c r="Q1591" s="1"/>
  <c r="L1591"/>
  <c r="P1591" s="1"/>
  <c r="K1591"/>
  <c r="O1591" s="1"/>
  <c r="U1590"/>
  <c r="T1590"/>
  <c r="S1590"/>
  <c r="N1590"/>
  <c r="R1590" s="1"/>
  <c r="M1590"/>
  <c r="Q1590" s="1"/>
  <c r="L1590"/>
  <c r="P1590" s="1"/>
  <c r="K1590"/>
  <c r="O1590" s="1"/>
  <c r="U1589"/>
  <c r="T1589"/>
  <c r="S1589"/>
  <c r="N1589"/>
  <c r="R1589" s="1"/>
  <c r="M1589"/>
  <c r="Q1589" s="1"/>
  <c r="L1589"/>
  <c r="P1589" s="1"/>
  <c r="K1589"/>
  <c r="O1589" s="1"/>
  <c r="U1588"/>
  <c r="T1588"/>
  <c r="S1588"/>
  <c r="N1588"/>
  <c r="R1588" s="1"/>
  <c r="M1588"/>
  <c r="Q1588" s="1"/>
  <c r="L1588"/>
  <c r="P1588" s="1"/>
  <c r="K1588"/>
  <c r="O1588" s="1"/>
  <c r="U1587"/>
  <c r="T1587"/>
  <c r="S1587"/>
  <c r="N1587"/>
  <c r="R1587" s="1"/>
  <c r="M1587"/>
  <c r="Q1587" s="1"/>
  <c r="L1587"/>
  <c r="P1587" s="1"/>
  <c r="K1587"/>
  <c r="O1587" s="1"/>
  <c r="U1586"/>
  <c r="T1586"/>
  <c r="S1586"/>
  <c r="N1586"/>
  <c r="R1586" s="1"/>
  <c r="M1586"/>
  <c r="Q1586" s="1"/>
  <c r="L1586"/>
  <c r="P1586" s="1"/>
  <c r="K1586"/>
  <c r="O1586" s="1"/>
  <c r="U1585"/>
  <c r="T1585"/>
  <c r="S1585"/>
  <c r="N1585"/>
  <c r="R1585" s="1"/>
  <c r="M1585"/>
  <c r="Q1585" s="1"/>
  <c r="L1585"/>
  <c r="P1585" s="1"/>
  <c r="K1585"/>
  <c r="O1585" s="1"/>
  <c r="U1584"/>
  <c r="T1584"/>
  <c r="S1584"/>
  <c r="N1584"/>
  <c r="R1584" s="1"/>
  <c r="M1584"/>
  <c r="Q1584" s="1"/>
  <c r="L1584"/>
  <c r="P1584" s="1"/>
  <c r="K1584"/>
  <c r="O1584" s="1"/>
  <c r="U1583"/>
  <c r="T1583"/>
  <c r="S1583"/>
  <c r="N1583"/>
  <c r="R1583" s="1"/>
  <c r="M1583"/>
  <c r="Q1583" s="1"/>
  <c r="L1583"/>
  <c r="P1583" s="1"/>
  <c r="K1583"/>
  <c r="O1583" s="1"/>
  <c r="U1582"/>
  <c r="T1582"/>
  <c r="S1582"/>
  <c r="N1582"/>
  <c r="R1582" s="1"/>
  <c r="M1582"/>
  <c r="Q1582" s="1"/>
  <c r="L1582"/>
  <c r="P1582" s="1"/>
  <c r="K1582"/>
  <c r="O1582" s="1"/>
  <c r="U1581"/>
  <c r="T1581"/>
  <c r="S1581"/>
  <c r="N1581"/>
  <c r="R1581" s="1"/>
  <c r="M1581"/>
  <c r="Q1581" s="1"/>
  <c r="L1581"/>
  <c r="P1581" s="1"/>
  <c r="K1581"/>
  <c r="O1581" s="1"/>
  <c r="U1580"/>
  <c r="T1580"/>
  <c r="S1580"/>
  <c r="N1580"/>
  <c r="R1580" s="1"/>
  <c r="M1580"/>
  <c r="Q1580" s="1"/>
  <c r="L1580"/>
  <c r="P1580" s="1"/>
  <c r="K1580"/>
  <c r="O1580" s="1"/>
  <c r="U1579"/>
  <c r="T1579"/>
  <c r="S1579"/>
  <c r="N1579"/>
  <c r="R1579" s="1"/>
  <c r="M1579"/>
  <c r="Q1579" s="1"/>
  <c r="L1579"/>
  <c r="P1579" s="1"/>
  <c r="K1579"/>
  <c r="O1579" s="1"/>
  <c r="U1578"/>
  <c r="T1578"/>
  <c r="S1578"/>
  <c r="N1578"/>
  <c r="R1578" s="1"/>
  <c r="M1578"/>
  <c r="Q1578" s="1"/>
  <c r="L1578"/>
  <c r="P1578" s="1"/>
  <c r="K1578"/>
  <c r="O1578" s="1"/>
  <c r="U1577"/>
  <c r="T1577"/>
  <c r="S1577"/>
  <c r="N1577"/>
  <c r="R1577" s="1"/>
  <c r="M1577"/>
  <c r="Q1577" s="1"/>
  <c r="L1577"/>
  <c r="P1577" s="1"/>
  <c r="K1577"/>
  <c r="O1577" s="1"/>
  <c r="U1576"/>
  <c r="T1576"/>
  <c r="S1576"/>
  <c r="N1576"/>
  <c r="R1576" s="1"/>
  <c r="M1576"/>
  <c r="Q1576" s="1"/>
  <c r="L1576"/>
  <c r="P1576" s="1"/>
  <c r="K1576"/>
  <c r="O1576" s="1"/>
  <c r="U1575"/>
  <c r="T1575"/>
  <c r="S1575"/>
  <c r="N1575"/>
  <c r="R1575" s="1"/>
  <c r="M1575"/>
  <c r="Q1575" s="1"/>
  <c r="L1575"/>
  <c r="P1575" s="1"/>
  <c r="K1575"/>
  <c r="O1575" s="1"/>
  <c r="U1574"/>
  <c r="T1574"/>
  <c r="S1574"/>
  <c r="N1574"/>
  <c r="R1574" s="1"/>
  <c r="M1574"/>
  <c r="Q1574" s="1"/>
  <c r="L1574"/>
  <c r="P1574" s="1"/>
  <c r="K1574"/>
  <c r="O1574" s="1"/>
  <c r="U1573"/>
  <c r="T1573"/>
  <c r="S1573"/>
  <c r="N1573"/>
  <c r="R1573" s="1"/>
  <c r="M1573"/>
  <c r="Q1573" s="1"/>
  <c r="L1573"/>
  <c r="P1573" s="1"/>
  <c r="K1573"/>
  <c r="O1573" s="1"/>
  <c r="U1572"/>
  <c r="T1572"/>
  <c r="S1572"/>
  <c r="N1572"/>
  <c r="R1572" s="1"/>
  <c r="M1572"/>
  <c r="Q1572" s="1"/>
  <c r="L1572"/>
  <c r="P1572" s="1"/>
  <c r="K1572"/>
  <c r="O1572" s="1"/>
  <c r="U1571"/>
  <c r="T1571"/>
  <c r="S1571"/>
  <c r="N1571"/>
  <c r="R1571" s="1"/>
  <c r="M1571"/>
  <c r="Q1571" s="1"/>
  <c r="L1571"/>
  <c r="P1571" s="1"/>
  <c r="K1571"/>
  <c r="O1571" s="1"/>
  <c r="U1570"/>
  <c r="T1570"/>
  <c r="S1570"/>
  <c r="N1570"/>
  <c r="R1570" s="1"/>
  <c r="M1570"/>
  <c r="Q1570" s="1"/>
  <c r="L1570"/>
  <c r="P1570" s="1"/>
  <c r="K1570"/>
  <c r="O1570" s="1"/>
  <c r="U1569"/>
  <c r="T1569"/>
  <c r="S1569"/>
  <c r="N1569"/>
  <c r="R1569" s="1"/>
  <c r="M1569"/>
  <c r="Q1569" s="1"/>
  <c r="L1569"/>
  <c r="P1569" s="1"/>
  <c r="K1569"/>
  <c r="O1569" s="1"/>
  <c r="U1568"/>
  <c r="T1568"/>
  <c r="S1568"/>
  <c r="N1568"/>
  <c r="R1568" s="1"/>
  <c r="M1568"/>
  <c r="Q1568" s="1"/>
  <c r="L1568"/>
  <c r="P1568" s="1"/>
  <c r="K1568"/>
  <c r="O1568" s="1"/>
  <c r="U1567"/>
  <c r="T1567"/>
  <c r="S1567"/>
  <c r="N1567"/>
  <c r="R1567" s="1"/>
  <c r="M1567"/>
  <c r="Q1567" s="1"/>
  <c r="L1567"/>
  <c r="P1567" s="1"/>
  <c r="K1567"/>
  <c r="O1567" s="1"/>
  <c r="U1566"/>
  <c r="T1566"/>
  <c r="S1566"/>
  <c r="N1566"/>
  <c r="R1566" s="1"/>
  <c r="M1566"/>
  <c r="Q1566" s="1"/>
  <c r="L1566"/>
  <c r="P1566" s="1"/>
  <c r="K1566"/>
  <c r="O1566" s="1"/>
  <c r="U1565"/>
  <c r="T1565"/>
  <c r="S1565"/>
  <c r="N1565"/>
  <c r="R1565" s="1"/>
  <c r="M1565"/>
  <c r="Q1565" s="1"/>
  <c r="L1565"/>
  <c r="P1565" s="1"/>
  <c r="K1565"/>
  <c r="O1565" s="1"/>
  <c r="U1564"/>
  <c r="T1564"/>
  <c r="S1564"/>
  <c r="N1564"/>
  <c r="R1564" s="1"/>
  <c r="M1564"/>
  <c r="Q1564" s="1"/>
  <c r="L1564"/>
  <c r="P1564" s="1"/>
  <c r="K1564"/>
  <c r="O1564" s="1"/>
  <c r="U1563"/>
  <c r="T1563"/>
  <c r="S1563"/>
  <c r="N1563"/>
  <c r="R1563" s="1"/>
  <c r="M1563"/>
  <c r="Q1563" s="1"/>
  <c r="L1563"/>
  <c r="P1563" s="1"/>
  <c r="K1563"/>
  <c r="O1563" s="1"/>
  <c r="U1562"/>
  <c r="T1562"/>
  <c r="S1562"/>
  <c r="N1562"/>
  <c r="R1562" s="1"/>
  <c r="M1562"/>
  <c r="Q1562" s="1"/>
  <c r="L1562"/>
  <c r="P1562" s="1"/>
  <c r="K1562"/>
  <c r="O1562" s="1"/>
  <c r="U1561"/>
  <c r="T1561"/>
  <c r="S1561"/>
  <c r="N1561"/>
  <c r="R1561" s="1"/>
  <c r="M1561"/>
  <c r="Q1561" s="1"/>
  <c r="L1561"/>
  <c r="P1561" s="1"/>
  <c r="K1561"/>
  <c r="O1561" s="1"/>
  <c r="U1560"/>
  <c r="T1560"/>
  <c r="S1560"/>
  <c r="N1560"/>
  <c r="R1560" s="1"/>
  <c r="M1560"/>
  <c r="Q1560" s="1"/>
  <c r="L1560"/>
  <c r="P1560" s="1"/>
  <c r="K1560"/>
  <c r="O1560" s="1"/>
  <c r="U1559"/>
  <c r="T1559"/>
  <c r="S1559"/>
  <c r="N1559"/>
  <c r="R1559" s="1"/>
  <c r="M1559"/>
  <c r="Q1559" s="1"/>
  <c r="L1559"/>
  <c r="P1559" s="1"/>
  <c r="K1559"/>
  <c r="O1559" s="1"/>
  <c r="U1558"/>
  <c r="T1558"/>
  <c r="S1558"/>
  <c r="N1558"/>
  <c r="R1558" s="1"/>
  <c r="M1558"/>
  <c r="Q1558" s="1"/>
  <c r="L1558"/>
  <c r="P1558" s="1"/>
  <c r="K1558"/>
  <c r="O1558" s="1"/>
  <c r="U1557"/>
  <c r="T1557"/>
  <c r="S1557"/>
  <c r="N1557"/>
  <c r="R1557" s="1"/>
  <c r="M1557"/>
  <c r="Q1557" s="1"/>
  <c r="L1557"/>
  <c r="P1557" s="1"/>
  <c r="K1557"/>
  <c r="O1557" s="1"/>
  <c r="U1556"/>
  <c r="T1556"/>
  <c r="S1556"/>
  <c r="N1556"/>
  <c r="R1556" s="1"/>
  <c r="M1556"/>
  <c r="Q1556" s="1"/>
  <c r="L1556"/>
  <c r="P1556" s="1"/>
  <c r="K1556"/>
  <c r="O1556" s="1"/>
  <c r="U1555"/>
  <c r="T1555"/>
  <c r="S1555"/>
  <c r="N1555"/>
  <c r="R1555" s="1"/>
  <c r="M1555"/>
  <c r="Q1555" s="1"/>
  <c r="L1555"/>
  <c r="P1555" s="1"/>
  <c r="K1555"/>
  <c r="O1555" s="1"/>
  <c r="U1554"/>
  <c r="T1554"/>
  <c r="S1554"/>
  <c r="N1554"/>
  <c r="R1554" s="1"/>
  <c r="M1554"/>
  <c r="Q1554" s="1"/>
  <c r="L1554"/>
  <c r="P1554" s="1"/>
  <c r="K1554"/>
  <c r="O1554" s="1"/>
  <c r="U1553"/>
  <c r="T1553"/>
  <c r="S1553"/>
  <c r="N1553"/>
  <c r="R1553" s="1"/>
  <c r="M1553"/>
  <c r="Q1553" s="1"/>
  <c r="L1553"/>
  <c r="P1553" s="1"/>
  <c r="K1553"/>
  <c r="O1553" s="1"/>
  <c r="U1552"/>
  <c r="T1552"/>
  <c r="S1552"/>
  <c r="N1552"/>
  <c r="R1552" s="1"/>
  <c r="M1552"/>
  <c r="Q1552" s="1"/>
  <c r="L1552"/>
  <c r="P1552" s="1"/>
  <c r="K1552"/>
  <c r="O1552" s="1"/>
  <c r="U1551"/>
  <c r="T1551"/>
  <c r="S1551"/>
  <c r="N1551"/>
  <c r="R1551" s="1"/>
  <c r="M1551"/>
  <c r="Q1551" s="1"/>
  <c r="L1551"/>
  <c r="P1551" s="1"/>
  <c r="K1551"/>
  <c r="O1551" s="1"/>
  <c r="U1550"/>
  <c r="T1550"/>
  <c r="S1550"/>
  <c r="N1550"/>
  <c r="R1550" s="1"/>
  <c r="M1550"/>
  <c r="Q1550" s="1"/>
  <c r="L1550"/>
  <c r="P1550" s="1"/>
  <c r="K1550"/>
  <c r="O1550" s="1"/>
  <c r="U1549"/>
  <c r="T1549"/>
  <c r="S1549"/>
  <c r="N1549"/>
  <c r="R1549" s="1"/>
  <c r="M1549"/>
  <c r="Q1549" s="1"/>
  <c r="L1549"/>
  <c r="P1549" s="1"/>
  <c r="K1549"/>
  <c r="O1549" s="1"/>
  <c r="U1548"/>
  <c r="T1548"/>
  <c r="S1548"/>
  <c r="N1548"/>
  <c r="R1548" s="1"/>
  <c r="M1548"/>
  <c r="Q1548" s="1"/>
  <c r="L1548"/>
  <c r="P1548" s="1"/>
  <c r="K1548"/>
  <c r="O1548" s="1"/>
  <c r="U1547"/>
  <c r="T1547"/>
  <c r="S1547"/>
  <c r="N1547"/>
  <c r="R1547" s="1"/>
  <c r="M1547"/>
  <c r="Q1547" s="1"/>
  <c r="L1547"/>
  <c r="P1547" s="1"/>
  <c r="K1547"/>
  <c r="O1547" s="1"/>
  <c r="U1546"/>
  <c r="T1546"/>
  <c r="S1546"/>
  <c r="N1546"/>
  <c r="R1546" s="1"/>
  <c r="M1546"/>
  <c r="Q1546" s="1"/>
  <c r="L1546"/>
  <c r="P1546" s="1"/>
  <c r="K1546"/>
  <c r="O1546" s="1"/>
  <c r="U1545"/>
  <c r="T1545"/>
  <c r="S1545"/>
  <c r="N1545"/>
  <c r="R1545" s="1"/>
  <c r="M1545"/>
  <c r="Q1545" s="1"/>
  <c r="L1545"/>
  <c r="P1545" s="1"/>
  <c r="K1545"/>
  <c r="O1545" s="1"/>
  <c r="U1544"/>
  <c r="T1544"/>
  <c r="S1544"/>
  <c r="N1544"/>
  <c r="R1544" s="1"/>
  <c r="M1544"/>
  <c r="Q1544" s="1"/>
  <c r="L1544"/>
  <c r="P1544" s="1"/>
  <c r="K1544"/>
  <c r="O1544" s="1"/>
  <c r="U1543"/>
  <c r="T1543"/>
  <c r="S1543"/>
  <c r="N1543"/>
  <c r="R1543" s="1"/>
  <c r="M1543"/>
  <c r="Q1543" s="1"/>
  <c r="L1543"/>
  <c r="P1543" s="1"/>
  <c r="K1543"/>
  <c r="O1543" s="1"/>
  <c r="U1542"/>
  <c r="T1542"/>
  <c r="S1542"/>
  <c r="N1542"/>
  <c r="R1542" s="1"/>
  <c r="M1542"/>
  <c r="Q1542" s="1"/>
  <c r="L1542"/>
  <c r="P1542" s="1"/>
  <c r="K1542"/>
  <c r="O1542" s="1"/>
  <c r="U1541"/>
  <c r="T1541"/>
  <c r="S1541"/>
  <c r="N1541"/>
  <c r="R1541" s="1"/>
  <c r="M1541"/>
  <c r="Q1541" s="1"/>
  <c r="L1541"/>
  <c r="P1541" s="1"/>
  <c r="K1541"/>
  <c r="O1541" s="1"/>
  <c r="U1540"/>
  <c r="T1540"/>
  <c r="S1540"/>
  <c r="P1540"/>
  <c r="N1540"/>
  <c r="R1540" s="1"/>
  <c r="M1540"/>
  <c r="Q1540" s="1"/>
  <c r="L1540"/>
  <c r="K1540"/>
  <c r="O1540" s="1"/>
  <c r="U1539"/>
  <c r="T1539"/>
  <c r="S1539"/>
  <c r="N1539"/>
  <c r="R1539" s="1"/>
  <c r="M1539"/>
  <c r="Q1539" s="1"/>
  <c r="L1539"/>
  <c r="P1539" s="1"/>
  <c r="K1539"/>
  <c r="O1539" s="1"/>
  <c r="U1538"/>
  <c r="T1538"/>
  <c r="S1538"/>
  <c r="N1538"/>
  <c r="R1538" s="1"/>
  <c r="M1538"/>
  <c r="Q1538" s="1"/>
  <c r="L1538"/>
  <c r="P1538" s="1"/>
  <c r="K1538"/>
  <c r="O1538" s="1"/>
  <c r="U1537"/>
  <c r="T1537"/>
  <c r="S1537"/>
  <c r="N1537"/>
  <c r="R1537" s="1"/>
  <c r="M1537"/>
  <c r="Q1537" s="1"/>
  <c r="L1537"/>
  <c r="P1537" s="1"/>
  <c r="K1537"/>
  <c r="O1537" s="1"/>
  <c r="U1536"/>
  <c r="T1536"/>
  <c r="S1536"/>
  <c r="N1536"/>
  <c r="R1536" s="1"/>
  <c r="M1536"/>
  <c r="Q1536" s="1"/>
  <c r="L1536"/>
  <c r="P1536" s="1"/>
  <c r="K1536"/>
  <c r="O1536" s="1"/>
  <c r="U1535"/>
  <c r="T1535"/>
  <c r="S1535"/>
  <c r="N1535"/>
  <c r="R1535" s="1"/>
  <c r="M1535"/>
  <c r="Q1535" s="1"/>
  <c r="L1535"/>
  <c r="P1535" s="1"/>
  <c r="K1535"/>
  <c r="O1535" s="1"/>
  <c r="U1534"/>
  <c r="T1534"/>
  <c r="S1534"/>
  <c r="N1534"/>
  <c r="R1534" s="1"/>
  <c r="M1534"/>
  <c r="Q1534" s="1"/>
  <c r="L1534"/>
  <c r="P1534" s="1"/>
  <c r="K1534"/>
  <c r="O1534" s="1"/>
  <c r="U1533"/>
  <c r="T1533"/>
  <c r="S1533"/>
  <c r="N1533"/>
  <c r="R1533" s="1"/>
  <c r="M1533"/>
  <c r="Q1533" s="1"/>
  <c r="L1533"/>
  <c r="P1533" s="1"/>
  <c r="K1533"/>
  <c r="O1533" s="1"/>
  <c r="U1532"/>
  <c r="T1532"/>
  <c r="S1532"/>
  <c r="N1532"/>
  <c r="R1532" s="1"/>
  <c r="M1532"/>
  <c r="Q1532" s="1"/>
  <c r="L1532"/>
  <c r="P1532" s="1"/>
  <c r="K1532"/>
  <c r="O1532" s="1"/>
  <c r="U1531"/>
  <c r="T1531"/>
  <c r="S1531"/>
  <c r="N1531"/>
  <c r="R1531" s="1"/>
  <c r="M1531"/>
  <c r="Q1531" s="1"/>
  <c r="L1531"/>
  <c r="P1531" s="1"/>
  <c r="K1531"/>
  <c r="O1531" s="1"/>
  <c r="U1530"/>
  <c r="T1530"/>
  <c r="S1530"/>
  <c r="Q1530"/>
  <c r="N1530"/>
  <c r="R1530" s="1"/>
  <c r="M1530"/>
  <c r="L1530"/>
  <c r="P1530" s="1"/>
  <c r="K1530"/>
  <c r="O1530" s="1"/>
  <c r="U1529"/>
  <c r="T1529"/>
  <c r="S1529"/>
  <c r="Q1529"/>
  <c r="N1529"/>
  <c r="R1529" s="1"/>
  <c r="M1529"/>
  <c r="L1529"/>
  <c r="P1529" s="1"/>
  <c r="K1529"/>
  <c r="O1529" s="1"/>
  <c r="U1528"/>
  <c r="T1528"/>
  <c r="S1528"/>
  <c r="N1528"/>
  <c r="R1528" s="1"/>
  <c r="M1528"/>
  <c r="Q1528" s="1"/>
  <c r="L1528"/>
  <c r="P1528" s="1"/>
  <c r="K1528"/>
  <c r="O1528" s="1"/>
  <c r="U1527"/>
  <c r="T1527"/>
  <c r="S1527"/>
  <c r="N1527"/>
  <c r="R1527" s="1"/>
  <c r="M1527"/>
  <c r="Q1527" s="1"/>
  <c r="L1527"/>
  <c r="P1527" s="1"/>
  <c r="K1527"/>
  <c r="O1527" s="1"/>
  <c r="U1526"/>
  <c r="T1526"/>
  <c r="S1526"/>
  <c r="Q1526"/>
  <c r="N1526"/>
  <c r="R1526" s="1"/>
  <c r="M1526"/>
  <c r="L1526"/>
  <c r="P1526" s="1"/>
  <c r="K1526"/>
  <c r="O1526" s="1"/>
  <c r="U1525"/>
  <c r="T1525"/>
  <c r="S1525"/>
  <c r="N1525"/>
  <c r="R1525" s="1"/>
  <c r="M1525"/>
  <c r="Q1525" s="1"/>
  <c r="L1525"/>
  <c r="P1525" s="1"/>
  <c r="K1525"/>
  <c r="O1525" s="1"/>
  <c r="U1524"/>
  <c r="T1524"/>
  <c r="S1524"/>
  <c r="N1524"/>
  <c r="R1524" s="1"/>
  <c r="M1524"/>
  <c r="Q1524" s="1"/>
  <c r="L1524"/>
  <c r="P1524" s="1"/>
  <c r="K1524"/>
  <c r="O1524" s="1"/>
  <c r="U1523"/>
  <c r="T1523"/>
  <c r="S1523"/>
  <c r="N1523"/>
  <c r="R1523" s="1"/>
  <c r="M1523"/>
  <c r="Q1523" s="1"/>
  <c r="L1523"/>
  <c r="P1523" s="1"/>
  <c r="K1523"/>
  <c r="O1523" s="1"/>
  <c r="U1522"/>
  <c r="T1522"/>
  <c r="S1522"/>
  <c r="Q1522"/>
  <c r="N1522"/>
  <c r="R1522" s="1"/>
  <c r="M1522"/>
  <c r="L1522"/>
  <c r="P1522" s="1"/>
  <c r="K1522"/>
  <c r="O1522" s="1"/>
  <c r="U1521"/>
  <c r="T1521"/>
  <c r="S1521"/>
  <c r="N1521"/>
  <c r="R1521" s="1"/>
  <c r="M1521"/>
  <c r="Q1521" s="1"/>
  <c r="L1521"/>
  <c r="P1521" s="1"/>
  <c r="K1521"/>
  <c r="O1521" s="1"/>
  <c r="U1520"/>
  <c r="T1520"/>
  <c r="S1520"/>
  <c r="N1520"/>
  <c r="R1520" s="1"/>
  <c r="M1520"/>
  <c r="Q1520" s="1"/>
  <c r="L1520"/>
  <c r="P1520" s="1"/>
  <c r="K1520"/>
  <c r="O1520" s="1"/>
  <c r="U1519"/>
  <c r="T1519"/>
  <c r="S1519"/>
  <c r="N1519"/>
  <c r="R1519" s="1"/>
  <c r="M1519"/>
  <c r="Q1519" s="1"/>
  <c r="L1519"/>
  <c r="P1519" s="1"/>
  <c r="K1519"/>
  <c r="O1519" s="1"/>
  <c r="U1518"/>
  <c r="T1518"/>
  <c r="S1518"/>
  <c r="N1518"/>
  <c r="R1518" s="1"/>
  <c r="M1518"/>
  <c r="Q1518" s="1"/>
  <c r="L1518"/>
  <c r="P1518" s="1"/>
  <c r="K1518"/>
  <c r="O1518" s="1"/>
  <c r="U1517"/>
  <c r="T1517"/>
  <c r="S1517"/>
  <c r="N1517"/>
  <c r="R1517" s="1"/>
  <c r="M1517"/>
  <c r="Q1517" s="1"/>
  <c r="L1517"/>
  <c r="P1517" s="1"/>
  <c r="K1517"/>
  <c r="O1517" s="1"/>
  <c r="U1516"/>
  <c r="T1516"/>
  <c r="S1516"/>
  <c r="N1516"/>
  <c r="R1516" s="1"/>
  <c r="M1516"/>
  <c r="Q1516" s="1"/>
  <c r="L1516"/>
  <c r="P1516" s="1"/>
  <c r="K1516"/>
  <c r="O1516" s="1"/>
  <c r="U1515"/>
  <c r="T1515"/>
  <c r="S1515"/>
  <c r="N1515"/>
  <c r="R1515" s="1"/>
  <c r="M1515"/>
  <c r="Q1515" s="1"/>
  <c r="L1515"/>
  <c r="P1515" s="1"/>
  <c r="K1515"/>
  <c r="O1515" s="1"/>
  <c r="U1514"/>
  <c r="T1514"/>
  <c r="S1514"/>
  <c r="N1514"/>
  <c r="R1514" s="1"/>
  <c r="M1514"/>
  <c r="Q1514" s="1"/>
  <c r="L1514"/>
  <c r="P1514" s="1"/>
  <c r="K1514"/>
  <c r="O1514" s="1"/>
  <c r="U1513"/>
  <c r="T1513"/>
  <c r="S1513"/>
  <c r="N1513"/>
  <c r="R1513" s="1"/>
  <c r="M1513"/>
  <c r="Q1513" s="1"/>
  <c r="L1513"/>
  <c r="P1513" s="1"/>
  <c r="K1513"/>
  <c r="O1513" s="1"/>
  <c r="U1512"/>
  <c r="T1512"/>
  <c r="S1512"/>
  <c r="N1512"/>
  <c r="R1512" s="1"/>
  <c r="M1512"/>
  <c r="Q1512" s="1"/>
  <c r="L1512"/>
  <c r="P1512" s="1"/>
  <c r="K1512"/>
  <c r="O1512" s="1"/>
  <c r="U1511"/>
  <c r="T1511"/>
  <c r="S1511"/>
  <c r="N1511"/>
  <c r="R1511" s="1"/>
  <c r="M1511"/>
  <c r="Q1511" s="1"/>
  <c r="L1511"/>
  <c r="P1511" s="1"/>
  <c r="K1511"/>
  <c r="O1511" s="1"/>
  <c r="U1510"/>
  <c r="T1510"/>
  <c r="S1510"/>
  <c r="N1510"/>
  <c r="R1510" s="1"/>
  <c r="M1510"/>
  <c r="Q1510" s="1"/>
  <c r="L1510"/>
  <c r="P1510" s="1"/>
  <c r="K1510"/>
  <c r="O1510" s="1"/>
  <c r="U1509"/>
  <c r="T1509"/>
  <c r="S1509"/>
  <c r="N1509"/>
  <c r="R1509" s="1"/>
  <c r="M1509"/>
  <c r="Q1509" s="1"/>
  <c r="L1509"/>
  <c r="P1509" s="1"/>
  <c r="K1509"/>
  <c r="O1509" s="1"/>
  <c r="U1508"/>
  <c r="T1508"/>
  <c r="S1508"/>
  <c r="N1508"/>
  <c r="R1508" s="1"/>
  <c r="M1508"/>
  <c r="Q1508" s="1"/>
  <c r="L1508"/>
  <c r="P1508" s="1"/>
  <c r="K1508"/>
  <c r="O1508" s="1"/>
  <c r="U1507"/>
  <c r="T1507"/>
  <c r="S1507"/>
  <c r="N1507"/>
  <c r="R1507" s="1"/>
  <c r="M1507"/>
  <c r="Q1507" s="1"/>
  <c r="L1507"/>
  <c r="P1507" s="1"/>
  <c r="K1507"/>
  <c r="O1507" s="1"/>
  <c r="U1506"/>
  <c r="T1506"/>
  <c r="S1506"/>
  <c r="N1506"/>
  <c r="R1506" s="1"/>
  <c r="M1506"/>
  <c r="Q1506" s="1"/>
  <c r="L1506"/>
  <c r="P1506" s="1"/>
  <c r="K1506"/>
  <c r="O1506" s="1"/>
  <c r="U1505"/>
  <c r="T1505"/>
  <c r="S1505"/>
  <c r="N1505"/>
  <c r="R1505" s="1"/>
  <c r="M1505"/>
  <c r="Q1505" s="1"/>
  <c r="L1505"/>
  <c r="P1505" s="1"/>
  <c r="K1505"/>
  <c r="O1505" s="1"/>
  <c r="U1504"/>
  <c r="T1504"/>
  <c r="S1504"/>
  <c r="N1504"/>
  <c r="R1504" s="1"/>
  <c r="M1504"/>
  <c r="Q1504" s="1"/>
  <c r="L1504"/>
  <c r="P1504" s="1"/>
  <c r="K1504"/>
  <c r="O1504" s="1"/>
  <c r="U1503"/>
  <c r="T1503"/>
  <c r="S1503"/>
  <c r="N1503"/>
  <c r="R1503" s="1"/>
  <c r="M1503"/>
  <c r="Q1503" s="1"/>
  <c r="L1503"/>
  <c r="P1503" s="1"/>
  <c r="K1503"/>
  <c r="O1503" s="1"/>
  <c r="U1502"/>
  <c r="T1502"/>
  <c r="S1502"/>
  <c r="N1502"/>
  <c r="R1502" s="1"/>
  <c r="M1502"/>
  <c r="Q1502" s="1"/>
  <c r="L1502"/>
  <c r="P1502" s="1"/>
  <c r="K1502"/>
  <c r="O1502" s="1"/>
  <c r="U1501"/>
  <c r="T1501"/>
  <c r="S1501"/>
  <c r="N1501"/>
  <c r="R1501" s="1"/>
  <c r="M1501"/>
  <c r="Q1501" s="1"/>
  <c r="L1501"/>
  <c r="P1501" s="1"/>
  <c r="K1501"/>
  <c r="O1501" s="1"/>
  <c r="U1500"/>
  <c r="T1500"/>
  <c r="S1500"/>
  <c r="N1500"/>
  <c r="R1500" s="1"/>
  <c r="M1500"/>
  <c r="Q1500" s="1"/>
  <c r="L1500"/>
  <c r="P1500" s="1"/>
  <c r="K1500"/>
  <c r="O1500" s="1"/>
  <c r="U1499"/>
  <c r="T1499"/>
  <c r="S1499"/>
  <c r="N1499"/>
  <c r="R1499" s="1"/>
  <c r="M1499"/>
  <c r="Q1499" s="1"/>
  <c r="L1499"/>
  <c r="P1499" s="1"/>
  <c r="K1499"/>
  <c r="O1499" s="1"/>
  <c r="U1498"/>
  <c r="T1498"/>
  <c r="S1498"/>
  <c r="N1498"/>
  <c r="R1498" s="1"/>
  <c r="M1498"/>
  <c r="Q1498" s="1"/>
  <c r="L1498"/>
  <c r="P1498" s="1"/>
  <c r="K1498"/>
  <c r="O1498" s="1"/>
  <c r="U1497"/>
  <c r="T1497"/>
  <c r="S1497"/>
  <c r="N1497"/>
  <c r="R1497" s="1"/>
  <c r="M1497"/>
  <c r="Q1497" s="1"/>
  <c r="L1497"/>
  <c r="P1497" s="1"/>
  <c r="K1497"/>
  <c r="O1497" s="1"/>
  <c r="U1496"/>
  <c r="T1496"/>
  <c r="S1496"/>
  <c r="N1496"/>
  <c r="R1496" s="1"/>
  <c r="M1496"/>
  <c r="Q1496" s="1"/>
  <c r="L1496"/>
  <c r="P1496" s="1"/>
  <c r="K1496"/>
  <c r="O1496" s="1"/>
  <c r="U1495"/>
  <c r="T1495"/>
  <c r="S1495"/>
  <c r="N1495"/>
  <c r="R1495" s="1"/>
  <c r="M1495"/>
  <c r="Q1495" s="1"/>
  <c r="L1495"/>
  <c r="P1495" s="1"/>
  <c r="K1495"/>
  <c r="O1495" s="1"/>
  <c r="U1494"/>
  <c r="T1494"/>
  <c r="S1494"/>
  <c r="N1494"/>
  <c r="R1494" s="1"/>
  <c r="M1494"/>
  <c r="Q1494" s="1"/>
  <c r="L1494"/>
  <c r="P1494" s="1"/>
  <c r="K1494"/>
  <c r="O1494" s="1"/>
  <c r="U1493"/>
  <c r="T1493"/>
  <c r="S1493"/>
  <c r="N1493"/>
  <c r="R1493" s="1"/>
  <c r="M1493"/>
  <c r="Q1493" s="1"/>
  <c r="L1493"/>
  <c r="P1493" s="1"/>
  <c r="K1493"/>
  <c r="O1493" s="1"/>
  <c r="U1492"/>
  <c r="T1492"/>
  <c r="S1492"/>
  <c r="N1492"/>
  <c r="R1492" s="1"/>
  <c r="M1492"/>
  <c r="Q1492" s="1"/>
  <c r="L1492"/>
  <c r="P1492" s="1"/>
  <c r="K1492"/>
  <c r="O1492" s="1"/>
  <c r="U1491"/>
  <c r="T1491"/>
  <c r="S1491"/>
  <c r="N1491"/>
  <c r="R1491" s="1"/>
  <c r="M1491"/>
  <c r="Q1491" s="1"/>
  <c r="L1491"/>
  <c r="P1491" s="1"/>
  <c r="K1491"/>
  <c r="O1491" s="1"/>
  <c r="U1490"/>
  <c r="T1490"/>
  <c r="S1490"/>
  <c r="N1490"/>
  <c r="R1490" s="1"/>
  <c r="M1490"/>
  <c r="Q1490" s="1"/>
  <c r="L1490"/>
  <c r="P1490" s="1"/>
  <c r="K1490"/>
  <c r="O1490" s="1"/>
  <c r="U1489"/>
  <c r="T1489"/>
  <c r="S1489"/>
  <c r="N1489"/>
  <c r="R1489" s="1"/>
  <c r="M1489"/>
  <c r="Q1489" s="1"/>
  <c r="L1489"/>
  <c r="P1489" s="1"/>
  <c r="K1489"/>
  <c r="O1489" s="1"/>
  <c r="U1488"/>
  <c r="T1488"/>
  <c r="S1488"/>
  <c r="N1488"/>
  <c r="R1488" s="1"/>
  <c r="M1488"/>
  <c r="Q1488" s="1"/>
  <c r="L1488"/>
  <c r="P1488" s="1"/>
  <c r="K1488"/>
  <c r="O1488" s="1"/>
  <c r="U1487"/>
  <c r="T1487"/>
  <c r="S1487"/>
  <c r="N1487"/>
  <c r="R1487" s="1"/>
  <c r="M1487"/>
  <c r="Q1487" s="1"/>
  <c r="L1487"/>
  <c r="P1487" s="1"/>
  <c r="K1487"/>
  <c r="O1487" s="1"/>
  <c r="U1486"/>
  <c r="T1486"/>
  <c r="S1486"/>
  <c r="N1486"/>
  <c r="R1486" s="1"/>
  <c r="M1486"/>
  <c r="Q1486" s="1"/>
  <c r="L1486"/>
  <c r="P1486" s="1"/>
  <c r="K1486"/>
  <c r="O1486" s="1"/>
  <c r="U1485"/>
  <c r="T1485"/>
  <c r="S1485"/>
  <c r="N1485"/>
  <c r="R1485" s="1"/>
  <c r="M1485"/>
  <c r="Q1485" s="1"/>
  <c r="L1485"/>
  <c r="P1485" s="1"/>
  <c r="K1485"/>
  <c r="O1485" s="1"/>
  <c r="U1484"/>
  <c r="T1484"/>
  <c r="S1484"/>
  <c r="N1484"/>
  <c r="R1484" s="1"/>
  <c r="M1484"/>
  <c r="Q1484" s="1"/>
  <c r="L1484"/>
  <c r="P1484" s="1"/>
  <c r="K1484"/>
  <c r="O1484" s="1"/>
  <c r="U1483"/>
  <c r="T1483"/>
  <c r="S1483"/>
  <c r="N1483"/>
  <c r="R1483" s="1"/>
  <c r="M1483"/>
  <c r="Q1483" s="1"/>
  <c r="L1483"/>
  <c r="P1483" s="1"/>
  <c r="K1483"/>
  <c r="O1483" s="1"/>
  <c r="U1482"/>
  <c r="T1482"/>
  <c r="S1482"/>
  <c r="N1482"/>
  <c r="R1482" s="1"/>
  <c r="M1482"/>
  <c r="Q1482" s="1"/>
  <c r="L1482"/>
  <c r="P1482" s="1"/>
  <c r="K1482"/>
  <c r="O1482" s="1"/>
  <c r="U1481"/>
  <c r="T1481"/>
  <c r="S1481"/>
  <c r="N1481"/>
  <c r="R1481" s="1"/>
  <c r="M1481"/>
  <c r="Q1481" s="1"/>
  <c r="L1481"/>
  <c r="P1481" s="1"/>
  <c r="K1481"/>
  <c r="O1481" s="1"/>
  <c r="U1480"/>
  <c r="T1480"/>
  <c r="S1480"/>
  <c r="N1480"/>
  <c r="R1480" s="1"/>
  <c r="M1480"/>
  <c r="Q1480" s="1"/>
  <c r="L1480"/>
  <c r="P1480" s="1"/>
  <c r="K1480"/>
  <c r="O1480" s="1"/>
  <c r="U1479"/>
  <c r="T1479"/>
  <c r="S1479"/>
  <c r="N1479"/>
  <c r="R1479" s="1"/>
  <c r="M1479"/>
  <c r="Q1479" s="1"/>
  <c r="L1479"/>
  <c r="P1479" s="1"/>
  <c r="K1479"/>
  <c r="O1479" s="1"/>
  <c r="U1478"/>
  <c r="T1478"/>
  <c r="S1478"/>
  <c r="N1478"/>
  <c r="R1478" s="1"/>
  <c r="M1478"/>
  <c r="Q1478" s="1"/>
  <c r="L1478"/>
  <c r="P1478" s="1"/>
  <c r="K1478"/>
  <c r="O1478" s="1"/>
  <c r="U1477"/>
  <c r="T1477"/>
  <c r="S1477"/>
  <c r="N1477"/>
  <c r="R1477" s="1"/>
  <c r="M1477"/>
  <c r="Q1477" s="1"/>
  <c r="L1477"/>
  <c r="P1477" s="1"/>
  <c r="K1477"/>
  <c r="O1477" s="1"/>
  <c r="U1476"/>
  <c r="T1476"/>
  <c r="S1476"/>
  <c r="N1476"/>
  <c r="R1476" s="1"/>
  <c r="M1476"/>
  <c r="Q1476" s="1"/>
  <c r="L1476"/>
  <c r="P1476" s="1"/>
  <c r="K1476"/>
  <c r="O1476" s="1"/>
  <c r="U1475"/>
  <c r="T1475"/>
  <c r="S1475"/>
  <c r="N1475"/>
  <c r="R1475" s="1"/>
  <c r="M1475"/>
  <c r="Q1475" s="1"/>
  <c r="L1475"/>
  <c r="P1475" s="1"/>
  <c r="K1475"/>
  <c r="O1475" s="1"/>
  <c r="U1474"/>
  <c r="T1474"/>
  <c r="S1474"/>
  <c r="N1474"/>
  <c r="R1474" s="1"/>
  <c r="M1474"/>
  <c r="Q1474" s="1"/>
  <c r="L1474"/>
  <c r="P1474" s="1"/>
  <c r="K1474"/>
  <c r="O1474" s="1"/>
  <c r="U1473"/>
  <c r="T1473"/>
  <c r="S1473"/>
  <c r="N1473"/>
  <c r="R1473" s="1"/>
  <c r="M1473"/>
  <c r="Q1473" s="1"/>
  <c r="L1473"/>
  <c r="P1473" s="1"/>
  <c r="K1473"/>
  <c r="O1473" s="1"/>
  <c r="U1472"/>
  <c r="T1472"/>
  <c r="S1472"/>
  <c r="N1472"/>
  <c r="R1472" s="1"/>
  <c r="M1472"/>
  <c r="Q1472" s="1"/>
  <c r="L1472"/>
  <c r="P1472" s="1"/>
  <c r="K1472"/>
  <c r="O1472" s="1"/>
  <c r="U1471"/>
  <c r="T1471"/>
  <c r="S1471"/>
  <c r="N1471"/>
  <c r="R1471" s="1"/>
  <c r="M1471"/>
  <c r="Q1471" s="1"/>
  <c r="L1471"/>
  <c r="P1471" s="1"/>
  <c r="K1471"/>
  <c r="O1471" s="1"/>
  <c r="U1470"/>
  <c r="T1470"/>
  <c r="S1470"/>
  <c r="N1470"/>
  <c r="R1470" s="1"/>
  <c r="M1470"/>
  <c r="Q1470" s="1"/>
  <c r="L1470"/>
  <c r="P1470" s="1"/>
  <c r="K1470"/>
  <c r="O1470" s="1"/>
  <c r="U1469"/>
  <c r="T1469"/>
  <c r="S1469"/>
  <c r="N1469"/>
  <c r="R1469" s="1"/>
  <c r="M1469"/>
  <c r="Q1469" s="1"/>
  <c r="L1469"/>
  <c r="P1469" s="1"/>
  <c r="K1469"/>
  <c r="O1469" s="1"/>
  <c r="U1468"/>
  <c r="T1468"/>
  <c r="S1468"/>
  <c r="N1468"/>
  <c r="R1468" s="1"/>
  <c r="M1468"/>
  <c r="Q1468" s="1"/>
  <c r="L1468"/>
  <c r="P1468" s="1"/>
  <c r="K1468"/>
  <c r="O1468" s="1"/>
  <c r="U1467"/>
  <c r="T1467"/>
  <c r="S1467"/>
  <c r="N1467"/>
  <c r="R1467" s="1"/>
  <c r="M1467"/>
  <c r="Q1467" s="1"/>
  <c r="L1467"/>
  <c r="P1467" s="1"/>
  <c r="K1467"/>
  <c r="O1467" s="1"/>
  <c r="U1466"/>
  <c r="T1466"/>
  <c r="S1466"/>
  <c r="N1466"/>
  <c r="R1466" s="1"/>
  <c r="M1466"/>
  <c r="Q1466" s="1"/>
  <c r="L1466"/>
  <c r="P1466" s="1"/>
  <c r="K1466"/>
  <c r="O1466" s="1"/>
  <c r="U1465"/>
  <c r="T1465"/>
  <c r="S1465"/>
  <c r="N1465"/>
  <c r="R1465" s="1"/>
  <c r="M1465"/>
  <c r="Q1465" s="1"/>
  <c r="L1465"/>
  <c r="P1465" s="1"/>
  <c r="K1465"/>
  <c r="O1465" s="1"/>
  <c r="U1464"/>
  <c r="T1464"/>
  <c r="S1464"/>
  <c r="N1464"/>
  <c r="R1464" s="1"/>
  <c r="M1464"/>
  <c r="Q1464" s="1"/>
  <c r="L1464"/>
  <c r="P1464" s="1"/>
  <c r="K1464"/>
  <c r="O1464" s="1"/>
  <c r="U1463"/>
  <c r="T1463"/>
  <c r="S1463"/>
  <c r="N1463"/>
  <c r="R1463" s="1"/>
  <c r="M1463"/>
  <c r="Q1463" s="1"/>
  <c r="L1463"/>
  <c r="P1463" s="1"/>
  <c r="K1463"/>
  <c r="O1463" s="1"/>
  <c r="U1462"/>
  <c r="T1462"/>
  <c r="S1462"/>
  <c r="N1462"/>
  <c r="R1462" s="1"/>
  <c r="M1462"/>
  <c r="Q1462" s="1"/>
  <c r="L1462"/>
  <c r="P1462" s="1"/>
  <c r="K1462"/>
  <c r="O1462" s="1"/>
  <c r="U1461"/>
  <c r="T1461"/>
  <c r="S1461"/>
  <c r="N1461"/>
  <c r="R1461" s="1"/>
  <c r="M1461"/>
  <c r="Q1461" s="1"/>
  <c r="L1461"/>
  <c r="P1461" s="1"/>
  <c r="K1461"/>
  <c r="O1461" s="1"/>
  <c r="U1460"/>
  <c r="T1460"/>
  <c r="S1460"/>
  <c r="N1460"/>
  <c r="R1460" s="1"/>
  <c r="M1460"/>
  <c r="Q1460" s="1"/>
  <c r="L1460"/>
  <c r="P1460" s="1"/>
  <c r="K1460"/>
  <c r="O1460" s="1"/>
  <c r="U1459"/>
  <c r="T1459"/>
  <c r="S1459"/>
  <c r="N1459"/>
  <c r="R1459" s="1"/>
  <c r="M1459"/>
  <c r="Q1459" s="1"/>
  <c r="L1459"/>
  <c r="P1459" s="1"/>
  <c r="K1459"/>
  <c r="O1459" s="1"/>
  <c r="U1458"/>
  <c r="T1458"/>
  <c r="S1458"/>
  <c r="N1458"/>
  <c r="R1458" s="1"/>
  <c r="M1458"/>
  <c r="Q1458" s="1"/>
  <c r="L1458"/>
  <c r="P1458" s="1"/>
  <c r="K1458"/>
  <c r="O1458" s="1"/>
  <c r="U1457"/>
  <c r="T1457"/>
  <c r="S1457"/>
  <c r="N1457"/>
  <c r="R1457" s="1"/>
  <c r="M1457"/>
  <c r="Q1457" s="1"/>
  <c r="L1457"/>
  <c r="P1457" s="1"/>
  <c r="K1457"/>
  <c r="O1457" s="1"/>
  <c r="U1456"/>
  <c r="T1456"/>
  <c r="S1456"/>
  <c r="N1456"/>
  <c r="R1456" s="1"/>
  <c r="M1456"/>
  <c r="Q1456" s="1"/>
  <c r="L1456"/>
  <c r="P1456" s="1"/>
  <c r="K1456"/>
  <c r="O1456" s="1"/>
  <c r="U1455"/>
  <c r="T1455"/>
  <c r="S1455"/>
  <c r="N1455"/>
  <c r="R1455" s="1"/>
  <c r="M1455"/>
  <c r="Q1455" s="1"/>
  <c r="L1455"/>
  <c r="P1455" s="1"/>
  <c r="K1455"/>
  <c r="O1455" s="1"/>
  <c r="U1454"/>
  <c r="T1454"/>
  <c r="S1454"/>
  <c r="N1454"/>
  <c r="R1454" s="1"/>
  <c r="M1454"/>
  <c r="Q1454" s="1"/>
  <c r="L1454"/>
  <c r="P1454" s="1"/>
  <c r="K1454"/>
  <c r="O1454" s="1"/>
  <c r="U1453"/>
  <c r="T1453"/>
  <c r="S1453"/>
  <c r="N1453"/>
  <c r="R1453" s="1"/>
  <c r="M1453"/>
  <c r="Q1453" s="1"/>
  <c r="L1453"/>
  <c r="P1453" s="1"/>
  <c r="K1453"/>
  <c r="O1453" s="1"/>
  <c r="U1452"/>
  <c r="T1452"/>
  <c r="S1452"/>
  <c r="N1452"/>
  <c r="R1452" s="1"/>
  <c r="M1452"/>
  <c r="Q1452" s="1"/>
  <c r="L1452"/>
  <c r="P1452" s="1"/>
  <c r="K1452"/>
  <c r="O1452" s="1"/>
  <c r="U1451"/>
  <c r="T1451"/>
  <c r="S1451"/>
  <c r="N1451"/>
  <c r="R1451" s="1"/>
  <c r="M1451"/>
  <c r="Q1451" s="1"/>
  <c r="L1451"/>
  <c r="P1451" s="1"/>
  <c r="K1451"/>
  <c r="O1451" s="1"/>
  <c r="U1450"/>
  <c r="T1450"/>
  <c r="S1450"/>
  <c r="N1450"/>
  <c r="R1450" s="1"/>
  <c r="M1450"/>
  <c r="Q1450" s="1"/>
  <c r="L1450"/>
  <c r="P1450" s="1"/>
  <c r="K1450"/>
  <c r="O1450" s="1"/>
  <c r="U1449"/>
  <c r="T1449"/>
  <c r="S1449"/>
  <c r="N1449"/>
  <c r="R1449" s="1"/>
  <c r="M1449"/>
  <c r="Q1449" s="1"/>
  <c r="L1449"/>
  <c r="P1449" s="1"/>
  <c r="K1449"/>
  <c r="O1449" s="1"/>
  <c r="U1448"/>
  <c r="T1448"/>
  <c r="S1448"/>
  <c r="N1448"/>
  <c r="R1448" s="1"/>
  <c r="M1448"/>
  <c r="Q1448" s="1"/>
  <c r="L1448"/>
  <c r="P1448" s="1"/>
  <c r="K1448"/>
  <c r="O1448" s="1"/>
  <c r="U1447"/>
  <c r="T1447"/>
  <c r="S1447"/>
  <c r="N1447"/>
  <c r="R1447" s="1"/>
  <c r="M1447"/>
  <c r="Q1447" s="1"/>
  <c r="L1447"/>
  <c r="P1447" s="1"/>
  <c r="K1447"/>
  <c r="O1447" s="1"/>
  <c r="U1446"/>
  <c r="T1446"/>
  <c r="S1446"/>
  <c r="N1446"/>
  <c r="R1446" s="1"/>
  <c r="M1446"/>
  <c r="Q1446" s="1"/>
  <c r="L1446"/>
  <c r="P1446" s="1"/>
  <c r="K1446"/>
  <c r="O1446" s="1"/>
  <c r="U1445"/>
  <c r="T1445"/>
  <c r="S1445"/>
  <c r="N1445"/>
  <c r="R1445" s="1"/>
  <c r="M1445"/>
  <c r="Q1445" s="1"/>
  <c r="L1445"/>
  <c r="P1445" s="1"/>
  <c r="K1445"/>
  <c r="O1445" s="1"/>
  <c r="U1444"/>
  <c r="T1444"/>
  <c r="S1444"/>
  <c r="N1444"/>
  <c r="R1444" s="1"/>
  <c r="M1444"/>
  <c r="Q1444" s="1"/>
  <c r="L1444"/>
  <c r="P1444" s="1"/>
  <c r="K1444"/>
  <c r="O1444" s="1"/>
  <c r="U1443"/>
  <c r="T1443"/>
  <c r="S1443"/>
  <c r="N1443"/>
  <c r="R1443" s="1"/>
  <c r="M1443"/>
  <c r="Q1443" s="1"/>
  <c r="L1443"/>
  <c r="P1443" s="1"/>
  <c r="K1443"/>
  <c r="O1443" s="1"/>
  <c r="U1442"/>
  <c r="T1442"/>
  <c r="S1442"/>
  <c r="N1442"/>
  <c r="R1442" s="1"/>
  <c r="M1442"/>
  <c r="Q1442" s="1"/>
  <c r="L1442"/>
  <c r="P1442" s="1"/>
  <c r="K1442"/>
  <c r="O1442" s="1"/>
  <c r="U1441"/>
  <c r="T1441"/>
  <c r="S1441"/>
  <c r="N1441"/>
  <c r="R1441" s="1"/>
  <c r="M1441"/>
  <c r="Q1441" s="1"/>
  <c r="L1441"/>
  <c r="P1441" s="1"/>
  <c r="K1441"/>
  <c r="O1441" s="1"/>
  <c r="U1440"/>
  <c r="T1440"/>
  <c r="S1440"/>
  <c r="N1440"/>
  <c r="R1440" s="1"/>
  <c r="M1440"/>
  <c r="Q1440" s="1"/>
  <c r="L1440"/>
  <c r="P1440" s="1"/>
  <c r="K1440"/>
  <c r="O1440" s="1"/>
  <c r="U1439"/>
  <c r="T1439"/>
  <c r="S1439"/>
  <c r="N1439"/>
  <c r="R1439" s="1"/>
  <c r="M1439"/>
  <c r="Q1439" s="1"/>
  <c r="L1439"/>
  <c r="P1439" s="1"/>
  <c r="K1439"/>
  <c r="O1439" s="1"/>
  <c r="U1438"/>
  <c r="T1438"/>
  <c r="S1438"/>
  <c r="N1438"/>
  <c r="R1438" s="1"/>
  <c r="M1438"/>
  <c r="Q1438" s="1"/>
  <c r="L1438"/>
  <c r="P1438" s="1"/>
  <c r="K1438"/>
  <c r="O1438" s="1"/>
  <c r="U1437"/>
  <c r="T1437"/>
  <c r="S1437"/>
  <c r="N1437"/>
  <c r="R1437" s="1"/>
  <c r="M1437"/>
  <c r="Q1437" s="1"/>
  <c r="L1437"/>
  <c r="P1437" s="1"/>
  <c r="K1437"/>
  <c r="O1437" s="1"/>
  <c r="U1436"/>
  <c r="T1436"/>
  <c r="S1436"/>
  <c r="N1436"/>
  <c r="R1436" s="1"/>
  <c r="M1436"/>
  <c r="Q1436" s="1"/>
  <c r="L1436"/>
  <c r="P1436" s="1"/>
  <c r="K1436"/>
  <c r="O1436" s="1"/>
  <c r="U1435"/>
  <c r="T1435"/>
  <c r="S1435"/>
  <c r="N1435"/>
  <c r="R1435" s="1"/>
  <c r="M1435"/>
  <c r="Q1435" s="1"/>
  <c r="L1435"/>
  <c r="P1435" s="1"/>
  <c r="K1435"/>
  <c r="O1435" s="1"/>
  <c r="U1434"/>
  <c r="T1434"/>
  <c r="S1434"/>
  <c r="N1434"/>
  <c r="R1434" s="1"/>
  <c r="M1434"/>
  <c r="Q1434" s="1"/>
  <c r="L1434"/>
  <c r="P1434" s="1"/>
  <c r="K1434"/>
  <c r="O1434" s="1"/>
  <c r="U1433"/>
  <c r="T1433"/>
  <c r="S1433"/>
  <c r="N1433"/>
  <c r="R1433" s="1"/>
  <c r="M1433"/>
  <c r="Q1433" s="1"/>
  <c r="L1433"/>
  <c r="P1433" s="1"/>
  <c r="K1433"/>
  <c r="O1433" s="1"/>
  <c r="U1432"/>
  <c r="T1432"/>
  <c r="S1432"/>
  <c r="N1432"/>
  <c r="R1432" s="1"/>
  <c r="M1432"/>
  <c r="Q1432" s="1"/>
  <c r="L1432"/>
  <c r="P1432" s="1"/>
  <c r="K1432"/>
  <c r="O1432" s="1"/>
  <c r="U1431"/>
  <c r="T1431"/>
  <c r="S1431"/>
  <c r="N1431"/>
  <c r="R1431" s="1"/>
  <c r="M1431"/>
  <c r="Q1431" s="1"/>
  <c r="L1431"/>
  <c r="P1431" s="1"/>
  <c r="K1431"/>
  <c r="O1431" s="1"/>
  <c r="U1430"/>
  <c r="T1430"/>
  <c r="S1430"/>
  <c r="N1430"/>
  <c r="R1430" s="1"/>
  <c r="M1430"/>
  <c r="Q1430" s="1"/>
  <c r="L1430"/>
  <c r="P1430" s="1"/>
  <c r="K1430"/>
  <c r="O1430" s="1"/>
  <c r="U1429"/>
  <c r="T1429"/>
  <c r="S1429"/>
  <c r="N1429"/>
  <c r="R1429" s="1"/>
  <c r="M1429"/>
  <c r="Q1429" s="1"/>
  <c r="L1429"/>
  <c r="P1429" s="1"/>
  <c r="K1429"/>
  <c r="O1429" s="1"/>
  <c r="U1428"/>
  <c r="T1428"/>
  <c r="S1428"/>
  <c r="N1428"/>
  <c r="R1428" s="1"/>
  <c r="M1428"/>
  <c r="Q1428" s="1"/>
  <c r="L1428"/>
  <c r="P1428" s="1"/>
  <c r="K1428"/>
  <c r="O1428" s="1"/>
  <c r="U1427"/>
  <c r="T1427"/>
  <c r="S1427"/>
  <c r="N1427"/>
  <c r="R1427" s="1"/>
  <c r="M1427"/>
  <c r="Q1427" s="1"/>
  <c r="L1427"/>
  <c r="P1427" s="1"/>
  <c r="K1427"/>
  <c r="O1427" s="1"/>
  <c r="U1426"/>
  <c r="T1426"/>
  <c r="S1426"/>
  <c r="N1426"/>
  <c r="R1426" s="1"/>
  <c r="M1426"/>
  <c r="Q1426" s="1"/>
  <c r="L1426"/>
  <c r="P1426" s="1"/>
  <c r="K1426"/>
  <c r="O1426" s="1"/>
  <c r="U1425"/>
  <c r="T1425"/>
  <c r="S1425"/>
  <c r="N1425"/>
  <c r="R1425" s="1"/>
  <c r="M1425"/>
  <c r="Q1425" s="1"/>
  <c r="L1425"/>
  <c r="P1425" s="1"/>
  <c r="K1425"/>
  <c r="O1425" s="1"/>
  <c r="U1424"/>
  <c r="T1424"/>
  <c r="S1424"/>
  <c r="N1424"/>
  <c r="R1424" s="1"/>
  <c r="M1424"/>
  <c r="Q1424" s="1"/>
  <c r="L1424"/>
  <c r="P1424" s="1"/>
  <c r="K1424"/>
  <c r="O1424" s="1"/>
  <c r="U1423"/>
  <c r="T1423"/>
  <c r="S1423"/>
  <c r="N1423"/>
  <c r="R1423" s="1"/>
  <c r="M1423"/>
  <c r="Q1423" s="1"/>
  <c r="L1423"/>
  <c r="P1423" s="1"/>
  <c r="K1423"/>
  <c r="O1423" s="1"/>
  <c r="U1422"/>
  <c r="T1422"/>
  <c r="S1422"/>
  <c r="N1422"/>
  <c r="R1422" s="1"/>
  <c r="M1422"/>
  <c r="Q1422" s="1"/>
  <c r="L1422"/>
  <c r="P1422" s="1"/>
  <c r="K1422"/>
  <c r="O1422" s="1"/>
  <c r="U1421"/>
  <c r="T1421"/>
  <c r="S1421"/>
  <c r="N1421"/>
  <c r="R1421" s="1"/>
  <c r="M1421"/>
  <c r="Q1421" s="1"/>
  <c r="L1421"/>
  <c r="P1421" s="1"/>
  <c r="K1421"/>
  <c r="O1421" s="1"/>
  <c r="U1420"/>
  <c r="T1420"/>
  <c r="S1420"/>
  <c r="N1420"/>
  <c r="R1420" s="1"/>
  <c r="M1420"/>
  <c r="Q1420" s="1"/>
  <c r="L1420"/>
  <c r="P1420" s="1"/>
  <c r="K1420"/>
  <c r="O1420" s="1"/>
  <c r="U1419"/>
  <c r="T1419"/>
  <c r="S1419"/>
  <c r="N1419"/>
  <c r="R1419" s="1"/>
  <c r="M1419"/>
  <c r="Q1419" s="1"/>
  <c r="L1419"/>
  <c r="P1419" s="1"/>
  <c r="K1419"/>
  <c r="O1419" s="1"/>
  <c r="U1418"/>
  <c r="T1418"/>
  <c r="S1418"/>
  <c r="N1418"/>
  <c r="R1418" s="1"/>
  <c r="M1418"/>
  <c r="Q1418" s="1"/>
  <c r="L1418"/>
  <c r="P1418" s="1"/>
  <c r="K1418"/>
  <c r="O1418" s="1"/>
  <c r="U1417"/>
  <c r="T1417"/>
  <c r="S1417"/>
  <c r="N1417"/>
  <c r="R1417" s="1"/>
  <c r="M1417"/>
  <c r="Q1417" s="1"/>
  <c r="L1417"/>
  <c r="P1417" s="1"/>
  <c r="K1417"/>
  <c r="O1417" s="1"/>
  <c r="U1416"/>
  <c r="T1416"/>
  <c r="S1416"/>
  <c r="N1416"/>
  <c r="R1416" s="1"/>
  <c r="M1416"/>
  <c r="Q1416" s="1"/>
  <c r="L1416"/>
  <c r="P1416" s="1"/>
  <c r="K1416"/>
  <c r="O1416" s="1"/>
  <c r="U1415"/>
  <c r="T1415"/>
  <c r="S1415"/>
  <c r="N1415"/>
  <c r="R1415" s="1"/>
  <c r="M1415"/>
  <c r="Q1415" s="1"/>
  <c r="L1415"/>
  <c r="P1415" s="1"/>
  <c r="K1415"/>
  <c r="O1415" s="1"/>
  <c r="U1414"/>
  <c r="T1414"/>
  <c r="S1414"/>
  <c r="N1414"/>
  <c r="R1414" s="1"/>
  <c r="M1414"/>
  <c r="Q1414" s="1"/>
  <c r="L1414"/>
  <c r="P1414" s="1"/>
  <c r="K1414"/>
  <c r="O1414" s="1"/>
  <c r="U1413"/>
  <c r="T1413"/>
  <c r="S1413"/>
  <c r="N1413"/>
  <c r="R1413" s="1"/>
  <c r="M1413"/>
  <c r="Q1413" s="1"/>
  <c r="L1413"/>
  <c r="P1413" s="1"/>
  <c r="K1413"/>
  <c r="O1413" s="1"/>
  <c r="U1412"/>
  <c r="T1412"/>
  <c r="S1412"/>
  <c r="N1412"/>
  <c r="R1412" s="1"/>
  <c r="M1412"/>
  <c r="Q1412" s="1"/>
  <c r="L1412"/>
  <c r="P1412" s="1"/>
  <c r="K1412"/>
  <c r="O1412" s="1"/>
  <c r="U1411"/>
  <c r="T1411"/>
  <c r="S1411"/>
  <c r="N1411"/>
  <c r="R1411" s="1"/>
  <c r="M1411"/>
  <c r="Q1411" s="1"/>
  <c r="L1411"/>
  <c r="P1411" s="1"/>
  <c r="K1411"/>
  <c r="O1411" s="1"/>
  <c r="U1410"/>
  <c r="T1410"/>
  <c r="S1410"/>
  <c r="N1410"/>
  <c r="R1410" s="1"/>
  <c r="M1410"/>
  <c r="Q1410" s="1"/>
  <c r="L1410"/>
  <c r="P1410" s="1"/>
  <c r="K1410"/>
  <c r="O1410" s="1"/>
  <c r="U1409"/>
  <c r="T1409"/>
  <c r="S1409"/>
  <c r="N1409"/>
  <c r="R1409" s="1"/>
  <c r="M1409"/>
  <c r="Q1409" s="1"/>
  <c r="L1409"/>
  <c r="P1409" s="1"/>
  <c r="K1409"/>
  <c r="O1409" s="1"/>
  <c r="U1408"/>
  <c r="T1408"/>
  <c r="S1408"/>
  <c r="N1408"/>
  <c r="R1408" s="1"/>
  <c r="M1408"/>
  <c r="Q1408" s="1"/>
  <c r="L1408"/>
  <c r="P1408" s="1"/>
  <c r="K1408"/>
  <c r="O1408" s="1"/>
  <c r="U1407"/>
  <c r="T1407"/>
  <c r="S1407"/>
  <c r="N1407"/>
  <c r="R1407" s="1"/>
  <c r="M1407"/>
  <c r="Q1407" s="1"/>
  <c r="L1407"/>
  <c r="P1407" s="1"/>
  <c r="K1407"/>
  <c r="O1407" s="1"/>
  <c r="U1406"/>
  <c r="T1406"/>
  <c r="S1406"/>
  <c r="N1406"/>
  <c r="R1406" s="1"/>
  <c r="M1406"/>
  <c r="Q1406" s="1"/>
  <c r="L1406"/>
  <c r="P1406" s="1"/>
  <c r="K1406"/>
  <c r="O1406" s="1"/>
  <c r="U1405"/>
  <c r="T1405"/>
  <c r="S1405"/>
  <c r="N1405"/>
  <c r="R1405" s="1"/>
  <c r="M1405"/>
  <c r="Q1405" s="1"/>
  <c r="L1405"/>
  <c r="P1405" s="1"/>
  <c r="K1405"/>
  <c r="O1405" s="1"/>
  <c r="U1404"/>
  <c r="T1404"/>
  <c r="S1404"/>
  <c r="N1404"/>
  <c r="R1404" s="1"/>
  <c r="M1404"/>
  <c r="Q1404" s="1"/>
  <c r="L1404"/>
  <c r="P1404" s="1"/>
  <c r="K1404"/>
  <c r="O1404" s="1"/>
  <c r="U1403"/>
  <c r="T1403"/>
  <c r="S1403"/>
  <c r="N1403"/>
  <c r="R1403" s="1"/>
  <c r="M1403"/>
  <c r="Q1403" s="1"/>
  <c r="L1403"/>
  <c r="P1403" s="1"/>
  <c r="K1403"/>
  <c r="O1403" s="1"/>
  <c r="U1402"/>
  <c r="T1402"/>
  <c r="S1402"/>
  <c r="N1402"/>
  <c r="R1402" s="1"/>
  <c r="M1402"/>
  <c r="Q1402" s="1"/>
  <c r="L1402"/>
  <c r="P1402" s="1"/>
  <c r="K1402"/>
  <c r="O1402" s="1"/>
  <c r="U1401"/>
  <c r="T1401"/>
  <c r="S1401"/>
  <c r="N1401"/>
  <c r="R1401" s="1"/>
  <c r="M1401"/>
  <c r="Q1401" s="1"/>
  <c r="L1401"/>
  <c r="P1401" s="1"/>
  <c r="K1401"/>
  <c r="O1401" s="1"/>
  <c r="U1400"/>
  <c r="T1400"/>
  <c r="S1400"/>
  <c r="N1400"/>
  <c r="R1400" s="1"/>
  <c r="M1400"/>
  <c r="Q1400" s="1"/>
  <c r="L1400"/>
  <c r="P1400" s="1"/>
  <c r="K1400"/>
  <c r="O1400" s="1"/>
  <c r="U1399"/>
  <c r="T1399"/>
  <c r="S1399"/>
  <c r="N1399"/>
  <c r="R1399" s="1"/>
  <c r="M1399"/>
  <c r="Q1399" s="1"/>
  <c r="L1399"/>
  <c r="P1399" s="1"/>
  <c r="K1399"/>
  <c r="O1399" s="1"/>
  <c r="U1398"/>
  <c r="T1398"/>
  <c r="S1398"/>
  <c r="N1398"/>
  <c r="R1398" s="1"/>
  <c r="M1398"/>
  <c r="Q1398" s="1"/>
  <c r="L1398"/>
  <c r="P1398" s="1"/>
  <c r="K1398"/>
  <c r="O1398" s="1"/>
  <c r="U1397"/>
  <c r="T1397"/>
  <c r="S1397"/>
  <c r="N1397"/>
  <c r="R1397" s="1"/>
  <c r="M1397"/>
  <c r="Q1397" s="1"/>
  <c r="L1397"/>
  <c r="P1397" s="1"/>
  <c r="K1397"/>
  <c r="O1397" s="1"/>
  <c r="U1396"/>
  <c r="T1396"/>
  <c r="S1396"/>
  <c r="N1396"/>
  <c r="R1396" s="1"/>
  <c r="M1396"/>
  <c r="Q1396" s="1"/>
  <c r="L1396"/>
  <c r="P1396" s="1"/>
  <c r="K1396"/>
  <c r="O1396" s="1"/>
  <c r="U1395"/>
  <c r="T1395"/>
  <c r="S1395"/>
  <c r="N1395"/>
  <c r="R1395" s="1"/>
  <c r="M1395"/>
  <c r="Q1395" s="1"/>
  <c r="L1395"/>
  <c r="P1395" s="1"/>
  <c r="K1395"/>
  <c r="O1395" s="1"/>
  <c r="U1394"/>
  <c r="T1394"/>
  <c r="S1394"/>
  <c r="N1394"/>
  <c r="R1394" s="1"/>
  <c r="M1394"/>
  <c r="Q1394" s="1"/>
  <c r="L1394"/>
  <c r="P1394" s="1"/>
  <c r="K1394"/>
  <c r="O1394" s="1"/>
  <c r="U1393"/>
  <c r="T1393"/>
  <c r="S1393"/>
  <c r="N1393"/>
  <c r="R1393" s="1"/>
  <c r="M1393"/>
  <c r="Q1393" s="1"/>
  <c r="L1393"/>
  <c r="P1393" s="1"/>
  <c r="K1393"/>
  <c r="O1393" s="1"/>
  <c r="U1392"/>
  <c r="T1392"/>
  <c r="S1392"/>
  <c r="N1392"/>
  <c r="R1392" s="1"/>
  <c r="M1392"/>
  <c r="Q1392" s="1"/>
  <c r="L1392"/>
  <c r="P1392" s="1"/>
  <c r="K1392"/>
  <c r="O1392" s="1"/>
  <c r="U1391"/>
  <c r="T1391"/>
  <c r="S1391"/>
  <c r="N1391"/>
  <c r="R1391" s="1"/>
  <c r="M1391"/>
  <c r="Q1391" s="1"/>
  <c r="L1391"/>
  <c r="P1391" s="1"/>
  <c r="K1391"/>
  <c r="O1391" s="1"/>
  <c r="U1390"/>
  <c r="T1390"/>
  <c r="S1390"/>
  <c r="N1390"/>
  <c r="R1390" s="1"/>
  <c r="M1390"/>
  <c r="Q1390" s="1"/>
  <c r="L1390"/>
  <c r="P1390" s="1"/>
  <c r="K1390"/>
  <c r="O1390" s="1"/>
  <c r="U1389"/>
  <c r="T1389"/>
  <c r="S1389"/>
  <c r="N1389"/>
  <c r="R1389" s="1"/>
  <c r="M1389"/>
  <c r="Q1389" s="1"/>
  <c r="L1389"/>
  <c r="P1389" s="1"/>
  <c r="K1389"/>
  <c r="O1389" s="1"/>
  <c r="U1388"/>
  <c r="T1388"/>
  <c r="S1388"/>
  <c r="N1388"/>
  <c r="R1388" s="1"/>
  <c r="M1388"/>
  <c r="Q1388" s="1"/>
  <c r="L1388"/>
  <c r="P1388" s="1"/>
  <c r="K1388"/>
  <c r="O1388" s="1"/>
  <c r="U1387"/>
  <c r="T1387"/>
  <c r="S1387"/>
  <c r="N1387"/>
  <c r="R1387" s="1"/>
  <c r="M1387"/>
  <c r="Q1387" s="1"/>
  <c r="L1387"/>
  <c r="P1387" s="1"/>
  <c r="K1387"/>
  <c r="O1387" s="1"/>
  <c r="U1386"/>
  <c r="T1386"/>
  <c r="S1386"/>
  <c r="N1386"/>
  <c r="R1386" s="1"/>
  <c r="M1386"/>
  <c r="Q1386" s="1"/>
  <c r="L1386"/>
  <c r="P1386" s="1"/>
  <c r="K1386"/>
  <c r="O1386" s="1"/>
  <c r="U1385"/>
  <c r="T1385"/>
  <c r="S1385"/>
  <c r="N1385"/>
  <c r="R1385" s="1"/>
  <c r="M1385"/>
  <c r="Q1385" s="1"/>
  <c r="L1385"/>
  <c r="P1385" s="1"/>
  <c r="K1385"/>
  <c r="O1385" s="1"/>
  <c r="U1384"/>
  <c r="T1384"/>
  <c r="S1384"/>
  <c r="N1384"/>
  <c r="R1384" s="1"/>
  <c r="M1384"/>
  <c r="Q1384" s="1"/>
  <c r="L1384"/>
  <c r="P1384" s="1"/>
  <c r="K1384"/>
  <c r="O1384" s="1"/>
  <c r="U1383"/>
  <c r="T1383"/>
  <c r="S1383"/>
  <c r="N1383"/>
  <c r="R1383" s="1"/>
  <c r="M1383"/>
  <c r="Q1383" s="1"/>
  <c r="L1383"/>
  <c r="P1383" s="1"/>
  <c r="K1383"/>
  <c r="O1383" s="1"/>
  <c r="U1382"/>
  <c r="T1382"/>
  <c r="S1382"/>
  <c r="N1382"/>
  <c r="R1382" s="1"/>
  <c r="M1382"/>
  <c r="Q1382" s="1"/>
  <c r="L1382"/>
  <c r="P1382" s="1"/>
  <c r="K1382"/>
  <c r="O1382" s="1"/>
  <c r="U1381"/>
  <c r="T1381"/>
  <c r="S1381"/>
  <c r="N1381"/>
  <c r="R1381" s="1"/>
  <c r="M1381"/>
  <c r="Q1381" s="1"/>
  <c r="L1381"/>
  <c r="P1381" s="1"/>
  <c r="K1381"/>
  <c r="O1381" s="1"/>
  <c r="U1380"/>
  <c r="T1380"/>
  <c r="S1380"/>
  <c r="N1380"/>
  <c r="R1380" s="1"/>
  <c r="M1380"/>
  <c r="Q1380" s="1"/>
  <c r="L1380"/>
  <c r="P1380" s="1"/>
  <c r="K1380"/>
  <c r="O1380" s="1"/>
  <c r="U1379"/>
  <c r="T1379"/>
  <c r="S1379"/>
  <c r="N1379"/>
  <c r="R1379" s="1"/>
  <c r="M1379"/>
  <c r="Q1379" s="1"/>
  <c r="L1379"/>
  <c r="P1379" s="1"/>
  <c r="K1379"/>
  <c r="O1379" s="1"/>
  <c r="U1378"/>
  <c r="T1378"/>
  <c r="S1378"/>
  <c r="N1378"/>
  <c r="R1378" s="1"/>
  <c r="M1378"/>
  <c r="Q1378" s="1"/>
  <c r="L1378"/>
  <c r="P1378" s="1"/>
  <c r="K1378"/>
  <c r="O1378" s="1"/>
  <c r="U1377"/>
  <c r="T1377"/>
  <c r="S1377"/>
  <c r="N1377"/>
  <c r="R1377" s="1"/>
  <c r="M1377"/>
  <c r="Q1377" s="1"/>
  <c r="L1377"/>
  <c r="P1377" s="1"/>
  <c r="K1377"/>
  <c r="O1377" s="1"/>
  <c r="U1376"/>
  <c r="T1376"/>
  <c r="S1376"/>
  <c r="N1376"/>
  <c r="R1376" s="1"/>
  <c r="M1376"/>
  <c r="Q1376" s="1"/>
  <c r="L1376"/>
  <c r="P1376" s="1"/>
  <c r="K1376"/>
  <c r="O1376" s="1"/>
  <c r="U1375"/>
  <c r="T1375"/>
  <c r="S1375"/>
  <c r="N1375"/>
  <c r="R1375" s="1"/>
  <c r="M1375"/>
  <c r="Q1375" s="1"/>
  <c r="L1375"/>
  <c r="P1375" s="1"/>
  <c r="K1375"/>
  <c r="O1375" s="1"/>
  <c r="U1374"/>
  <c r="T1374"/>
  <c r="S1374"/>
  <c r="N1374"/>
  <c r="R1374" s="1"/>
  <c r="M1374"/>
  <c r="Q1374" s="1"/>
  <c r="L1374"/>
  <c r="P1374" s="1"/>
  <c r="K1374"/>
  <c r="O1374" s="1"/>
  <c r="U1373"/>
  <c r="T1373"/>
  <c r="S1373"/>
  <c r="N1373"/>
  <c r="R1373" s="1"/>
  <c r="M1373"/>
  <c r="Q1373" s="1"/>
  <c r="L1373"/>
  <c r="P1373" s="1"/>
  <c r="K1373"/>
  <c r="O1373" s="1"/>
  <c r="U1372"/>
  <c r="T1372"/>
  <c r="S1372"/>
  <c r="N1372"/>
  <c r="R1372" s="1"/>
  <c r="M1372"/>
  <c r="Q1372" s="1"/>
  <c r="L1372"/>
  <c r="P1372" s="1"/>
  <c r="K1372"/>
  <c r="O1372" s="1"/>
  <c r="U1371"/>
  <c r="T1371"/>
  <c r="S1371"/>
  <c r="N1371"/>
  <c r="R1371" s="1"/>
  <c r="M1371"/>
  <c r="Q1371" s="1"/>
  <c r="L1371"/>
  <c r="P1371" s="1"/>
  <c r="K1371"/>
  <c r="O1371" s="1"/>
  <c r="U1370"/>
  <c r="T1370"/>
  <c r="S1370"/>
  <c r="N1370"/>
  <c r="R1370" s="1"/>
  <c r="M1370"/>
  <c r="Q1370" s="1"/>
  <c r="L1370"/>
  <c r="P1370" s="1"/>
  <c r="K1370"/>
  <c r="O1370" s="1"/>
  <c r="U1369"/>
  <c r="T1369"/>
  <c r="S1369"/>
  <c r="N1369"/>
  <c r="R1369" s="1"/>
  <c r="M1369"/>
  <c r="Q1369" s="1"/>
  <c r="L1369"/>
  <c r="P1369" s="1"/>
  <c r="K1369"/>
  <c r="O1369" s="1"/>
  <c r="U1368"/>
  <c r="T1368"/>
  <c r="S1368"/>
  <c r="N1368"/>
  <c r="R1368" s="1"/>
  <c r="M1368"/>
  <c r="Q1368" s="1"/>
  <c r="L1368"/>
  <c r="P1368" s="1"/>
  <c r="K1368"/>
  <c r="O1368" s="1"/>
  <c r="U1367"/>
  <c r="T1367"/>
  <c r="S1367"/>
  <c r="N1367"/>
  <c r="R1367" s="1"/>
  <c r="M1367"/>
  <c r="Q1367" s="1"/>
  <c r="L1367"/>
  <c r="P1367" s="1"/>
  <c r="K1367"/>
  <c r="O1367" s="1"/>
  <c r="U1366"/>
  <c r="T1366"/>
  <c r="S1366"/>
  <c r="N1366"/>
  <c r="R1366" s="1"/>
  <c r="M1366"/>
  <c r="Q1366" s="1"/>
  <c r="L1366"/>
  <c r="P1366" s="1"/>
  <c r="K1366"/>
  <c r="O1366" s="1"/>
  <c r="U1365"/>
  <c r="T1365"/>
  <c r="S1365"/>
  <c r="N1365"/>
  <c r="R1365" s="1"/>
  <c r="M1365"/>
  <c r="Q1365" s="1"/>
  <c r="L1365"/>
  <c r="P1365" s="1"/>
  <c r="K1365"/>
  <c r="O1365" s="1"/>
  <c r="U1364"/>
  <c r="T1364"/>
  <c r="S1364"/>
  <c r="N1364"/>
  <c r="R1364" s="1"/>
  <c r="M1364"/>
  <c r="Q1364" s="1"/>
  <c r="L1364"/>
  <c r="P1364" s="1"/>
  <c r="K1364"/>
  <c r="O1364" s="1"/>
  <c r="U1363"/>
  <c r="T1363"/>
  <c r="S1363"/>
  <c r="N1363"/>
  <c r="R1363" s="1"/>
  <c r="M1363"/>
  <c r="Q1363" s="1"/>
  <c r="L1363"/>
  <c r="P1363" s="1"/>
  <c r="K1363"/>
  <c r="O1363" s="1"/>
  <c r="U1362"/>
  <c r="T1362"/>
  <c r="S1362"/>
  <c r="N1362"/>
  <c r="R1362" s="1"/>
  <c r="M1362"/>
  <c r="Q1362" s="1"/>
  <c r="L1362"/>
  <c r="P1362" s="1"/>
  <c r="K1362"/>
  <c r="O1362" s="1"/>
  <c r="U1361"/>
  <c r="T1361"/>
  <c r="S1361"/>
  <c r="N1361"/>
  <c r="R1361" s="1"/>
  <c r="M1361"/>
  <c r="Q1361" s="1"/>
  <c r="L1361"/>
  <c r="P1361" s="1"/>
  <c r="K1361"/>
  <c r="O1361" s="1"/>
  <c r="U1360"/>
  <c r="T1360"/>
  <c r="S1360"/>
  <c r="N1360"/>
  <c r="R1360" s="1"/>
  <c r="M1360"/>
  <c r="Q1360" s="1"/>
  <c r="L1360"/>
  <c r="P1360" s="1"/>
  <c r="K1360"/>
  <c r="O1360" s="1"/>
  <c r="U1359"/>
  <c r="T1359"/>
  <c r="S1359"/>
  <c r="N1359"/>
  <c r="R1359" s="1"/>
  <c r="M1359"/>
  <c r="Q1359" s="1"/>
  <c r="L1359"/>
  <c r="P1359" s="1"/>
  <c r="K1359"/>
  <c r="O1359" s="1"/>
  <c r="U1358"/>
  <c r="T1358"/>
  <c r="S1358"/>
  <c r="N1358"/>
  <c r="R1358" s="1"/>
  <c r="M1358"/>
  <c r="Q1358" s="1"/>
  <c r="L1358"/>
  <c r="P1358" s="1"/>
  <c r="K1358"/>
  <c r="O1358" s="1"/>
  <c r="U1357"/>
  <c r="T1357"/>
  <c r="S1357"/>
  <c r="N1357"/>
  <c r="R1357" s="1"/>
  <c r="M1357"/>
  <c r="Q1357" s="1"/>
  <c r="L1357"/>
  <c r="P1357" s="1"/>
  <c r="K1357"/>
  <c r="O1357" s="1"/>
  <c r="U1356"/>
  <c r="T1356"/>
  <c r="S1356"/>
  <c r="N1356"/>
  <c r="R1356" s="1"/>
  <c r="M1356"/>
  <c r="Q1356" s="1"/>
  <c r="L1356"/>
  <c r="P1356" s="1"/>
  <c r="K1356"/>
  <c r="O1356" s="1"/>
  <c r="U1355"/>
  <c r="T1355"/>
  <c r="S1355"/>
  <c r="N1355"/>
  <c r="R1355" s="1"/>
  <c r="M1355"/>
  <c r="Q1355" s="1"/>
  <c r="L1355"/>
  <c r="P1355" s="1"/>
  <c r="K1355"/>
  <c r="O1355" s="1"/>
  <c r="U1354"/>
  <c r="T1354"/>
  <c r="S1354"/>
  <c r="N1354"/>
  <c r="R1354" s="1"/>
  <c r="M1354"/>
  <c r="Q1354" s="1"/>
  <c r="L1354"/>
  <c r="P1354" s="1"/>
  <c r="K1354"/>
  <c r="O1354" s="1"/>
  <c r="U1353"/>
  <c r="T1353"/>
  <c r="S1353"/>
  <c r="N1353"/>
  <c r="R1353" s="1"/>
  <c r="M1353"/>
  <c r="Q1353" s="1"/>
  <c r="L1353"/>
  <c r="P1353" s="1"/>
  <c r="K1353"/>
  <c r="O1353" s="1"/>
  <c r="U1352"/>
  <c r="T1352"/>
  <c r="S1352"/>
  <c r="N1352"/>
  <c r="R1352" s="1"/>
  <c r="M1352"/>
  <c r="Q1352" s="1"/>
  <c r="L1352"/>
  <c r="P1352" s="1"/>
  <c r="K1352"/>
  <c r="O1352" s="1"/>
  <c r="U1351"/>
  <c r="T1351"/>
  <c r="S1351"/>
  <c r="N1351"/>
  <c r="R1351" s="1"/>
  <c r="M1351"/>
  <c r="Q1351" s="1"/>
  <c r="L1351"/>
  <c r="P1351" s="1"/>
  <c r="K1351"/>
  <c r="O1351" s="1"/>
  <c r="U1350"/>
  <c r="T1350"/>
  <c r="S1350"/>
  <c r="N1350"/>
  <c r="R1350" s="1"/>
  <c r="M1350"/>
  <c r="Q1350" s="1"/>
  <c r="L1350"/>
  <c r="P1350" s="1"/>
  <c r="K1350"/>
  <c r="O1350" s="1"/>
  <c r="U1349"/>
  <c r="T1349"/>
  <c r="S1349"/>
  <c r="N1349"/>
  <c r="R1349" s="1"/>
  <c r="M1349"/>
  <c r="Q1349" s="1"/>
  <c r="L1349"/>
  <c r="P1349" s="1"/>
  <c r="K1349"/>
  <c r="O1349" s="1"/>
  <c r="U1348"/>
  <c r="T1348"/>
  <c r="S1348"/>
  <c r="N1348"/>
  <c r="R1348" s="1"/>
  <c r="M1348"/>
  <c r="Q1348" s="1"/>
  <c r="L1348"/>
  <c r="P1348" s="1"/>
  <c r="K1348"/>
  <c r="O1348" s="1"/>
  <c r="U1347"/>
  <c r="T1347"/>
  <c r="S1347"/>
  <c r="N1347"/>
  <c r="R1347" s="1"/>
  <c r="M1347"/>
  <c r="Q1347" s="1"/>
  <c r="L1347"/>
  <c r="P1347" s="1"/>
  <c r="K1347"/>
  <c r="O1347" s="1"/>
  <c r="U1346"/>
  <c r="T1346"/>
  <c r="S1346"/>
  <c r="N1346"/>
  <c r="R1346" s="1"/>
  <c r="M1346"/>
  <c r="Q1346" s="1"/>
  <c r="L1346"/>
  <c r="P1346" s="1"/>
  <c r="K1346"/>
  <c r="O1346" s="1"/>
  <c r="U1345"/>
  <c r="T1345"/>
  <c r="S1345"/>
  <c r="N1345"/>
  <c r="R1345" s="1"/>
  <c r="M1345"/>
  <c r="Q1345" s="1"/>
  <c r="L1345"/>
  <c r="P1345" s="1"/>
  <c r="K1345"/>
  <c r="O1345" s="1"/>
  <c r="U1344"/>
  <c r="T1344"/>
  <c r="S1344"/>
  <c r="N1344"/>
  <c r="R1344" s="1"/>
  <c r="M1344"/>
  <c r="Q1344" s="1"/>
  <c r="L1344"/>
  <c r="P1344" s="1"/>
  <c r="K1344"/>
  <c r="O1344" s="1"/>
  <c r="U1343"/>
  <c r="T1343"/>
  <c r="S1343"/>
  <c r="N1343"/>
  <c r="R1343" s="1"/>
  <c r="M1343"/>
  <c r="Q1343" s="1"/>
  <c r="L1343"/>
  <c r="P1343" s="1"/>
  <c r="K1343"/>
  <c r="O1343" s="1"/>
  <c r="U1342"/>
  <c r="T1342"/>
  <c r="S1342"/>
  <c r="N1342"/>
  <c r="R1342" s="1"/>
  <c r="M1342"/>
  <c r="Q1342" s="1"/>
  <c r="L1342"/>
  <c r="P1342" s="1"/>
  <c r="K1342"/>
  <c r="O1342" s="1"/>
  <c r="U1341"/>
  <c r="T1341"/>
  <c r="S1341"/>
  <c r="N1341"/>
  <c r="R1341" s="1"/>
  <c r="M1341"/>
  <c r="Q1341" s="1"/>
  <c r="L1341"/>
  <c r="P1341" s="1"/>
  <c r="K1341"/>
  <c r="O1341" s="1"/>
  <c r="U1340"/>
  <c r="T1340"/>
  <c r="S1340"/>
  <c r="N1340"/>
  <c r="R1340" s="1"/>
  <c r="M1340"/>
  <c r="Q1340" s="1"/>
  <c r="L1340"/>
  <c r="P1340" s="1"/>
  <c r="K1340"/>
  <c r="O1340" s="1"/>
  <c r="U1339"/>
  <c r="T1339"/>
  <c r="S1339"/>
  <c r="N1339"/>
  <c r="R1339" s="1"/>
  <c r="M1339"/>
  <c r="Q1339" s="1"/>
  <c r="L1339"/>
  <c r="P1339" s="1"/>
  <c r="K1339"/>
  <c r="O1339" s="1"/>
  <c r="U1338"/>
  <c r="T1338"/>
  <c r="S1338"/>
  <c r="N1338"/>
  <c r="R1338" s="1"/>
  <c r="M1338"/>
  <c r="Q1338" s="1"/>
  <c r="L1338"/>
  <c r="P1338" s="1"/>
  <c r="K1338"/>
  <c r="O1338" s="1"/>
  <c r="U1337"/>
  <c r="T1337"/>
  <c r="S1337"/>
  <c r="N1337"/>
  <c r="R1337" s="1"/>
  <c r="M1337"/>
  <c r="Q1337" s="1"/>
  <c r="L1337"/>
  <c r="P1337" s="1"/>
  <c r="K1337"/>
  <c r="O1337" s="1"/>
  <c r="U1336"/>
  <c r="T1336"/>
  <c r="S1336"/>
  <c r="N1336"/>
  <c r="R1336" s="1"/>
  <c r="M1336"/>
  <c r="Q1336" s="1"/>
  <c r="L1336"/>
  <c r="P1336" s="1"/>
  <c r="K1336"/>
  <c r="O1336" s="1"/>
  <c r="U1335"/>
  <c r="T1335"/>
  <c r="S1335"/>
  <c r="N1335"/>
  <c r="R1335" s="1"/>
  <c r="M1335"/>
  <c r="Q1335" s="1"/>
  <c r="L1335"/>
  <c r="P1335" s="1"/>
  <c r="K1335"/>
  <c r="O1335" s="1"/>
  <c r="U1334"/>
  <c r="T1334"/>
  <c r="S1334"/>
  <c r="N1334"/>
  <c r="R1334" s="1"/>
  <c r="M1334"/>
  <c r="Q1334" s="1"/>
  <c r="L1334"/>
  <c r="P1334" s="1"/>
  <c r="K1334"/>
  <c r="O1334" s="1"/>
  <c r="U1333"/>
  <c r="T1333"/>
  <c r="S1333"/>
  <c r="N1333"/>
  <c r="R1333" s="1"/>
  <c r="M1333"/>
  <c r="Q1333" s="1"/>
  <c r="L1333"/>
  <c r="P1333" s="1"/>
  <c r="K1333"/>
  <c r="O1333" s="1"/>
  <c r="U1332"/>
  <c r="T1332"/>
  <c r="S1332"/>
  <c r="N1332"/>
  <c r="R1332" s="1"/>
  <c r="M1332"/>
  <c r="Q1332" s="1"/>
  <c r="L1332"/>
  <c r="P1332" s="1"/>
  <c r="K1332"/>
  <c r="O1332" s="1"/>
  <c r="U1331"/>
  <c r="T1331"/>
  <c r="S1331"/>
  <c r="N1331"/>
  <c r="R1331" s="1"/>
  <c r="M1331"/>
  <c r="Q1331" s="1"/>
  <c r="L1331"/>
  <c r="P1331" s="1"/>
  <c r="K1331"/>
  <c r="O1331" s="1"/>
  <c r="U1330"/>
  <c r="T1330"/>
  <c r="S1330"/>
  <c r="N1330"/>
  <c r="R1330" s="1"/>
  <c r="M1330"/>
  <c r="Q1330" s="1"/>
  <c r="L1330"/>
  <c r="P1330" s="1"/>
  <c r="K1330"/>
  <c r="O1330" s="1"/>
  <c r="U1329"/>
  <c r="T1329"/>
  <c r="S1329"/>
  <c r="N1329"/>
  <c r="R1329" s="1"/>
  <c r="M1329"/>
  <c r="Q1329" s="1"/>
  <c r="L1329"/>
  <c r="P1329" s="1"/>
  <c r="K1329"/>
  <c r="O1329" s="1"/>
  <c r="U1328"/>
  <c r="T1328"/>
  <c r="S1328"/>
  <c r="N1328"/>
  <c r="R1328" s="1"/>
  <c r="M1328"/>
  <c r="Q1328" s="1"/>
  <c r="L1328"/>
  <c r="P1328" s="1"/>
  <c r="K1328"/>
  <c r="O1328" s="1"/>
  <c r="U1327"/>
  <c r="T1327"/>
  <c r="S1327"/>
  <c r="N1327"/>
  <c r="R1327" s="1"/>
  <c r="M1327"/>
  <c r="Q1327" s="1"/>
  <c r="L1327"/>
  <c r="P1327" s="1"/>
  <c r="K1327"/>
  <c r="O1327" s="1"/>
  <c r="U1326"/>
  <c r="T1326"/>
  <c r="S1326"/>
  <c r="N1326"/>
  <c r="R1326" s="1"/>
  <c r="M1326"/>
  <c r="Q1326" s="1"/>
  <c r="L1326"/>
  <c r="P1326" s="1"/>
  <c r="K1326"/>
  <c r="O1326" s="1"/>
  <c r="U1325"/>
  <c r="T1325"/>
  <c r="S1325"/>
  <c r="N1325"/>
  <c r="R1325" s="1"/>
  <c r="M1325"/>
  <c r="Q1325" s="1"/>
  <c r="L1325"/>
  <c r="P1325" s="1"/>
  <c r="K1325"/>
  <c r="O1325" s="1"/>
  <c r="U1324"/>
  <c r="T1324"/>
  <c r="S1324"/>
  <c r="N1324"/>
  <c r="R1324" s="1"/>
  <c r="M1324"/>
  <c r="Q1324" s="1"/>
  <c r="L1324"/>
  <c r="P1324" s="1"/>
  <c r="K1324"/>
  <c r="O1324" s="1"/>
  <c r="U1323"/>
  <c r="T1323"/>
  <c r="S1323"/>
  <c r="N1323"/>
  <c r="R1323" s="1"/>
  <c r="M1323"/>
  <c r="Q1323" s="1"/>
  <c r="L1323"/>
  <c r="P1323" s="1"/>
  <c r="K1323"/>
  <c r="O1323" s="1"/>
  <c r="U1322"/>
  <c r="T1322"/>
  <c r="S1322"/>
  <c r="N1322"/>
  <c r="R1322" s="1"/>
  <c r="M1322"/>
  <c r="Q1322" s="1"/>
  <c r="L1322"/>
  <c r="P1322" s="1"/>
  <c r="K1322"/>
  <c r="O1322" s="1"/>
  <c r="U1321"/>
  <c r="T1321"/>
  <c r="S1321"/>
  <c r="N1321"/>
  <c r="R1321" s="1"/>
  <c r="M1321"/>
  <c r="Q1321" s="1"/>
  <c r="L1321"/>
  <c r="P1321" s="1"/>
  <c r="K1321"/>
  <c r="O1321" s="1"/>
  <c r="U1320"/>
  <c r="T1320"/>
  <c r="S1320"/>
  <c r="N1320"/>
  <c r="R1320" s="1"/>
  <c r="M1320"/>
  <c r="Q1320" s="1"/>
  <c r="L1320"/>
  <c r="P1320" s="1"/>
  <c r="K1320"/>
  <c r="O1320" s="1"/>
  <c r="U1319"/>
  <c r="T1319"/>
  <c r="S1319"/>
  <c r="N1319"/>
  <c r="R1319" s="1"/>
  <c r="M1319"/>
  <c r="Q1319" s="1"/>
  <c r="L1319"/>
  <c r="P1319" s="1"/>
  <c r="K1319"/>
  <c r="O1319" s="1"/>
  <c r="U1318"/>
  <c r="T1318"/>
  <c r="S1318"/>
  <c r="N1318"/>
  <c r="R1318" s="1"/>
  <c r="M1318"/>
  <c r="Q1318" s="1"/>
  <c r="L1318"/>
  <c r="P1318" s="1"/>
  <c r="K1318"/>
  <c r="O1318" s="1"/>
  <c r="U1317"/>
  <c r="T1317"/>
  <c r="S1317"/>
  <c r="N1317"/>
  <c r="R1317" s="1"/>
  <c r="M1317"/>
  <c r="Q1317" s="1"/>
  <c r="L1317"/>
  <c r="P1317" s="1"/>
  <c r="K1317"/>
  <c r="O1317" s="1"/>
  <c r="U1316"/>
  <c r="T1316"/>
  <c r="S1316"/>
  <c r="N1316"/>
  <c r="R1316" s="1"/>
  <c r="M1316"/>
  <c r="Q1316" s="1"/>
  <c r="L1316"/>
  <c r="P1316" s="1"/>
  <c r="K1316"/>
  <c r="O1316" s="1"/>
  <c r="U1315"/>
  <c r="T1315"/>
  <c r="S1315"/>
  <c r="N1315"/>
  <c r="R1315" s="1"/>
  <c r="M1315"/>
  <c r="Q1315" s="1"/>
  <c r="L1315"/>
  <c r="P1315" s="1"/>
  <c r="K1315"/>
  <c r="O1315" s="1"/>
  <c r="U1314"/>
  <c r="T1314"/>
  <c r="S1314"/>
  <c r="N1314"/>
  <c r="R1314" s="1"/>
  <c r="M1314"/>
  <c r="Q1314" s="1"/>
  <c r="L1314"/>
  <c r="P1314" s="1"/>
  <c r="K1314"/>
  <c r="O1314" s="1"/>
  <c r="U1313"/>
  <c r="T1313"/>
  <c r="S1313"/>
  <c r="N1313"/>
  <c r="R1313" s="1"/>
  <c r="M1313"/>
  <c r="Q1313" s="1"/>
  <c r="L1313"/>
  <c r="P1313" s="1"/>
  <c r="K1313"/>
  <c r="O1313" s="1"/>
  <c r="U1312"/>
  <c r="T1312"/>
  <c r="S1312"/>
  <c r="N1312"/>
  <c r="R1312" s="1"/>
  <c r="M1312"/>
  <c r="Q1312" s="1"/>
  <c r="L1312"/>
  <c r="P1312" s="1"/>
  <c r="K1312"/>
  <c r="O1312" s="1"/>
  <c r="U1311"/>
  <c r="T1311"/>
  <c r="S1311"/>
  <c r="N1311"/>
  <c r="R1311" s="1"/>
  <c r="M1311"/>
  <c r="Q1311" s="1"/>
  <c r="L1311"/>
  <c r="P1311" s="1"/>
  <c r="K1311"/>
  <c r="O1311" s="1"/>
  <c r="U1310"/>
  <c r="T1310"/>
  <c r="S1310"/>
  <c r="N1310"/>
  <c r="R1310" s="1"/>
  <c r="M1310"/>
  <c r="Q1310" s="1"/>
  <c r="L1310"/>
  <c r="P1310" s="1"/>
  <c r="K1310"/>
  <c r="O1310" s="1"/>
  <c r="U1309"/>
  <c r="T1309"/>
  <c r="S1309"/>
  <c r="N1309"/>
  <c r="R1309" s="1"/>
  <c r="M1309"/>
  <c r="Q1309" s="1"/>
  <c r="L1309"/>
  <c r="P1309" s="1"/>
  <c r="K1309"/>
  <c r="O1309" s="1"/>
  <c r="U1308"/>
  <c r="T1308"/>
  <c r="S1308"/>
  <c r="N1308"/>
  <c r="R1308" s="1"/>
  <c r="M1308"/>
  <c r="Q1308" s="1"/>
  <c r="L1308"/>
  <c r="P1308" s="1"/>
  <c r="K1308"/>
  <c r="O1308" s="1"/>
  <c r="U1307"/>
  <c r="T1307"/>
  <c r="S1307"/>
  <c r="N1307"/>
  <c r="R1307" s="1"/>
  <c r="M1307"/>
  <c r="Q1307" s="1"/>
  <c r="L1307"/>
  <c r="P1307" s="1"/>
  <c r="K1307"/>
  <c r="O1307" s="1"/>
  <c r="U1306"/>
  <c r="T1306"/>
  <c r="S1306"/>
  <c r="N1306"/>
  <c r="R1306" s="1"/>
  <c r="M1306"/>
  <c r="Q1306" s="1"/>
  <c r="L1306"/>
  <c r="P1306" s="1"/>
  <c r="K1306"/>
  <c r="O1306" s="1"/>
  <c r="U1305"/>
  <c r="T1305"/>
  <c r="S1305"/>
  <c r="N1305"/>
  <c r="R1305" s="1"/>
  <c r="M1305"/>
  <c r="Q1305" s="1"/>
  <c r="L1305"/>
  <c r="P1305" s="1"/>
  <c r="K1305"/>
  <c r="O1305" s="1"/>
  <c r="U1304"/>
  <c r="T1304"/>
  <c r="S1304"/>
  <c r="N1304"/>
  <c r="R1304" s="1"/>
  <c r="M1304"/>
  <c r="Q1304" s="1"/>
  <c r="L1304"/>
  <c r="P1304" s="1"/>
  <c r="K1304"/>
  <c r="O1304" s="1"/>
  <c r="U1303"/>
  <c r="T1303"/>
  <c r="S1303"/>
  <c r="N1303"/>
  <c r="R1303" s="1"/>
  <c r="M1303"/>
  <c r="Q1303" s="1"/>
  <c r="L1303"/>
  <c r="P1303" s="1"/>
  <c r="K1303"/>
  <c r="O1303" s="1"/>
  <c r="U1302"/>
  <c r="T1302"/>
  <c r="S1302"/>
  <c r="N1302"/>
  <c r="R1302" s="1"/>
  <c r="M1302"/>
  <c r="Q1302" s="1"/>
  <c r="L1302"/>
  <c r="P1302" s="1"/>
  <c r="K1302"/>
  <c r="O1302" s="1"/>
  <c r="U1301"/>
  <c r="T1301"/>
  <c r="S1301"/>
  <c r="N1301"/>
  <c r="R1301" s="1"/>
  <c r="M1301"/>
  <c r="Q1301" s="1"/>
  <c r="L1301"/>
  <c r="P1301" s="1"/>
  <c r="K1301"/>
  <c r="O1301" s="1"/>
  <c r="U1300"/>
  <c r="T1300"/>
  <c r="S1300"/>
  <c r="N1300"/>
  <c r="R1300" s="1"/>
  <c r="M1300"/>
  <c r="Q1300" s="1"/>
  <c r="L1300"/>
  <c r="P1300" s="1"/>
  <c r="K1300"/>
  <c r="O1300" s="1"/>
  <c r="U1299"/>
  <c r="T1299"/>
  <c r="S1299"/>
  <c r="N1299"/>
  <c r="R1299" s="1"/>
  <c r="M1299"/>
  <c r="Q1299" s="1"/>
  <c r="L1299"/>
  <c r="P1299" s="1"/>
  <c r="K1299"/>
  <c r="O1299" s="1"/>
  <c r="U1298"/>
  <c r="T1298"/>
  <c r="S1298"/>
  <c r="N1298"/>
  <c r="R1298" s="1"/>
  <c r="M1298"/>
  <c r="Q1298" s="1"/>
  <c r="L1298"/>
  <c r="P1298" s="1"/>
  <c r="K1298"/>
  <c r="O1298" s="1"/>
  <c r="U1297"/>
  <c r="T1297"/>
  <c r="S1297"/>
  <c r="N1297"/>
  <c r="R1297" s="1"/>
  <c r="M1297"/>
  <c r="Q1297" s="1"/>
  <c r="L1297"/>
  <c r="P1297" s="1"/>
  <c r="K1297"/>
  <c r="O1297" s="1"/>
  <c r="U1296"/>
  <c r="T1296"/>
  <c r="S1296"/>
  <c r="N1296"/>
  <c r="R1296" s="1"/>
  <c r="M1296"/>
  <c r="Q1296" s="1"/>
  <c r="L1296"/>
  <c r="P1296" s="1"/>
  <c r="K1296"/>
  <c r="O1296" s="1"/>
  <c r="U1295"/>
  <c r="T1295"/>
  <c r="S1295"/>
  <c r="N1295"/>
  <c r="R1295" s="1"/>
  <c r="M1295"/>
  <c r="Q1295" s="1"/>
  <c r="L1295"/>
  <c r="P1295" s="1"/>
  <c r="K1295"/>
  <c r="O1295" s="1"/>
  <c r="U1294"/>
  <c r="T1294"/>
  <c r="S1294"/>
  <c r="N1294"/>
  <c r="R1294" s="1"/>
  <c r="M1294"/>
  <c r="Q1294" s="1"/>
  <c r="L1294"/>
  <c r="P1294" s="1"/>
  <c r="K1294"/>
  <c r="O1294" s="1"/>
  <c r="U1293"/>
  <c r="T1293"/>
  <c r="S1293"/>
  <c r="N1293"/>
  <c r="R1293" s="1"/>
  <c r="M1293"/>
  <c r="Q1293" s="1"/>
  <c r="L1293"/>
  <c r="P1293" s="1"/>
  <c r="K1293"/>
  <c r="O1293" s="1"/>
  <c r="U1292"/>
  <c r="T1292"/>
  <c r="S1292"/>
  <c r="N1292"/>
  <c r="R1292" s="1"/>
  <c r="M1292"/>
  <c r="Q1292" s="1"/>
  <c r="L1292"/>
  <c r="P1292" s="1"/>
  <c r="K1292"/>
  <c r="O1292" s="1"/>
  <c r="U1291"/>
  <c r="T1291"/>
  <c r="S1291"/>
  <c r="N1291"/>
  <c r="R1291" s="1"/>
  <c r="M1291"/>
  <c r="Q1291" s="1"/>
  <c r="L1291"/>
  <c r="P1291" s="1"/>
  <c r="K1291"/>
  <c r="O1291" s="1"/>
  <c r="U1290"/>
  <c r="T1290"/>
  <c r="S1290"/>
  <c r="N1290"/>
  <c r="R1290" s="1"/>
  <c r="M1290"/>
  <c r="Q1290" s="1"/>
  <c r="L1290"/>
  <c r="P1290" s="1"/>
  <c r="K1290"/>
  <c r="O1290" s="1"/>
  <c r="U1289"/>
  <c r="T1289"/>
  <c r="S1289"/>
  <c r="N1289"/>
  <c r="R1289" s="1"/>
  <c r="M1289"/>
  <c r="Q1289" s="1"/>
  <c r="L1289"/>
  <c r="P1289" s="1"/>
  <c r="K1289"/>
  <c r="O1289" s="1"/>
  <c r="U1288"/>
  <c r="T1288"/>
  <c r="S1288"/>
  <c r="N1288"/>
  <c r="R1288" s="1"/>
  <c r="M1288"/>
  <c r="Q1288" s="1"/>
  <c r="L1288"/>
  <c r="P1288" s="1"/>
  <c r="K1288"/>
  <c r="O1288" s="1"/>
  <c r="U1287"/>
  <c r="T1287"/>
  <c r="S1287"/>
  <c r="N1287"/>
  <c r="R1287" s="1"/>
  <c r="M1287"/>
  <c r="Q1287" s="1"/>
  <c r="L1287"/>
  <c r="P1287" s="1"/>
  <c r="K1287"/>
  <c r="O1287" s="1"/>
  <c r="U1286"/>
  <c r="T1286"/>
  <c r="S1286"/>
  <c r="N1286"/>
  <c r="R1286" s="1"/>
  <c r="M1286"/>
  <c r="Q1286" s="1"/>
  <c r="L1286"/>
  <c r="P1286" s="1"/>
  <c r="K1286"/>
  <c r="O1286" s="1"/>
  <c r="U1285"/>
  <c r="T1285"/>
  <c r="S1285"/>
  <c r="N1285"/>
  <c r="R1285" s="1"/>
  <c r="M1285"/>
  <c r="Q1285" s="1"/>
  <c r="L1285"/>
  <c r="P1285" s="1"/>
  <c r="K1285"/>
  <c r="O1285" s="1"/>
  <c r="U1284"/>
  <c r="T1284"/>
  <c r="S1284"/>
  <c r="N1284"/>
  <c r="R1284" s="1"/>
  <c r="M1284"/>
  <c r="Q1284" s="1"/>
  <c r="L1284"/>
  <c r="P1284" s="1"/>
  <c r="K1284"/>
  <c r="O1284" s="1"/>
  <c r="U1283"/>
  <c r="T1283"/>
  <c r="S1283"/>
  <c r="N1283"/>
  <c r="R1283" s="1"/>
  <c r="M1283"/>
  <c r="Q1283" s="1"/>
  <c r="L1283"/>
  <c r="P1283" s="1"/>
  <c r="K1283"/>
  <c r="O1283" s="1"/>
  <c r="U1282"/>
  <c r="T1282"/>
  <c r="S1282"/>
  <c r="N1282"/>
  <c r="R1282" s="1"/>
  <c r="M1282"/>
  <c r="Q1282" s="1"/>
  <c r="L1282"/>
  <c r="P1282" s="1"/>
  <c r="K1282"/>
  <c r="O1282" s="1"/>
  <c r="U1281"/>
  <c r="T1281"/>
  <c r="S1281"/>
  <c r="N1281"/>
  <c r="R1281" s="1"/>
  <c r="M1281"/>
  <c r="Q1281" s="1"/>
  <c r="L1281"/>
  <c r="P1281" s="1"/>
  <c r="K1281"/>
  <c r="O1281" s="1"/>
  <c r="U1280"/>
  <c r="T1280"/>
  <c r="S1280"/>
  <c r="N1280"/>
  <c r="R1280" s="1"/>
  <c r="M1280"/>
  <c r="Q1280" s="1"/>
  <c r="L1280"/>
  <c r="P1280" s="1"/>
  <c r="K1280"/>
  <c r="O1280" s="1"/>
  <c r="U1279"/>
  <c r="T1279"/>
  <c r="S1279"/>
  <c r="N1279"/>
  <c r="R1279" s="1"/>
  <c r="M1279"/>
  <c r="Q1279" s="1"/>
  <c r="L1279"/>
  <c r="P1279" s="1"/>
  <c r="K1279"/>
  <c r="O1279" s="1"/>
  <c r="U1278"/>
  <c r="T1278"/>
  <c r="S1278"/>
  <c r="N1278"/>
  <c r="R1278" s="1"/>
  <c r="M1278"/>
  <c r="Q1278" s="1"/>
  <c r="L1278"/>
  <c r="P1278" s="1"/>
  <c r="K1278"/>
  <c r="O1278" s="1"/>
  <c r="U1277"/>
  <c r="T1277"/>
  <c r="S1277"/>
  <c r="N1277"/>
  <c r="R1277" s="1"/>
  <c r="M1277"/>
  <c r="Q1277" s="1"/>
  <c r="L1277"/>
  <c r="P1277" s="1"/>
  <c r="K1277"/>
  <c r="O1277" s="1"/>
  <c r="U1276"/>
  <c r="T1276"/>
  <c r="S1276"/>
  <c r="N1276"/>
  <c r="R1276" s="1"/>
  <c r="M1276"/>
  <c r="Q1276" s="1"/>
  <c r="L1276"/>
  <c r="P1276" s="1"/>
  <c r="K1276"/>
  <c r="O1276" s="1"/>
  <c r="U1275"/>
  <c r="T1275"/>
  <c r="S1275"/>
  <c r="N1275"/>
  <c r="R1275" s="1"/>
  <c r="M1275"/>
  <c r="Q1275" s="1"/>
  <c r="L1275"/>
  <c r="P1275" s="1"/>
  <c r="K1275"/>
  <c r="O1275" s="1"/>
  <c r="U1274"/>
  <c r="T1274"/>
  <c r="S1274"/>
  <c r="N1274"/>
  <c r="R1274" s="1"/>
  <c r="M1274"/>
  <c r="Q1274" s="1"/>
  <c r="L1274"/>
  <c r="P1274" s="1"/>
  <c r="K1274"/>
  <c r="O1274" s="1"/>
  <c r="U1273"/>
  <c r="T1273"/>
  <c r="S1273"/>
  <c r="N1273"/>
  <c r="R1273" s="1"/>
  <c r="M1273"/>
  <c r="Q1273" s="1"/>
  <c r="L1273"/>
  <c r="P1273" s="1"/>
  <c r="K1273"/>
  <c r="O1273" s="1"/>
  <c r="U1272"/>
  <c r="T1272"/>
  <c r="S1272"/>
  <c r="N1272"/>
  <c r="R1272" s="1"/>
  <c r="M1272"/>
  <c r="Q1272" s="1"/>
  <c r="L1272"/>
  <c r="P1272" s="1"/>
  <c r="K1272"/>
  <c r="O1272" s="1"/>
  <c r="U1271"/>
  <c r="T1271"/>
  <c r="S1271"/>
  <c r="N1271"/>
  <c r="R1271" s="1"/>
  <c r="M1271"/>
  <c r="Q1271" s="1"/>
  <c r="L1271"/>
  <c r="P1271" s="1"/>
  <c r="K1271"/>
  <c r="O1271" s="1"/>
  <c r="U1270"/>
  <c r="T1270"/>
  <c r="S1270"/>
  <c r="N1270"/>
  <c r="R1270" s="1"/>
  <c r="M1270"/>
  <c r="Q1270" s="1"/>
  <c r="L1270"/>
  <c r="P1270" s="1"/>
  <c r="K1270"/>
  <c r="O1270" s="1"/>
  <c r="U1269"/>
  <c r="T1269"/>
  <c r="S1269"/>
  <c r="N1269"/>
  <c r="R1269" s="1"/>
  <c r="M1269"/>
  <c r="Q1269" s="1"/>
  <c r="L1269"/>
  <c r="P1269" s="1"/>
  <c r="K1269"/>
  <c r="O1269" s="1"/>
  <c r="U1268"/>
  <c r="T1268"/>
  <c r="S1268"/>
  <c r="N1268"/>
  <c r="R1268" s="1"/>
  <c r="M1268"/>
  <c r="Q1268" s="1"/>
  <c r="L1268"/>
  <c r="P1268" s="1"/>
  <c r="K1268"/>
  <c r="O1268" s="1"/>
  <c r="U1267"/>
  <c r="T1267"/>
  <c r="S1267"/>
  <c r="N1267"/>
  <c r="R1267" s="1"/>
  <c r="M1267"/>
  <c r="Q1267" s="1"/>
  <c r="L1267"/>
  <c r="P1267" s="1"/>
  <c r="K1267"/>
  <c r="O1267" s="1"/>
  <c r="U1266"/>
  <c r="T1266"/>
  <c r="S1266"/>
  <c r="N1266"/>
  <c r="R1266" s="1"/>
  <c r="M1266"/>
  <c r="Q1266" s="1"/>
  <c r="L1266"/>
  <c r="P1266" s="1"/>
  <c r="K1266"/>
  <c r="O1266" s="1"/>
  <c r="U1265"/>
  <c r="T1265"/>
  <c r="S1265"/>
  <c r="N1265"/>
  <c r="R1265" s="1"/>
  <c r="M1265"/>
  <c r="Q1265" s="1"/>
  <c r="L1265"/>
  <c r="P1265" s="1"/>
  <c r="K1265"/>
  <c r="O1265" s="1"/>
  <c r="U1264"/>
  <c r="T1264"/>
  <c r="S1264"/>
  <c r="N1264"/>
  <c r="R1264" s="1"/>
  <c r="M1264"/>
  <c r="Q1264" s="1"/>
  <c r="L1264"/>
  <c r="P1264" s="1"/>
  <c r="K1264"/>
  <c r="O1264" s="1"/>
  <c r="U1263"/>
  <c r="T1263"/>
  <c r="S1263"/>
  <c r="N1263"/>
  <c r="R1263" s="1"/>
  <c r="M1263"/>
  <c r="Q1263" s="1"/>
  <c r="L1263"/>
  <c r="P1263" s="1"/>
  <c r="K1263"/>
  <c r="O1263" s="1"/>
  <c r="U1262"/>
  <c r="T1262"/>
  <c r="S1262"/>
  <c r="N1262"/>
  <c r="R1262" s="1"/>
  <c r="M1262"/>
  <c r="Q1262" s="1"/>
  <c r="L1262"/>
  <c r="P1262" s="1"/>
  <c r="K1262"/>
  <c r="O1262" s="1"/>
  <c r="U1261"/>
  <c r="T1261"/>
  <c r="S1261"/>
  <c r="N1261"/>
  <c r="R1261" s="1"/>
  <c r="M1261"/>
  <c r="Q1261" s="1"/>
  <c r="L1261"/>
  <c r="P1261" s="1"/>
  <c r="K1261"/>
  <c r="O1261" s="1"/>
  <c r="U1260"/>
  <c r="T1260"/>
  <c r="S1260"/>
  <c r="N1260"/>
  <c r="R1260" s="1"/>
  <c r="M1260"/>
  <c r="Q1260" s="1"/>
  <c r="L1260"/>
  <c r="P1260" s="1"/>
  <c r="K1260"/>
  <c r="O1260" s="1"/>
  <c r="U1259"/>
  <c r="T1259"/>
  <c r="S1259"/>
  <c r="N1259"/>
  <c r="R1259" s="1"/>
  <c r="M1259"/>
  <c r="Q1259" s="1"/>
  <c r="L1259"/>
  <c r="P1259" s="1"/>
  <c r="K1259"/>
  <c r="O1259" s="1"/>
  <c r="U1258"/>
  <c r="T1258"/>
  <c r="S1258"/>
  <c r="N1258"/>
  <c r="R1258" s="1"/>
  <c r="M1258"/>
  <c r="Q1258" s="1"/>
  <c r="L1258"/>
  <c r="P1258" s="1"/>
  <c r="K1258"/>
  <c r="O1258" s="1"/>
  <c r="U1257"/>
  <c r="T1257"/>
  <c r="S1257"/>
  <c r="N1257"/>
  <c r="R1257" s="1"/>
  <c r="M1257"/>
  <c r="Q1257" s="1"/>
  <c r="L1257"/>
  <c r="P1257" s="1"/>
  <c r="K1257"/>
  <c r="O1257" s="1"/>
  <c r="U1256"/>
  <c r="T1256"/>
  <c r="S1256"/>
  <c r="N1256"/>
  <c r="R1256" s="1"/>
  <c r="M1256"/>
  <c r="Q1256" s="1"/>
  <c r="L1256"/>
  <c r="P1256" s="1"/>
  <c r="K1256"/>
  <c r="O1256" s="1"/>
  <c r="U1255"/>
  <c r="T1255"/>
  <c r="S1255"/>
  <c r="N1255"/>
  <c r="R1255" s="1"/>
  <c r="M1255"/>
  <c r="Q1255" s="1"/>
  <c r="L1255"/>
  <c r="P1255" s="1"/>
  <c r="K1255"/>
  <c r="O1255" s="1"/>
  <c r="U1254"/>
  <c r="T1254"/>
  <c r="S1254"/>
  <c r="N1254"/>
  <c r="R1254" s="1"/>
  <c r="M1254"/>
  <c r="Q1254" s="1"/>
  <c r="L1254"/>
  <c r="P1254" s="1"/>
  <c r="K1254"/>
  <c r="O1254" s="1"/>
  <c r="U1253"/>
  <c r="T1253"/>
  <c r="S1253"/>
  <c r="N1253"/>
  <c r="R1253" s="1"/>
  <c r="M1253"/>
  <c r="Q1253" s="1"/>
  <c r="L1253"/>
  <c r="P1253" s="1"/>
  <c r="K1253"/>
  <c r="O1253" s="1"/>
  <c r="U1252"/>
  <c r="T1252"/>
  <c r="S1252"/>
  <c r="N1252"/>
  <c r="R1252" s="1"/>
  <c r="M1252"/>
  <c r="Q1252" s="1"/>
  <c r="L1252"/>
  <c r="P1252" s="1"/>
  <c r="K1252"/>
  <c r="O1252" s="1"/>
  <c r="U1251"/>
  <c r="T1251"/>
  <c r="S1251"/>
  <c r="N1251"/>
  <c r="R1251" s="1"/>
  <c r="M1251"/>
  <c r="Q1251" s="1"/>
  <c r="L1251"/>
  <c r="P1251" s="1"/>
  <c r="K1251"/>
  <c r="O1251" s="1"/>
  <c r="U1250"/>
  <c r="T1250"/>
  <c r="S1250"/>
  <c r="N1250"/>
  <c r="R1250" s="1"/>
  <c r="M1250"/>
  <c r="Q1250" s="1"/>
  <c r="L1250"/>
  <c r="P1250" s="1"/>
  <c r="K1250"/>
  <c r="O1250" s="1"/>
  <c r="U1249"/>
  <c r="T1249"/>
  <c r="S1249"/>
  <c r="N1249"/>
  <c r="R1249" s="1"/>
  <c r="M1249"/>
  <c r="Q1249" s="1"/>
  <c r="L1249"/>
  <c r="P1249" s="1"/>
  <c r="K1249"/>
  <c r="O1249" s="1"/>
  <c r="U1248"/>
  <c r="T1248"/>
  <c r="S1248"/>
  <c r="N1248"/>
  <c r="R1248" s="1"/>
  <c r="M1248"/>
  <c r="Q1248" s="1"/>
  <c r="L1248"/>
  <c r="P1248" s="1"/>
  <c r="K1248"/>
  <c r="O1248" s="1"/>
  <c r="U1247"/>
  <c r="T1247"/>
  <c r="S1247"/>
  <c r="N1247"/>
  <c r="R1247" s="1"/>
  <c r="M1247"/>
  <c r="Q1247" s="1"/>
  <c r="L1247"/>
  <c r="P1247" s="1"/>
  <c r="K1247"/>
  <c r="O1247" s="1"/>
  <c r="U1246"/>
  <c r="T1246"/>
  <c r="S1246"/>
  <c r="N1246"/>
  <c r="R1246" s="1"/>
  <c r="M1246"/>
  <c r="Q1246" s="1"/>
  <c r="L1246"/>
  <c r="P1246" s="1"/>
  <c r="K1246"/>
  <c r="O1246" s="1"/>
  <c r="U1245"/>
  <c r="T1245"/>
  <c r="S1245"/>
  <c r="N1245"/>
  <c r="R1245" s="1"/>
  <c r="M1245"/>
  <c r="Q1245" s="1"/>
  <c r="L1245"/>
  <c r="P1245" s="1"/>
  <c r="K1245"/>
  <c r="O1245" s="1"/>
  <c r="U1244"/>
  <c r="T1244"/>
  <c r="S1244"/>
  <c r="N1244"/>
  <c r="R1244" s="1"/>
  <c r="M1244"/>
  <c r="Q1244" s="1"/>
  <c r="L1244"/>
  <c r="P1244" s="1"/>
  <c r="K1244"/>
  <c r="O1244" s="1"/>
  <c r="U1243"/>
  <c r="T1243"/>
  <c r="S1243"/>
  <c r="N1243"/>
  <c r="R1243" s="1"/>
  <c r="M1243"/>
  <c r="Q1243" s="1"/>
  <c r="L1243"/>
  <c r="P1243" s="1"/>
  <c r="K1243"/>
  <c r="O1243" s="1"/>
  <c r="U1242"/>
  <c r="T1242"/>
  <c r="S1242"/>
  <c r="N1242"/>
  <c r="R1242" s="1"/>
  <c r="M1242"/>
  <c r="Q1242" s="1"/>
  <c r="L1242"/>
  <c r="P1242" s="1"/>
  <c r="K1242"/>
  <c r="O1242" s="1"/>
  <c r="U1241"/>
  <c r="T1241"/>
  <c r="S1241"/>
  <c r="N1241"/>
  <c r="R1241" s="1"/>
  <c r="M1241"/>
  <c r="Q1241" s="1"/>
  <c r="L1241"/>
  <c r="P1241" s="1"/>
  <c r="K1241"/>
  <c r="O1241" s="1"/>
  <c r="U1240"/>
  <c r="T1240"/>
  <c r="S1240"/>
  <c r="N1240"/>
  <c r="R1240" s="1"/>
  <c r="M1240"/>
  <c r="Q1240" s="1"/>
  <c r="L1240"/>
  <c r="P1240" s="1"/>
  <c r="K1240"/>
  <c r="O1240" s="1"/>
  <c r="U1239"/>
  <c r="T1239"/>
  <c r="S1239"/>
  <c r="N1239"/>
  <c r="R1239" s="1"/>
  <c r="M1239"/>
  <c r="Q1239" s="1"/>
  <c r="L1239"/>
  <c r="P1239" s="1"/>
  <c r="K1239"/>
  <c r="O1239" s="1"/>
  <c r="U1238"/>
  <c r="T1238"/>
  <c r="S1238"/>
  <c r="N1238"/>
  <c r="R1238" s="1"/>
  <c r="M1238"/>
  <c r="Q1238" s="1"/>
  <c r="L1238"/>
  <c r="P1238" s="1"/>
  <c r="K1238"/>
  <c r="O1238" s="1"/>
  <c r="U1237"/>
  <c r="T1237"/>
  <c r="S1237"/>
  <c r="N1237"/>
  <c r="R1237" s="1"/>
  <c r="M1237"/>
  <c r="Q1237" s="1"/>
  <c r="L1237"/>
  <c r="P1237" s="1"/>
  <c r="K1237"/>
  <c r="O1237" s="1"/>
  <c r="U1236"/>
  <c r="T1236"/>
  <c r="S1236"/>
  <c r="N1236"/>
  <c r="R1236" s="1"/>
  <c r="M1236"/>
  <c r="Q1236" s="1"/>
  <c r="L1236"/>
  <c r="P1236" s="1"/>
  <c r="K1236"/>
  <c r="O1236" s="1"/>
  <c r="U1235"/>
  <c r="T1235"/>
  <c r="S1235"/>
  <c r="N1235"/>
  <c r="R1235" s="1"/>
  <c r="M1235"/>
  <c r="Q1235" s="1"/>
  <c r="L1235"/>
  <c r="P1235" s="1"/>
  <c r="K1235"/>
  <c r="O1235" s="1"/>
  <c r="U1234"/>
  <c r="T1234"/>
  <c r="S1234"/>
  <c r="N1234"/>
  <c r="R1234" s="1"/>
  <c r="M1234"/>
  <c r="Q1234" s="1"/>
  <c r="L1234"/>
  <c r="P1234" s="1"/>
  <c r="K1234"/>
  <c r="O1234" s="1"/>
  <c r="U1233"/>
  <c r="T1233"/>
  <c r="S1233"/>
  <c r="N1233"/>
  <c r="R1233" s="1"/>
  <c r="M1233"/>
  <c r="Q1233" s="1"/>
  <c r="L1233"/>
  <c r="P1233" s="1"/>
  <c r="K1233"/>
  <c r="O1233" s="1"/>
  <c r="U1232"/>
  <c r="T1232"/>
  <c r="S1232"/>
  <c r="N1232"/>
  <c r="R1232" s="1"/>
  <c r="M1232"/>
  <c r="Q1232" s="1"/>
  <c r="L1232"/>
  <c r="P1232" s="1"/>
  <c r="K1232"/>
  <c r="O1232" s="1"/>
  <c r="U1231"/>
  <c r="T1231"/>
  <c r="S1231"/>
  <c r="N1231"/>
  <c r="R1231" s="1"/>
  <c r="M1231"/>
  <c r="Q1231" s="1"/>
  <c r="L1231"/>
  <c r="P1231" s="1"/>
  <c r="K1231"/>
  <c r="O1231" s="1"/>
  <c r="U1230"/>
  <c r="T1230"/>
  <c r="S1230"/>
  <c r="N1230"/>
  <c r="R1230" s="1"/>
  <c r="M1230"/>
  <c r="Q1230" s="1"/>
  <c r="L1230"/>
  <c r="P1230" s="1"/>
  <c r="K1230"/>
  <c r="O1230" s="1"/>
  <c r="U1229"/>
  <c r="T1229"/>
  <c r="S1229"/>
  <c r="N1229"/>
  <c r="R1229" s="1"/>
  <c r="M1229"/>
  <c r="Q1229" s="1"/>
  <c r="L1229"/>
  <c r="P1229" s="1"/>
  <c r="K1229"/>
  <c r="O1229" s="1"/>
  <c r="U1228"/>
  <c r="T1228"/>
  <c r="S1228"/>
  <c r="N1228"/>
  <c r="R1228" s="1"/>
  <c r="M1228"/>
  <c r="Q1228" s="1"/>
  <c r="L1228"/>
  <c r="P1228" s="1"/>
  <c r="K1228"/>
  <c r="O1228" s="1"/>
  <c r="U1227"/>
  <c r="T1227"/>
  <c r="S1227"/>
  <c r="N1227"/>
  <c r="R1227" s="1"/>
  <c r="M1227"/>
  <c r="Q1227" s="1"/>
  <c r="L1227"/>
  <c r="P1227" s="1"/>
  <c r="K1227"/>
  <c r="O1227" s="1"/>
  <c r="U1226"/>
  <c r="T1226"/>
  <c r="S1226"/>
  <c r="N1226"/>
  <c r="R1226" s="1"/>
  <c r="M1226"/>
  <c r="Q1226" s="1"/>
  <c r="L1226"/>
  <c r="P1226" s="1"/>
  <c r="K1226"/>
  <c r="O1226" s="1"/>
  <c r="U1225"/>
  <c r="T1225"/>
  <c r="S1225"/>
  <c r="N1225"/>
  <c r="R1225" s="1"/>
  <c r="M1225"/>
  <c r="Q1225" s="1"/>
  <c r="L1225"/>
  <c r="P1225" s="1"/>
  <c r="K1225"/>
  <c r="O1225" s="1"/>
  <c r="U1224"/>
  <c r="T1224"/>
  <c r="S1224"/>
  <c r="N1224"/>
  <c r="R1224" s="1"/>
  <c r="M1224"/>
  <c r="Q1224" s="1"/>
  <c r="L1224"/>
  <c r="P1224" s="1"/>
  <c r="K1224"/>
  <c r="O1224" s="1"/>
  <c r="U1223"/>
  <c r="T1223"/>
  <c r="S1223"/>
  <c r="N1223"/>
  <c r="R1223" s="1"/>
  <c r="M1223"/>
  <c r="Q1223" s="1"/>
  <c r="L1223"/>
  <c r="P1223" s="1"/>
  <c r="K1223"/>
  <c r="O1223" s="1"/>
  <c r="U1222"/>
  <c r="T1222"/>
  <c r="S1222"/>
  <c r="N1222"/>
  <c r="R1222" s="1"/>
  <c r="M1222"/>
  <c r="Q1222" s="1"/>
  <c r="L1222"/>
  <c r="P1222" s="1"/>
  <c r="K1222"/>
  <c r="O1222" s="1"/>
  <c r="U1221"/>
  <c r="T1221"/>
  <c r="S1221"/>
  <c r="N1221"/>
  <c r="R1221" s="1"/>
  <c r="M1221"/>
  <c r="Q1221" s="1"/>
  <c r="L1221"/>
  <c r="P1221" s="1"/>
  <c r="K1221"/>
  <c r="O1221" s="1"/>
  <c r="U1220"/>
  <c r="T1220"/>
  <c r="S1220"/>
  <c r="N1220"/>
  <c r="R1220" s="1"/>
  <c r="M1220"/>
  <c r="Q1220" s="1"/>
  <c r="L1220"/>
  <c r="P1220" s="1"/>
  <c r="K1220"/>
  <c r="O1220" s="1"/>
  <c r="U1219"/>
  <c r="T1219"/>
  <c r="S1219"/>
  <c r="N1219"/>
  <c r="R1219" s="1"/>
  <c r="M1219"/>
  <c r="Q1219" s="1"/>
  <c r="L1219"/>
  <c r="P1219" s="1"/>
  <c r="K1219"/>
  <c r="O1219" s="1"/>
  <c r="U1218"/>
  <c r="T1218"/>
  <c r="S1218"/>
  <c r="N1218"/>
  <c r="R1218" s="1"/>
  <c r="M1218"/>
  <c r="Q1218" s="1"/>
  <c r="L1218"/>
  <c r="P1218" s="1"/>
  <c r="K1218"/>
  <c r="O1218" s="1"/>
  <c r="U1217"/>
  <c r="T1217"/>
  <c r="S1217"/>
  <c r="N1217"/>
  <c r="R1217" s="1"/>
  <c r="M1217"/>
  <c r="Q1217" s="1"/>
  <c r="L1217"/>
  <c r="P1217" s="1"/>
  <c r="K1217"/>
  <c r="O1217" s="1"/>
  <c r="U1216"/>
  <c r="T1216"/>
  <c r="S1216"/>
  <c r="N1216"/>
  <c r="R1216" s="1"/>
  <c r="M1216"/>
  <c r="Q1216" s="1"/>
  <c r="L1216"/>
  <c r="P1216" s="1"/>
  <c r="K1216"/>
  <c r="O1216" s="1"/>
  <c r="U1215"/>
  <c r="T1215"/>
  <c r="S1215"/>
  <c r="N1215"/>
  <c r="R1215" s="1"/>
  <c r="M1215"/>
  <c r="Q1215" s="1"/>
  <c r="L1215"/>
  <c r="P1215" s="1"/>
  <c r="K1215"/>
  <c r="O1215" s="1"/>
  <c r="U1214"/>
  <c r="T1214"/>
  <c r="S1214"/>
  <c r="N1214"/>
  <c r="R1214" s="1"/>
  <c r="M1214"/>
  <c r="Q1214" s="1"/>
  <c r="L1214"/>
  <c r="P1214" s="1"/>
  <c r="K1214"/>
  <c r="O1214" s="1"/>
  <c r="U1213"/>
  <c r="T1213"/>
  <c r="S1213"/>
  <c r="N1213"/>
  <c r="R1213" s="1"/>
  <c r="M1213"/>
  <c r="Q1213" s="1"/>
  <c r="L1213"/>
  <c r="P1213" s="1"/>
  <c r="K1213"/>
  <c r="O1213" s="1"/>
  <c r="U1212"/>
  <c r="T1212"/>
  <c r="S1212"/>
  <c r="N1212"/>
  <c r="R1212" s="1"/>
  <c r="M1212"/>
  <c r="Q1212" s="1"/>
  <c r="L1212"/>
  <c r="P1212" s="1"/>
  <c r="K1212"/>
  <c r="O1212" s="1"/>
  <c r="U1211"/>
  <c r="T1211"/>
  <c r="S1211"/>
  <c r="N1211"/>
  <c r="R1211" s="1"/>
  <c r="M1211"/>
  <c r="Q1211" s="1"/>
  <c r="L1211"/>
  <c r="P1211" s="1"/>
  <c r="K1211"/>
  <c r="O1211" s="1"/>
  <c r="U1210"/>
  <c r="T1210"/>
  <c r="S1210"/>
  <c r="N1210"/>
  <c r="R1210" s="1"/>
  <c r="M1210"/>
  <c r="Q1210" s="1"/>
  <c r="L1210"/>
  <c r="P1210" s="1"/>
  <c r="K1210"/>
  <c r="O1210" s="1"/>
  <c r="U1209"/>
  <c r="T1209"/>
  <c r="S1209"/>
  <c r="N1209"/>
  <c r="R1209" s="1"/>
  <c r="M1209"/>
  <c r="Q1209" s="1"/>
  <c r="L1209"/>
  <c r="P1209" s="1"/>
  <c r="K1209"/>
  <c r="O1209" s="1"/>
  <c r="U1208"/>
  <c r="T1208"/>
  <c r="S1208"/>
  <c r="N1208"/>
  <c r="R1208" s="1"/>
  <c r="M1208"/>
  <c r="Q1208" s="1"/>
  <c r="L1208"/>
  <c r="P1208" s="1"/>
  <c r="K1208"/>
  <c r="O1208" s="1"/>
  <c r="U1207"/>
  <c r="T1207"/>
  <c r="S1207"/>
  <c r="N1207"/>
  <c r="R1207" s="1"/>
  <c r="M1207"/>
  <c r="Q1207" s="1"/>
  <c r="L1207"/>
  <c r="P1207" s="1"/>
  <c r="K1207"/>
  <c r="O1207" s="1"/>
  <c r="U1206"/>
  <c r="T1206"/>
  <c r="S1206"/>
  <c r="N1206"/>
  <c r="R1206" s="1"/>
  <c r="M1206"/>
  <c r="Q1206" s="1"/>
  <c r="L1206"/>
  <c r="P1206" s="1"/>
  <c r="K1206"/>
  <c r="O1206" s="1"/>
  <c r="U1205"/>
  <c r="T1205"/>
  <c r="S1205"/>
  <c r="N1205"/>
  <c r="R1205" s="1"/>
  <c r="M1205"/>
  <c r="Q1205" s="1"/>
  <c r="L1205"/>
  <c r="P1205" s="1"/>
  <c r="K1205"/>
  <c r="O1205" s="1"/>
  <c r="U1204"/>
  <c r="T1204"/>
  <c r="S1204"/>
  <c r="N1204"/>
  <c r="R1204" s="1"/>
  <c r="M1204"/>
  <c r="Q1204" s="1"/>
  <c r="L1204"/>
  <c r="P1204" s="1"/>
  <c r="K1204"/>
  <c r="O1204" s="1"/>
  <c r="U1203"/>
  <c r="T1203"/>
  <c r="S1203"/>
  <c r="N1203"/>
  <c r="R1203" s="1"/>
  <c r="M1203"/>
  <c r="Q1203" s="1"/>
  <c r="L1203"/>
  <c r="P1203" s="1"/>
  <c r="K1203"/>
  <c r="O1203" s="1"/>
  <c r="U1202"/>
  <c r="T1202"/>
  <c r="S1202"/>
  <c r="N1202"/>
  <c r="R1202" s="1"/>
  <c r="M1202"/>
  <c r="Q1202" s="1"/>
  <c r="L1202"/>
  <c r="P1202" s="1"/>
  <c r="K1202"/>
  <c r="O1202" s="1"/>
  <c r="U1201"/>
  <c r="T1201"/>
  <c r="S1201"/>
  <c r="N1201"/>
  <c r="R1201" s="1"/>
  <c r="M1201"/>
  <c r="Q1201" s="1"/>
  <c r="L1201"/>
  <c r="P1201" s="1"/>
  <c r="K1201"/>
  <c r="O1201" s="1"/>
  <c r="U1200"/>
  <c r="T1200"/>
  <c r="S1200"/>
  <c r="N1200"/>
  <c r="R1200" s="1"/>
  <c r="M1200"/>
  <c r="Q1200" s="1"/>
  <c r="L1200"/>
  <c r="P1200" s="1"/>
  <c r="K1200"/>
  <c r="O1200" s="1"/>
  <c r="U1199"/>
  <c r="T1199"/>
  <c r="S1199"/>
  <c r="N1199"/>
  <c r="R1199" s="1"/>
  <c r="M1199"/>
  <c r="Q1199" s="1"/>
  <c r="L1199"/>
  <c r="P1199" s="1"/>
  <c r="K1199"/>
  <c r="O1199" s="1"/>
  <c r="U1198"/>
  <c r="T1198"/>
  <c r="S1198"/>
  <c r="N1198"/>
  <c r="R1198" s="1"/>
  <c r="M1198"/>
  <c r="Q1198" s="1"/>
  <c r="L1198"/>
  <c r="P1198" s="1"/>
  <c r="K1198"/>
  <c r="O1198" s="1"/>
  <c r="U1197"/>
  <c r="T1197"/>
  <c r="S1197"/>
  <c r="N1197"/>
  <c r="R1197" s="1"/>
  <c r="M1197"/>
  <c r="Q1197" s="1"/>
  <c r="L1197"/>
  <c r="P1197" s="1"/>
  <c r="K1197"/>
  <c r="O1197" s="1"/>
  <c r="U1196"/>
  <c r="T1196"/>
  <c r="S1196"/>
  <c r="N1196"/>
  <c r="R1196" s="1"/>
  <c r="M1196"/>
  <c r="Q1196" s="1"/>
  <c r="L1196"/>
  <c r="P1196" s="1"/>
  <c r="K1196"/>
  <c r="O1196" s="1"/>
  <c r="U1195"/>
  <c r="T1195"/>
  <c r="S1195"/>
  <c r="N1195"/>
  <c r="R1195" s="1"/>
  <c r="M1195"/>
  <c r="Q1195" s="1"/>
  <c r="L1195"/>
  <c r="P1195" s="1"/>
  <c r="K1195"/>
  <c r="O1195" s="1"/>
  <c r="U1194"/>
  <c r="T1194"/>
  <c r="S1194"/>
  <c r="N1194"/>
  <c r="R1194" s="1"/>
  <c r="M1194"/>
  <c r="Q1194" s="1"/>
  <c r="L1194"/>
  <c r="P1194" s="1"/>
  <c r="K1194"/>
  <c r="O1194" s="1"/>
  <c r="U1193"/>
  <c r="T1193"/>
  <c r="S1193"/>
  <c r="N1193"/>
  <c r="R1193" s="1"/>
  <c r="M1193"/>
  <c r="Q1193" s="1"/>
  <c r="L1193"/>
  <c r="P1193" s="1"/>
  <c r="K1193"/>
  <c r="O1193" s="1"/>
  <c r="U1192"/>
  <c r="T1192"/>
  <c r="S1192"/>
  <c r="N1192"/>
  <c r="R1192" s="1"/>
  <c r="M1192"/>
  <c r="Q1192" s="1"/>
  <c r="L1192"/>
  <c r="P1192" s="1"/>
  <c r="K1192"/>
  <c r="O1192" s="1"/>
  <c r="U1191"/>
  <c r="T1191"/>
  <c r="S1191"/>
  <c r="N1191"/>
  <c r="R1191" s="1"/>
  <c r="M1191"/>
  <c r="Q1191" s="1"/>
  <c r="L1191"/>
  <c r="P1191" s="1"/>
  <c r="K1191"/>
  <c r="O1191" s="1"/>
  <c r="U1190"/>
  <c r="T1190"/>
  <c r="S1190"/>
  <c r="N1190"/>
  <c r="R1190" s="1"/>
  <c r="M1190"/>
  <c r="Q1190" s="1"/>
  <c r="L1190"/>
  <c r="P1190" s="1"/>
  <c r="K1190"/>
  <c r="O1190" s="1"/>
  <c r="U1189"/>
  <c r="T1189"/>
  <c r="S1189"/>
  <c r="N1189"/>
  <c r="R1189" s="1"/>
  <c r="M1189"/>
  <c r="Q1189" s="1"/>
  <c r="L1189"/>
  <c r="P1189" s="1"/>
  <c r="K1189"/>
  <c r="O1189" s="1"/>
  <c r="U1188"/>
  <c r="T1188"/>
  <c r="S1188"/>
  <c r="N1188"/>
  <c r="R1188" s="1"/>
  <c r="M1188"/>
  <c r="Q1188" s="1"/>
  <c r="L1188"/>
  <c r="P1188" s="1"/>
  <c r="K1188"/>
  <c r="O1188" s="1"/>
  <c r="U1187"/>
  <c r="T1187"/>
  <c r="S1187"/>
  <c r="N1187"/>
  <c r="R1187" s="1"/>
  <c r="M1187"/>
  <c r="Q1187" s="1"/>
  <c r="L1187"/>
  <c r="P1187" s="1"/>
  <c r="K1187"/>
  <c r="O1187" s="1"/>
  <c r="U1186"/>
  <c r="T1186"/>
  <c r="S1186"/>
  <c r="N1186"/>
  <c r="R1186" s="1"/>
  <c r="M1186"/>
  <c r="Q1186" s="1"/>
  <c r="L1186"/>
  <c r="P1186" s="1"/>
  <c r="K1186"/>
  <c r="O1186" s="1"/>
  <c r="U1185"/>
  <c r="T1185"/>
  <c r="S1185"/>
  <c r="N1185"/>
  <c r="R1185" s="1"/>
  <c r="M1185"/>
  <c r="Q1185" s="1"/>
  <c r="L1185"/>
  <c r="P1185" s="1"/>
  <c r="K1185"/>
  <c r="O1185" s="1"/>
  <c r="U1184"/>
  <c r="T1184"/>
  <c r="S1184"/>
  <c r="N1184"/>
  <c r="R1184" s="1"/>
  <c r="M1184"/>
  <c r="Q1184" s="1"/>
  <c r="L1184"/>
  <c r="P1184" s="1"/>
  <c r="K1184"/>
  <c r="O1184" s="1"/>
  <c r="U1183"/>
  <c r="T1183"/>
  <c r="S1183"/>
  <c r="N1183"/>
  <c r="R1183" s="1"/>
  <c r="M1183"/>
  <c r="Q1183" s="1"/>
  <c r="L1183"/>
  <c r="P1183" s="1"/>
  <c r="K1183"/>
  <c r="O1183" s="1"/>
  <c r="U1182"/>
  <c r="T1182"/>
  <c r="S1182"/>
  <c r="N1182"/>
  <c r="R1182" s="1"/>
  <c r="M1182"/>
  <c r="Q1182" s="1"/>
  <c r="L1182"/>
  <c r="P1182" s="1"/>
  <c r="K1182"/>
  <c r="O1182" s="1"/>
  <c r="U1181"/>
  <c r="T1181"/>
  <c r="S1181"/>
  <c r="N1181"/>
  <c r="R1181" s="1"/>
  <c r="M1181"/>
  <c r="Q1181" s="1"/>
  <c r="L1181"/>
  <c r="P1181" s="1"/>
  <c r="K1181"/>
  <c r="O1181" s="1"/>
  <c r="U1180"/>
  <c r="T1180"/>
  <c r="S1180"/>
  <c r="N1180"/>
  <c r="R1180" s="1"/>
  <c r="M1180"/>
  <c r="Q1180" s="1"/>
  <c r="L1180"/>
  <c r="P1180" s="1"/>
  <c r="K1180"/>
  <c r="O1180" s="1"/>
  <c r="U1179"/>
  <c r="T1179"/>
  <c r="S1179"/>
  <c r="N1179"/>
  <c r="R1179" s="1"/>
  <c r="M1179"/>
  <c r="Q1179" s="1"/>
  <c r="L1179"/>
  <c r="P1179" s="1"/>
  <c r="K1179"/>
  <c r="O1179" s="1"/>
  <c r="U1178"/>
  <c r="T1178"/>
  <c r="S1178"/>
  <c r="N1178"/>
  <c r="R1178" s="1"/>
  <c r="M1178"/>
  <c r="Q1178" s="1"/>
  <c r="L1178"/>
  <c r="P1178" s="1"/>
  <c r="K1178"/>
  <c r="O1178" s="1"/>
  <c r="U1177"/>
  <c r="T1177"/>
  <c r="S1177"/>
  <c r="N1177"/>
  <c r="R1177" s="1"/>
  <c r="M1177"/>
  <c r="Q1177" s="1"/>
  <c r="L1177"/>
  <c r="P1177" s="1"/>
  <c r="K1177"/>
  <c r="O1177" s="1"/>
  <c r="U1176"/>
  <c r="T1176"/>
  <c r="S1176"/>
  <c r="N1176"/>
  <c r="R1176" s="1"/>
  <c r="M1176"/>
  <c r="Q1176" s="1"/>
  <c r="L1176"/>
  <c r="P1176" s="1"/>
  <c r="K1176"/>
  <c r="O1176" s="1"/>
  <c r="U1175"/>
  <c r="T1175"/>
  <c r="S1175"/>
  <c r="N1175"/>
  <c r="R1175" s="1"/>
  <c r="M1175"/>
  <c r="Q1175" s="1"/>
  <c r="L1175"/>
  <c r="P1175" s="1"/>
  <c r="K1175"/>
  <c r="O1175" s="1"/>
  <c r="U1174"/>
  <c r="T1174"/>
  <c r="S1174"/>
  <c r="N1174"/>
  <c r="R1174" s="1"/>
  <c r="M1174"/>
  <c r="Q1174" s="1"/>
  <c r="L1174"/>
  <c r="P1174" s="1"/>
  <c r="K1174"/>
  <c r="O1174" s="1"/>
  <c r="U1173"/>
  <c r="T1173"/>
  <c r="S1173"/>
  <c r="N1173"/>
  <c r="R1173" s="1"/>
  <c r="M1173"/>
  <c r="Q1173" s="1"/>
  <c r="L1173"/>
  <c r="P1173" s="1"/>
  <c r="K1173"/>
  <c r="O1173" s="1"/>
  <c r="U1172"/>
  <c r="T1172"/>
  <c r="S1172"/>
  <c r="N1172"/>
  <c r="R1172" s="1"/>
  <c r="M1172"/>
  <c r="Q1172" s="1"/>
  <c r="L1172"/>
  <c r="P1172" s="1"/>
  <c r="K1172"/>
  <c r="O1172" s="1"/>
  <c r="U1171"/>
  <c r="T1171"/>
  <c r="S1171"/>
  <c r="N1171"/>
  <c r="R1171" s="1"/>
  <c r="M1171"/>
  <c r="Q1171" s="1"/>
  <c r="L1171"/>
  <c r="P1171" s="1"/>
  <c r="K1171"/>
  <c r="O1171" s="1"/>
  <c r="U1170"/>
  <c r="T1170"/>
  <c r="S1170"/>
  <c r="N1170"/>
  <c r="R1170" s="1"/>
  <c r="M1170"/>
  <c r="Q1170" s="1"/>
  <c r="L1170"/>
  <c r="P1170" s="1"/>
  <c r="K1170"/>
  <c r="O1170" s="1"/>
  <c r="U1169"/>
  <c r="T1169"/>
  <c r="S1169"/>
  <c r="N1169"/>
  <c r="R1169" s="1"/>
  <c r="M1169"/>
  <c r="Q1169" s="1"/>
  <c r="L1169"/>
  <c r="P1169" s="1"/>
  <c r="K1169"/>
  <c r="O1169" s="1"/>
  <c r="U1168"/>
  <c r="T1168"/>
  <c r="S1168"/>
  <c r="N1168"/>
  <c r="R1168" s="1"/>
  <c r="M1168"/>
  <c r="Q1168" s="1"/>
  <c r="L1168"/>
  <c r="P1168" s="1"/>
  <c r="K1168"/>
  <c r="O1168" s="1"/>
  <c r="U1167"/>
  <c r="T1167"/>
  <c r="S1167"/>
  <c r="N1167"/>
  <c r="R1167" s="1"/>
  <c r="M1167"/>
  <c r="Q1167" s="1"/>
  <c r="L1167"/>
  <c r="P1167" s="1"/>
  <c r="K1167"/>
  <c r="O1167" s="1"/>
  <c r="U1166"/>
  <c r="T1166"/>
  <c r="S1166"/>
  <c r="N1166"/>
  <c r="R1166" s="1"/>
  <c r="M1166"/>
  <c r="Q1166" s="1"/>
  <c r="L1166"/>
  <c r="P1166" s="1"/>
  <c r="K1166"/>
  <c r="O1166" s="1"/>
  <c r="U1165"/>
  <c r="T1165"/>
  <c r="S1165"/>
  <c r="N1165"/>
  <c r="R1165" s="1"/>
  <c r="M1165"/>
  <c r="Q1165" s="1"/>
  <c r="L1165"/>
  <c r="P1165" s="1"/>
  <c r="K1165"/>
  <c r="O1165" s="1"/>
  <c r="U1164"/>
  <c r="T1164"/>
  <c r="S1164"/>
  <c r="N1164"/>
  <c r="R1164" s="1"/>
  <c r="M1164"/>
  <c r="Q1164" s="1"/>
  <c r="L1164"/>
  <c r="P1164" s="1"/>
  <c r="K1164"/>
  <c r="O1164" s="1"/>
  <c r="U1163"/>
  <c r="T1163"/>
  <c r="S1163"/>
  <c r="N1163"/>
  <c r="R1163" s="1"/>
  <c r="M1163"/>
  <c r="Q1163" s="1"/>
  <c r="L1163"/>
  <c r="P1163" s="1"/>
  <c r="K1163"/>
  <c r="O1163" s="1"/>
  <c r="U1162"/>
  <c r="T1162"/>
  <c r="S1162"/>
  <c r="N1162"/>
  <c r="R1162" s="1"/>
  <c r="M1162"/>
  <c r="Q1162" s="1"/>
  <c r="L1162"/>
  <c r="P1162" s="1"/>
  <c r="K1162"/>
  <c r="O1162" s="1"/>
  <c r="U1161"/>
  <c r="T1161"/>
  <c r="S1161"/>
  <c r="N1161"/>
  <c r="R1161" s="1"/>
  <c r="M1161"/>
  <c r="Q1161" s="1"/>
  <c r="L1161"/>
  <c r="P1161" s="1"/>
  <c r="K1161"/>
  <c r="O1161" s="1"/>
  <c r="U1160"/>
  <c r="T1160"/>
  <c r="S1160"/>
  <c r="N1160"/>
  <c r="R1160" s="1"/>
  <c r="M1160"/>
  <c r="Q1160" s="1"/>
  <c r="L1160"/>
  <c r="P1160" s="1"/>
  <c r="K1160"/>
  <c r="O1160" s="1"/>
  <c r="U1159"/>
  <c r="T1159"/>
  <c r="S1159"/>
  <c r="N1159"/>
  <c r="R1159" s="1"/>
  <c r="M1159"/>
  <c r="Q1159" s="1"/>
  <c r="L1159"/>
  <c r="P1159" s="1"/>
  <c r="K1159"/>
  <c r="O1159" s="1"/>
  <c r="U1158"/>
  <c r="T1158"/>
  <c r="S1158"/>
  <c r="N1158"/>
  <c r="R1158" s="1"/>
  <c r="M1158"/>
  <c r="Q1158" s="1"/>
  <c r="L1158"/>
  <c r="P1158" s="1"/>
  <c r="K1158"/>
  <c r="O1158" s="1"/>
  <c r="U1157"/>
  <c r="T1157"/>
  <c r="S1157"/>
  <c r="N1157"/>
  <c r="R1157" s="1"/>
  <c r="M1157"/>
  <c r="Q1157" s="1"/>
  <c r="L1157"/>
  <c r="P1157" s="1"/>
  <c r="K1157"/>
  <c r="O1157" s="1"/>
  <c r="U1156"/>
  <c r="T1156"/>
  <c r="S1156"/>
  <c r="N1156"/>
  <c r="R1156" s="1"/>
  <c r="M1156"/>
  <c r="Q1156" s="1"/>
  <c r="L1156"/>
  <c r="P1156" s="1"/>
  <c r="K1156"/>
  <c r="O1156" s="1"/>
  <c r="U1155"/>
  <c r="T1155"/>
  <c r="S1155"/>
  <c r="N1155"/>
  <c r="R1155" s="1"/>
  <c r="M1155"/>
  <c r="Q1155" s="1"/>
  <c r="L1155"/>
  <c r="P1155" s="1"/>
  <c r="K1155"/>
  <c r="O1155" s="1"/>
  <c r="U1154"/>
  <c r="T1154"/>
  <c r="S1154"/>
  <c r="N1154"/>
  <c r="R1154" s="1"/>
  <c r="M1154"/>
  <c r="Q1154" s="1"/>
  <c r="L1154"/>
  <c r="P1154" s="1"/>
  <c r="K1154"/>
  <c r="O1154" s="1"/>
  <c r="U1153"/>
  <c r="T1153"/>
  <c r="S1153"/>
  <c r="N1153"/>
  <c r="R1153" s="1"/>
  <c r="M1153"/>
  <c r="Q1153" s="1"/>
  <c r="L1153"/>
  <c r="P1153" s="1"/>
  <c r="K1153"/>
  <c r="O1153" s="1"/>
  <c r="U1152"/>
  <c r="T1152"/>
  <c r="S1152"/>
  <c r="N1152"/>
  <c r="R1152" s="1"/>
  <c r="M1152"/>
  <c r="Q1152" s="1"/>
  <c r="L1152"/>
  <c r="P1152" s="1"/>
  <c r="K1152"/>
  <c r="O1152" s="1"/>
  <c r="U1151"/>
  <c r="T1151"/>
  <c r="S1151"/>
  <c r="N1151"/>
  <c r="R1151" s="1"/>
  <c r="M1151"/>
  <c r="Q1151" s="1"/>
  <c r="L1151"/>
  <c r="P1151" s="1"/>
  <c r="K1151"/>
  <c r="O1151" s="1"/>
  <c r="U1150"/>
  <c r="T1150"/>
  <c r="S1150"/>
  <c r="N1150"/>
  <c r="R1150" s="1"/>
  <c r="M1150"/>
  <c r="Q1150" s="1"/>
  <c r="L1150"/>
  <c r="P1150" s="1"/>
  <c r="K1150"/>
  <c r="O1150" s="1"/>
  <c r="U1149"/>
  <c r="T1149"/>
  <c r="S1149"/>
  <c r="N1149"/>
  <c r="R1149" s="1"/>
  <c r="M1149"/>
  <c r="Q1149" s="1"/>
  <c r="L1149"/>
  <c r="P1149" s="1"/>
  <c r="K1149"/>
  <c r="O1149" s="1"/>
  <c r="U1148"/>
  <c r="T1148"/>
  <c r="S1148"/>
  <c r="N1148"/>
  <c r="R1148" s="1"/>
  <c r="M1148"/>
  <c r="Q1148" s="1"/>
  <c r="L1148"/>
  <c r="P1148" s="1"/>
  <c r="K1148"/>
  <c r="O1148" s="1"/>
  <c r="U1147"/>
  <c r="T1147"/>
  <c r="S1147"/>
  <c r="N1147"/>
  <c r="R1147" s="1"/>
  <c r="M1147"/>
  <c r="Q1147" s="1"/>
  <c r="L1147"/>
  <c r="P1147" s="1"/>
  <c r="K1147"/>
  <c r="O1147" s="1"/>
  <c r="U1146"/>
  <c r="T1146"/>
  <c r="S1146"/>
  <c r="N1146"/>
  <c r="R1146" s="1"/>
  <c r="M1146"/>
  <c r="Q1146" s="1"/>
  <c r="L1146"/>
  <c r="P1146" s="1"/>
  <c r="K1146"/>
  <c r="O1146" s="1"/>
  <c r="U1145"/>
  <c r="T1145"/>
  <c r="S1145"/>
  <c r="N1145"/>
  <c r="R1145" s="1"/>
  <c r="M1145"/>
  <c r="Q1145" s="1"/>
  <c r="L1145"/>
  <c r="P1145" s="1"/>
  <c r="K1145"/>
  <c r="O1145" s="1"/>
  <c r="U1144"/>
  <c r="T1144"/>
  <c r="S1144"/>
  <c r="N1144"/>
  <c r="R1144" s="1"/>
  <c r="M1144"/>
  <c r="Q1144" s="1"/>
  <c r="L1144"/>
  <c r="P1144" s="1"/>
  <c r="K1144"/>
  <c r="O1144" s="1"/>
  <c r="U1143"/>
  <c r="T1143"/>
  <c r="S1143"/>
  <c r="N1143"/>
  <c r="R1143" s="1"/>
  <c r="M1143"/>
  <c r="Q1143" s="1"/>
  <c r="L1143"/>
  <c r="P1143" s="1"/>
  <c r="K1143"/>
  <c r="O1143" s="1"/>
  <c r="U1142"/>
  <c r="T1142"/>
  <c r="S1142"/>
  <c r="N1142"/>
  <c r="R1142" s="1"/>
  <c r="M1142"/>
  <c r="Q1142" s="1"/>
  <c r="L1142"/>
  <c r="P1142" s="1"/>
  <c r="K1142"/>
  <c r="O1142" s="1"/>
  <c r="U1141"/>
  <c r="T1141"/>
  <c r="S1141"/>
  <c r="N1141"/>
  <c r="R1141" s="1"/>
  <c r="M1141"/>
  <c r="Q1141" s="1"/>
  <c r="L1141"/>
  <c r="P1141" s="1"/>
  <c r="K1141"/>
  <c r="O1141" s="1"/>
  <c r="U1140"/>
  <c r="T1140"/>
  <c r="S1140"/>
  <c r="N1140"/>
  <c r="R1140" s="1"/>
  <c r="M1140"/>
  <c r="Q1140" s="1"/>
  <c r="L1140"/>
  <c r="P1140" s="1"/>
  <c r="K1140"/>
  <c r="O1140" s="1"/>
  <c r="U1139"/>
  <c r="T1139"/>
  <c r="S1139"/>
  <c r="N1139"/>
  <c r="R1139" s="1"/>
  <c r="M1139"/>
  <c r="Q1139" s="1"/>
  <c r="L1139"/>
  <c r="P1139" s="1"/>
  <c r="K1139"/>
  <c r="O1139" s="1"/>
  <c r="U1138"/>
  <c r="T1138"/>
  <c r="S1138"/>
  <c r="N1138"/>
  <c r="R1138" s="1"/>
  <c r="M1138"/>
  <c r="Q1138" s="1"/>
  <c r="L1138"/>
  <c r="P1138" s="1"/>
  <c r="K1138"/>
  <c r="O1138" s="1"/>
  <c r="U1137"/>
  <c r="T1137"/>
  <c r="S1137"/>
  <c r="N1137"/>
  <c r="R1137" s="1"/>
  <c r="M1137"/>
  <c r="Q1137" s="1"/>
  <c r="L1137"/>
  <c r="P1137" s="1"/>
  <c r="K1137"/>
  <c r="O1137" s="1"/>
  <c r="U1136"/>
  <c r="T1136"/>
  <c r="S1136"/>
  <c r="N1136"/>
  <c r="R1136" s="1"/>
  <c r="M1136"/>
  <c r="Q1136" s="1"/>
  <c r="L1136"/>
  <c r="P1136" s="1"/>
  <c r="K1136"/>
  <c r="O1136" s="1"/>
  <c r="U1135"/>
  <c r="T1135"/>
  <c r="S1135"/>
  <c r="N1135"/>
  <c r="R1135" s="1"/>
  <c r="M1135"/>
  <c r="Q1135" s="1"/>
  <c r="L1135"/>
  <c r="P1135" s="1"/>
  <c r="K1135"/>
  <c r="O1135" s="1"/>
  <c r="U1134"/>
  <c r="T1134"/>
  <c r="S1134"/>
  <c r="N1134"/>
  <c r="R1134" s="1"/>
  <c r="M1134"/>
  <c r="Q1134" s="1"/>
  <c r="L1134"/>
  <c r="P1134" s="1"/>
  <c r="K1134"/>
  <c r="O1134" s="1"/>
  <c r="U1133"/>
  <c r="T1133"/>
  <c r="S1133"/>
  <c r="N1133"/>
  <c r="R1133" s="1"/>
  <c r="M1133"/>
  <c r="Q1133" s="1"/>
  <c r="L1133"/>
  <c r="P1133" s="1"/>
  <c r="K1133"/>
  <c r="O1133" s="1"/>
  <c r="U1132"/>
  <c r="T1132"/>
  <c r="S1132"/>
  <c r="N1132"/>
  <c r="R1132" s="1"/>
  <c r="M1132"/>
  <c r="Q1132" s="1"/>
  <c r="L1132"/>
  <c r="P1132" s="1"/>
  <c r="K1132"/>
  <c r="O1132" s="1"/>
  <c r="U1131"/>
  <c r="T1131"/>
  <c r="S1131"/>
  <c r="N1131"/>
  <c r="R1131" s="1"/>
  <c r="M1131"/>
  <c r="Q1131" s="1"/>
  <c r="L1131"/>
  <c r="P1131" s="1"/>
  <c r="K1131"/>
  <c r="O1131" s="1"/>
  <c r="U1130"/>
  <c r="T1130"/>
  <c r="S1130"/>
  <c r="N1130"/>
  <c r="R1130" s="1"/>
  <c r="M1130"/>
  <c r="Q1130" s="1"/>
  <c r="L1130"/>
  <c r="P1130" s="1"/>
  <c r="K1130"/>
  <c r="O1130" s="1"/>
  <c r="U1129"/>
  <c r="T1129"/>
  <c r="S1129"/>
  <c r="N1129"/>
  <c r="R1129" s="1"/>
  <c r="M1129"/>
  <c r="Q1129" s="1"/>
  <c r="L1129"/>
  <c r="P1129" s="1"/>
  <c r="K1129"/>
  <c r="O1129" s="1"/>
  <c r="U1128"/>
  <c r="T1128"/>
  <c r="S1128"/>
  <c r="N1128"/>
  <c r="R1128" s="1"/>
  <c r="M1128"/>
  <c r="Q1128" s="1"/>
  <c r="L1128"/>
  <c r="P1128" s="1"/>
  <c r="K1128"/>
  <c r="O1128" s="1"/>
  <c r="U1127"/>
  <c r="T1127"/>
  <c r="S1127"/>
  <c r="N1127"/>
  <c r="R1127" s="1"/>
  <c r="M1127"/>
  <c r="Q1127" s="1"/>
  <c r="L1127"/>
  <c r="P1127" s="1"/>
  <c r="K1127"/>
  <c r="O1127" s="1"/>
  <c r="U1126"/>
  <c r="T1126"/>
  <c r="S1126"/>
  <c r="N1126"/>
  <c r="R1126" s="1"/>
  <c r="M1126"/>
  <c r="Q1126" s="1"/>
  <c r="L1126"/>
  <c r="P1126" s="1"/>
  <c r="K1126"/>
  <c r="O1126" s="1"/>
  <c r="U1125"/>
  <c r="T1125"/>
  <c r="S1125"/>
  <c r="N1125"/>
  <c r="R1125" s="1"/>
  <c r="M1125"/>
  <c r="Q1125" s="1"/>
  <c r="L1125"/>
  <c r="P1125" s="1"/>
  <c r="K1125"/>
  <c r="O1125" s="1"/>
  <c r="U1124"/>
  <c r="T1124"/>
  <c r="S1124"/>
  <c r="N1124"/>
  <c r="R1124" s="1"/>
  <c r="M1124"/>
  <c r="Q1124" s="1"/>
  <c r="L1124"/>
  <c r="P1124" s="1"/>
  <c r="K1124"/>
  <c r="O1124" s="1"/>
  <c r="U1123"/>
  <c r="T1123"/>
  <c r="S1123"/>
  <c r="N1123"/>
  <c r="R1123" s="1"/>
  <c r="M1123"/>
  <c r="Q1123" s="1"/>
  <c r="L1123"/>
  <c r="P1123" s="1"/>
  <c r="K1123"/>
  <c r="O1123" s="1"/>
  <c r="U1122"/>
  <c r="T1122"/>
  <c r="S1122"/>
  <c r="N1122"/>
  <c r="R1122" s="1"/>
  <c r="M1122"/>
  <c r="Q1122" s="1"/>
  <c r="L1122"/>
  <c r="P1122" s="1"/>
  <c r="K1122"/>
  <c r="O1122" s="1"/>
  <c r="U1121"/>
  <c r="T1121"/>
  <c r="S1121"/>
  <c r="N1121"/>
  <c r="R1121" s="1"/>
  <c r="M1121"/>
  <c r="Q1121" s="1"/>
  <c r="L1121"/>
  <c r="P1121" s="1"/>
  <c r="K1121"/>
  <c r="O1121" s="1"/>
  <c r="U1120"/>
  <c r="T1120"/>
  <c r="S1120"/>
  <c r="N1120"/>
  <c r="R1120" s="1"/>
  <c r="M1120"/>
  <c r="Q1120" s="1"/>
  <c r="L1120"/>
  <c r="P1120" s="1"/>
  <c r="K1120"/>
  <c r="O1120" s="1"/>
  <c r="U1119"/>
  <c r="T1119"/>
  <c r="S1119"/>
  <c r="N1119"/>
  <c r="R1119" s="1"/>
  <c r="M1119"/>
  <c r="Q1119" s="1"/>
  <c r="L1119"/>
  <c r="P1119" s="1"/>
  <c r="K1119"/>
  <c r="O1119" s="1"/>
  <c r="U1118"/>
  <c r="T1118"/>
  <c r="S1118"/>
  <c r="N1118"/>
  <c r="R1118" s="1"/>
  <c r="M1118"/>
  <c r="Q1118" s="1"/>
  <c r="L1118"/>
  <c r="P1118" s="1"/>
  <c r="K1118"/>
  <c r="O1118" s="1"/>
  <c r="U1117"/>
  <c r="T1117"/>
  <c r="S1117"/>
  <c r="N1117"/>
  <c r="R1117" s="1"/>
  <c r="M1117"/>
  <c r="Q1117" s="1"/>
  <c r="L1117"/>
  <c r="P1117" s="1"/>
  <c r="K1117"/>
  <c r="O1117" s="1"/>
  <c r="U1116"/>
  <c r="T1116"/>
  <c r="S1116"/>
  <c r="N1116"/>
  <c r="R1116" s="1"/>
  <c r="M1116"/>
  <c r="Q1116" s="1"/>
  <c r="L1116"/>
  <c r="P1116" s="1"/>
  <c r="K1116"/>
  <c r="O1116" s="1"/>
  <c r="U1115"/>
  <c r="T1115"/>
  <c r="S1115"/>
  <c r="N1115"/>
  <c r="R1115" s="1"/>
  <c r="M1115"/>
  <c r="Q1115" s="1"/>
  <c r="L1115"/>
  <c r="P1115" s="1"/>
  <c r="K1115"/>
  <c r="O1115" s="1"/>
  <c r="U1114"/>
  <c r="T1114"/>
  <c r="S1114"/>
  <c r="N1114"/>
  <c r="R1114" s="1"/>
  <c r="M1114"/>
  <c r="Q1114" s="1"/>
  <c r="L1114"/>
  <c r="P1114" s="1"/>
  <c r="K1114"/>
  <c r="O1114" s="1"/>
  <c r="U1113"/>
  <c r="T1113"/>
  <c r="S1113"/>
  <c r="N1113"/>
  <c r="R1113" s="1"/>
  <c r="M1113"/>
  <c r="Q1113" s="1"/>
  <c r="L1113"/>
  <c r="P1113" s="1"/>
  <c r="K1113"/>
  <c r="O1113" s="1"/>
  <c r="U1112"/>
  <c r="T1112"/>
  <c r="S1112"/>
  <c r="N1112"/>
  <c r="R1112" s="1"/>
  <c r="M1112"/>
  <c r="Q1112" s="1"/>
  <c r="L1112"/>
  <c r="P1112" s="1"/>
  <c r="K1112"/>
  <c r="O1112" s="1"/>
  <c r="U1111"/>
  <c r="T1111"/>
  <c r="S1111"/>
  <c r="N1111"/>
  <c r="R1111" s="1"/>
  <c r="M1111"/>
  <c r="Q1111" s="1"/>
  <c r="L1111"/>
  <c r="P1111" s="1"/>
  <c r="K1111"/>
  <c r="O1111" s="1"/>
  <c r="U1110"/>
  <c r="T1110"/>
  <c r="S1110"/>
  <c r="N1110"/>
  <c r="R1110" s="1"/>
  <c r="M1110"/>
  <c r="Q1110" s="1"/>
  <c r="L1110"/>
  <c r="P1110" s="1"/>
  <c r="K1110"/>
  <c r="O1110" s="1"/>
  <c r="U1109"/>
  <c r="T1109"/>
  <c r="S1109"/>
  <c r="N1109"/>
  <c r="R1109" s="1"/>
  <c r="M1109"/>
  <c r="Q1109" s="1"/>
  <c r="L1109"/>
  <c r="P1109" s="1"/>
  <c r="K1109"/>
  <c r="O1109" s="1"/>
  <c r="U1108"/>
  <c r="T1108"/>
  <c r="S1108"/>
  <c r="N1108"/>
  <c r="R1108" s="1"/>
  <c r="M1108"/>
  <c r="Q1108" s="1"/>
  <c r="L1108"/>
  <c r="P1108" s="1"/>
  <c r="K1108"/>
  <c r="O1108" s="1"/>
  <c r="U1107"/>
  <c r="T1107"/>
  <c r="S1107"/>
  <c r="N1107"/>
  <c r="R1107" s="1"/>
  <c r="M1107"/>
  <c r="Q1107" s="1"/>
  <c r="L1107"/>
  <c r="P1107" s="1"/>
  <c r="K1107"/>
  <c r="O1107" s="1"/>
  <c r="U1106"/>
  <c r="T1106"/>
  <c r="S1106"/>
  <c r="N1106"/>
  <c r="R1106" s="1"/>
  <c r="M1106"/>
  <c r="Q1106" s="1"/>
  <c r="L1106"/>
  <c r="P1106" s="1"/>
  <c r="K1106"/>
  <c r="O1106" s="1"/>
  <c r="U1105"/>
  <c r="T1105"/>
  <c r="S1105"/>
  <c r="N1105"/>
  <c r="R1105" s="1"/>
  <c r="M1105"/>
  <c r="Q1105" s="1"/>
  <c r="L1105"/>
  <c r="P1105" s="1"/>
  <c r="K1105"/>
  <c r="O1105" s="1"/>
  <c r="U1104"/>
  <c r="T1104"/>
  <c r="S1104"/>
  <c r="N1104"/>
  <c r="R1104" s="1"/>
  <c r="M1104"/>
  <c r="Q1104" s="1"/>
  <c r="L1104"/>
  <c r="P1104" s="1"/>
  <c r="K1104"/>
  <c r="O1104" s="1"/>
  <c r="U1103"/>
  <c r="T1103"/>
  <c r="S1103"/>
  <c r="N1103"/>
  <c r="R1103" s="1"/>
  <c r="M1103"/>
  <c r="Q1103" s="1"/>
  <c r="L1103"/>
  <c r="P1103" s="1"/>
  <c r="K1103"/>
  <c r="O1103" s="1"/>
  <c r="U1102"/>
  <c r="T1102"/>
  <c r="S1102"/>
  <c r="N1102"/>
  <c r="R1102" s="1"/>
  <c r="M1102"/>
  <c r="Q1102" s="1"/>
  <c r="L1102"/>
  <c r="P1102" s="1"/>
  <c r="K1102"/>
  <c r="O1102" s="1"/>
  <c r="U1101"/>
  <c r="T1101"/>
  <c r="S1101"/>
  <c r="N1101"/>
  <c r="R1101" s="1"/>
  <c r="M1101"/>
  <c r="Q1101" s="1"/>
  <c r="L1101"/>
  <c r="P1101" s="1"/>
  <c r="K1101"/>
  <c r="O1101" s="1"/>
  <c r="U1100"/>
  <c r="T1100"/>
  <c r="S1100"/>
  <c r="N1100"/>
  <c r="R1100" s="1"/>
  <c r="M1100"/>
  <c r="Q1100" s="1"/>
  <c r="L1100"/>
  <c r="P1100" s="1"/>
  <c r="K1100"/>
  <c r="O1100" s="1"/>
  <c r="U1099"/>
  <c r="T1099"/>
  <c r="S1099"/>
  <c r="N1099"/>
  <c r="R1099" s="1"/>
  <c r="M1099"/>
  <c r="Q1099" s="1"/>
  <c r="L1099"/>
  <c r="P1099" s="1"/>
  <c r="K1099"/>
  <c r="O1099" s="1"/>
  <c r="U1098"/>
  <c r="T1098"/>
  <c r="S1098"/>
  <c r="N1098"/>
  <c r="R1098" s="1"/>
  <c r="M1098"/>
  <c r="Q1098" s="1"/>
  <c r="L1098"/>
  <c r="P1098" s="1"/>
  <c r="K1098"/>
  <c r="O1098" s="1"/>
  <c r="U1097"/>
  <c r="T1097"/>
  <c r="S1097"/>
  <c r="N1097"/>
  <c r="R1097" s="1"/>
  <c r="M1097"/>
  <c r="Q1097" s="1"/>
  <c r="L1097"/>
  <c r="P1097" s="1"/>
  <c r="K1097"/>
  <c r="O1097" s="1"/>
  <c r="U1096"/>
  <c r="T1096"/>
  <c r="S1096"/>
  <c r="N1096"/>
  <c r="R1096" s="1"/>
  <c r="M1096"/>
  <c r="Q1096" s="1"/>
  <c r="L1096"/>
  <c r="P1096" s="1"/>
  <c r="K1096"/>
  <c r="O1096" s="1"/>
  <c r="U1095"/>
  <c r="T1095"/>
  <c r="S1095"/>
  <c r="N1095"/>
  <c r="R1095" s="1"/>
  <c r="M1095"/>
  <c r="Q1095" s="1"/>
  <c r="L1095"/>
  <c r="P1095" s="1"/>
  <c r="K1095"/>
  <c r="O1095" s="1"/>
  <c r="U1094"/>
  <c r="T1094"/>
  <c r="S1094"/>
  <c r="N1094"/>
  <c r="R1094" s="1"/>
  <c r="M1094"/>
  <c r="Q1094" s="1"/>
  <c r="L1094"/>
  <c r="P1094" s="1"/>
  <c r="K1094"/>
  <c r="O1094" s="1"/>
  <c r="U1093"/>
  <c r="T1093"/>
  <c r="S1093"/>
  <c r="N1093"/>
  <c r="R1093" s="1"/>
  <c r="M1093"/>
  <c r="Q1093" s="1"/>
  <c r="L1093"/>
  <c r="P1093" s="1"/>
  <c r="K1093"/>
  <c r="O1093" s="1"/>
  <c r="U1092"/>
  <c r="T1092"/>
  <c r="S1092"/>
  <c r="N1092"/>
  <c r="R1092" s="1"/>
  <c r="M1092"/>
  <c r="Q1092" s="1"/>
  <c r="L1092"/>
  <c r="P1092" s="1"/>
  <c r="K1092"/>
  <c r="O1092" s="1"/>
  <c r="U1091"/>
  <c r="T1091"/>
  <c r="S1091"/>
  <c r="N1091"/>
  <c r="R1091" s="1"/>
  <c r="M1091"/>
  <c r="Q1091" s="1"/>
  <c r="L1091"/>
  <c r="P1091" s="1"/>
  <c r="K1091"/>
  <c r="O1091" s="1"/>
  <c r="U1090"/>
  <c r="T1090"/>
  <c r="S1090"/>
  <c r="N1090"/>
  <c r="R1090" s="1"/>
  <c r="M1090"/>
  <c r="Q1090" s="1"/>
  <c r="L1090"/>
  <c r="P1090" s="1"/>
  <c r="K1090"/>
  <c r="O1090" s="1"/>
  <c r="U1089"/>
  <c r="T1089"/>
  <c r="S1089"/>
  <c r="N1089"/>
  <c r="R1089" s="1"/>
  <c r="M1089"/>
  <c r="Q1089" s="1"/>
  <c r="L1089"/>
  <c r="P1089" s="1"/>
  <c r="K1089"/>
  <c r="O1089" s="1"/>
  <c r="U1088"/>
  <c r="T1088"/>
  <c r="S1088"/>
  <c r="N1088"/>
  <c r="R1088" s="1"/>
  <c r="M1088"/>
  <c r="Q1088" s="1"/>
  <c r="L1088"/>
  <c r="P1088" s="1"/>
  <c r="K1088"/>
  <c r="O1088" s="1"/>
  <c r="U1087"/>
  <c r="T1087"/>
  <c r="S1087"/>
  <c r="N1087"/>
  <c r="R1087" s="1"/>
  <c r="M1087"/>
  <c r="Q1087" s="1"/>
  <c r="L1087"/>
  <c r="P1087" s="1"/>
  <c r="K1087"/>
  <c r="O1087" s="1"/>
  <c r="U1086"/>
  <c r="T1086"/>
  <c r="S1086"/>
  <c r="N1086"/>
  <c r="R1086" s="1"/>
  <c r="M1086"/>
  <c r="Q1086" s="1"/>
  <c r="L1086"/>
  <c r="P1086" s="1"/>
  <c r="K1086"/>
  <c r="O1086" s="1"/>
  <c r="U1085"/>
  <c r="T1085"/>
  <c r="S1085"/>
  <c r="N1085"/>
  <c r="R1085" s="1"/>
  <c r="M1085"/>
  <c r="Q1085" s="1"/>
  <c r="L1085"/>
  <c r="P1085" s="1"/>
  <c r="K1085"/>
  <c r="O1085" s="1"/>
  <c r="U1084"/>
  <c r="T1084"/>
  <c r="S1084"/>
  <c r="N1084"/>
  <c r="R1084" s="1"/>
  <c r="M1084"/>
  <c r="Q1084" s="1"/>
  <c r="L1084"/>
  <c r="P1084" s="1"/>
  <c r="K1084"/>
  <c r="O1084" s="1"/>
  <c r="U1083"/>
  <c r="T1083"/>
  <c r="S1083"/>
  <c r="N1083"/>
  <c r="R1083" s="1"/>
  <c r="M1083"/>
  <c r="Q1083" s="1"/>
  <c r="L1083"/>
  <c r="P1083" s="1"/>
  <c r="K1083"/>
  <c r="O1083" s="1"/>
  <c r="U1082"/>
  <c r="T1082"/>
  <c r="S1082"/>
  <c r="N1082"/>
  <c r="R1082" s="1"/>
  <c r="M1082"/>
  <c r="Q1082" s="1"/>
  <c r="L1082"/>
  <c r="P1082" s="1"/>
  <c r="K1082"/>
  <c r="O1082" s="1"/>
  <c r="U1081"/>
  <c r="T1081"/>
  <c r="S1081"/>
  <c r="N1081"/>
  <c r="R1081" s="1"/>
  <c r="M1081"/>
  <c r="Q1081" s="1"/>
  <c r="L1081"/>
  <c r="P1081" s="1"/>
  <c r="K1081"/>
  <c r="O1081" s="1"/>
  <c r="U1080"/>
  <c r="T1080"/>
  <c r="S1080"/>
  <c r="N1080"/>
  <c r="R1080" s="1"/>
  <c r="M1080"/>
  <c r="Q1080" s="1"/>
  <c r="L1080"/>
  <c r="P1080" s="1"/>
  <c r="K1080"/>
  <c r="O1080" s="1"/>
  <c r="U1079"/>
  <c r="T1079"/>
  <c r="S1079"/>
  <c r="N1079"/>
  <c r="R1079" s="1"/>
  <c r="M1079"/>
  <c r="Q1079" s="1"/>
  <c r="L1079"/>
  <c r="P1079" s="1"/>
  <c r="K1079"/>
  <c r="O1079" s="1"/>
  <c r="U1078"/>
  <c r="T1078"/>
  <c r="S1078"/>
  <c r="N1078"/>
  <c r="R1078" s="1"/>
  <c r="M1078"/>
  <c r="Q1078" s="1"/>
  <c r="L1078"/>
  <c r="P1078" s="1"/>
  <c r="K1078"/>
  <c r="O1078" s="1"/>
  <c r="U1077"/>
  <c r="T1077"/>
  <c r="S1077"/>
  <c r="N1077"/>
  <c r="R1077" s="1"/>
  <c r="M1077"/>
  <c r="Q1077" s="1"/>
  <c r="L1077"/>
  <c r="P1077" s="1"/>
  <c r="K1077"/>
  <c r="O1077" s="1"/>
  <c r="U1076"/>
  <c r="T1076"/>
  <c r="S1076"/>
  <c r="N1076"/>
  <c r="R1076" s="1"/>
  <c r="M1076"/>
  <c r="Q1076" s="1"/>
  <c r="L1076"/>
  <c r="P1076" s="1"/>
  <c r="K1076"/>
  <c r="O1076" s="1"/>
  <c r="U1075"/>
  <c r="T1075"/>
  <c r="S1075"/>
  <c r="N1075"/>
  <c r="R1075" s="1"/>
  <c r="M1075"/>
  <c r="Q1075" s="1"/>
  <c r="L1075"/>
  <c r="P1075" s="1"/>
  <c r="K1075"/>
  <c r="O1075" s="1"/>
  <c r="U1074"/>
  <c r="T1074"/>
  <c r="S1074"/>
  <c r="N1074"/>
  <c r="R1074" s="1"/>
  <c r="M1074"/>
  <c r="Q1074" s="1"/>
  <c r="L1074"/>
  <c r="P1074" s="1"/>
  <c r="K1074"/>
  <c r="O1074" s="1"/>
  <c r="U1073"/>
  <c r="T1073"/>
  <c r="S1073"/>
  <c r="N1073"/>
  <c r="R1073" s="1"/>
  <c r="M1073"/>
  <c r="Q1073" s="1"/>
  <c r="L1073"/>
  <c r="P1073" s="1"/>
  <c r="K1073"/>
  <c r="O1073" s="1"/>
  <c r="U1072"/>
  <c r="T1072"/>
  <c r="S1072"/>
  <c r="N1072"/>
  <c r="R1072" s="1"/>
  <c r="M1072"/>
  <c r="Q1072" s="1"/>
  <c r="L1072"/>
  <c r="P1072" s="1"/>
  <c r="K1072"/>
  <c r="O1072" s="1"/>
  <c r="U1071"/>
  <c r="T1071"/>
  <c r="S1071"/>
  <c r="N1071"/>
  <c r="R1071" s="1"/>
  <c r="M1071"/>
  <c r="Q1071" s="1"/>
  <c r="L1071"/>
  <c r="P1071" s="1"/>
  <c r="K1071"/>
  <c r="O1071" s="1"/>
  <c r="U1070"/>
  <c r="T1070"/>
  <c r="S1070"/>
  <c r="N1070"/>
  <c r="R1070" s="1"/>
  <c r="M1070"/>
  <c r="Q1070" s="1"/>
  <c r="L1070"/>
  <c r="P1070" s="1"/>
  <c r="K1070"/>
  <c r="O1070" s="1"/>
  <c r="U1069"/>
  <c r="T1069"/>
  <c r="S1069"/>
  <c r="N1069"/>
  <c r="R1069" s="1"/>
  <c r="M1069"/>
  <c r="Q1069" s="1"/>
  <c r="L1069"/>
  <c r="P1069" s="1"/>
  <c r="K1069"/>
  <c r="O1069" s="1"/>
  <c r="U1068"/>
  <c r="T1068"/>
  <c r="S1068"/>
  <c r="N1068"/>
  <c r="R1068" s="1"/>
  <c r="M1068"/>
  <c r="Q1068" s="1"/>
  <c r="L1068"/>
  <c r="P1068" s="1"/>
  <c r="K1068"/>
  <c r="O1068" s="1"/>
  <c r="U1067"/>
  <c r="T1067"/>
  <c r="S1067"/>
  <c r="N1067"/>
  <c r="R1067" s="1"/>
  <c r="M1067"/>
  <c r="Q1067" s="1"/>
  <c r="L1067"/>
  <c r="P1067" s="1"/>
  <c r="K1067"/>
  <c r="O1067" s="1"/>
  <c r="U1066"/>
  <c r="T1066"/>
  <c r="S1066"/>
  <c r="N1066"/>
  <c r="R1066" s="1"/>
  <c r="M1066"/>
  <c r="Q1066" s="1"/>
  <c r="L1066"/>
  <c r="P1066" s="1"/>
  <c r="K1066"/>
  <c r="O1066" s="1"/>
  <c r="U1065"/>
  <c r="T1065"/>
  <c r="S1065"/>
  <c r="N1065"/>
  <c r="R1065" s="1"/>
  <c r="M1065"/>
  <c r="Q1065" s="1"/>
  <c r="L1065"/>
  <c r="P1065" s="1"/>
  <c r="K1065"/>
  <c r="O1065" s="1"/>
  <c r="U1064"/>
  <c r="T1064"/>
  <c r="S1064"/>
  <c r="N1064"/>
  <c r="R1064" s="1"/>
  <c r="M1064"/>
  <c r="Q1064" s="1"/>
  <c r="L1064"/>
  <c r="P1064" s="1"/>
  <c r="K1064"/>
  <c r="O1064" s="1"/>
  <c r="U1063"/>
  <c r="T1063"/>
  <c r="S1063"/>
  <c r="N1063"/>
  <c r="R1063" s="1"/>
  <c r="M1063"/>
  <c r="Q1063" s="1"/>
  <c r="L1063"/>
  <c r="P1063" s="1"/>
  <c r="K1063"/>
  <c r="O1063" s="1"/>
  <c r="U1062"/>
  <c r="T1062"/>
  <c r="S1062"/>
  <c r="N1062"/>
  <c r="R1062" s="1"/>
  <c r="M1062"/>
  <c r="Q1062" s="1"/>
  <c r="L1062"/>
  <c r="P1062" s="1"/>
  <c r="K1062"/>
  <c r="O1062" s="1"/>
  <c r="U1061"/>
  <c r="T1061"/>
  <c r="S1061"/>
  <c r="N1061"/>
  <c r="R1061" s="1"/>
  <c r="M1061"/>
  <c r="Q1061" s="1"/>
  <c r="L1061"/>
  <c r="P1061" s="1"/>
  <c r="K1061"/>
  <c r="O1061" s="1"/>
  <c r="U1060"/>
  <c r="T1060"/>
  <c r="S1060"/>
  <c r="N1060"/>
  <c r="R1060" s="1"/>
  <c r="M1060"/>
  <c r="Q1060" s="1"/>
  <c r="L1060"/>
  <c r="P1060" s="1"/>
  <c r="K1060"/>
  <c r="O1060" s="1"/>
  <c r="U1059"/>
  <c r="T1059"/>
  <c r="S1059"/>
  <c r="N1059"/>
  <c r="R1059" s="1"/>
  <c r="M1059"/>
  <c r="Q1059" s="1"/>
  <c r="L1059"/>
  <c r="P1059" s="1"/>
  <c r="K1059"/>
  <c r="O1059" s="1"/>
  <c r="U1058"/>
  <c r="T1058"/>
  <c r="S1058"/>
  <c r="N1058"/>
  <c r="R1058" s="1"/>
  <c r="M1058"/>
  <c r="Q1058" s="1"/>
  <c r="L1058"/>
  <c r="P1058" s="1"/>
  <c r="K1058"/>
  <c r="O1058" s="1"/>
  <c r="U1057"/>
  <c r="T1057"/>
  <c r="S1057"/>
  <c r="N1057"/>
  <c r="R1057" s="1"/>
  <c r="M1057"/>
  <c r="Q1057" s="1"/>
  <c r="L1057"/>
  <c r="P1057" s="1"/>
  <c r="K1057"/>
  <c r="O1057" s="1"/>
  <c r="U1056"/>
  <c r="T1056"/>
  <c r="S1056"/>
  <c r="N1056"/>
  <c r="R1056" s="1"/>
  <c r="M1056"/>
  <c r="Q1056" s="1"/>
  <c r="L1056"/>
  <c r="P1056" s="1"/>
  <c r="K1056"/>
  <c r="O1056" s="1"/>
  <c r="U1055"/>
  <c r="T1055"/>
  <c r="S1055"/>
  <c r="N1055"/>
  <c r="R1055" s="1"/>
  <c r="M1055"/>
  <c r="Q1055" s="1"/>
  <c r="L1055"/>
  <c r="P1055" s="1"/>
  <c r="K1055"/>
  <c r="O1055" s="1"/>
  <c r="U1054"/>
  <c r="T1054"/>
  <c r="S1054"/>
  <c r="N1054"/>
  <c r="R1054" s="1"/>
  <c r="M1054"/>
  <c r="Q1054" s="1"/>
  <c r="L1054"/>
  <c r="P1054" s="1"/>
  <c r="K1054"/>
  <c r="O1054" s="1"/>
  <c r="U1053"/>
  <c r="T1053"/>
  <c r="S1053"/>
  <c r="N1053"/>
  <c r="R1053" s="1"/>
  <c r="M1053"/>
  <c r="Q1053" s="1"/>
  <c r="L1053"/>
  <c r="P1053" s="1"/>
  <c r="K1053"/>
  <c r="O1053" s="1"/>
  <c r="U1052"/>
  <c r="T1052"/>
  <c r="S1052"/>
  <c r="N1052"/>
  <c r="R1052" s="1"/>
  <c r="M1052"/>
  <c r="Q1052" s="1"/>
  <c r="L1052"/>
  <c r="P1052" s="1"/>
  <c r="K1052"/>
  <c r="O1052" s="1"/>
  <c r="U1051"/>
  <c r="T1051"/>
  <c r="S1051"/>
  <c r="N1051"/>
  <c r="R1051" s="1"/>
  <c r="M1051"/>
  <c r="Q1051" s="1"/>
  <c r="L1051"/>
  <c r="P1051" s="1"/>
  <c r="K1051"/>
  <c r="O1051" s="1"/>
  <c r="U1050"/>
  <c r="T1050"/>
  <c r="S1050"/>
  <c r="N1050"/>
  <c r="R1050" s="1"/>
  <c r="M1050"/>
  <c r="Q1050" s="1"/>
  <c r="L1050"/>
  <c r="P1050" s="1"/>
  <c r="K1050"/>
  <c r="O1050" s="1"/>
  <c r="U1049"/>
  <c r="T1049"/>
  <c r="S1049"/>
  <c r="N1049"/>
  <c r="R1049" s="1"/>
  <c r="M1049"/>
  <c r="Q1049" s="1"/>
  <c r="L1049"/>
  <c r="P1049" s="1"/>
  <c r="K1049"/>
  <c r="O1049" s="1"/>
  <c r="U1048"/>
  <c r="T1048"/>
  <c r="S1048"/>
  <c r="N1048"/>
  <c r="R1048" s="1"/>
  <c r="M1048"/>
  <c r="Q1048" s="1"/>
  <c r="L1048"/>
  <c r="P1048" s="1"/>
  <c r="K1048"/>
  <c r="O1048" s="1"/>
  <c r="U1047"/>
  <c r="T1047"/>
  <c r="S1047"/>
  <c r="N1047"/>
  <c r="R1047" s="1"/>
  <c r="M1047"/>
  <c r="Q1047" s="1"/>
  <c r="L1047"/>
  <c r="P1047" s="1"/>
  <c r="K1047"/>
  <c r="O1047" s="1"/>
  <c r="U1046"/>
  <c r="T1046"/>
  <c r="S1046"/>
  <c r="N1046"/>
  <c r="R1046" s="1"/>
  <c r="M1046"/>
  <c r="Q1046" s="1"/>
  <c r="L1046"/>
  <c r="P1046" s="1"/>
  <c r="K1046"/>
  <c r="O1046" s="1"/>
  <c r="U1045"/>
  <c r="T1045"/>
  <c r="S1045"/>
  <c r="N1045"/>
  <c r="R1045" s="1"/>
  <c r="M1045"/>
  <c r="Q1045" s="1"/>
  <c r="L1045"/>
  <c r="P1045" s="1"/>
  <c r="K1045"/>
  <c r="O1045" s="1"/>
  <c r="U1044"/>
  <c r="T1044"/>
  <c r="S1044"/>
  <c r="N1044"/>
  <c r="R1044" s="1"/>
  <c r="M1044"/>
  <c r="Q1044" s="1"/>
  <c r="L1044"/>
  <c r="P1044" s="1"/>
  <c r="K1044"/>
  <c r="O1044" s="1"/>
  <c r="U1043"/>
  <c r="T1043"/>
  <c r="S1043"/>
  <c r="N1043"/>
  <c r="R1043" s="1"/>
  <c r="M1043"/>
  <c r="Q1043" s="1"/>
  <c r="L1043"/>
  <c r="P1043" s="1"/>
  <c r="K1043"/>
  <c r="O1043" s="1"/>
  <c r="U1042"/>
  <c r="T1042"/>
  <c r="S1042"/>
  <c r="N1042"/>
  <c r="R1042" s="1"/>
  <c r="M1042"/>
  <c r="Q1042" s="1"/>
  <c r="L1042"/>
  <c r="P1042" s="1"/>
  <c r="K1042"/>
  <c r="O1042" s="1"/>
  <c r="U1041"/>
  <c r="T1041"/>
  <c r="S1041"/>
  <c r="N1041"/>
  <c r="R1041" s="1"/>
  <c r="M1041"/>
  <c r="Q1041" s="1"/>
  <c r="L1041"/>
  <c r="P1041" s="1"/>
  <c r="K1041"/>
  <c r="O1041" s="1"/>
  <c r="U1040"/>
  <c r="T1040"/>
  <c r="S1040"/>
  <c r="R1040"/>
  <c r="N1040"/>
  <c r="M1040"/>
  <c r="Q1040" s="1"/>
  <c r="L1040"/>
  <c r="P1040" s="1"/>
  <c r="K1040"/>
  <c r="O1040" s="1"/>
  <c r="U1039"/>
  <c r="T1039"/>
  <c r="S1039"/>
  <c r="N1039"/>
  <c r="R1039" s="1"/>
  <c r="M1039"/>
  <c r="Q1039" s="1"/>
  <c r="L1039"/>
  <c r="P1039" s="1"/>
  <c r="K1039"/>
  <c r="O1039" s="1"/>
  <c r="U1038"/>
  <c r="T1038"/>
  <c r="S1038"/>
  <c r="R1038"/>
  <c r="N1038"/>
  <c r="M1038"/>
  <c r="Q1038" s="1"/>
  <c r="L1038"/>
  <c r="P1038" s="1"/>
  <c r="K1038"/>
  <c r="O1038" s="1"/>
  <c r="U1037"/>
  <c r="T1037"/>
  <c r="S1037"/>
  <c r="R1037"/>
  <c r="Q1037"/>
  <c r="N1037"/>
  <c r="M1037"/>
  <c r="L1037"/>
  <c r="P1037" s="1"/>
  <c r="K1037"/>
  <c r="O1037" s="1"/>
  <c r="U1036"/>
  <c r="T1036"/>
  <c r="S1036"/>
  <c r="N1036"/>
  <c r="R1036" s="1"/>
  <c r="M1036"/>
  <c r="Q1036" s="1"/>
  <c r="L1036"/>
  <c r="P1036" s="1"/>
  <c r="K1036"/>
  <c r="O1036" s="1"/>
  <c r="U1035"/>
  <c r="T1035"/>
  <c r="S1035"/>
  <c r="N1035"/>
  <c r="R1035" s="1"/>
  <c r="M1035"/>
  <c r="Q1035" s="1"/>
  <c r="L1035"/>
  <c r="P1035" s="1"/>
  <c r="K1035"/>
  <c r="O1035" s="1"/>
  <c r="U1034"/>
  <c r="T1034"/>
  <c r="S1034"/>
  <c r="N1034"/>
  <c r="R1034" s="1"/>
  <c r="M1034"/>
  <c r="Q1034" s="1"/>
  <c r="L1034"/>
  <c r="P1034" s="1"/>
  <c r="K1034"/>
  <c r="O1034" s="1"/>
  <c r="U1033"/>
  <c r="T1033"/>
  <c r="S1033"/>
  <c r="N1033"/>
  <c r="R1033" s="1"/>
  <c r="M1033"/>
  <c r="Q1033" s="1"/>
  <c r="L1033"/>
  <c r="P1033" s="1"/>
  <c r="K1033"/>
  <c r="O1033" s="1"/>
  <c r="U1032"/>
  <c r="T1032"/>
  <c r="S1032"/>
  <c r="N1032"/>
  <c r="R1032" s="1"/>
  <c r="M1032"/>
  <c r="Q1032" s="1"/>
  <c r="L1032"/>
  <c r="P1032" s="1"/>
  <c r="K1032"/>
  <c r="O1032" s="1"/>
  <c r="U1031"/>
  <c r="T1031"/>
  <c r="S1031"/>
  <c r="N1031"/>
  <c r="R1031" s="1"/>
  <c r="M1031"/>
  <c r="Q1031" s="1"/>
  <c r="L1031"/>
  <c r="P1031" s="1"/>
  <c r="K1031"/>
  <c r="O1031" s="1"/>
  <c r="U1030"/>
  <c r="T1030"/>
  <c r="S1030"/>
  <c r="N1030"/>
  <c r="R1030" s="1"/>
  <c r="M1030"/>
  <c r="Q1030" s="1"/>
  <c r="L1030"/>
  <c r="P1030" s="1"/>
  <c r="K1030"/>
  <c r="O1030" s="1"/>
  <c r="U1029"/>
  <c r="T1029"/>
  <c r="S1029"/>
  <c r="Q1029"/>
  <c r="N1029"/>
  <c r="R1029" s="1"/>
  <c r="M1029"/>
  <c r="L1029"/>
  <c r="P1029" s="1"/>
  <c r="K1029"/>
  <c r="O1029" s="1"/>
  <c r="U1028"/>
  <c r="T1028"/>
  <c r="S1028"/>
  <c r="Q1028"/>
  <c r="N1028"/>
  <c r="R1028" s="1"/>
  <c r="M1028"/>
  <c r="L1028"/>
  <c r="P1028" s="1"/>
  <c r="K1028"/>
  <c r="O1028" s="1"/>
  <c r="U1027"/>
  <c r="T1027"/>
  <c r="S1027"/>
  <c r="N1027"/>
  <c r="R1027" s="1"/>
  <c r="M1027"/>
  <c r="Q1027" s="1"/>
  <c r="L1027"/>
  <c r="P1027" s="1"/>
  <c r="K1027"/>
  <c r="O1027" s="1"/>
  <c r="U1026"/>
  <c r="T1026"/>
  <c r="S1026"/>
  <c r="N1026"/>
  <c r="R1026" s="1"/>
  <c r="M1026"/>
  <c r="Q1026" s="1"/>
  <c r="L1026"/>
  <c r="P1026" s="1"/>
  <c r="K1026"/>
  <c r="O1026" s="1"/>
  <c r="U1025"/>
  <c r="T1025"/>
  <c r="S1025"/>
  <c r="N1025"/>
  <c r="R1025" s="1"/>
  <c r="M1025"/>
  <c r="Q1025" s="1"/>
  <c r="L1025"/>
  <c r="P1025" s="1"/>
  <c r="K1025"/>
  <c r="O1025" s="1"/>
  <c r="U1024"/>
  <c r="T1024"/>
  <c r="S1024"/>
  <c r="N1024"/>
  <c r="R1024" s="1"/>
  <c r="M1024"/>
  <c r="Q1024" s="1"/>
  <c r="L1024"/>
  <c r="P1024" s="1"/>
  <c r="K1024"/>
  <c r="O1024" s="1"/>
  <c r="U1023"/>
  <c r="T1023"/>
  <c r="S1023"/>
  <c r="N1023"/>
  <c r="R1023" s="1"/>
  <c r="M1023"/>
  <c r="Q1023" s="1"/>
  <c r="L1023"/>
  <c r="P1023" s="1"/>
  <c r="K1023"/>
  <c r="O1023" s="1"/>
  <c r="U1022"/>
  <c r="T1022"/>
  <c r="S1022"/>
  <c r="N1022"/>
  <c r="R1022" s="1"/>
  <c r="M1022"/>
  <c r="Q1022" s="1"/>
  <c r="L1022"/>
  <c r="P1022" s="1"/>
  <c r="K1022"/>
  <c r="O1022" s="1"/>
  <c r="U1021"/>
  <c r="T1021"/>
  <c r="S1021"/>
  <c r="Q1021"/>
  <c r="N1021"/>
  <c r="R1021" s="1"/>
  <c r="M1021"/>
  <c r="L1021"/>
  <c r="P1021" s="1"/>
  <c r="K1021"/>
  <c r="O1021" s="1"/>
  <c r="U1020"/>
  <c r="T1020"/>
  <c r="S1020"/>
  <c r="Q1020"/>
  <c r="N1020"/>
  <c r="R1020" s="1"/>
  <c r="M1020"/>
  <c r="L1020"/>
  <c r="P1020" s="1"/>
  <c r="K1020"/>
  <c r="O1020" s="1"/>
  <c r="U1019"/>
  <c r="T1019"/>
  <c r="S1019"/>
  <c r="N1019"/>
  <c r="R1019" s="1"/>
  <c r="M1019"/>
  <c r="Q1019" s="1"/>
  <c r="L1019"/>
  <c r="P1019" s="1"/>
  <c r="K1019"/>
  <c r="O1019" s="1"/>
  <c r="U1018"/>
  <c r="T1018"/>
  <c r="S1018"/>
  <c r="N1018"/>
  <c r="R1018" s="1"/>
  <c r="M1018"/>
  <c r="Q1018" s="1"/>
  <c r="L1018"/>
  <c r="P1018" s="1"/>
  <c r="K1018"/>
  <c r="O1018" s="1"/>
  <c r="U1017"/>
  <c r="T1017"/>
  <c r="S1017"/>
  <c r="N1017"/>
  <c r="R1017" s="1"/>
  <c r="M1017"/>
  <c r="Q1017" s="1"/>
  <c r="L1017"/>
  <c r="P1017" s="1"/>
  <c r="K1017"/>
  <c r="O1017" s="1"/>
  <c r="U1016"/>
  <c r="T1016"/>
  <c r="S1016"/>
  <c r="N1016"/>
  <c r="R1016" s="1"/>
  <c r="M1016"/>
  <c r="Q1016" s="1"/>
  <c r="L1016"/>
  <c r="P1016" s="1"/>
  <c r="K1016"/>
  <c r="O1016" s="1"/>
  <c r="U1015"/>
  <c r="T1015"/>
  <c r="S1015"/>
  <c r="N1015"/>
  <c r="R1015" s="1"/>
  <c r="M1015"/>
  <c r="Q1015" s="1"/>
  <c r="L1015"/>
  <c r="P1015" s="1"/>
  <c r="K1015"/>
  <c r="O1015" s="1"/>
  <c r="U1014"/>
  <c r="T1014"/>
  <c r="S1014"/>
  <c r="N1014"/>
  <c r="R1014" s="1"/>
  <c r="M1014"/>
  <c r="Q1014" s="1"/>
  <c r="L1014"/>
  <c r="P1014" s="1"/>
  <c r="K1014"/>
  <c r="O1014" s="1"/>
  <c r="U1013"/>
  <c r="T1013"/>
  <c r="S1013"/>
  <c r="N1013"/>
  <c r="R1013" s="1"/>
  <c r="M1013"/>
  <c r="Q1013" s="1"/>
  <c r="L1013"/>
  <c r="P1013" s="1"/>
  <c r="K1013"/>
  <c r="O1013" s="1"/>
  <c r="U1012"/>
  <c r="T1012"/>
  <c r="S1012"/>
  <c r="N1012"/>
  <c r="R1012" s="1"/>
  <c r="M1012"/>
  <c r="Q1012" s="1"/>
  <c r="L1012"/>
  <c r="P1012" s="1"/>
  <c r="K1012"/>
  <c r="O1012" s="1"/>
  <c r="U1011"/>
  <c r="T1011"/>
  <c r="S1011"/>
  <c r="N1011"/>
  <c r="R1011" s="1"/>
  <c r="M1011"/>
  <c r="Q1011" s="1"/>
  <c r="L1011"/>
  <c r="P1011" s="1"/>
  <c r="K1011"/>
  <c r="O1011" s="1"/>
  <c r="U1010"/>
  <c r="T1010"/>
  <c r="S1010"/>
  <c r="N1010"/>
  <c r="R1010" s="1"/>
  <c r="M1010"/>
  <c r="Q1010" s="1"/>
  <c r="L1010"/>
  <c r="P1010" s="1"/>
  <c r="K1010"/>
  <c r="O1010" s="1"/>
  <c r="U1009"/>
  <c r="T1009"/>
  <c r="S1009"/>
  <c r="N1009"/>
  <c r="R1009" s="1"/>
  <c r="M1009"/>
  <c r="Q1009" s="1"/>
  <c r="L1009"/>
  <c r="P1009" s="1"/>
  <c r="K1009"/>
  <c r="O1009" s="1"/>
  <c r="U1008"/>
  <c r="T1008"/>
  <c r="S1008"/>
  <c r="N1008"/>
  <c r="R1008" s="1"/>
  <c r="M1008"/>
  <c r="Q1008" s="1"/>
  <c r="L1008"/>
  <c r="P1008" s="1"/>
  <c r="K1008"/>
  <c r="O1008" s="1"/>
  <c r="U1007"/>
  <c r="T1007"/>
  <c r="S1007"/>
  <c r="N1007"/>
  <c r="R1007" s="1"/>
  <c r="M1007"/>
  <c r="Q1007" s="1"/>
  <c r="L1007"/>
  <c r="P1007" s="1"/>
  <c r="K1007"/>
  <c r="O1007" s="1"/>
  <c r="U1006"/>
  <c r="T1006"/>
  <c r="S1006"/>
  <c r="N1006"/>
  <c r="R1006" s="1"/>
  <c r="M1006"/>
  <c r="Q1006" s="1"/>
  <c r="L1006"/>
  <c r="P1006" s="1"/>
  <c r="K1006"/>
  <c r="O1006" s="1"/>
  <c r="U1005"/>
  <c r="T1005"/>
  <c r="S1005"/>
  <c r="N1005"/>
  <c r="R1005" s="1"/>
  <c r="M1005"/>
  <c r="Q1005" s="1"/>
  <c r="L1005"/>
  <c r="P1005" s="1"/>
  <c r="K1005"/>
  <c r="O1005" s="1"/>
  <c r="U1004"/>
  <c r="T1004"/>
  <c r="S1004"/>
  <c r="N1004"/>
  <c r="R1004" s="1"/>
  <c r="M1004"/>
  <c r="Q1004" s="1"/>
  <c r="L1004"/>
  <c r="P1004" s="1"/>
  <c r="K1004"/>
  <c r="O1004" s="1"/>
  <c r="U1003"/>
  <c r="T1003"/>
  <c r="S1003"/>
  <c r="N1003"/>
  <c r="R1003" s="1"/>
  <c r="M1003"/>
  <c r="Q1003" s="1"/>
  <c r="L1003"/>
  <c r="P1003" s="1"/>
  <c r="K1003"/>
  <c r="O1003" s="1"/>
  <c r="U1002"/>
  <c r="T1002"/>
  <c r="S1002"/>
  <c r="N1002"/>
  <c r="R1002" s="1"/>
  <c r="M1002"/>
  <c r="Q1002" s="1"/>
  <c r="L1002"/>
  <c r="P1002" s="1"/>
  <c r="K1002"/>
  <c r="O1002" s="1"/>
  <c r="U1001"/>
  <c r="T1001"/>
  <c r="S1001"/>
  <c r="N1001"/>
  <c r="R1001" s="1"/>
  <c r="M1001"/>
  <c r="Q1001" s="1"/>
  <c r="L1001"/>
  <c r="P1001" s="1"/>
  <c r="K1001"/>
  <c r="O1001" s="1"/>
  <c r="U1000"/>
  <c r="T1000"/>
  <c r="S1000"/>
  <c r="N1000"/>
  <c r="R1000" s="1"/>
  <c r="M1000"/>
  <c r="Q1000" s="1"/>
  <c r="L1000"/>
  <c r="P1000" s="1"/>
  <c r="K1000"/>
  <c r="O1000" s="1"/>
  <c r="U999"/>
  <c r="T999"/>
  <c r="S999"/>
  <c r="N999"/>
  <c r="R999" s="1"/>
  <c r="M999"/>
  <c r="Q999" s="1"/>
  <c r="L999"/>
  <c r="P999" s="1"/>
  <c r="K999"/>
  <c r="O999" s="1"/>
  <c r="AK210" l="1"/>
  <c r="AL210" s="1"/>
  <c r="AJ213"/>
  <c r="AK214"/>
  <c r="AL214" s="1"/>
  <c r="AJ217"/>
  <c r="AK218"/>
  <c r="AL218" s="1"/>
  <c r="AJ221"/>
  <c r="AK222"/>
  <c r="AL222" s="1"/>
  <c r="AJ225"/>
  <c r="AK226"/>
  <c r="AL226" s="1"/>
  <c r="AK211"/>
  <c r="AL211" s="1"/>
  <c r="AF212"/>
  <c r="AK215"/>
  <c r="AL215" s="1"/>
  <c r="AF216"/>
  <c r="AK219"/>
  <c r="AL219" s="1"/>
  <c r="AF220"/>
  <c r="AK223"/>
  <c r="AL223" s="1"/>
  <c r="AF224"/>
  <c r="AK227"/>
  <c r="AL227" s="1"/>
  <c r="AK209"/>
  <c r="AL209" s="1"/>
  <c r="AK183"/>
  <c r="AL183" s="1"/>
  <c r="AK185"/>
  <c r="AL185" s="1"/>
  <c r="AK191"/>
  <c r="AL191" s="1"/>
  <c r="AK193"/>
  <c r="AL193" s="1"/>
  <c r="AK196"/>
  <c r="AL196" s="1"/>
  <c r="AK199"/>
  <c r="AL199" s="1"/>
  <c r="AK201"/>
  <c r="AL201" s="1"/>
  <c r="AK204"/>
  <c r="AL204" s="1"/>
  <c r="AK207"/>
  <c r="AL207" s="1"/>
  <c r="AK186"/>
  <c r="AL186" s="1"/>
  <c r="AF192"/>
  <c r="AK194"/>
  <c r="AL194" s="1"/>
  <c r="AF195"/>
  <c r="AF197"/>
  <c r="AF200"/>
  <c r="AK202"/>
  <c r="AL202" s="1"/>
  <c r="AF203"/>
  <c r="AF205"/>
  <c r="AK208"/>
  <c r="AL208" s="1"/>
  <c r="AI181" l="1"/>
  <c r="AJ181" s="1"/>
  <c r="AE181"/>
  <c r="AD181"/>
  <c r="AF181" s="1"/>
  <c r="AI180"/>
  <c r="AJ180" s="1"/>
  <c r="AE180"/>
  <c r="AD180"/>
  <c r="AF180" s="1"/>
  <c r="AI179"/>
  <c r="AJ179" s="1"/>
  <c r="AF179"/>
  <c r="AE179"/>
  <c r="AD179"/>
  <c r="AI178"/>
  <c r="AE178"/>
  <c r="AD178"/>
  <c r="AF178" s="1"/>
  <c r="AK178" l="1"/>
  <c r="AL178" s="1"/>
  <c r="AJ178"/>
  <c r="AK179"/>
  <c r="AL179" s="1"/>
  <c r="AK180"/>
  <c r="AL180" s="1"/>
  <c r="AK181"/>
  <c r="AL181" s="1"/>
  <c r="DF7"/>
  <c r="DH12"/>
  <c r="DG12"/>
  <c r="DF12"/>
  <c r="DN12" s="1"/>
  <c r="DH11"/>
  <c r="DI11" s="1"/>
  <c r="DJ11" s="1"/>
  <c r="DG11"/>
  <c r="DO11" s="1"/>
  <c r="DF11"/>
  <c r="DN11" s="1"/>
  <c r="DH10"/>
  <c r="DI10" s="1"/>
  <c r="DG10"/>
  <c r="DO10" s="1"/>
  <c r="DF10"/>
  <c r="DN10" s="1"/>
  <c r="DH9"/>
  <c r="DG9"/>
  <c r="DF9"/>
  <c r="DO9" s="1"/>
  <c r="DH8"/>
  <c r="DG8"/>
  <c r="DF8"/>
  <c r="DN8" s="1"/>
  <c r="CY12"/>
  <c r="DC12" s="1"/>
  <c r="CX12"/>
  <c r="DB12" s="1"/>
  <c r="CW12"/>
  <c r="DA12" s="1"/>
  <c r="CV12"/>
  <c r="CZ12" s="1"/>
  <c r="CY11"/>
  <c r="DC11" s="1"/>
  <c r="CX11"/>
  <c r="DB11" s="1"/>
  <c r="CW11"/>
  <c r="DA11" s="1"/>
  <c r="CV11"/>
  <c r="CZ11" s="1"/>
  <c r="CY10"/>
  <c r="DC10" s="1"/>
  <c r="CX10"/>
  <c r="DB10" s="1"/>
  <c r="CW10"/>
  <c r="DA10" s="1"/>
  <c r="CV10"/>
  <c r="CZ10" s="1"/>
  <c r="CY9"/>
  <c r="DC9" s="1"/>
  <c r="CX9"/>
  <c r="DB9" s="1"/>
  <c r="CW9"/>
  <c r="DA9" s="1"/>
  <c r="CV9"/>
  <c r="CZ9" s="1"/>
  <c r="CY8"/>
  <c r="DC8" s="1"/>
  <c r="CX8"/>
  <c r="DB8" s="1"/>
  <c r="CW8"/>
  <c r="DA8" s="1"/>
  <c r="CV8"/>
  <c r="CZ8" s="1"/>
  <c r="CJ12"/>
  <c r="DM12" s="1"/>
  <c r="CJ11"/>
  <c r="DM11" s="1"/>
  <c r="CJ10"/>
  <c r="DM10" s="1"/>
  <c r="CJ9"/>
  <c r="DM9" s="1"/>
  <c r="CJ8"/>
  <c r="DM8" s="1"/>
  <c r="BY72"/>
  <c r="BX72"/>
  <c r="CF72" s="1"/>
  <c r="BW72"/>
  <c r="CE72" s="1"/>
  <c r="BY71"/>
  <c r="BX71"/>
  <c r="CF71" s="1"/>
  <c r="BW71"/>
  <c r="CE71" s="1"/>
  <c r="BY70"/>
  <c r="BZ70" s="1"/>
  <c r="CA70" s="1"/>
  <c r="BX70"/>
  <c r="BW70"/>
  <c r="CE70" s="1"/>
  <c r="CE69"/>
  <c r="BY69"/>
  <c r="BZ69" s="1"/>
  <c r="BX69"/>
  <c r="CF69" s="1"/>
  <c r="BW69"/>
  <c r="BY68"/>
  <c r="BX68"/>
  <c r="BW68"/>
  <c r="CE68" s="1"/>
  <c r="BY67"/>
  <c r="BX67"/>
  <c r="CF67" s="1"/>
  <c r="BW67"/>
  <c r="CE67" s="1"/>
  <c r="BY66"/>
  <c r="BZ66" s="1"/>
  <c r="CA66" s="1"/>
  <c r="BX66"/>
  <c r="BW66"/>
  <c r="CE66" s="1"/>
  <c r="CE65"/>
  <c r="BY65"/>
  <c r="BZ65" s="1"/>
  <c r="BX65"/>
  <c r="CF65" s="1"/>
  <c r="BW65"/>
  <c r="BY64"/>
  <c r="BX64"/>
  <c r="BW64"/>
  <c r="CE64" s="1"/>
  <c r="BY63"/>
  <c r="BX63"/>
  <c r="CF63" s="1"/>
  <c r="BW63"/>
  <c r="CE63" s="1"/>
  <c r="BY62"/>
  <c r="BZ62" s="1"/>
  <c r="CA62" s="1"/>
  <c r="BX62"/>
  <c r="BW62"/>
  <c r="CE62" s="1"/>
  <c r="BY61"/>
  <c r="BX61"/>
  <c r="CF61" s="1"/>
  <c r="BW61"/>
  <c r="CE61" s="1"/>
  <c r="BY60"/>
  <c r="BX60"/>
  <c r="BW60"/>
  <c r="CE60" s="1"/>
  <c r="BY59"/>
  <c r="BX59"/>
  <c r="BW59"/>
  <c r="CE59" s="1"/>
  <c r="BY58"/>
  <c r="BX58"/>
  <c r="CF58" s="1"/>
  <c r="BW58"/>
  <c r="CE58" s="1"/>
  <c r="BY57"/>
  <c r="BX57"/>
  <c r="CF57" s="1"/>
  <c r="BW57"/>
  <c r="CE57" s="1"/>
  <c r="BY56"/>
  <c r="BX56"/>
  <c r="BW56"/>
  <c r="CE56" s="1"/>
  <c r="BY55"/>
  <c r="BX55"/>
  <c r="CF55" s="1"/>
  <c r="BW55"/>
  <c r="CE55" s="1"/>
  <c r="BY54"/>
  <c r="BX54"/>
  <c r="BW54"/>
  <c r="CE54" s="1"/>
  <c r="CE53"/>
  <c r="BY53"/>
  <c r="BZ53" s="1"/>
  <c r="CA53" s="1"/>
  <c r="BX53"/>
  <c r="CF53" s="1"/>
  <c r="BW53"/>
  <c r="BY52"/>
  <c r="BX52"/>
  <c r="BW52"/>
  <c r="CE52" s="1"/>
  <c r="BY51"/>
  <c r="BX51"/>
  <c r="CF51" s="1"/>
  <c r="BW51"/>
  <c r="CE51" s="1"/>
  <c r="BY50"/>
  <c r="BX50"/>
  <c r="BW50"/>
  <c r="CE50" s="1"/>
  <c r="BY49"/>
  <c r="BX49"/>
  <c r="CF49" s="1"/>
  <c r="BW49"/>
  <c r="CE49" s="1"/>
  <c r="BY48"/>
  <c r="BX48"/>
  <c r="BW48"/>
  <c r="CE48" s="1"/>
  <c r="BY47"/>
  <c r="BX47"/>
  <c r="BW47"/>
  <c r="CE47" s="1"/>
  <c r="BY46"/>
  <c r="BX46"/>
  <c r="BW46"/>
  <c r="CE46" s="1"/>
  <c r="BY45"/>
  <c r="BX45"/>
  <c r="BW45"/>
  <c r="CE45" s="1"/>
  <c r="BY44"/>
  <c r="BX44"/>
  <c r="BW44"/>
  <c r="CE44" s="1"/>
  <c r="BY43"/>
  <c r="BX43"/>
  <c r="BW43"/>
  <c r="CE43" s="1"/>
  <c r="BY42"/>
  <c r="BX42"/>
  <c r="BW42"/>
  <c r="CE42" s="1"/>
  <c r="BY41"/>
  <c r="BX41"/>
  <c r="BW41"/>
  <c r="CE41" s="1"/>
  <c r="BY40"/>
  <c r="BX40"/>
  <c r="BW40"/>
  <c r="CE40" s="1"/>
  <c r="BY39"/>
  <c r="BX39"/>
  <c r="BW39"/>
  <c r="CE39" s="1"/>
  <c r="BY38"/>
  <c r="BX38"/>
  <c r="BW38"/>
  <c r="CE38" s="1"/>
  <c r="BK72"/>
  <c r="BJ72"/>
  <c r="BI72"/>
  <c r="BH72"/>
  <c r="BK71"/>
  <c r="BJ71"/>
  <c r="BI71"/>
  <c r="BH71"/>
  <c r="BK70"/>
  <c r="BJ70"/>
  <c r="BI70"/>
  <c r="BH70"/>
  <c r="BK69"/>
  <c r="BJ69"/>
  <c r="BI69"/>
  <c r="BH69"/>
  <c r="BK68"/>
  <c r="BJ68"/>
  <c r="BI68"/>
  <c r="BH68"/>
  <c r="BK67"/>
  <c r="BJ67"/>
  <c r="BI67"/>
  <c r="BH67"/>
  <c r="BK66"/>
  <c r="BJ66"/>
  <c r="BI66"/>
  <c r="BH66"/>
  <c r="BK65"/>
  <c r="BJ65"/>
  <c r="BI65"/>
  <c r="BH65"/>
  <c r="BK64"/>
  <c r="BJ64"/>
  <c r="BI64"/>
  <c r="BH64"/>
  <c r="BK63"/>
  <c r="BJ63"/>
  <c r="BI63"/>
  <c r="BH63"/>
  <c r="BK62"/>
  <c r="BJ62"/>
  <c r="BI62"/>
  <c r="BH62"/>
  <c r="BK61"/>
  <c r="BJ61"/>
  <c r="BI61"/>
  <c r="BH61"/>
  <c r="BK60"/>
  <c r="BJ60"/>
  <c r="BI60"/>
  <c r="BH60"/>
  <c r="BK59"/>
  <c r="BJ59"/>
  <c r="BI59"/>
  <c r="BH59"/>
  <c r="BK58"/>
  <c r="BJ58"/>
  <c r="BI58"/>
  <c r="BH58"/>
  <c r="BK57"/>
  <c r="BJ57"/>
  <c r="BI57"/>
  <c r="BH57"/>
  <c r="BK56"/>
  <c r="BJ56"/>
  <c r="BI56"/>
  <c r="BH56"/>
  <c r="BK55"/>
  <c r="BJ55"/>
  <c r="BI55"/>
  <c r="BH55"/>
  <c r="BK54"/>
  <c r="BJ54"/>
  <c r="BI54"/>
  <c r="BH54"/>
  <c r="BK53"/>
  <c r="BJ53"/>
  <c r="BI53"/>
  <c r="BH53"/>
  <c r="BK52"/>
  <c r="BJ52"/>
  <c r="BI52"/>
  <c r="BH52"/>
  <c r="BK51"/>
  <c r="BJ51"/>
  <c r="BI51"/>
  <c r="BH51"/>
  <c r="BK50"/>
  <c r="BJ50"/>
  <c r="BI50"/>
  <c r="BH50"/>
  <c r="BK49"/>
  <c r="BJ49"/>
  <c r="BI49"/>
  <c r="BH49"/>
  <c r="BK48"/>
  <c r="BJ48"/>
  <c r="BI48"/>
  <c r="BH48"/>
  <c r="BK47"/>
  <c r="BJ47"/>
  <c r="BI47"/>
  <c r="BH47"/>
  <c r="BK46"/>
  <c r="BJ46"/>
  <c r="BI46"/>
  <c r="BH46"/>
  <c r="BK45"/>
  <c r="BJ45"/>
  <c r="BI45"/>
  <c r="BH45"/>
  <c r="BK44"/>
  <c r="BJ44"/>
  <c r="BI44"/>
  <c r="BH44"/>
  <c r="BK43"/>
  <c r="BJ43"/>
  <c r="BI43"/>
  <c r="BH43"/>
  <c r="BK42"/>
  <c r="BJ42"/>
  <c r="BI42"/>
  <c r="BH42"/>
  <c r="BK41"/>
  <c r="BJ41"/>
  <c r="BI41"/>
  <c r="BH41"/>
  <c r="BK40"/>
  <c r="BJ40"/>
  <c r="BI40"/>
  <c r="BH40"/>
  <c r="BK39"/>
  <c r="BJ39"/>
  <c r="BI39"/>
  <c r="BH39"/>
  <c r="BK38"/>
  <c r="BJ38"/>
  <c r="BI38"/>
  <c r="BH38"/>
  <c r="AV72"/>
  <c r="CD72" s="1"/>
  <c r="AV71"/>
  <c r="CD71" s="1"/>
  <c r="AV70"/>
  <c r="CD70" s="1"/>
  <c r="AV69"/>
  <c r="CD69" s="1"/>
  <c r="AV68"/>
  <c r="CD68" s="1"/>
  <c r="AV67"/>
  <c r="CD67" s="1"/>
  <c r="AV66"/>
  <c r="CD66" s="1"/>
  <c r="AV65"/>
  <c r="CD65" s="1"/>
  <c r="AV64"/>
  <c r="CD64" s="1"/>
  <c r="AV63"/>
  <c r="CD63" s="1"/>
  <c r="AV62"/>
  <c r="CD62" s="1"/>
  <c r="AV61"/>
  <c r="CD61" s="1"/>
  <c r="AV60"/>
  <c r="CD60" s="1"/>
  <c r="AV59"/>
  <c r="CD59" s="1"/>
  <c r="AV58"/>
  <c r="CD58" s="1"/>
  <c r="AV57"/>
  <c r="CD57" s="1"/>
  <c r="AV56"/>
  <c r="CD56" s="1"/>
  <c r="AV55"/>
  <c r="CD55" s="1"/>
  <c r="AV54"/>
  <c r="CD54" s="1"/>
  <c r="AV53"/>
  <c r="CD53" s="1"/>
  <c r="AV52"/>
  <c r="CD52" s="1"/>
  <c r="AV51"/>
  <c r="CD51" s="1"/>
  <c r="AV50"/>
  <c r="CD50" s="1"/>
  <c r="AV49"/>
  <c r="CD49" s="1"/>
  <c r="AV48"/>
  <c r="CD48" s="1"/>
  <c r="AV47"/>
  <c r="CD47" s="1"/>
  <c r="AV46"/>
  <c r="CD46" s="1"/>
  <c r="AV45"/>
  <c r="CD45" s="1"/>
  <c r="AV44"/>
  <c r="CD44" s="1"/>
  <c r="AV43"/>
  <c r="CD43" s="1"/>
  <c r="AV42"/>
  <c r="CD42" s="1"/>
  <c r="AV41"/>
  <c r="CD41" s="1"/>
  <c r="AV40"/>
  <c r="CD40" s="1"/>
  <c r="AV39"/>
  <c r="CD39" s="1"/>
  <c r="AV38"/>
  <c r="CD38" s="1"/>
  <c r="AI177"/>
  <c r="AE177"/>
  <c r="AD177"/>
  <c r="AF177" s="1"/>
  <c r="AI176"/>
  <c r="AJ176" s="1"/>
  <c r="AE176"/>
  <c r="AD176"/>
  <c r="AF176" s="1"/>
  <c r="AI175"/>
  <c r="AK175" s="1"/>
  <c r="AL175" s="1"/>
  <c r="AE175"/>
  <c r="AD175"/>
  <c r="AF175" s="1"/>
  <c r="AI174"/>
  <c r="AF174"/>
  <c r="AE174"/>
  <c r="AD174"/>
  <c r="AI173"/>
  <c r="AJ173" s="1"/>
  <c r="AE173"/>
  <c r="AD173"/>
  <c r="AF173" s="1"/>
  <c r="AI172"/>
  <c r="AE172"/>
  <c r="AD172"/>
  <c r="AF172" s="1"/>
  <c r="AI171"/>
  <c r="AJ171" s="1"/>
  <c r="AE171"/>
  <c r="AD171"/>
  <c r="AF171" s="1"/>
  <c r="AI170"/>
  <c r="AK170" s="1"/>
  <c r="AL170" s="1"/>
  <c r="AE170"/>
  <c r="AD170"/>
  <c r="AF170" s="1"/>
  <c r="AI169"/>
  <c r="AJ169" s="1"/>
  <c r="AE169"/>
  <c r="AD169"/>
  <c r="AF169" s="1"/>
  <c r="AI168"/>
  <c r="AJ168" s="1"/>
  <c r="AE168"/>
  <c r="AD168"/>
  <c r="AF168" s="1"/>
  <c r="AI167"/>
  <c r="AE167"/>
  <c r="AD167"/>
  <c r="AF167" s="1"/>
  <c r="AI166"/>
  <c r="AJ166" s="1"/>
  <c r="AE166"/>
  <c r="AD166"/>
  <c r="AF166" s="1"/>
  <c r="AI165"/>
  <c r="AJ165" s="1"/>
  <c r="AE165"/>
  <c r="AD165"/>
  <c r="AF165" s="1"/>
  <c r="AI164"/>
  <c r="AE164"/>
  <c r="AD164"/>
  <c r="AF164" s="1"/>
  <c r="AI163"/>
  <c r="AJ163" s="1"/>
  <c r="AE163"/>
  <c r="AD163"/>
  <c r="AF163" s="1"/>
  <c r="AI162"/>
  <c r="AE162"/>
  <c r="AD162"/>
  <c r="AF162" s="1"/>
  <c r="AI161"/>
  <c r="AJ161" s="1"/>
  <c r="AE161"/>
  <c r="AD161"/>
  <c r="AF161" s="1"/>
  <c r="AI160"/>
  <c r="AJ160" s="1"/>
  <c r="AE160"/>
  <c r="AD160"/>
  <c r="AF160" s="1"/>
  <c r="AI159"/>
  <c r="AE159"/>
  <c r="AD159"/>
  <c r="AF159" s="1"/>
  <c r="AI158"/>
  <c r="AJ158" s="1"/>
  <c r="AE158"/>
  <c r="AD158"/>
  <c r="AF158" s="1"/>
  <c r="AI157"/>
  <c r="AE157"/>
  <c r="AD157"/>
  <c r="AF157" s="1"/>
  <c r="AI156"/>
  <c r="AE156"/>
  <c r="AD156"/>
  <c r="AF156" s="1"/>
  <c r="AI155"/>
  <c r="AJ155" s="1"/>
  <c r="AE155"/>
  <c r="AD155"/>
  <c r="AF155" s="1"/>
  <c r="AI154"/>
  <c r="AE154"/>
  <c r="AD154"/>
  <c r="AF154" s="1"/>
  <c r="AI153"/>
  <c r="AJ153" s="1"/>
  <c r="AE153"/>
  <c r="AD153"/>
  <c r="AF153" s="1"/>
  <c r="AI152"/>
  <c r="AJ152" s="1"/>
  <c r="AE152"/>
  <c r="AD152"/>
  <c r="AF152" s="1"/>
  <c r="AI151"/>
  <c r="AE151"/>
  <c r="AD151"/>
  <c r="AF151" s="1"/>
  <c r="AI150"/>
  <c r="AJ150" s="1"/>
  <c r="AE150"/>
  <c r="AD150"/>
  <c r="AF150" s="1"/>
  <c r="AI149"/>
  <c r="AE149"/>
  <c r="AD149"/>
  <c r="AF149" s="1"/>
  <c r="AJ148"/>
  <c r="AI148"/>
  <c r="AE148"/>
  <c r="AD148"/>
  <c r="AF148" s="1"/>
  <c r="AI147"/>
  <c r="AJ147" s="1"/>
  <c r="AE147"/>
  <c r="AD147"/>
  <c r="AF147" s="1"/>
  <c r="AI146"/>
  <c r="AJ146" s="1"/>
  <c r="AE146"/>
  <c r="AD146"/>
  <c r="AF146" s="1"/>
  <c r="AI145"/>
  <c r="AE145"/>
  <c r="AD145"/>
  <c r="AF145" s="1"/>
  <c r="AI144"/>
  <c r="AJ144" s="1"/>
  <c r="AE144"/>
  <c r="AD144"/>
  <c r="AF144" s="1"/>
  <c r="AI143"/>
  <c r="AJ143" s="1"/>
  <c r="AE143"/>
  <c r="AD143"/>
  <c r="AF143" s="1"/>
  <c r="AI142"/>
  <c r="AJ142" s="1"/>
  <c r="AE142"/>
  <c r="AD142"/>
  <c r="AF142" s="1"/>
  <c r="AI141"/>
  <c r="AE141"/>
  <c r="AD141"/>
  <c r="AF141" s="1"/>
  <c r="AI140"/>
  <c r="AJ140" s="1"/>
  <c r="AE140"/>
  <c r="AD140"/>
  <c r="AI139"/>
  <c r="AJ139" s="1"/>
  <c r="AE139"/>
  <c r="AD139"/>
  <c r="AF139" s="1"/>
  <c r="AI138"/>
  <c r="AJ138" s="1"/>
  <c r="AE138"/>
  <c r="AD138"/>
  <c r="AF138" s="1"/>
  <c r="AI137"/>
  <c r="AE137"/>
  <c r="AD137"/>
  <c r="AF137" s="1"/>
  <c r="AI136"/>
  <c r="AJ136" s="1"/>
  <c r="AE136"/>
  <c r="AD136"/>
  <c r="AF136" s="1"/>
  <c r="AI135"/>
  <c r="AJ135" s="1"/>
  <c r="AE135"/>
  <c r="AD135"/>
  <c r="AF135" s="1"/>
  <c r="AI134"/>
  <c r="AJ134" s="1"/>
  <c r="AE134"/>
  <c r="AD134"/>
  <c r="AF134" s="1"/>
  <c r="AI133"/>
  <c r="AE133"/>
  <c r="AD133"/>
  <c r="AF133" s="1"/>
  <c r="AI132"/>
  <c r="AJ132" s="1"/>
  <c r="AE132"/>
  <c r="AD132"/>
  <c r="AI131"/>
  <c r="AJ131" s="1"/>
  <c r="AE131"/>
  <c r="AD131"/>
  <c r="AF131" s="1"/>
  <c r="AI130"/>
  <c r="AJ130" s="1"/>
  <c r="AE130"/>
  <c r="AD130"/>
  <c r="AF130" s="1"/>
  <c r="AI129"/>
  <c r="AE129"/>
  <c r="AD129"/>
  <c r="AF129" s="1"/>
  <c r="AI128"/>
  <c r="AE128"/>
  <c r="AD128"/>
  <c r="AF128" s="1"/>
  <c r="AI127"/>
  <c r="AJ127" s="1"/>
  <c r="AE127"/>
  <c r="AD127"/>
  <c r="AF127" s="1"/>
  <c r="AI126"/>
  <c r="AJ126" s="1"/>
  <c r="AE126"/>
  <c r="AD126"/>
  <c r="AF126" s="1"/>
  <c r="AI125"/>
  <c r="AK125" s="1"/>
  <c r="AL125" s="1"/>
  <c r="AF125"/>
  <c r="AE125"/>
  <c r="AD125"/>
  <c r="AI124"/>
  <c r="AJ124" s="1"/>
  <c r="AE124"/>
  <c r="AD124"/>
  <c r="AI123"/>
  <c r="AJ123" s="1"/>
  <c r="AE123"/>
  <c r="AD123"/>
  <c r="AF123" s="1"/>
  <c r="AI122"/>
  <c r="AJ122" s="1"/>
  <c r="AE122"/>
  <c r="AD122"/>
  <c r="AF122" s="1"/>
  <c r="AI121"/>
  <c r="AE121"/>
  <c r="AD121"/>
  <c r="AF121" s="1"/>
  <c r="AI120"/>
  <c r="AK120" s="1"/>
  <c r="AL120" s="1"/>
  <c r="AE120"/>
  <c r="AD120"/>
  <c r="AF120" s="1"/>
  <c r="AI119"/>
  <c r="AJ119" s="1"/>
  <c r="AE119"/>
  <c r="AD119"/>
  <c r="AF119" s="1"/>
  <c r="AI118"/>
  <c r="AJ118" s="1"/>
  <c r="AE118"/>
  <c r="AD118"/>
  <c r="AF118" s="1"/>
  <c r="AI117"/>
  <c r="AK117" s="1"/>
  <c r="AL117" s="1"/>
  <c r="AE117"/>
  <c r="AD117"/>
  <c r="AF117" s="1"/>
  <c r="AI116"/>
  <c r="AE116"/>
  <c r="AD116"/>
  <c r="AF116" s="1"/>
  <c r="AI115"/>
  <c r="AJ115" s="1"/>
  <c r="AE115"/>
  <c r="AD115"/>
  <c r="AF115" s="1"/>
  <c r="AI114"/>
  <c r="AJ114" s="1"/>
  <c r="AE114"/>
  <c r="AD114"/>
  <c r="AF114" s="1"/>
  <c r="AI113"/>
  <c r="AE113"/>
  <c r="AD113"/>
  <c r="AF113" s="1"/>
  <c r="AI112"/>
  <c r="AE112"/>
  <c r="AD112"/>
  <c r="AF112" s="1"/>
  <c r="AI111"/>
  <c r="AJ111" s="1"/>
  <c r="AE111"/>
  <c r="AD111"/>
  <c r="AF111" s="1"/>
  <c r="AI110"/>
  <c r="AJ110" s="1"/>
  <c r="AE110"/>
  <c r="AD110"/>
  <c r="AF110" s="1"/>
  <c r="AI109"/>
  <c r="AE109"/>
  <c r="AD109"/>
  <c r="AF109" s="1"/>
  <c r="AI108"/>
  <c r="AK108" s="1"/>
  <c r="AL108" s="1"/>
  <c r="AE108"/>
  <c r="AD108"/>
  <c r="AF108" s="1"/>
  <c r="AI107"/>
  <c r="AJ107" s="1"/>
  <c r="AE107"/>
  <c r="AD107"/>
  <c r="AF107" s="1"/>
  <c r="AI106"/>
  <c r="AJ106" s="1"/>
  <c r="AE106"/>
  <c r="AD106"/>
  <c r="AF106" s="1"/>
  <c r="AI105"/>
  <c r="AE105"/>
  <c r="AD105"/>
  <c r="AF105" s="1"/>
  <c r="AI104"/>
  <c r="AJ104" s="1"/>
  <c r="AE104"/>
  <c r="AD104"/>
  <c r="AF104" s="1"/>
  <c r="AI103"/>
  <c r="AE103"/>
  <c r="AD103"/>
  <c r="AF103" s="1"/>
  <c r="U998"/>
  <c r="T998"/>
  <c r="S998"/>
  <c r="N998"/>
  <c r="R998" s="1"/>
  <c r="M998"/>
  <c r="Q998" s="1"/>
  <c r="L998"/>
  <c r="P998" s="1"/>
  <c r="K998"/>
  <c r="O998" s="1"/>
  <c r="U997"/>
  <c r="T997"/>
  <c r="S997"/>
  <c r="N997"/>
  <c r="R997" s="1"/>
  <c r="M997"/>
  <c r="Q997" s="1"/>
  <c r="L997"/>
  <c r="P997" s="1"/>
  <c r="K997"/>
  <c r="O997" s="1"/>
  <c r="U996"/>
  <c r="T996"/>
  <c r="S996"/>
  <c r="N996"/>
  <c r="R996" s="1"/>
  <c r="M996"/>
  <c r="Q996" s="1"/>
  <c r="L996"/>
  <c r="P996" s="1"/>
  <c r="K996"/>
  <c r="O996" s="1"/>
  <c r="U995"/>
  <c r="T995"/>
  <c r="S995"/>
  <c r="N995"/>
  <c r="R995" s="1"/>
  <c r="M995"/>
  <c r="Q995" s="1"/>
  <c r="L995"/>
  <c r="P995" s="1"/>
  <c r="K995"/>
  <c r="O995" s="1"/>
  <c r="U994"/>
  <c r="T994"/>
  <c r="S994"/>
  <c r="N994"/>
  <c r="R994" s="1"/>
  <c r="M994"/>
  <c r="Q994" s="1"/>
  <c r="L994"/>
  <c r="P994" s="1"/>
  <c r="K994"/>
  <c r="O994" s="1"/>
  <c r="U993"/>
  <c r="T993"/>
  <c r="S993"/>
  <c r="N993"/>
  <c r="R993" s="1"/>
  <c r="M993"/>
  <c r="Q993" s="1"/>
  <c r="L993"/>
  <c r="P993" s="1"/>
  <c r="K993"/>
  <c r="O993" s="1"/>
  <c r="U992"/>
  <c r="T992"/>
  <c r="S992"/>
  <c r="N992"/>
  <c r="R992" s="1"/>
  <c r="M992"/>
  <c r="Q992" s="1"/>
  <c r="L992"/>
  <c r="P992" s="1"/>
  <c r="K992"/>
  <c r="O992" s="1"/>
  <c r="U991"/>
  <c r="T991"/>
  <c r="S991"/>
  <c r="N991"/>
  <c r="R991" s="1"/>
  <c r="M991"/>
  <c r="Q991" s="1"/>
  <c r="L991"/>
  <c r="P991" s="1"/>
  <c r="K991"/>
  <c r="O991" s="1"/>
  <c r="U990"/>
  <c r="T990"/>
  <c r="S990"/>
  <c r="N990"/>
  <c r="R990" s="1"/>
  <c r="M990"/>
  <c r="Q990" s="1"/>
  <c r="L990"/>
  <c r="P990" s="1"/>
  <c r="K990"/>
  <c r="O990" s="1"/>
  <c r="U989"/>
  <c r="T989"/>
  <c r="S989"/>
  <c r="N989"/>
  <c r="R989" s="1"/>
  <c r="M989"/>
  <c r="Q989" s="1"/>
  <c r="L989"/>
  <c r="P989" s="1"/>
  <c r="K989"/>
  <c r="O989" s="1"/>
  <c r="U988"/>
  <c r="T988"/>
  <c r="S988"/>
  <c r="N988"/>
  <c r="R988" s="1"/>
  <c r="M988"/>
  <c r="Q988" s="1"/>
  <c r="L988"/>
  <c r="P988" s="1"/>
  <c r="K988"/>
  <c r="O988" s="1"/>
  <c r="U987"/>
  <c r="T987"/>
  <c r="S987"/>
  <c r="N987"/>
  <c r="R987" s="1"/>
  <c r="M987"/>
  <c r="Q987" s="1"/>
  <c r="L987"/>
  <c r="P987" s="1"/>
  <c r="K987"/>
  <c r="O987" s="1"/>
  <c r="U986"/>
  <c r="T986"/>
  <c r="S986"/>
  <c r="N986"/>
  <c r="R986" s="1"/>
  <c r="M986"/>
  <c r="Q986" s="1"/>
  <c r="L986"/>
  <c r="P986" s="1"/>
  <c r="K986"/>
  <c r="O986" s="1"/>
  <c r="U985"/>
  <c r="T985"/>
  <c r="S985"/>
  <c r="N985"/>
  <c r="R985" s="1"/>
  <c r="M985"/>
  <c r="Q985" s="1"/>
  <c r="L985"/>
  <c r="P985" s="1"/>
  <c r="K985"/>
  <c r="O985" s="1"/>
  <c r="U984"/>
  <c r="T984"/>
  <c r="S984"/>
  <c r="N984"/>
  <c r="R984" s="1"/>
  <c r="M984"/>
  <c r="Q984" s="1"/>
  <c r="L984"/>
  <c r="P984" s="1"/>
  <c r="K984"/>
  <c r="O984" s="1"/>
  <c r="U983"/>
  <c r="T983"/>
  <c r="S983"/>
  <c r="N983"/>
  <c r="R983" s="1"/>
  <c r="M983"/>
  <c r="Q983" s="1"/>
  <c r="L983"/>
  <c r="P983" s="1"/>
  <c r="K983"/>
  <c r="O983" s="1"/>
  <c r="U982"/>
  <c r="T982"/>
  <c r="S982"/>
  <c r="N982"/>
  <c r="R982" s="1"/>
  <c r="M982"/>
  <c r="Q982" s="1"/>
  <c r="L982"/>
  <c r="P982" s="1"/>
  <c r="K982"/>
  <c r="O982" s="1"/>
  <c r="U981"/>
  <c r="T981"/>
  <c r="S981"/>
  <c r="N981"/>
  <c r="R981" s="1"/>
  <c r="M981"/>
  <c r="Q981" s="1"/>
  <c r="L981"/>
  <c r="P981" s="1"/>
  <c r="K981"/>
  <c r="O981" s="1"/>
  <c r="U980"/>
  <c r="T980"/>
  <c r="S980"/>
  <c r="N980"/>
  <c r="R980" s="1"/>
  <c r="M980"/>
  <c r="Q980" s="1"/>
  <c r="L980"/>
  <c r="P980" s="1"/>
  <c r="K980"/>
  <c r="O980" s="1"/>
  <c r="U979"/>
  <c r="T979"/>
  <c r="S979"/>
  <c r="N979"/>
  <c r="R979" s="1"/>
  <c r="M979"/>
  <c r="Q979" s="1"/>
  <c r="L979"/>
  <c r="P979" s="1"/>
  <c r="K979"/>
  <c r="O979" s="1"/>
  <c r="U978"/>
  <c r="T978"/>
  <c r="S978"/>
  <c r="N978"/>
  <c r="R978" s="1"/>
  <c r="M978"/>
  <c r="Q978" s="1"/>
  <c r="L978"/>
  <c r="P978" s="1"/>
  <c r="K978"/>
  <c r="O978" s="1"/>
  <c r="U977"/>
  <c r="T977"/>
  <c r="S977"/>
  <c r="N977"/>
  <c r="R977" s="1"/>
  <c r="M977"/>
  <c r="Q977" s="1"/>
  <c r="L977"/>
  <c r="P977" s="1"/>
  <c r="K977"/>
  <c r="O977" s="1"/>
  <c r="U976"/>
  <c r="T976"/>
  <c r="S976"/>
  <c r="N976"/>
  <c r="R976" s="1"/>
  <c r="M976"/>
  <c r="Q976" s="1"/>
  <c r="L976"/>
  <c r="P976" s="1"/>
  <c r="K976"/>
  <c r="O976" s="1"/>
  <c r="U975"/>
  <c r="T975"/>
  <c r="S975"/>
  <c r="N975"/>
  <c r="R975" s="1"/>
  <c r="M975"/>
  <c r="Q975" s="1"/>
  <c r="L975"/>
  <c r="P975" s="1"/>
  <c r="K975"/>
  <c r="O975" s="1"/>
  <c r="U974"/>
  <c r="T974"/>
  <c r="S974"/>
  <c r="N974"/>
  <c r="R974" s="1"/>
  <c r="M974"/>
  <c r="Q974" s="1"/>
  <c r="L974"/>
  <c r="P974" s="1"/>
  <c r="K974"/>
  <c r="O974" s="1"/>
  <c r="U973"/>
  <c r="T973"/>
  <c r="S973"/>
  <c r="N973"/>
  <c r="R973" s="1"/>
  <c r="M973"/>
  <c r="Q973" s="1"/>
  <c r="L973"/>
  <c r="P973" s="1"/>
  <c r="K973"/>
  <c r="O973" s="1"/>
  <c r="U972"/>
  <c r="T972"/>
  <c r="S972"/>
  <c r="N972"/>
  <c r="R972" s="1"/>
  <c r="M972"/>
  <c r="Q972" s="1"/>
  <c r="L972"/>
  <c r="P972" s="1"/>
  <c r="K972"/>
  <c r="O972" s="1"/>
  <c r="U971"/>
  <c r="T971"/>
  <c r="S971"/>
  <c r="N971"/>
  <c r="R971" s="1"/>
  <c r="M971"/>
  <c r="Q971" s="1"/>
  <c r="L971"/>
  <c r="P971" s="1"/>
  <c r="K971"/>
  <c r="O971" s="1"/>
  <c r="U970"/>
  <c r="T970"/>
  <c r="S970"/>
  <c r="N970"/>
  <c r="R970" s="1"/>
  <c r="M970"/>
  <c r="Q970" s="1"/>
  <c r="L970"/>
  <c r="P970" s="1"/>
  <c r="K970"/>
  <c r="O970" s="1"/>
  <c r="U969"/>
  <c r="T969"/>
  <c r="S969"/>
  <c r="N969"/>
  <c r="R969" s="1"/>
  <c r="M969"/>
  <c r="Q969" s="1"/>
  <c r="L969"/>
  <c r="P969" s="1"/>
  <c r="K969"/>
  <c r="O969" s="1"/>
  <c r="U968"/>
  <c r="T968"/>
  <c r="S968"/>
  <c r="N968"/>
  <c r="R968" s="1"/>
  <c r="M968"/>
  <c r="Q968" s="1"/>
  <c r="L968"/>
  <c r="P968" s="1"/>
  <c r="K968"/>
  <c r="O968" s="1"/>
  <c r="U967"/>
  <c r="T967"/>
  <c r="S967"/>
  <c r="N967"/>
  <c r="R967" s="1"/>
  <c r="M967"/>
  <c r="Q967" s="1"/>
  <c r="L967"/>
  <c r="P967" s="1"/>
  <c r="K967"/>
  <c r="O967" s="1"/>
  <c r="U966"/>
  <c r="T966"/>
  <c r="S966"/>
  <c r="N966"/>
  <c r="R966" s="1"/>
  <c r="M966"/>
  <c r="Q966" s="1"/>
  <c r="L966"/>
  <c r="P966" s="1"/>
  <c r="K966"/>
  <c r="O966" s="1"/>
  <c r="U965"/>
  <c r="T965"/>
  <c r="S965"/>
  <c r="N965"/>
  <c r="R965" s="1"/>
  <c r="M965"/>
  <c r="Q965" s="1"/>
  <c r="L965"/>
  <c r="P965" s="1"/>
  <c r="K965"/>
  <c r="O965" s="1"/>
  <c r="U964"/>
  <c r="T964"/>
  <c r="S964"/>
  <c r="N964"/>
  <c r="R964" s="1"/>
  <c r="M964"/>
  <c r="Q964" s="1"/>
  <c r="L964"/>
  <c r="P964" s="1"/>
  <c r="K964"/>
  <c r="O964" s="1"/>
  <c r="U963"/>
  <c r="T963"/>
  <c r="S963"/>
  <c r="N963"/>
  <c r="R963" s="1"/>
  <c r="M963"/>
  <c r="Q963" s="1"/>
  <c r="L963"/>
  <c r="P963" s="1"/>
  <c r="K963"/>
  <c r="O963" s="1"/>
  <c r="U962"/>
  <c r="T962"/>
  <c r="S962"/>
  <c r="N962"/>
  <c r="R962" s="1"/>
  <c r="M962"/>
  <c r="Q962" s="1"/>
  <c r="L962"/>
  <c r="P962" s="1"/>
  <c r="K962"/>
  <c r="O962" s="1"/>
  <c r="U961"/>
  <c r="T961"/>
  <c r="S961"/>
  <c r="N961"/>
  <c r="R961" s="1"/>
  <c r="M961"/>
  <c r="Q961" s="1"/>
  <c r="L961"/>
  <c r="P961" s="1"/>
  <c r="K961"/>
  <c r="O961" s="1"/>
  <c r="U960"/>
  <c r="T960"/>
  <c r="S960"/>
  <c r="N960"/>
  <c r="R960" s="1"/>
  <c r="M960"/>
  <c r="Q960" s="1"/>
  <c r="L960"/>
  <c r="P960" s="1"/>
  <c r="K960"/>
  <c r="O960" s="1"/>
  <c r="U959"/>
  <c r="T959"/>
  <c r="S959"/>
  <c r="N959"/>
  <c r="R959" s="1"/>
  <c r="M959"/>
  <c r="Q959" s="1"/>
  <c r="L959"/>
  <c r="P959" s="1"/>
  <c r="K959"/>
  <c r="O959" s="1"/>
  <c r="U958"/>
  <c r="T958"/>
  <c r="S958"/>
  <c r="N958"/>
  <c r="R958" s="1"/>
  <c r="M958"/>
  <c r="Q958" s="1"/>
  <c r="L958"/>
  <c r="P958" s="1"/>
  <c r="K958"/>
  <c r="O958" s="1"/>
  <c r="U957"/>
  <c r="T957"/>
  <c r="S957"/>
  <c r="N957"/>
  <c r="R957" s="1"/>
  <c r="M957"/>
  <c r="Q957" s="1"/>
  <c r="L957"/>
  <c r="P957" s="1"/>
  <c r="K957"/>
  <c r="O957" s="1"/>
  <c r="U956"/>
  <c r="T956"/>
  <c r="S956"/>
  <c r="N956"/>
  <c r="R956" s="1"/>
  <c r="M956"/>
  <c r="Q956" s="1"/>
  <c r="L956"/>
  <c r="P956" s="1"/>
  <c r="K956"/>
  <c r="O956" s="1"/>
  <c r="U955"/>
  <c r="T955"/>
  <c r="S955"/>
  <c r="N955"/>
  <c r="R955" s="1"/>
  <c r="M955"/>
  <c r="Q955" s="1"/>
  <c r="L955"/>
  <c r="P955" s="1"/>
  <c r="K955"/>
  <c r="O955" s="1"/>
  <c r="U954"/>
  <c r="T954"/>
  <c r="S954"/>
  <c r="N954"/>
  <c r="R954" s="1"/>
  <c r="M954"/>
  <c r="Q954" s="1"/>
  <c r="L954"/>
  <c r="P954" s="1"/>
  <c r="K954"/>
  <c r="O954" s="1"/>
  <c r="U953"/>
  <c r="T953"/>
  <c r="S953"/>
  <c r="N953"/>
  <c r="R953" s="1"/>
  <c r="M953"/>
  <c r="Q953" s="1"/>
  <c r="L953"/>
  <c r="P953" s="1"/>
  <c r="K953"/>
  <c r="O953" s="1"/>
  <c r="U952"/>
  <c r="T952"/>
  <c r="S952"/>
  <c r="N952"/>
  <c r="R952" s="1"/>
  <c r="M952"/>
  <c r="Q952" s="1"/>
  <c r="L952"/>
  <c r="P952" s="1"/>
  <c r="K952"/>
  <c r="O952" s="1"/>
  <c r="U951"/>
  <c r="T951"/>
  <c r="S951"/>
  <c r="N951"/>
  <c r="R951" s="1"/>
  <c r="M951"/>
  <c r="Q951" s="1"/>
  <c r="L951"/>
  <c r="P951" s="1"/>
  <c r="K951"/>
  <c r="O951" s="1"/>
  <c r="U950"/>
  <c r="T950"/>
  <c r="S950"/>
  <c r="N950"/>
  <c r="R950" s="1"/>
  <c r="M950"/>
  <c r="Q950" s="1"/>
  <c r="L950"/>
  <c r="P950" s="1"/>
  <c r="K950"/>
  <c r="O950" s="1"/>
  <c r="U949"/>
  <c r="T949"/>
  <c r="S949"/>
  <c r="N949"/>
  <c r="R949" s="1"/>
  <c r="M949"/>
  <c r="Q949" s="1"/>
  <c r="L949"/>
  <c r="P949" s="1"/>
  <c r="K949"/>
  <c r="O949" s="1"/>
  <c r="U948"/>
  <c r="T948"/>
  <c r="S948"/>
  <c r="N948"/>
  <c r="R948" s="1"/>
  <c r="M948"/>
  <c r="Q948" s="1"/>
  <c r="L948"/>
  <c r="P948" s="1"/>
  <c r="K948"/>
  <c r="O948" s="1"/>
  <c r="U947"/>
  <c r="T947"/>
  <c r="S947"/>
  <c r="N947"/>
  <c r="R947" s="1"/>
  <c r="M947"/>
  <c r="Q947" s="1"/>
  <c r="L947"/>
  <c r="P947" s="1"/>
  <c r="K947"/>
  <c r="O947" s="1"/>
  <c r="U946"/>
  <c r="T946"/>
  <c r="S946"/>
  <c r="N946"/>
  <c r="R946" s="1"/>
  <c r="M946"/>
  <c r="Q946" s="1"/>
  <c r="L946"/>
  <c r="P946" s="1"/>
  <c r="K946"/>
  <c r="O946" s="1"/>
  <c r="U945"/>
  <c r="T945"/>
  <c r="S945"/>
  <c r="N945"/>
  <c r="R945" s="1"/>
  <c r="M945"/>
  <c r="Q945" s="1"/>
  <c r="L945"/>
  <c r="P945" s="1"/>
  <c r="K945"/>
  <c r="O945" s="1"/>
  <c r="U944"/>
  <c r="T944"/>
  <c r="S944"/>
  <c r="N944"/>
  <c r="R944" s="1"/>
  <c r="M944"/>
  <c r="Q944" s="1"/>
  <c r="L944"/>
  <c r="P944" s="1"/>
  <c r="K944"/>
  <c r="O944" s="1"/>
  <c r="U943"/>
  <c r="T943"/>
  <c r="S943"/>
  <c r="N943"/>
  <c r="R943" s="1"/>
  <c r="M943"/>
  <c r="Q943" s="1"/>
  <c r="L943"/>
  <c r="P943" s="1"/>
  <c r="K943"/>
  <c r="O943" s="1"/>
  <c r="U942"/>
  <c r="T942"/>
  <c r="S942"/>
  <c r="N942"/>
  <c r="R942" s="1"/>
  <c r="M942"/>
  <c r="Q942" s="1"/>
  <c r="L942"/>
  <c r="P942" s="1"/>
  <c r="K942"/>
  <c r="O942" s="1"/>
  <c r="U941"/>
  <c r="T941"/>
  <c r="S941"/>
  <c r="N941"/>
  <c r="R941" s="1"/>
  <c r="M941"/>
  <c r="Q941" s="1"/>
  <c r="L941"/>
  <c r="P941" s="1"/>
  <c r="K941"/>
  <c r="O941" s="1"/>
  <c r="U940"/>
  <c r="T940"/>
  <c r="S940"/>
  <c r="N940"/>
  <c r="R940" s="1"/>
  <c r="M940"/>
  <c r="Q940" s="1"/>
  <c r="L940"/>
  <c r="P940" s="1"/>
  <c r="K940"/>
  <c r="O940" s="1"/>
  <c r="U939"/>
  <c r="T939"/>
  <c r="S939"/>
  <c r="N939"/>
  <c r="R939" s="1"/>
  <c r="M939"/>
  <c r="Q939" s="1"/>
  <c r="L939"/>
  <c r="P939" s="1"/>
  <c r="K939"/>
  <c r="O939" s="1"/>
  <c r="U938"/>
  <c r="T938"/>
  <c r="S938"/>
  <c r="N938"/>
  <c r="R938" s="1"/>
  <c r="M938"/>
  <c r="Q938" s="1"/>
  <c r="L938"/>
  <c r="P938" s="1"/>
  <c r="K938"/>
  <c r="O938" s="1"/>
  <c r="U937"/>
  <c r="T937"/>
  <c r="S937"/>
  <c r="N937"/>
  <c r="R937" s="1"/>
  <c r="M937"/>
  <c r="Q937" s="1"/>
  <c r="L937"/>
  <c r="P937" s="1"/>
  <c r="K937"/>
  <c r="O937" s="1"/>
  <c r="U936"/>
  <c r="T936"/>
  <c r="S936"/>
  <c r="N936"/>
  <c r="R936" s="1"/>
  <c r="M936"/>
  <c r="Q936" s="1"/>
  <c r="L936"/>
  <c r="P936" s="1"/>
  <c r="K936"/>
  <c r="O936" s="1"/>
  <c r="U935"/>
  <c r="T935"/>
  <c r="S935"/>
  <c r="N935"/>
  <c r="R935" s="1"/>
  <c r="M935"/>
  <c r="Q935" s="1"/>
  <c r="L935"/>
  <c r="P935" s="1"/>
  <c r="K935"/>
  <c r="O935" s="1"/>
  <c r="U934"/>
  <c r="T934"/>
  <c r="S934"/>
  <c r="N934"/>
  <c r="R934" s="1"/>
  <c r="M934"/>
  <c r="Q934" s="1"/>
  <c r="L934"/>
  <c r="P934" s="1"/>
  <c r="K934"/>
  <c r="O934" s="1"/>
  <c r="U933"/>
  <c r="T933"/>
  <c r="S933"/>
  <c r="N933"/>
  <c r="R933" s="1"/>
  <c r="M933"/>
  <c r="Q933" s="1"/>
  <c r="L933"/>
  <c r="P933" s="1"/>
  <c r="K933"/>
  <c r="O933" s="1"/>
  <c r="U932"/>
  <c r="T932"/>
  <c r="S932"/>
  <c r="N932"/>
  <c r="R932" s="1"/>
  <c r="M932"/>
  <c r="Q932" s="1"/>
  <c r="L932"/>
  <c r="P932" s="1"/>
  <c r="K932"/>
  <c r="O932" s="1"/>
  <c r="U931"/>
  <c r="T931"/>
  <c r="S931"/>
  <c r="N931"/>
  <c r="R931" s="1"/>
  <c r="M931"/>
  <c r="Q931" s="1"/>
  <c r="L931"/>
  <c r="P931" s="1"/>
  <c r="K931"/>
  <c r="O931" s="1"/>
  <c r="U930"/>
  <c r="T930"/>
  <c r="S930"/>
  <c r="N930"/>
  <c r="R930" s="1"/>
  <c r="M930"/>
  <c r="Q930" s="1"/>
  <c r="L930"/>
  <c r="P930" s="1"/>
  <c r="K930"/>
  <c r="O930" s="1"/>
  <c r="U929"/>
  <c r="T929"/>
  <c r="S929"/>
  <c r="N929"/>
  <c r="R929" s="1"/>
  <c r="M929"/>
  <c r="Q929" s="1"/>
  <c r="L929"/>
  <c r="P929" s="1"/>
  <c r="K929"/>
  <c r="O929" s="1"/>
  <c r="U928"/>
  <c r="T928"/>
  <c r="S928"/>
  <c r="N928"/>
  <c r="R928" s="1"/>
  <c r="M928"/>
  <c r="Q928" s="1"/>
  <c r="L928"/>
  <c r="P928" s="1"/>
  <c r="K928"/>
  <c r="O928" s="1"/>
  <c r="U927"/>
  <c r="T927"/>
  <c r="S927"/>
  <c r="N927"/>
  <c r="R927" s="1"/>
  <c r="M927"/>
  <c r="Q927" s="1"/>
  <c r="L927"/>
  <c r="P927" s="1"/>
  <c r="K927"/>
  <c r="O927" s="1"/>
  <c r="U926"/>
  <c r="T926"/>
  <c r="S926"/>
  <c r="N926"/>
  <c r="R926" s="1"/>
  <c r="M926"/>
  <c r="Q926" s="1"/>
  <c r="L926"/>
  <c r="P926" s="1"/>
  <c r="K926"/>
  <c r="O926" s="1"/>
  <c r="U925"/>
  <c r="T925"/>
  <c r="S925"/>
  <c r="N925"/>
  <c r="R925" s="1"/>
  <c r="M925"/>
  <c r="Q925" s="1"/>
  <c r="L925"/>
  <c r="P925" s="1"/>
  <c r="K925"/>
  <c r="O925" s="1"/>
  <c r="U924"/>
  <c r="T924"/>
  <c r="S924"/>
  <c r="N924"/>
  <c r="R924" s="1"/>
  <c r="M924"/>
  <c r="Q924" s="1"/>
  <c r="L924"/>
  <c r="P924" s="1"/>
  <c r="K924"/>
  <c r="O924" s="1"/>
  <c r="U923"/>
  <c r="T923"/>
  <c r="S923"/>
  <c r="N923"/>
  <c r="R923" s="1"/>
  <c r="M923"/>
  <c r="Q923" s="1"/>
  <c r="L923"/>
  <c r="P923" s="1"/>
  <c r="K923"/>
  <c r="O923" s="1"/>
  <c r="U922"/>
  <c r="T922"/>
  <c r="S922"/>
  <c r="N922"/>
  <c r="R922" s="1"/>
  <c r="M922"/>
  <c r="Q922" s="1"/>
  <c r="L922"/>
  <c r="P922" s="1"/>
  <c r="K922"/>
  <c r="O922" s="1"/>
  <c r="U921"/>
  <c r="T921"/>
  <c r="S921"/>
  <c r="N921"/>
  <c r="R921" s="1"/>
  <c r="M921"/>
  <c r="Q921" s="1"/>
  <c r="L921"/>
  <c r="P921" s="1"/>
  <c r="K921"/>
  <c r="O921" s="1"/>
  <c r="U920"/>
  <c r="T920"/>
  <c r="S920"/>
  <c r="N920"/>
  <c r="R920" s="1"/>
  <c r="M920"/>
  <c r="Q920" s="1"/>
  <c r="L920"/>
  <c r="P920" s="1"/>
  <c r="K920"/>
  <c r="O920" s="1"/>
  <c r="U919"/>
  <c r="T919"/>
  <c r="S919"/>
  <c r="N919"/>
  <c r="R919" s="1"/>
  <c r="M919"/>
  <c r="Q919" s="1"/>
  <c r="L919"/>
  <c r="P919" s="1"/>
  <c r="K919"/>
  <c r="O919" s="1"/>
  <c r="U918"/>
  <c r="T918"/>
  <c r="S918"/>
  <c r="N918"/>
  <c r="R918" s="1"/>
  <c r="M918"/>
  <c r="Q918" s="1"/>
  <c r="L918"/>
  <c r="P918" s="1"/>
  <c r="K918"/>
  <c r="O918" s="1"/>
  <c r="U917"/>
  <c r="T917"/>
  <c r="S917"/>
  <c r="N917"/>
  <c r="R917" s="1"/>
  <c r="M917"/>
  <c r="Q917" s="1"/>
  <c r="L917"/>
  <c r="P917" s="1"/>
  <c r="K917"/>
  <c r="O917" s="1"/>
  <c r="U916"/>
  <c r="T916"/>
  <c r="S916"/>
  <c r="N916"/>
  <c r="R916" s="1"/>
  <c r="M916"/>
  <c r="Q916" s="1"/>
  <c r="L916"/>
  <c r="P916" s="1"/>
  <c r="K916"/>
  <c r="O916" s="1"/>
  <c r="U915"/>
  <c r="T915"/>
  <c r="S915"/>
  <c r="N915"/>
  <c r="R915" s="1"/>
  <c r="M915"/>
  <c r="Q915" s="1"/>
  <c r="L915"/>
  <c r="P915" s="1"/>
  <c r="K915"/>
  <c r="O915" s="1"/>
  <c r="U914"/>
  <c r="T914"/>
  <c r="S914"/>
  <c r="N914"/>
  <c r="R914" s="1"/>
  <c r="M914"/>
  <c r="Q914" s="1"/>
  <c r="L914"/>
  <c r="P914" s="1"/>
  <c r="K914"/>
  <c r="O914" s="1"/>
  <c r="U913"/>
  <c r="T913"/>
  <c r="S913"/>
  <c r="N913"/>
  <c r="R913" s="1"/>
  <c r="M913"/>
  <c r="Q913" s="1"/>
  <c r="L913"/>
  <c r="P913" s="1"/>
  <c r="K913"/>
  <c r="O913" s="1"/>
  <c r="U912"/>
  <c r="T912"/>
  <c r="S912"/>
  <c r="N912"/>
  <c r="R912" s="1"/>
  <c r="M912"/>
  <c r="Q912" s="1"/>
  <c r="L912"/>
  <c r="P912" s="1"/>
  <c r="K912"/>
  <c r="O912" s="1"/>
  <c r="U911"/>
  <c r="T911"/>
  <c r="S911"/>
  <c r="N911"/>
  <c r="R911" s="1"/>
  <c r="M911"/>
  <c r="Q911" s="1"/>
  <c r="L911"/>
  <c r="P911" s="1"/>
  <c r="K911"/>
  <c r="O911" s="1"/>
  <c r="U910"/>
  <c r="T910"/>
  <c r="S910"/>
  <c r="N910"/>
  <c r="R910" s="1"/>
  <c r="M910"/>
  <c r="Q910" s="1"/>
  <c r="L910"/>
  <c r="P910" s="1"/>
  <c r="K910"/>
  <c r="O910" s="1"/>
  <c r="U909"/>
  <c r="T909"/>
  <c r="S909"/>
  <c r="N909"/>
  <c r="R909" s="1"/>
  <c r="M909"/>
  <c r="Q909" s="1"/>
  <c r="L909"/>
  <c r="P909" s="1"/>
  <c r="K909"/>
  <c r="O909" s="1"/>
  <c r="U908"/>
  <c r="T908"/>
  <c r="S908"/>
  <c r="N908"/>
  <c r="R908" s="1"/>
  <c r="M908"/>
  <c r="Q908" s="1"/>
  <c r="L908"/>
  <c r="P908" s="1"/>
  <c r="K908"/>
  <c r="O908" s="1"/>
  <c r="U907"/>
  <c r="T907"/>
  <c r="S907"/>
  <c r="N907"/>
  <c r="R907" s="1"/>
  <c r="M907"/>
  <c r="Q907" s="1"/>
  <c r="L907"/>
  <c r="P907" s="1"/>
  <c r="K907"/>
  <c r="O907" s="1"/>
  <c r="U906"/>
  <c r="T906"/>
  <c r="S906"/>
  <c r="N906"/>
  <c r="R906" s="1"/>
  <c r="M906"/>
  <c r="Q906" s="1"/>
  <c r="L906"/>
  <c r="P906" s="1"/>
  <c r="K906"/>
  <c r="O906" s="1"/>
  <c r="U905"/>
  <c r="T905"/>
  <c r="S905"/>
  <c r="N905"/>
  <c r="R905" s="1"/>
  <c r="M905"/>
  <c r="Q905" s="1"/>
  <c r="L905"/>
  <c r="P905" s="1"/>
  <c r="K905"/>
  <c r="O905" s="1"/>
  <c r="U904"/>
  <c r="T904"/>
  <c r="S904"/>
  <c r="N904"/>
  <c r="R904" s="1"/>
  <c r="M904"/>
  <c r="Q904" s="1"/>
  <c r="L904"/>
  <c r="P904" s="1"/>
  <c r="K904"/>
  <c r="O904" s="1"/>
  <c r="U903"/>
  <c r="T903"/>
  <c r="S903"/>
  <c r="N903"/>
  <c r="R903" s="1"/>
  <c r="M903"/>
  <c r="Q903" s="1"/>
  <c r="L903"/>
  <c r="P903" s="1"/>
  <c r="K903"/>
  <c r="O903" s="1"/>
  <c r="U902"/>
  <c r="T902"/>
  <c r="S902"/>
  <c r="N902"/>
  <c r="R902" s="1"/>
  <c r="M902"/>
  <c r="Q902" s="1"/>
  <c r="L902"/>
  <c r="P902" s="1"/>
  <c r="K902"/>
  <c r="O902" s="1"/>
  <c r="U901"/>
  <c r="T901"/>
  <c r="S901"/>
  <c r="N901"/>
  <c r="R901" s="1"/>
  <c r="M901"/>
  <c r="Q901" s="1"/>
  <c r="L901"/>
  <c r="P901" s="1"/>
  <c r="K901"/>
  <c r="O901" s="1"/>
  <c r="U900"/>
  <c r="T900"/>
  <c r="S900"/>
  <c r="N900"/>
  <c r="R900" s="1"/>
  <c r="M900"/>
  <c r="Q900" s="1"/>
  <c r="L900"/>
  <c r="P900" s="1"/>
  <c r="K900"/>
  <c r="O900" s="1"/>
  <c r="U899"/>
  <c r="T899"/>
  <c r="S899"/>
  <c r="N899"/>
  <c r="R899" s="1"/>
  <c r="M899"/>
  <c r="Q899" s="1"/>
  <c r="L899"/>
  <c r="P899" s="1"/>
  <c r="K899"/>
  <c r="O899" s="1"/>
  <c r="U898"/>
  <c r="T898"/>
  <c r="S898"/>
  <c r="N898"/>
  <c r="R898" s="1"/>
  <c r="M898"/>
  <c r="Q898" s="1"/>
  <c r="L898"/>
  <c r="P898" s="1"/>
  <c r="K898"/>
  <c r="O898" s="1"/>
  <c r="U897"/>
  <c r="T897"/>
  <c r="S897"/>
  <c r="N897"/>
  <c r="R897" s="1"/>
  <c r="M897"/>
  <c r="Q897" s="1"/>
  <c r="L897"/>
  <c r="P897" s="1"/>
  <c r="K897"/>
  <c r="O897" s="1"/>
  <c r="U896"/>
  <c r="T896"/>
  <c r="S896"/>
  <c r="N896"/>
  <c r="R896" s="1"/>
  <c r="M896"/>
  <c r="Q896" s="1"/>
  <c r="L896"/>
  <c r="P896" s="1"/>
  <c r="K896"/>
  <c r="O896" s="1"/>
  <c r="U895"/>
  <c r="T895"/>
  <c r="S895"/>
  <c r="N895"/>
  <c r="R895" s="1"/>
  <c r="M895"/>
  <c r="Q895" s="1"/>
  <c r="L895"/>
  <c r="P895" s="1"/>
  <c r="K895"/>
  <c r="O895" s="1"/>
  <c r="U894"/>
  <c r="T894"/>
  <c r="S894"/>
  <c r="N894"/>
  <c r="R894" s="1"/>
  <c r="M894"/>
  <c r="Q894" s="1"/>
  <c r="L894"/>
  <c r="P894" s="1"/>
  <c r="K894"/>
  <c r="O894" s="1"/>
  <c r="U893"/>
  <c r="T893"/>
  <c r="S893"/>
  <c r="N893"/>
  <c r="R893" s="1"/>
  <c r="M893"/>
  <c r="Q893" s="1"/>
  <c r="L893"/>
  <c r="P893" s="1"/>
  <c r="K893"/>
  <c r="O893" s="1"/>
  <c r="U892"/>
  <c r="T892"/>
  <c r="S892"/>
  <c r="N892"/>
  <c r="R892" s="1"/>
  <c r="M892"/>
  <c r="Q892" s="1"/>
  <c r="L892"/>
  <c r="P892" s="1"/>
  <c r="K892"/>
  <c r="O892" s="1"/>
  <c r="U891"/>
  <c r="T891"/>
  <c r="S891"/>
  <c r="N891"/>
  <c r="R891" s="1"/>
  <c r="M891"/>
  <c r="Q891" s="1"/>
  <c r="L891"/>
  <c r="P891" s="1"/>
  <c r="K891"/>
  <c r="O891" s="1"/>
  <c r="U890"/>
  <c r="T890"/>
  <c r="S890"/>
  <c r="N890"/>
  <c r="R890" s="1"/>
  <c r="M890"/>
  <c r="Q890" s="1"/>
  <c r="L890"/>
  <c r="P890" s="1"/>
  <c r="K890"/>
  <c r="O890" s="1"/>
  <c r="U889"/>
  <c r="T889"/>
  <c r="S889"/>
  <c r="N889"/>
  <c r="R889" s="1"/>
  <c r="M889"/>
  <c r="Q889" s="1"/>
  <c r="L889"/>
  <c r="P889" s="1"/>
  <c r="K889"/>
  <c r="O889" s="1"/>
  <c r="U888"/>
  <c r="T888"/>
  <c r="S888"/>
  <c r="N888"/>
  <c r="R888" s="1"/>
  <c r="M888"/>
  <c r="Q888" s="1"/>
  <c r="L888"/>
  <c r="P888" s="1"/>
  <c r="K888"/>
  <c r="O888" s="1"/>
  <c r="U887"/>
  <c r="T887"/>
  <c r="S887"/>
  <c r="N887"/>
  <c r="R887" s="1"/>
  <c r="M887"/>
  <c r="Q887" s="1"/>
  <c r="L887"/>
  <c r="P887" s="1"/>
  <c r="K887"/>
  <c r="O887" s="1"/>
  <c r="U886"/>
  <c r="T886"/>
  <c r="S886"/>
  <c r="N886"/>
  <c r="R886" s="1"/>
  <c r="M886"/>
  <c r="Q886" s="1"/>
  <c r="L886"/>
  <c r="P886" s="1"/>
  <c r="K886"/>
  <c r="O886" s="1"/>
  <c r="U885"/>
  <c r="T885"/>
  <c r="S885"/>
  <c r="N885"/>
  <c r="R885" s="1"/>
  <c r="M885"/>
  <c r="Q885" s="1"/>
  <c r="L885"/>
  <c r="P885" s="1"/>
  <c r="K885"/>
  <c r="O885" s="1"/>
  <c r="U884"/>
  <c r="T884"/>
  <c r="S884"/>
  <c r="N884"/>
  <c r="R884" s="1"/>
  <c r="M884"/>
  <c r="Q884" s="1"/>
  <c r="L884"/>
  <c r="P884" s="1"/>
  <c r="K884"/>
  <c r="O884" s="1"/>
  <c r="U883"/>
  <c r="T883"/>
  <c r="S883"/>
  <c r="N883"/>
  <c r="R883" s="1"/>
  <c r="M883"/>
  <c r="Q883" s="1"/>
  <c r="L883"/>
  <c r="P883" s="1"/>
  <c r="K883"/>
  <c r="O883" s="1"/>
  <c r="U882"/>
  <c r="T882"/>
  <c r="S882"/>
  <c r="N882"/>
  <c r="R882" s="1"/>
  <c r="M882"/>
  <c r="Q882" s="1"/>
  <c r="L882"/>
  <c r="P882" s="1"/>
  <c r="K882"/>
  <c r="O882" s="1"/>
  <c r="U881"/>
  <c r="T881"/>
  <c r="S881"/>
  <c r="N881"/>
  <c r="R881" s="1"/>
  <c r="M881"/>
  <c r="Q881" s="1"/>
  <c r="L881"/>
  <c r="P881" s="1"/>
  <c r="K881"/>
  <c r="O881" s="1"/>
  <c r="U880"/>
  <c r="T880"/>
  <c r="S880"/>
  <c r="N880"/>
  <c r="R880" s="1"/>
  <c r="M880"/>
  <c r="Q880" s="1"/>
  <c r="L880"/>
  <c r="P880" s="1"/>
  <c r="K880"/>
  <c r="O880" s="1"/>
  <c r="U879"/>
  <c r="T879"/>
  <c r="S879"/>
  <c r="N879"/>
  <c r="R879" s="1"/>
  <c r="M879"/>
  <c r="Q879" s="1"/>
  <c r="L879"/>
  <c r="P879" s="1"/>
  <c r="K879"/>
  <c r="O879" s="1"/>
  <c r="U878"/>
  <c r="T878"/>
  <c r="S878"/>
  <c r="N878"/>
  <c r="R878" s="1"/>
  <c r="M878"/>
  <c r="Q878" s="1"/>
  <c r="L878"/>
  <c r="P878" s="1"/>
  <c r="K878"/>
  <c r="O878" s="1"/>
  <c r="U877"/>
  <c r="T877"/>
  <c r="S877"/>
  <c r="N877"/>
  <c r="R877" s="1"/>
  <c r="M877"/>
  <c r="Q877" s="1"/>
  <c r="L877"/>
  <c r="P877" s="1"/>
  <c r="K877"/>
  <c r="O877" s="1"/>
  <c r="U876"/>
  <c r="T876"/>
  <c r="S876"/>
  <c r="N876"/>
  <c r="R876" s="1"/>
  <c r="M876"/>
  <c r="Q876" s="1"/>
  <c r="L876"/>
  <c r="P876" s="1"/>
  <c r="K876"/>
  <c r="O876" s="1"/>
  <c r="U875"/>
  <c r="T875"/>
  <c r="S875"/>
  <c r="N875"/>
  <c r="R875" s="1"/>
  <c r="M875"/>
  <c r="Q875" s="1"/>
  <c r="L875"/>
  <c r="P875" s="1"/>
  <c r="K875"/>
  <c r="O875" s="1"/>
  <c r="U874"/>
  <c r="T874"/>
  <c r="S874"/>
  <c r="N874"/>
  <c r="R874" s="1"/>
  <c r="M874"/>
  <c r="Q874" s="1"/>
  <c r="L874"/>
  <c r="P874" s="1"/>
  <c r="K874"/>
  <c r="O874" s="1"/>
  <c r="U873"/>
  <c r="T873"/>
  <c r="S873"/>
  <c r="N873"/>
  <c r="R873" s="1"/>
  <c r="M873"/>
  <c r="Q873" s="1"/>
  <c r="L873"/>
  <c r="P873" s="1"/>
  <c r="K873"/>
  <c r="O873" s="1"/>
  <c r="U872"/>
  <c r="T872"/>
  <c r="S872"/>
  <c r="N872"/>
  <c r="R872" s="1"/>
  <c r="M872"/>
  <c r="Q872" s="1"/>
  <c r="L872"/>
  <c r="P872" s="1"/>
  <c r="K872"/>
  <c r="O872" s="1"/>
  <c r="U871"/>
  <c r="T871"/>
  <c r="S871"/>
  <c r="N871"/>
  <c r="R871" s="1"/>
  <c r="M871"/>
  <c r="Q871" s="1"/>
  <c r="L871"/>
  <c r="P871" s="1"/>
  <c r="K871"/>
  <c r="O871" s="1"/>
  <c r="U870"/>
  <c r="T870"/>
  <c r="S870"/>
  <c r="N870"/>
  <c r="R870" s="1"/>
  <c r="M870"/>
  <c r="Q870" s="1"/>
  <c r="L870"/>
  <c r="P870" s="1"/>
  <c r="K870"/>
  <c r="O870" s="1"/>
  <c r="U869"/>
  <c r="T869"/>
  <c r="S869"/>
  <c r="N869"/>
  <c r="R869" s="1"/>
  <c r="M869"/>
  <c r="Q869" s="1"/>
  <c r="L869"/>
  <c r="P869" s="1"/>
  <c r="K869"/>
  <c r="O869" s="1"/>
  <c r="U868"/>
  <c r="T868"/>
  <c r="S868"/>
  <c r="N868"/>
  <c r="R868" s="1"/>
  <c r="M868"/>
  <c r="Q868" s="1"/>
  <c r="L868"/>
  <c r="P868" s="1"/>
  <c r="K868"/>
  <c r="O868" s="1"/>
  <c r="U867"/>
  <c r="T867"/>
  <c r="S867"/>
  <c r="N867"/>
  <c r="R867" s="1"/>
  <c r="M867"/>
  <c r="Q867" s="1"/>
  <c r="L867"/>
  <c r="P867" s="1"/>
  <c r="K867"/>
  <c r="O867" s="1"/>
  <c r="U866"/>
  <c r="T866"/>
  <c r="S866"/>
  <c r="N866"/>
  <c r="R866" s="1"/>
  <c r="M866"/>
  <c r="Q866" s="1"/>
  <c r="L866"/>
  <c r="P866" s="1"/>
  <c r="K866"/>
  <c r="O866" s="1"/>
  <c r="U865"/>
  <c r="T865"/>
  <c r="S865"/>
  <c r="N865"/>
  <c r="R865" s="1"/>
  <c r="M865"/>
  <c r="Q865" s="1"/>
  <c r="L865"/>
  <c r="P865" s="1"/>
  <c r="K865"/>
  <c r="O865" s="1"/>
  <c r="U864"/>
  <c r="T864"/>
  <c r="S864"/>
  <c r="N864"/>
  <c r="R864" s="1"/>
  <c r="M864"/>
  <c r="Q864" s="1"/>
  <c r="L864"/>
  <c r="P864" s="1"/>
  <c r="K864"/>
  <c r="O864" s="1"/>
  <c r="U863"/>
  <c r="T863"/>
  <c r="S863"/>
  <c r="N863"/>
  <c r="R863" s="1"/>
  <c r="M863"/>
  <c r="Q863" s="1"/>
  <c r="L863"/>
  <c r="P863" s="1"/>
  <c r="K863"/>
  <c r="O863" s="1"/>
  <c r="U862"/>
  <c r="T862"/>
  <c r="S862"/>
  <c r="N862"/>
  <c r="R862" s="1"/>
  <c r="M862"/>
  <c r="Q862" s="1"/>
  <c r="L862"/>
  <c r="P862" s="1"/>
  <c r="K862"/>
  <c r="O862" s="1"/>
  <c r="U861"/>
  <c r="T861"/>
  <c r="S861"/>
  <c r="N861"/>
  <c r="R861" s="1"/>
  <c r="M861"/>
  <c r="Q861" s="1"/>
  <c r="L861"/>
  <c r="P861" s="1"/>
  <c r="K861"/>
  <c r="O861" s="1"/>
  <c r="U860"/>
  <c r="T860"/>
  <c r="S860"/>
  <c r="N860"/>
  <c r="R860" s="1"/>
  <c r="M860"/>
  <c r="Q860" s="1"/>
  <c r="L860"/>
  <c r="P860" s="1"/>
  <c r="K860"/>
  <c r="O860" s="1"/>
  <c r="U859"/>
  <c r="T859"/>
  <c r="S859"/>
  <c r="N859"/>
  <c r="R859" s="1"/>
  <c r="M859"/>
  <c r="Q859" s="1"/>
  <c r="L859"/>
  <c r="P859" s="1"/>
  <c r="K859"/>
  <c r="O859" s="1"/>
  <c r="U858"/>
  <c r="T858"/>
  <c r="S858"/>
  <c r="N858"/>
  <c r="R858" s="1"/>
  <c r="M858"/>
  <c r="Q858" s="1"/>
  <c r="L858"/>
  <c r="P858" s="1"/>
  <c r="K858"/>
  <c r="O858" s="1"/>
  <c r="U857"/>
  <c r="T857"/>
  <c r="S857"/>
  <c r="N857"/>
  <c r="R857" s="1"/>
  <c r="M857"/>
  <c r="Q857" s="1"/>
  <c r="L857"/>
  <c r="P857" s="1"/>
  <c r="K857"/>
  <c r="O857" s="1"/>
  <c r="U856"/>
  <c r="T856"/>
  <c r="S856"/>
  <c r="N856"/>
  <c r="R856" s="1"/>
  <c r="M856"/>
  <c r="Q856" s="1"/>
  <c r="L856"/>
  <c r="P856" s="1"/>
  <c r="K856"/>
  <c r="O856" s="1"/>
  <c r="U855"/>
  <c r="T855"/>
  <c r="S855"/>
  <c r="N855"/>
  <c r="R855" s="1"/>
  <c r="M855"/>
  <c r="Q855" s="1"/>
  <c r="L855"/>
  <c r="P855" s="1"/>
  <c r="K855"/>
  <c r="O855" s="1"/>
  <c r="U854"/>
  <c r="T854"/>
  <c r="S854"/>
  <c r="N854"/>
  <c r="R854" s="1"/>
  <c r="M854"/>
  <c r="Q854" s="1"/>
  <c r="L854"/>
  <c r="P854" s="1"/>
  <c r="K854"/>
  <c r="O854" s="1"/>
  <c r="U853"/>
  <c r="T853"/>
  <c r="S853"/>
  <c r="N853"/>
  <c r="R853" s="1"/>
  <c r="M853"/>
  <c r="Q853" s="1"/>
  <c r="L853"/>
  <c r="P853" s="1"/>
  <c r="K853"/>
  <c r="O853" s="1"/>
  <c r="U852"/>
  <c r="T852"/>
  <c r="S852"/>
  <c r="N852"/>
  <c r="R852" s="1"/>
  <c r="M852"/>
  <c r="Q852" s="1"/>
  <c r="L852"/>
  <c r="P852" s="1"/>
  <c r="K852"/>
  <c r="O852" s="1"/>
  <c r="U851"/>
  <c r="T851"/>
  <c r="S851"/>
  <c r="N851"/>
  <c r="R851" s="1"/>
  <c r="M851"/>
  <c r="Q851" s="1"/>
  <c r="L851"/>
  <c r="P851" s="1"/>
  <c r="K851"/>
  <c r="O851" s="1"/>
  <c r="U850"/>
  <c r="T850"/>
  <c r="S850"/>
  <c r="N850"/>
  <c r="R850" s="1"/>
  <c r="M850"/>
  <c r="Q850" s="1"/>
  <c r="L850"/>
  <c r="P850" s="1"/>
  <c r="K850"/>
  <c r="O850" s="1"/>
  <c r="U849"/>
  <c r="T849"/>
  <c r="S849"/>
  <c r="N849"/>
  <c r="R849" s="1"/>
  <c r="M849"/>
  <c r="Q849" s="1"/>
  <c r="L849"/>
  <c r="P849" s="1"/>
  <c r="K849"/>
  <c r="O849" s="1"/>
  <c r="U848"/>
  <c r="T848"/>
  <c r="S848"/>
  <c r="N848"/>
  <c r="R848" s="1"/>
  <c r="M848"/>
  <c r="Q848" s="1"/>
  <c r="L848"/>
  <c r="P848" s="1"/>
  <c r="K848"/>
  <c r="O848" s="1"/>
  <c r="U847"/>
  <c r="T847"/>
  <c r="S847"/>
  <c r="N847"/>
  <c r="R847" s="1"/>
  <c r="M847"/>
  <c r="Q847" s="1"/>
  <c r="L847"/>
  <c r="P847" s="1"/>
  <c r="K847"/>
  <c r="O847" s="1"/>
  <c r="U846"/>
  <c r="T846"/>
  <c r="S846"/>
  <c r="N846"/>
  <c r="R846" s="1"/>
  <c r="M846"/>
  <c r="Q846" s="1"/>
  <c r="L846"/>
  <c r="P846" s="1"/>
  <c r="K846"/>
  <c r="O846" s="1"/>
  <c r="U845"/>
  <c r="T845"/>
  <c r="S845"/>
  <c r="N845"/>
  <c r="R845" s="1"/>
  <c r="M845"/>
  <c r="Q845" s="1"/>
  <c r="L845"/>
  <c r="P845" s="1"/>
  <c r="K845"/>
  <c r="O845" s="1"/>
  <c r="U844"/>
  <c r="T844"/>
  <c r="S844"/>
  <c r="N844"/>
  <c r="R844" s="1"/>
  <c r="M844"/>
  <c r="Q844" s="1"/>
  <c r="L844"/>
  <c r="P844" s="1"/>
  <c r="K844"/>
  <c r="O844" s="1"/>
  <c r="U843"/>
  <c r="T843"/>
  <c r="S843"/>
  <c r="N843"/>
  <c r="R843" s="1"/>
  <c r="M843"/>
  <c r="Q843" s="1"/>
  <c r="L843"/>
  <c r="P843" s="1"/>
  <c r="K843"/>
  <c r="O843" s="1"/>
  <c r="U842"/>
  <c r="T842"/>
  <c r="S842"/>
  <c r="N842"/>
  <c r="R842" s="1"/>
  <c r="M842"/>
  <c r="Q842" s="1"/>
  <c r="L842"/>
  <c r="P842" s="1"/>
  <c r="K842"/>
  <c r="O842" s="1"/>
  <c r="U841"/>
  <c r="T841"/>
  <c r="S841"/>
  <c r="N841"/>
  <c r="R841" s="1"/>
  <c r="M841"/>
  <c r="Q841" s="1"/>
  <c r="L841"/>
  <c r="P841" s="1"/>
  <c r="K841"/>
  <c r="O841" s="1"/>
  <c r="U840"/>
  <c r="T840"/>
  <c r="S840"/>
  <c r="N840"/>
  <c r="R840" s="1"/>
  <c r="M840"/>
  <c r="Q840" s="1"/>
  <c r="L840"/>
  <c r="P840" s="1"/>
  <c r="K840"/>
  <c r="O840" s="1"/>
  <c r="U839"/>
  <c r="T839"/>
  <c r="S839"/>
  <c r="N839"/>
  <c r="R839" s="1"/>
  <c r="M839"/>
  <c r="Q839" s="1"/>
  <c r="L839"/>
  <c r="P839" s="1"/>
  <c r="K839"/>
  <c r="O839" s="1"/>
  <c r="U838"/>
  <c r="T838"/>
  <c r="S838"/>
  <c r="N838"/>
  <c r="R838" s="1"/>
  <c r="M838"/>
  <c r="Q838" s="1"/>
  <c r="L838"/>
  <c r="P838" s="1"/>
  <c r="K838"/>
  <c r="O838" s="1"/>
  <c r="U837"/>
  <c r="T837"/>
  <c r="S837"/>
  <c r="N837"/>
  <c r="R837" s="1"/>
  <c r="M837"/>
  <c r="Q837" s="1"/>
  <c r="L837"/>
  <c r="P837" s="1"/>
  <c r="K837"/>
  <c r="O837" s="1"/>
  <c r="U836"/>
  <c r="T836"/>
  <c r="S836"/>
  <c r="N836"/>
  <c r="R836" s="1"/>
  <c r="M836"/>
  <c r="Q836" s="1"/>
  <c r="L836"/>
  <c r="P836" s="1"/>
  <c r="K836"/>
  <c r="O836" s="1"/>
  <c r="U835"/>
  <c r="T835"/>
  <c r="S835"/>
  <c r="N835"/>
  <c r="R835" s="1"/>
  <c r="M835"/>
  <c r="Q835" s="1"/>
  <c r="L835"/>
  <c r="P835" s="1"/>
  <c r="K835"/>
  <c r="O835" s="1"/>
  <c r="U834"/>
  <c r="T834"/>
  <c r="S834"/>
  <c r="N834"/>
  <c r="R834" s="1"/>
  <c r="M834"/>
  <c r="Q834" s="1"/>
  <c r="L834"/>
  <c r="P834" s="1"/>
  <c r="K834"/>
  <c r="O834" s="1"/>
  <c r="U833"/>
  <c r="T833"/>
  <c r="S833"/>
  <c r="N833"/>
  <c r="R833" s="1"/>
  <c r="M833"/>
  <c r="Q833" s="1"/>
  <c r="L833"/>
  <c r="P833" s="1"/>
  <c r="K833"/>
  <c r="O833" s="1"/>
  <c r="U832"/>
  <c r="T832"/>
  <c r="S832"/>
  <c r="N832"/>
  <c r="R832" s="1"/>
  <c r="M832"/>
  <c r="Q832" s="1"/>
  <c r="L832"/>
  <c r="P832" s="1"/>
  <c r="K832"/>
  <c r="O832" s="1"/>
  <c r="U831"/>
  <c r="T831"/>
  <c r="S831"/>
  <c r="N831"/>
  <c r="R831" s="1"/>
  <c r="M831"/>
  <c r="Q831" s="1"/>
  <c r="L831"/>
  <c r="P831" s="1"/>
  <c r="K831"/>
  <c r="O831" s="1"/>
  <c r="U830"/>
  <c r="T830"/>
  <c r="S830"/>
  <c r="N830"/>
  <c r="R830" s="1"/>
  <c r="M830"/>
  <c r="Q830" s="1"/>
  <c r="L830"/>
  <c r="P830" s="1"/>
  <c r="K830"/>
  <c r="O830" s="1"/>
  <c r="U829"/>
  <c r="T829"/>
  <c r="S829"/>
  <c r="N829"/>
  <c r="R829" s="1"/>
  <c r="M829"/>
  <c r="Q829" s="1"/>
  <c r="L829"/>
  <c r="P829" s="1"/>
  <c r="K829"/>
  <c r="O829" s="1"/>
  <c r="U828"/>
  <c r="T828"/>
  <c r="S828"/>
  <c r="N828"/>
  <c r="R828" s="1"/>
  <c r="M828"/>
  <c r="Q828" s="1"/>
  <c r="L828"/>
  <c r="P828" s="1"/>
  <c r="K828"/>
  <c r="O828" s="1"/>
  <c r="U827"/>
  <c r="T827"/>
  <c r="S827"/>
  <c r="N827"/>
  <c r="R827" s="1"/>
  <c r="M827"/>
  <c r="Q827" s="1"/>
  <c r="L827"/>
  <c r="P827" s="1"/>
  <c r="K827"/>
  <c r="O827" s="1"/>
  <c r="U826"/>
  <c r="T826"/>
  <c r="S826"/>
  <c r="N826"/>
  <c r="R826" s="1"/>
  <c r="M826"/>
  <c r="Q826" s="1"/>
  <c r="L826"/>
  <c r="P826" s="1"/>
  <c r="K826"/>
  <c r="O826" s="1"/>
  <c r="U825"/>
  <c r="T825"/>
  <c r="S825"/>
  <c r="N825"/>
  <c r="R825" s="1"/>
  <c r="M825"/>
  <c r="Q825" s="1"/>
  <c r="L825"/>
  <c r="P825" s="1"/>
  <c r="K825"/>
  <c r="O825" s="1"/>
  <c r="U824"/>
  <c r="T824"/>
  <c r="S824"/>
  <c r="N824"/>
  <c r="R824" s="1"/>
  <c r="M824"/>
  <c r="Q824" s="1"/>
  <c r="L824"/>
  <c r="P824" s="1"/>
  <c r="K824"/>
  <c r="O824" s="1"/>
  <c r="U823"/>
  <c r="T823"/>
  <c r="S823"/>
  <c r="N823"/>
  <c r="R823" s="1"/>
  <c r="M823"/>
  <c r="Q823" s="1"/>
  <c r="L823"/>
  <c r="P823" s="1"/>
  <c r="K823"/>
  <c r="O823" s="1"/>
  <c r="U822"/>
  <c r="T822"/>
  <c r="S822"/>
  <c r="N822"/>
  <c r="R822" s="1"/>
  <c r="M822"/>
  <c r="Q822" s="1"/>
  <c r="L822"/>
  <c r="P822" s="1"/>
  <c r="K822"/>
  <c r="O822" s="1"/>
  <c r="U821"/>
  <c r="T821"/>
  <c r="S821"/>
  <c r="R821"/>
  <c r="N821"/>
  <c r="M821"/>
  <c r="Q821" s="1"/>
  <c r="L821"/>
  <c r="P821" s="1"/>
  <c r="K821"/>
  <c r="O821" s="1"/>
  <c r="U820"/>
  <c r="T820"/>
  <c r="S820"/>
  <c r="N820"/>
  <c r="R820" s="1"/>
  <c r="M820"/>
  <c r="Q820" s="1"/>
  <c r="L820"/>
  <c r="P820" s="1"/>
  <c r="K820"/>
  <c r="O820" s="1"/>
  <c r="U819"/>
  <c r="T819"/>
  <c r="S819"/>
  <c r="N819"/>
  <c r="R819" s="1"/>
  <c r="M819"/>
  <c r="Q819" s="1"/>
  <c r="L819"/>
  <c r="P819" s="1"/>
  <c r="K819"/>
  <c r="O819" s="1"/>
  <c r="U818"/>
  <c r="T818"/>
  <c r="S818"/>
  <c r="N818"/>
  <c r="R818" s="1"/>
  <c r="M818"/>
  <c r="Q818" s="1"/>
  <c r="L818"/>
  <c r="P818" s="1"/>
  <c r="K818"/>
  <c r="O818" s="1"/>
  <c r="U817"/>
  <c r="T817"/>
  <c r="S817"/>
  <c r="N817"/>
  <c r="R817" s="1"/>
  <c r="M817"/>
  <c r="Q817" s="1"/>
  <c r="L817"/>
  <c r="P817" s="1"/>
  <c r="K817"/>
  <c r="O817" s="1"/>
  <c r="U816"/>
  <c r="T816"/>
  <c r="S816"/>
  <c r="N816"/>
  <c r="R816" s="1"/>
  <c r="M816"/>
  <c r="Q816" s="1"/>
  <c r="L816"/>
  <c r="P816" s="1"/>
  <c r="K816"/>
  <c r="O816" s="1"/>
  <c r="U815"/>
  <c r="T815"/>
  <c r="S815"/>
  <c r="N815"/>
  <c r="R815" s="1"/>
  <c r="M815"/>
  <c r="Q815" s="1"/>
  <c r="L815"/>
  <c r="P815" s="1"/>
  <c r="K815"/>
  <c r="O815" s="1"/>
  <c r="U814"/>
  <c r="T814"/>
  <c r="S814"/>
  <c r="N814"/>
  <c r="R814" s="1"/>
  <c r="M814"/>
  <c r="Q814" s="1"/>
  <c r="L814"/>
  <c r="P814" s="1"/>
  <c r="K814"/>
  <c r="O814" s="1"/>
  <c r="U813"/>
  <c r="T813"/>
  <c r="S813"/>
  <c r="N813"/>
  <c r="R813" s="1"/>
  <c r="M813"/>
  <c r="Q813" s="1"/>
  <c r="L813"/>
  <c r="P813" s="1"/>
  <c r="K813"/>
  <c r="O813" s="1"/>
  <c r="U812"/>
  <c r="T812"/>
  <c r="S812"/>
  <c r="N812"/>
  <c r="R812" s="1"/>
  <c r="M812"/>
  <c r="Q812" s="1"/>
  <c r="L812"/>
  <c r="P812" s="1"/>
  <c r="K812"/>
  <c r="O812" s="1"/>
  <c r="U811"/>
  <c r="T811"/>
  <c r="S811"/>
  <c r="N811"/>
  <c r="R811" s="1"/>
  <c r="M811"/>
  <c r="Q811" s="1"/>
  <c r="L811"/>
  <c r="P811" s="1"/>
  <c r="K811"/>
  <c r="O811" s="1"/>
  <c r="U810"/>
  <c r="T810"/>
  <c r="S810"/>
  <c r="N810"/>
  <c r="R810" s="1"/>
  <c r="M810"/>
  <c r="Q810" s="1"/>
  <c r="L810"/>
  <c r="P810" s="1"/>
  <c r="K810"/>
  <c r="O810" s="1"/>
  <c r="U809"/>
  <c r="T809"/>
  <c r="S809"/>
  <c r="N809"/>
  <c r="R809" s="1"/>
  <c r="M809"/>
  <c r="Q809" s="1"/>
  <c r="L809"/>
  <c r="P809" s="1"/>
  <c r="K809"/>
  <c r="O809" s="1"/>
  <c r="U808"/>
  <c r="T808"/>
  <c r="S808"/>
  <c r="N808"/>
  <c r="R808" s="1"/>
  <c r="M808"/>
  <c r="Q808" s="1"/>
  <c r="L808"/>
  <c r="P808" s="1"/>
  <c r="K808"/>
  <c r="O808" s="1"/>
  <c r="U807"/>
  <c r="T807"/>
  <c r="S807"/>
  <c r="N807"/>
  <c r="R807" s="1"/>
  <c r="M807"/>
  <c r="Q807" s="1"/>
  <c r="L807"/>
  <c r="P807" s="1"/>
  <c r="K807"/>
  <c r="O807" s="1"/>
  <c r="U806"/>
  <c r="T806"/>
  <c r="S806"/>
  <c r="N806"/>
  <c r="R806" s="1"/>
  <c r="M806"/>
  <c r="Q806" s="1"/>
  <c r="L806"/>
  <c r="P806" s="1"/>
  <c r="K806"/>
  <c r="O806" s="1"/>
  <c r="U805"/>
  <c r="T805"/>
  <c r="S805"/>
  <c r="N805"/>
  <c r="R805" s="1"/>
  <c r="M805"/>
  <c r="Q805" s="1"/>
  <c r="L805"/>
  <c r="P805" s="1"/>
  <c r="K805"/>
  <c r="O805" s="1"/>
  <c r="U804"/>
  <c r="T804"/>
  <c r="S804"/>
  <c r="N804"/>
  <c r="R804" s="1"/>
  <c r="M804"/>
  <c r="Q804" s="1"/>
  <c r="L804"/>
  <c r="P804" s="1"/>
  <c r="K804"/>
  <c r="O804" s="1"/>
  <c r="U803"/>
  <c r="T803"/>
  <c r="S803"/>
  <c r="N803"/>
  <c r="R803" s="1"/>
  <c r="M803"/>
  <c r="Q803" s="1"/>
  <c r="L803"/>
  <c r="P803" s="1"/>
  <c r="K803"/>
  <c r="O803" s="1"/>
  <c r="U802"/>
  <c r="T802"/>
  <c r="S802"/>
  <c r="N802"/>
  <c r="R802" s="1"/>
  <c r="M802"/>
  <c r="Q802" s="1"/>
  <c r="L802"/>
  <c r="P802" s="1"/>
  <c r="K802"/>
  <c r="O802" s="1"/>
  <c r="U801"/>
  <c r="T801"/>
  <c r="S801"/>
  <c r="N801"/>
  <c r="R801" s="1"/>
  <c r="M801"/>
  <c r="Q801" s="1"/>
  <c r="L801"/>
  <c r="P801" s="1"/>
  <c r="K801"/>
  <c r="O801" s="1"/>
  <c r="U800"/>
  <c r="T800"/>
  <c r="S800"/>
  <c r="N800"/>
  <c r="R800" s="1"/>
  <c r="M800"/>
  <c r="Q800" s="1"/>
  <c r="L800"/>
  <c r="P800" s="1"/>
  <c r="K800"/>
  <c r="O800" s="1"/>
  <c r="U799"/>
  <c r="T799"/>
  <c r="S799"/>
  <c r="N799"/>
  <c r="R799" s="1"/>
  <c r="M799"/>
  <c r="Q799" s="1"/>
  <c r="L799"/>
  <c r="P799" s="1"/>
  <c r="K799"/>
  <c r="O799" s="1"/>
  <c r="U798"/>
  <c r="T798"/>
  <c r="S798"/>
  <c r="N798"/>
  <c r="R798" s="1"/>
  <c r="M798"/>
  <c r="Q798" s="1"/>
  <c r="L798"/>
  <c r="P798" s="1"/>
  <c r="K798"/>
  <c r="O798" s="1"/>
  <c r="U797"/>
  <c r="T797"/>
  <c r="S797"/>
  <c r="N797"/>
  <c r="R797" s="1"/>
  <c r="M797"/>
  <c r="Q797" s="1"/>
  <c r="L797"/>
  <c r="P797" s="1"/>
  <c r="K797"/>
  <c r="O797" s="1"/>
  <c r="U796"/>
  <c r="T796"/>
  <c r="S796"/>
  <c r="N796"/>
  <c r="R796" s="1"/>
  <c r="M796"/>
  <c r="Q796" s="1"/>
  <c r="L796"/>
  <c r="P796" s="1"/>
  <c r="K796"/>
  <c r="O796" s="1"/>
  <c r="U795"/>
  <c r="T795"/>
  <c r="S795"/>
  <c r="N795"/>
  <c r="R795" s="1"/>
  <c r="M795"/>
  <c r="Q795" s="1"/>
  <c r="L795"/>
  <c r="P795" s="1"/>
  <c r="K795"/>
  <c r="O795" s="1"/>
  <c r="U794"/>
  <c r="T794"/>
  <c r="S794"/>
  <c r="N794"/>
  <c r="R794" s="1"/>
  <c r="M794"/>
  <c r="Q794" s="1"/>
  <c r="L794"/>
  <c r="P794" s="1"/>
  <c r="K794"/>
  <c r="O794" s="1"/>
  <c r="U793"/>
  <c r="T793"/>
  <c r="S793"/>
  <c r="N793"/>
  <c r="R793" s="1"/>
  <c r="M793"/>
  <c r="Q793" s="1"/>
  <c r="L793"/>
  <c r="P793" s="1"/>
  <c r="K793"/>
  <c r="O793" s="1"/>
  <c r="U792"/>
  <c r="T792"/>
  <c r="S792"/>
  <c r="N792"/>
  <c r="R792" s="1"/>
  <c r="M792"/>
  <c r="Q792" s="1"/>
  <c r="L792"/>
  <c r="P792" s="1"/>
  <c r="K792"/>
  <c r="O792" s="1"/>
  <c r="U791"/>
  <c r="T791"/>
  <c r="S791"/>
  <c r="N791"/>
  <c r="R791" s="1"/>
  <c r="M791"/>
  <c r="Q791" s="1"/>
  <c r="L791"/>
  <c r="P791" s="1"/>
  <c r="K791"/>
  <c r="O791" s="1"/>
  <c r="U790"/>
  <c r="T790"/>
  <c r="S790"/>
  <c r="N790"/>
  <c r="R790" s="1"/>
  <c r="M790"/>
  <c r="Q790" s="1"/>
  <c r="L790"/>
  <c r="P790" s="1"/>
  <c r="K790"/>
  <c r="O790" s="1"/>
  <c r="U789"/>
  <c r="T789"/>
  <c r="S789"/>
  <c r="N789"/>
  <c r="R789" s="1"/>
  <c r="M789"/>
  <c r="Q789" s="1"/>
  <c r="L789"/>
  <c r="P789" s="1"/>
  <c r="K789"/>
  <c r="O789" s="1"/>
  <c r="U788"/>
  <c r="T788"/>
  <c r="S788"/>
  <c r="N788"/>
  <c r="R788" s="1"/>
  <c r="M788"/>
  <c r="Q788" s="1"/>
  <c r="L788"/>
  <c r="P788" s="1"/>
  <c r="K788"/>
  <c r="O788" s="1"/>
  <c r="U787"/>
  <c r="T787"/>
  <c r="S787"/>
  <c r="N787"/>
  <c r="R787" s="1"/>
  <c r="M787"/>
  <c r="Q787" s="1"/>
  <c r="L787"/>
  <c r="P787" s="1"/>
  <c r="K787"/>
  <c r="O787" s="1"/>
  <c r="U786"/>
  <c r="T786"/>
  <c r="S786"/>
  <c r="N786"/>
  <c r="R786" s="1"/>
  <c r="M786"/>
  <c r="Q786" s="1"/>
  <c r="L786"/>
  <c r="P786" s="1"/>
  <c r="K786"/>
  <c r="O786" s="1"/>
  <c r="U785"/>
  <c r="T785"/>
  <c r="S785"/>
  <c r="N785"/>
  <c r="R785" s="1"/>
  <c r="M785"/>
  <c r="Q785" s="1"/>
  <c r="L785"/>
  <c r="P785" s="1"/>
  <c r="K785"/>
  <c r="O785" s="1"/>
  <c r="U784"/>
  <c r="T784"/>
  <c r="S784"/>
  <c r="N784"/>
  <c r="R784" s="1"/>
  <c r="M784"/>
  <c r="Q784" s="1"/>
  <c r="L784"/>
  <c r="P784" s="1"/>
  <c r="K784"/>
  <c r="O784" s="1"/>
  <c r="U783"/>
  <c r="T783"/>
  <c r="S783"/>
  <c r="N783"/>
  <c r="R783" s="1"/>
  <c r="M783"/>
  <c r="Q783" s="1"/>
  <c r="L783"/>
  <c r="P783" s="1"/>
  <c r="K783"/>
  <c r="O783" s="1"/>
  <c r="U782"/>
  <c r="T782"/>
  <c r="S782"/>
  <c r="N782"/>
  <c r="R782" s="1"/>
  <c r="M782"/>
  <c r="Q782" s="1"/>
  <c r="L782"/>
  <c r="P782" s="1"/>
  <c r="K782"/>
  <c r="O782" s="1"/>
  <c r="U781"/>
  <c r="T781"/>
  <c r="S781"/>
  <c r="N781"/>
  <c r="R781" s="1"/>
  <c r="M781"/>
  <c r="Q781" s="1"/>
  <c r="L781"/>
  <c r="P781" s="1"/>
  <c r="K781"/>
  <c r="O781" s="1"/>
  <c r="U780"/>
  <c r="T780"/>
  <c r="S780"/>
  <c r="N780"/>
  <c r="R780" s="1"/>
  <c r="M780"/>
  <c r="Q780" s="1"/>
  <c r="L780"/>
  <c r="P780" s="1"/>
  <c r="K780"/>
  <c r="O780" s="1"/>
  <c r="U779"/>
  <c r="T779"/>
  <c r="S779"/>
  <c r="N779"/>
  <c r="R779" s="1"/>
  <c r="M779"/>
  <c r="Q779" s="1"/>
  <c r="L779"/>
  <c r="P779" s="1"/>
  <c r="K779"/>
  <c r="O779" s="1"/>
  <c r="U778"/>
  <c r="T778"/>
  <c r="S778"/>
  <c r="N778"/>
  <c r="R778" s="1"/>
  <c r="M778"/>
  <c r="Q778" s="1"/>
  <c r="L778"/>
  <c r="P778" s="1"/>
  <c r="K778"/>
  <c r="O778" s="1"/>
  <c r="U777"/>
  <c r="T777"/>
  <c r="S777"/>
  <c r="N777"/>
  <c r="R777" s="1"/>
  <c r="M777"/>
  <c r="Q777" s="1"/>
  <c r="L777"/>
  <c r="P777" s="1"/>
  <c r="K777"/>
  <c r="O777" s="1"/>
  <c r="U776"/>
  <c r="T776"/>
  <c r="S776"/>
  <c r="N776"/>
  <c r="R776" s="1"/>
  <c r="M776"/>
  <c r="Q776" s="1"/>
  <c r="L776"/>
  <c r="P776" s="1"/>
  <c r="K776"/>
  <c r="O776" s="1"/>
  <c r="U775"/>
  <c r="T775"/>
  <c r="S775"/>
  <c r="N775"/>
  <c r="R775" s="1"/>
  <c r="M775"/>
  <c r="Q775" s="1"/>
  <c r="L775"/>
  <c r="P775" s="1"/>
  <c r="K775"/>
  <c r="O775" s="1"/>
  <c r="U774"/>
  <c r="T774"/>
  <c r="S774"/>
  <c r="N774"/>
  <c r="R774" s="1"/>
  <c r="M774"/>
  <c r="Q774" s="1"/>
  <c r="L774"/>
  <c r="P774" s="1"/>
  <c r="K774"/>
  <c r="O774" s="1"/>
  <c r="U773"/>
  <c r="T773"/>
  <c r="S773"/>
  <c r="N773"/>
  <c r="R773" s="1"/>
  <c r="M773"/>
  <c r="Q773" s="1"/>
  <c r="L773"/>
  <c r="P773" s="1"/>
  <c r="K773"/>
  <c r="O773" s="1"/>
  <c r="U772"/>
  <c r="T772"/>
  <c r="S772"/>
  <c r="N772"/>
  <c r="R772" s="1"/>
  <c r="M772"/>
  <c r="Q772" s="1"/>
  <c r="L772"/>
  <c r="P772" s="1"/>
  <c r="K772"/>
  <c r="O772" s="1"/>
  <c r="U771"/>
  <c r="T771"/>
  <c r="S771"/>
  <c r="N771"/>
  <c r="R771" s="1"/>
  <c r="M771"/>
  <c r="Q771" s="1"/>
  <c r="L771"/>
  <c r="P771" s="1"/>
  <c r="K771"/>
  <c r="O771" s="1"/>
  <c r="U770"/>
  <c r="T770"/>
  <c r="S770"/>
  <c r="N770"/>
  <c r="R770" s="1"/>
  <c r="M770"/>
  <c r="Q770" s="1"/>
  <c r="L770"/>
  <c r="P770" s="1"/>
  <c r="K770"/>
  <c r="O770" s="1"/>
  <c r="U769"/>
  <c r="T769"/>
  <c r="S769"/>
  <c r="N769"/>
  <c r="R769" s="1"/>
  <c r="M769"/>
  <c r="Q769" s="1"/>
  <c r="L769"/>
  <c r="P769" s="1"/>
  <c r="K769"/>
  <c r="O769" s="1"/>
  <c r="U768"/>
  <c r="T768"/>
  <c r="S768"/>
  <c r="N768"/>
  <c r="R768" s="1"/>
  <c r="M768"/>
  <c r="Q768" s="1"/>
  <c r="L768"/>
  <c r="P768" s="1"/>
  <c r="K768"/>
  <c r="O768" s="1"/>
  <c r="U767"/>
  <c r="T767"/>
  <c r="S767"/>
  <c r="N767"/>
  <c r="R767" s="1"/>
  <c r="M767"/>
  <c r="Q767" s="1"/>
  <c r="L767"/>
  <c r="P767" s="1"/>
  <c r="K767"/>
  <c r="O767" s="1"/>
  <c r="U766"/>
  <c r="T766"/>
  <c r="S766"/>
  <c r="N766"/>
  <c r="R766" s="1"/>
  <c r="M766"/>
  <c r="Q766" s="1"/>
  <c r="L766"/>
  <c r="P766" s="1"/>
  <c r="K766"/>
  <c r="O766" s="1"/>
  <c r="U765"/>
  <c r="T765"/>
  <c r="S765"/>
  <c r="N765"/>
  <c r="R765" s="1"/>
  <c r="M765"/>
  <c r="Q765" s="1"/>
  <c r="L765"/>
  <c r="P765" s="1"/>
  <c r="K765"/>
  <c r="O765" s="1"/>
  <c r="U764"/>
  <c r="T764"/>
  <c r="S764"/>
  <c r="N764"/>
  <c r="R764" s="1"/>
  <c r="M764"/>
  <c r="Q764" s="1"/>
  <c r="L764"/>
  <c r="P764" s="1"/>
  <c r="K764"/>
  <c r="O764" s="1"/>
  <c r="U763"/>
  <c r="T763"/>
  <c r="S763"/>
  <c r="N763"/>
  <c r="R763" s="1"/>
  <c r="M763"/>
  <c r="Q763" s="1"/>
  <c r="L763"/>
  <c r="P763" s="1"/>
  <c r="K763"/>
  <c r="O763" s="1"/>
  <c r="U762"/>
  <c r="T762"/>
  <c r="S762"/>
  <c r="N762"/>
  <c r="R762" s="1"/>
  <c r="M762"/>
  <c r="Q762" s="1"/>
  <c r="L762"/>
  <c r="P762" s="1"/>
  <c r="K762"/>
  <c r="O762" s="1"/>
  <c r="U761"/>
  <c r="T761"/>
  <c r="S761"/>
  <c r="N761"/>
  <c r="R761" s="1"/>
  <c r="M761"/>
  <c r="Q761" s="1"/>
  <c r="L761"/>
  <c r="P761" s="1"/>
  <c r="K761"/>
  <c r="O761" s="1"/>
  <c r="U760"/>
  <c r="T760"/>
  <c r="S760"/>
  <c r="N760"/>
  <c r="R760" s="1"/>
  <c r="M760"/>
  <c r="Q760" s="1"/>
  <c r="L760"/>
  <c r="P760" s="1"/>
  <c r="K760"/>
  <c r="O760" s="1"/>
  <c r="U759"/>
  <c r="T759"/>
  <c r="S759"/>
  <c r="N759"/>
  <c r="R759" s="1"/>
  <c r="M759"/>
  <c r="Q759" s="1"/>
  <c r="L759"/>
  <c r="P759" s="1"/>
  <c r="K759"/>
  <c r="O759" s="1"/>
  <c r="U758"/>
  <c r="T758"/>
  <c r="S758"/>
  <c r="N758"/>
  <c r="R758" s="1"/>
  <c r="M758"/>
  <c r="Q758" s="1"/>
  <c r="L758"/>
  <c r="P758" s="1"/>
  <c r="K758"/>
  <c r="O758" s="1"/>
  <c r="U757"/>
  <c r="T757"/>
  <c r="S757"/>
  <c r="N757"/>
  <c r="R757" s="1"/>
  <c r="M757"/>
  <c r="Q757" s="1"/>
  <c r="L757"/>
  <c r="P757" s="1"/>
  <c r="K757"/>
  <c r="O757" s="1"/>
  <c r="U756"/>
  <c r="T756"/>
  <c r="S756"/>
  <c r="N756"/>
  <c r="R756" s="1"/>
  <c r="M756"/>
  <c r="Q756" s="1"/>
  <c r="L756"/>
  <c r="P756" s="1"/>
  <c r="K756"/>
  <c r="O756" s="1"/>
  <c r="U755"/>
  <c r="T755"/>
  <c r="S755"/>
  <c r="N755"/>
  <c r="R755" s="1"/>
  <c r="M755"/>
  <c r="Q755" s="1"/>
  <c r="L755"/>
  <c r="P755" s="1"/>
  <c r="K755"/>
  <c r="O755" s="1"/>
  <c r="U754"/>
  <c r="T754"/>
  <c r="S754"/>
  <c r="N754"/>
  <c r="R754" s="1"/>
  <c r="M754"/>
  <c r="Q754" s="1"/>
  <c r="L754"/>
  <c r="P754" s="1"/>
  <c r="K754"/>
  <c r="O754" s="1"/>
  <c r="U753"/>
  <c r="T753"/>
  <c r="S753"/>
  <c r="N753"/>
  <c r="R753" s="1"/>
  <c r="M753"/>
  <c r="Q753" s="1"/>
  <c r="L753"/>
  <c r="P753" s="1"/>
  <c r="K753"/>
  <c r="O753" s="1"/>
  <c r="U752"/>
  <c r="T752"/>
  <c r="S752"/>
  <c r="N752"/>
  <c r="R752" s="1"/>
  <c r="M752"/>
  <c r="Q752" s="1"/>
  <c r="L752"/>
  <c r="P752" s="1"/>
  <c r="K752"/>
  <c r="O752" s="1"/>
  <c r="U751"/>
  <c r="T751"/>
  <c r="S751"/>
  <c r="N751"/>
  <c r="R751" s="1"/>
  <c r="M751"/>
  <c r="Q751" s="1"/>
  <c r="L751"/>
  <c r="P751" s="1"/>
  <c r="K751"/>
  <c r="O751" s="1"/>
  <c r="U750"/>
  <c r="T750"/>
  <c r="S750"/>
  <c r="N750"/>
  <c r="R750" s="1"/>
  <c r="M750"/>
  <c r="Q750" s="1"/>
  <c r="L750"/>
  <c r="P750" s="1"/>
  <c r="K750"/>
  <c r="O750" s="1"/>
  <c r="U749"/>
  <c r="T749"/>
  <c r="S749"/>
  <c r="N749"/>
  <c r="R749" s="1"/>
  <c r="M749"/>
  <c r="Q749" s="1"/>
  <c r="L749"/>
  <c r="P749" s="1"/>
  <c r="K749"/>
  <c r="O749" s="1"/>
  <c r="U748"/>
  <c r="T748"/>
  <c r="S748"/>
  <c r="N748"/>
  <c r="R748" s="1"/>
  <c r="M748"/>
  <c r="Q748" s="1"/>
  <c r="L748"/>
  <c r="P748" s="1"/>
  <c r="K748"/>
  <c r="O748" s="1"/>
  <c r="U747"/>
  <c r="T747"/>
  <c r="S747"/>
  <c r="N747"/>
  <c r="R747" s="1"/>
  <c r="M747"/>
  <c r="Q747" s="1"/>
  <c r="L747"/>
  <c r="P747" s="1"/>
  <c r="K747"/>
  <c r="O747" s="1"/>
  <c r="U746"/>
  <c r="T746"/>
  <c r="S746"/>
  <c r="N746"/>
  <c r="R746" s="1"/>
  <c r="M746"/>
  <c r="Q746" s="1"/>
  <c r="L746"/>
  <c r="P746" s="1"/>
  <c r="K746"/>
  <c r="O746" s="1"/>
  <c r="U745"/>
  <c r="T745"/>
  <c r="S745"/>
  <c r="N745"/>
  <c r="R745" s="1"/>
  <c r="M745"/>
  <c r="Q745" s="1"/>
  <c r="L745"/>
  <c r="P745" s="1"/>
  <c r="K745"/>
  <c r="O745" s="1"/>
  <c r="U744"/>
  <c r="T744"/>
  <c r="S744"/>
  <c r="N744"/>
  <c r="R744" s="1"/>
  <c r="M744"/>
  <c r="Q744" s="1"/>
  <c r="L744"/>
  <c r="P744" s="1"/>
  <c r="K744"/>
  <c r="O744" s="1"/>
  <c r="U743"/>
  <c r="T743"/>
  <c r="S743"/>
  <c r="N743"/>
  <c r="R743" s="1"/>
  <c r="M743"/>
  <c r="Q743" s="1"/>
  <c r="L743"/>
  <c r="P743" s="1"/>
  <c r="K743"/>
  <c r="O743" s="1"/>
  <c r="U742"/>
  <c r="T742"/>
  <c r="S742"/>
  <c r="N742"/>
  <c r="R742" s="1"/>
  <c r="M742"/>
  <c r="Q742" s="1"/>
  <c r="L742"/>
  <c r="P742" s="1"/>
  <c r="K742"/>
  <c r="O742" s="1"/>
  <c r="U741"/>
  <c r="T741"/>
  <c r="S741"/>
  <c r="N741"/>
  <c r="R741" s="1"/>
  <c r="M741"/>
  <c r="Q741" s="1"/>
  <c r="L741"/>
  <c r="P741" s="1"/>
  <c r="K741"/>
  <c r="O741" s="1"/>
  <c r="U740"/>
  <c r="T740"/>
  <c r="S740"/>
  <c r="N740"/>
  <c r="R740" s="1"/>
  <c r="M740"/>
  <c r="Q740" s="1"/>
  <c r="L740"/>
  <c r="P740" s="1"/>
  <c r="K740"/>
  <c r="O740" s="1"/>
  <c r="U739"/>
  <c r="T739"/>
  <c r="S739"/>
  <c r="N739"/>
  <c r="R739" s="1"/>
  <c r="M739"/>
  <c r="Q739" s="1"/>
  <c r="L739"/>
  <c r="P739" s="1"/>
  <c r="K739"/>
  <c r="O739" s="1"/>
  <c r="U738"/>
  <c r="T738"/>
  <c r="S738"/>
  <c r="N738"/>
  <c r="R738" s="1"/>
  <c r="M738"/>
  <c r="Q738" s="1"/>
  <c r="L738"/>
  <c r="P738" s="1"/>
  <c r="K738"/>
  <c r="O738" s="1"/>
  <c r="U737"/>
  <c r="T737"/>
  <c r="S737"/>
  <c r="N737"/>
  <c r="R737" s="1"/>
  <c r="M737"/>
  <c r="Q737" s="1"/>
  <c r="L737"/>
  <c r="P737" s="1"/>
  <c r="K737"/>
  <c r="O737" s="1"/>
  <c r="U736"/>
  <c r="T736"/>
  <c r="S736"/>
  <c r="N736"/>
  <c r="R736" s="1"/>
  <c r="M736"/>
  <c r="Q736" s="1"/>
  <c r="L736"/>
  <c r="P736" s="1"/>
  <c r="K736"/>
  <c r="O736" s="1"/>
  <c r="U735"/>
  <c r="T735"/>
  <c r="S735"/>
  <c r="N735"/>
  <c r="R735" s="1"/>
  <c r="M735"/>
  <c r="Q735" s="1"/>
  <c r="L735"/>
  <c r="P735" s="1"/>
  <c r="K735"/>
  <c r="O735" s="1"/>
  <c r="U734"/>
  <c r="T734"/>
  <c r="S734"/>
  <c r="N734"/>
  <c r="R734" s="1"/>
  <c r="M734"/>
  <c r="Q734" s="1"/>
  <c r="L734"/>
  <c r="P734" s="1"/>
  <c r="K734"/>
  <c r="O734" s="1"/>
  <c r="U733"/>
  <c r="T733"/>
  <c r="S733"/>
  <c r="N733"/>
  <c r="R733" s="1"/>
  <c r="M733"/>
  <c r="Q733" s="1"/>
  <c r="L733"/>
  <c r="P733" s="1"/>
  <c r="K733"/>
  <c r="O733" s="1"/>
  <c r="U732"/>
  <c r="T732"/>
  <c r="S732"/>
  <c r="N732"/>
  <c r="R732" s="1"/>
  <c r="M732"/>
  <c r="Q732" s="1"/>
  <c r="L732"/>
  <c r="P732" s="1"/>
  <c r="K732"/>
  <c r="O732" s="1"/>
  <c r="U731"/>
  <c r="T731"/>
  <c r="S731"/>
  <c r="N731"/>
  <c r="R731" s="1"/>
  <c r="M731"/>
  <c r="Q731" s="1"/>
  <c r="L731"/>
  <c r="P731" s="1"/>
  <c r="K731"/>
  <c r="O731" s="1"/>
  <c r="U730"/>
  <c r="T730"/>
  <c r="S730"/>
  <c r="N730"/>
  <c r="R730" s="1"/>
  <c r="M730"/>
  <c r="Q730" s="1"/>
  <c r="L730"/>
  <c r="P730" s="1"/>
  <c r="K730"/>
  <c r="O730" s="1"/>
  <c r="U729"/>
  <c r="T729"/>
  <c r="S729"/>
  <c r="N729"/>
  <c r="R729" s="1"/>
  <c r="M729"/>
  <c r="Q729" s="1"/>
  <c r="L729"/>
  <c r="P729" s="1"/>
  <c r="K729"/>
  <c r="O729" s="1"/>
  <c r="U728"/>
  <c r="T728"/>
  <c r="S728"/>
  <c r="N728"/>
  <c r="R728" s="1"/>
  <c r="M728"/>
  <c r="Q728" s="1"/>
  <c r="L728"/>
  <c r="P728" s="1"/>
  <c r="K728"/>
  <c r="O728" s="1"/>
  <c r="U727"/>
  <c r="T727"/>
  <c r="S727"/>
  <c r="N727"/>
  <c r="R727" s="1"/>
  <c r="M727"/>
  <c r="Q727" s="1"/>
  <c r="L727"/>
  <c r="P727" s="1"/>
  <c r="K727"/>
  <c r="O727" s="1"/>
  <c r="U726"/>
  <c r="T726"/>
  <c r="S726"/>
  <c r="N726"/>
  <c r="R726" s="1"/>
  <c r="M726"/>
  <c r="Q726" s="1"/>
  <c r="L726"/>
  <c r="P726" s="1"/>
  <c r="K726"/>
  <c r="O726" s="1"/>
  <c r="U725"/>
  <c r="T725"/>
  <c r="S725"/>
  <c r="N725"/>
  <c r="R725" s="1"/>
  <c r="M725"/>
  <c r="Q725" s="1"/>
  <c r="L725"/>
  <c r="P725" s="1"/>
  <c r="K725"/>
  <c r="O725" s="1"/>
  <c r="U724"/>
  <c r="T724"/>
  <c r="S724"/>
  <c r="N724"/>
  <c r="R724" s="1"/>
  <c r="M724"/>
  <c r="Q724" s="1"/>
  <c r="L724"/>
  <c r="P724" s="1"/>
  <c r="K724"/>
  <c r="O724" s="1"/>
  <c r="U723"/>
  <c r="T723"/>
  <c r="S723"/>
  <c r="N723"/>
  <c r="R723" s="1"/>
  <c r="M723"/>
  <c r="Q723" s="1"/>
  <c r="L723"/>
  <c r="P723" s="1"/>
  <c r="K723"/>
  <c r="O723" s="1"/>
  <c r="U722"/>
  <c r="T722"/>
  <c r="S722"/>
  <c r="N722"/>
  <c r="R722" s="1"/>
  <c r="M722"/>
  <c r="Q722" s="1"/>
  <c r="L722"/>
  <c r="P722" s="1"/>
  <c r="K722"/>
  <c r="O722" s="1"/>
  <c r="U721"/>
  <c r="T721"/>
  <c r="S721"/>
  <c r="N721"/>
  <c r="R721" s="1"/>
  <c r="M721"/>
  <c r="Q721" s="1"/>
  <c r="L721"/>
  <c r="P721" s="1"/>
  <c r="K721"/>
  <c r="O721" s="1"/>
  <c r="U720"/>
  <c r="T720"/>
  <c r="S720"/>
  <c r="N720"/>
  <c r="R720" s="1"/>
  <c r="M720"/>
  <c r="Q720" s="1"/>
  <c r="L720"/>
  <c r="P720" s="1"/>
  <c r="K720"/>
  <c r="O720" s="1"/>
  <c r="U719"/>
  <c r="T719"/>
  <c r="S719"/>
  <c r="N719"/>
  <c r="R719" s="1"/>
  <c r="M719"/>
  <c r="Q719" s="1"/>
  <c r="L719"/>
  <c r="P719" s="1"/>
  <c r="K719"/>
  <c r="O719" s="1"/>
  <c r="U718"/>
  <c r="T718"/>
  <c r="S718"/>
  <c r="N718"/>
  <c r="R718" s="1"/>
  <c r="M718"/>
  <c r="Q718" s="1"/>
  <c r="L718"/>
  <c r="P718" s="1"/>
  <c r="K718"/>
  <c r="O718" s="1"/>
  <c r="U717"/>
  <c r="T717"/>
  <c r="S717"/>
  <c r="N717"/>
  <c r="R717" s="1"/>
  <c r="M717"/>
  <c r="Q717" s="1"/>
  <c r="L717"/>
  <c r="P717" s="1"/>
  <c r="K717"/>
  <c r="O717" s="1"/>
  <c r="U716"/>
  <c r="T716"/>
  <c r="S716"/>
  <c r="N716"/>
  <c r="R716" s="1"/>
  <c r="M716"/>
  <c r="Q716" s="1"/>
  <c r="L716"/>
  <c r="P716" s="1"/>
  <c r="K716"/>
  <c r="O716" s="1"/>
  <c r="U715"/>
  <c r="T715"/>
  <c r="S715"/>
  <c r="N715"/>
  <c r="R715" s="1"/>
  <c r="M715"/>
  <c r="Q715" s="1"/>
  <c r="L715"/>
  <c r="P715" s="1"/>
  <c r="K715"/>
  <c r="O715" s="1"/>
  <c r="U714"/>
  <c r="T714"/>
  <c r="S714"/>
  <c r="N714"/>
  <c r="R714" s="1"/>
  <c r="M714"/>
  <c r="Q714" s="1"/>
  <c r="L714"/>
  <c r="P714" s="1"/>
  <c r="K714"/>
  <c r="O714" s="1"/>
  <c r="U713"/>
  <c r="T713"/>
  <c r="S713"/>
  <c r="N713"/>
  <c r="R713" s="1"/>
  <c r="M713"/>
  <c r="Q713" s="1"/>
  <c r="L713"/>
  <c r="P713" s="1"/>
  <c r="K713"/>
  <c r="O713" s="1"/>
  <c r="U712"/>
  <c r="T712"/>
  <c r="S712"/>
  <c r="N712"/>
  <c r="R712" s="1"/>
  <c r="M712"/>
  <c r="Q712" s="1"/>
  <c r="L712"/>
  <c r="P712" s="1"/>
  <c r="K712"/>
  <c r="O712" s="1"/>
  <c r="U711"/>
  <c r="T711"/>
  <c r="S711"/>
  <c r="N711"/>
  <c r="R711" s="1"/>
  <c r="M711"/>
  <c r="Q711" s="1"/>
  <c r="L711"/>
  <c r="P711" s="1"/>
  <c r="K711"/>
  <c r="O711" s="1"/>
  <c r="U710"/>
  <c r="T710"/>
  <c r="S710"/>
  <c r="N710"/>
  <c r="R710" s="1"/>
  <c r="M710"/>
  <c r="Q710" s="1"/>
  <c r="L710"/>
  <c r="P710" s="1"/>
  <c r="K710"/>
  <c r="O710" s="1"/>
  <c r="U709"/>
  <c r="T709"/>
  <c r="S709"/>
  <c r="N709"/>
  <c r="R709" s="1"/>
  <c r="M709"/>
  <c r="Q709" s="1"/>
  <c r="L709"/>
  <c r="P709" s="1"/>
  <c r="K709"/>
  <c r="O709" s="1"/>
  <c r="U708"/>
  <c r="T708"/>
  <c r="S708"/>
  <c r="N708"/>
  <c r="R708" s="1"/>
  <c r="M708"/>
  <c r="Q708" s="1"/>
  <c r="L708"/>
  <c r="P708" s="1"/>
  <c r="K708"/>
  <c r="O708" s="1"/>
  <c r="U707"/>
  <c r="T707"/>
  <c r="S707"/>
  <c r="N707"/>
  <c r="R707" s="1"/>
  <c r="M707"/>
  <c r="Q707" s="1"/>
  <c r="L707"/>
  <c r="P707" s="1"/>
  <c r="K707"/>
  <c r="O707" s="1"/>
  <c r="U706"/>
  <c r="T706"/>
  <c r="S706"/>
  <c r="N706"/>
  <c r="R706" s="1"/>
  <c r="M706"/>
  <c r="Q706" s="1"/>
  <c r="L706"/>
  <c r="P706" s="1"/>
  <c r="K706"/>
  <c r="O706" s="1"/>
  <c r="U705"/>
  <c r="T705"/>
  <c r="S705"/>
  <c r="N705"/>
  <c r="R705" s="1"/>
  <c r="M705"/>
  <c r="Q705" s="1"/>
  <c r="L705"/>
  <c r="P705" s="1"/>
  <c r="K705"/>
  <c r="O705" s="1"/>
  <c r="U704"/>
  <c r="T704"/>
  <c r="S704"/>
  <c r="N704"/>
  <c r="R704" s="1"/>
  <c r="M704"/>
  <c r="Q704" s="1"/>
  <c r="L704"/>
  <c r="P704" s="1"/>
  <c r="K704"/>
  <c r="O704" s="1"/>
  <c r="U703"/>
  <c r="T703"/>
  <c r="S703"/>
  <c r="N703"/>
  <c r="R703" s="1"/>
  <c r="M703"/>
  <c r="Q703" s="1"/>
  <c r="L703"/>
  <c r="P703" s="1"/>
  <c r="K703"/>
  <c r="O703" s="1"/>
  <c r="U702"/>
  <c r="T702"/>
  <c r="S702"/>
  <c r="N702"/>
  <c r="R702" s="1"/>
  <c r="M702"/>
  <c r="Q702" s="1"/>
  <c r="L702"/>
  <c r="P702" s="1"/>
  <c r="K702"/>
  <c r="O702" s="1"/>
  <c r="U701"/>
  <c r="T701"/>
  <c r="S701"/>
  <c r="N701"/>
  <c r="R701" s="1"/>
  <c r="M701"/>
  <c r="Q701" s="1"/>
  <c r="L701"/>
  <c r="P701" s="1"/>
  <c r="K701"/>
  <c r="O701" s="1"/>
  <c r="U700"/>
  <c r="T700"/>
  <c r="S700"/>
  <c r="N700"/>
  <c r="R700" s="1"/>
  <c r="M700"/>
  <c r="Q700" s="1"/>
  <c r="L700"/>
  <c r="P700" s="1"/>
  <c r="K700"/>
  <c r="O700" s="1"/>
  <c r="U699"/>
  <c r="T699"/>
  <c r="S699"/>
  <c r="N699"/>
  <c r="R699" s="1"/>
  <c r="M699"/>
  <c r="Q699" s="1"/>
  <c r="L699"/>
  <c r="P699" s="1"/>
  <c r="K699"/>
  <c r="O699" s="1"/>
  <c r="U698"/>
  <c r="T698"/>
  <c r="S698"/>
  <c r="N698"/>
  <c r="R698" s="1"/>
  <c r="M698"/>
  <c r="Q698" s="1"/>
  <c r="L698"/>
  <c r="P698" s="1"/>
  <c r="K698"/>
  <c r="O698" s="1"/>
  <c r="U697"/>
  <c r="T697"/>
  <c r="S697"/>
  <c r="N697"/>
  <c r="R697" s="1"/>
  <c r="M697"/>
  <c r="Q697" s="1"/>
  <c r="L697"/>
  <c r="P697" s="1"/>
  <c r="K697"/>
  <c r="O697" s="1"/>
  <c r="U696"/>
  <c r="T696"/>
  <c r="S696"/>
  <c r="N696"/>
  <c r="R696" s="1"/>
  <c r="M696"/>
  <c r="Q696" s="1"/>
  <c r="L696"/>
  <c r="P696" s="1"/>
  <c r="K696"/>
  <c r="O696" s="1"/>
  <c r="U695"/>
  <c r="T695"/>
  <c r="S695"/>
  <c r="N695"/>
  <c r="R695" s="1"/>
  <c r="M695"/>
  <c r="Q695" s="1"/>
  <c r="L695"/>
  <c r="P695" s="1"/>
  <c r="K695"/>
  <c r="O695" s="1"/>
  <c r="U694"/>
  <c r="T694"/>
  <c r="S694"/>
  <c r="N694"/>
  <c r="R694" s="1"/>
  <c r="M694"/>
  <c r="Q694" s="1"/>
  <c r="L694"/>
  <c r="P694" s="1"/>
  <c r="K694"/>
  <c r="O694" s="1"/>
  <c r="U693"/>
  <c r="T693"/>
  <c r="S693"/>
  <c r="N693"/>
  <c r="R693" s="1"/>
  <c r="M693"/>
  <c r="Q693" s="1"/>
  <c r="L693"/>
  <c r="P693" s="1"/>
  <c r="K693"/>
  <c r="O693" s="1"/>
  <c r="U692"/>
  <c r="T692"/>
  <c r="S692"/>
  <c r="N692"/>
  <c r="R692" s="1"/>
  <c r="M692"/>
  <c r="Q692" s="1"/>
  <c r="L692"/>
  <c r="P692" s="1"/>
  <c r="K692"/>
  <c r="O692" s="1"/>
  <c r="U691"/>
  <c r="T691"/>
  <c r="S691"/>
  <c r="N691"/>
  <c r="R691" s="1"/>
  <c r="M691"/>
  <c r="Q691" s="1"/>
  <c r="L691"/>
  <c r="P691" s="1"/>
  <c r="K691"/>
  <c r="O691" s="1"/>
  <c r="U690"/>
  <c r="T690"/>
  <c r="S690"/>
  <c r="N690"/>
  <c r="R690" s="1"/>
  <c r="M690"/>
  <c r="Q690" s="1"/>
  <c r="L690"/>
  <c r="P690" s="1"/>
  <c r="K690"/>
  <c r="O690" s="1"/>
  <c r="U689"/>
  <c r="T689"/>
  <c r="S689"/>
  <c r="N689"/>
  <c r="R689" s="1"/>
  <c r="M689"/>
  <c r="Q689" s="1"/>
  <c r="L689"/>
  <c r="P689" s="1"/>
  <c r="K689"/>
  <c r="O689" s="1"/>
  <c r="U688"/>
  <c r="T688"/>
  <c r="S688"/>
  <c r="N688"/>
  <c r="R688" s="1"/>
  <c r="M688"/>
  <c r="Q688" s="1"/>
  <c r="L688"/>
  <c r="P688" s="1"/>
  <c r="K688"/>
  <c r="O688" s="1"/>
  <c r="U687"/>
  <c r="T687"/>
  <c r="S687"/>
  <c r="N687"/>
  <c r="R687" s="1"/>
  <c r="M687"/>
  <c r="Q687" s="1"/>
  <c r="L687"/>
  <c r="P687" s="1"/>
  <c r="K687"/>
  <c r="O687" s="1"/>
  <c r="U686"/>
  <c r="T686"/>
  <c r="S686"/>
  <c r="N686"/>
  <c r="R686" s="1"/>
  <c r="M686"/>
  <c r="Q686" s="1"/>
  <c r="L686"/>
  <c r="P686" s="1"/>
  <c r="K686"/>
  <c r="O686" s="1"/>
  <c r="U685"/>
  <c r="T685"/>
  <c r="S685"/>
  <c r="N685"/>
  <c r="R685" s="1"/>
  <c r="M685"/>
  <c r="Q685" s="1"/>
  <c r="L685"/>
  <c r="P685" s="1"/>
  <c r="K685"/>
  <c r="O685" s="1"/>
  <c r="U684"/>
  <c r="T684"/>
  <c r="S684"/>
  <c r="N684"/>
  <c r="R684" s="1"/>
  <c r="M684"/>
  <c r="Q684" s="1"/>
  <c r="L684"/>
  <c r="P684" s="1"/>
  <c r="K684"/>
  <c r="O684" s="1"/>
  <c r="U683"/>
  <c r="T683"/>
  <c r="S683"/>
  <c r="N683"/>
  <c r="R683" s="1"/>
  <c r="M683"/>
  <c r="Q683" s="1"/>
  <c r="L683"/>
  <c r="P683" s="1"/>
  <c r="K683"/>
  <c r="O683" s="1"/>
  <c r="U682"/>
  <c r="T682"/>
  <c r="S682"/>
  <c r="N682"/>
  <c r="R682" s="1"/>
  <c r="M682"/>
  <c r="Q682" s="1"/>
  <c r="L682"/>
  <c r="P682" s="1"/>
  <c r="K682"/>
  <c r="O682" s="1"/>
  <c r="U681"/>
  <c r="T681"/>
  <c r="S681"/>
  <c r="N681"/>
  <c r="R681" s="1"/>
  <c r="M681"/>
  <c r="Q681" s="1"/>
  <c r="L681"/>
  <c r="P681" s="1"/>
  <c r="K681"/>
  <c r="O681" s="1"/>
  <c r="U680"/>
  <c r="T680"/>
  <c r="S680"/>
  <c r="N680"/>
  <c r="R680" s="1"/>
  <c r="M680"/>
  <c r="Q680" s="1"/>
  <c r="L680"/>
  <c r="P680" s="1"/>
  <c r="K680"/>
  <c r="O680" s="1"/>
  <c r="U679"/>
  <c r="T679"/>
  <c r="S679"/>
  <c r="N679"/>
  <c r="R679" s="1"/>
  <c r="M679"/>
  <c r="Q679" s="1"/>
  <c r="L679"/>
  <c r="P679" s="1"/>
  <c r="K679"/>
  <c r="O679" s="1"/>
  <c r="U678"/>
  <c r="T678"/>
  <c r="S678"/>
  <c r="N678"/>
  <c r="R678" s="1"/>
  <c r="M678"/>
  <c r="Q678" s="1"/>
  <c r="L678"/>
  <c r="P678" s="1"/>
  <c r="K678"/>
  <c r="O678" s="1"/>
  <c r="U677"/>
  <c r="T677"/>
  <c r="S677"/>
  <c r="N677"/>
  <c r="R677" s="1"/>
  <c r="M677"/>
  <c r="Q677" s="1"/>
  <c r="L677"/>
  <c r="P677" s="1"/>
  <c r="K677"/>
  <c r="O677" s="1"/>
  <c r="U676"/>
  <c r="T676"/>
  <c r="S676"/>
  <c r="N676"/>
  <c r="R676" s="1"/>
  <c r="M676"/>
  <c r="Q676" s="1"/>
  <c r="L676"/>
  <c r="P676" s="1"/>
  <c r="K676"/>
  <c r="O676" s="1"/>
  <c r="U675"/>
  <c r="T675"/>
  <c r="S675"/>
  <c r="N675"/>
  <c r="R675" s="1"/>
  <c r="M675"/>
  <c r="Q675" s="1"/>
  <c r="L675"/>
  <c r="P675" s="1"/>
  <c r="K675"/>
  <c r="O675" s="1"/>
  <c r="U674"/>
  <c r="T674"/>
  <c r="S674"/>
  <c r="N674"/>
  <c r="R674" s="1"/>
  <c r="M674"/>
  <c r="Q674" s="1"/>
  <c r="L674"/>
  <c r="P674" s="1"/>
  <c r="K674"/>
  <c r="O674" s="1"/>
  <c r="U673"/>
  <c r="T673"/>
  <c r="S673"/>
  <c r="N673"/>
  <c r="R673" s="1"/>
  <c r="M673"/>
  <c r="Q673" s="1"/>
  <c r="L673"/>
  <c r="P673" s="1"/>
  <c r="K673"/>
  <c r="O673" s="1"/>
  <c r="U672"/>
  <c r="T672"/>
  <c r="S672"/>
  <c r="N672"/>
  <c r="R672" s="1"/>
  <c r="M672"/>
  <c r="Q672" s="1"/>
  <c r="L672"/>
  <c r="P672" s="1"/>
  <c r="K672"/>
  <c r="O672" s="1"/>
  <c r="U671"/>
  <c r="T671"/>
  <c r="S671"/>
  <c r="N671"/>
  <c r="R671" s="1"/>
  <c r="M671"/>
  <c r="Q671" s="1"/>
  <c r="L671"/>
  <c r="P671" s="1"/>
  <c r="K671"/>
  <c r="O671" s="1"/>
  <c r="U670"/>
  <c r="T670"/>
  <c r="S670"/>
  <c r="N670"/>
  <c r="R670" s="1"/>
  <c r="M670"/>
  <c r="Q670" s="1"/>
  <c r="L670"/>
  <c r="P670" s="1"/>
  <c r="K670"/>
  <c r="O670" s="1"/>
  <c r="U669"/>
  <c r="T669"/>
  <c r="S669"/>
  <c r="N669"/>
  <c r="R669" s="1"/>
  <c r="M669"/>
  <c r="Q669" s="1"/>
  <c r="L669"/>
  <c r="P669" s="1"/>
  <c r="K669"/>
  <c r="O669" s="1"/>
  <c r="U668"/>
  <c r="T668"/>
  <c r="S668"/>
  <c r="N668"/>
  <c r="R668" s="1"/>
  <c r="M668"/>
  <c r="Q668" s="1"/>
  <c r="L668"/>
  <c r="P668" s="1"/>
  <c r="K668"/>
  <c r="O668" s="1"/>
  <c r="U667"/>
  <c r="T667"/>
  <c r="S667"/>
  <c r="N667"/>
  <c r="R667" s="1"/>
  <c r="M667"/>
  <c r="Q667" s="1"/>
  <c r="L667"/>
  <c r="P667" s="1"/>
  <c r="K667"/>
  <c r="O667" s="1"/>
  <c r="U666"/>
  <c r="T666"/>
  <c r="S666"/>
  <c r="N666"/>
  <c r="R666" s="1"/>
  <c r="M666"/>
  <c r="Q666" s="1"/>
  <c r="L666"/>
  <c r="P666" s="1"/>
  <c r="K666"/>
  <c r="O666" s="1"/>
  <c r="U665"/>
  <c r="T665"/>
  <c r="S665"/>
  <c r="N665"/>
  <c r="R665" s="1"/>
  <c r="M665"/>
  <c r="Q665" s="1"/>
  <c r="L665"/>
  <c r="P665" s="1"/>
  <c r="K665"/>
  <c r="O665" s="1"/>
  <c r="U664"/>
  <c r="T664"/>
  <c r="S664"/>
  <c r="N664"/>
  <c r="R664" s="1"/>
  <c r="M664"/>
  <c r="Q664" s="1"/>
  <c r="L664"/>
  <c r="P664" s="1"/>
  <c r="K664"/>
  <c r="O664" s="1"/>
  <c r="U663"/>
  <c r="T663"/>
  <c r="S663"/>
  <c r="N663"/>
  <c r="R663" s="1"/>
  <c r="M663"/>
  <c r="Q663" s="1"/>
  <c r="L663"/>
  <c r="P663" s="1"/>
  <c r="K663"/>
  <c r="O663" s="1"/>
  <c r="U662"/>
  <c r="T662"/>
  <c r="S662"/>
  <c r="N662"/>
  <c r="R662" s="1"/>
  <c r="M662"/>
  <c r="Q662" s="1"/>
  <c r="L662"/>
  <c r="P662" s="1"/>
  <c r="K662"/>
  <c r="O662" s="1"/>
  <c r="U661"/>
  <c r="T661"/>
  <c r="S661"/>
  <c r="N661"/>
  <c r="R661" s="1"/>
  <c r="M661"/>
  <c r="Q661" s="1"/>
  <c r="L661"/>
  <c r="P661" s="1"/>
  <c r="K661"/>
  <c r="O661" s="1"/>
  <c r="U660"/>
  <c r="T660"/>
  <c r="S660"/>
  <c r="N660"/>
  <c r="R660" s="1"/>
  <c r="M660"/>
  <c r="Q660" s="1"/>
  <c r="L660"/>
  <c r="P660" s="1"/>
  <c r="K660"/>
  <c r="O660" s="1"/>
  <c r="U659"/>
  <c r="T659"/>
  <c r="S659"/>
  <c r="N659"/>
  <c r="R659" s="1"/>
  <c r="M659"/>
  <c r="Q659" s="1"/>
  <c r="L659"/>
  <c r="P659" s="1"/>
  <c r="K659"/>
  <c r="O659" s="1"/>
  <c r="U658"/>
  <c r="T658"/>
  <c r="S658"/>
  <c r="N658"/>
  <c r="R658" s="1"/>
  <c r="M658"/>
  <c r="Q658" s="1"/>
  <c r="L658"/>
  <c r="P658" s="1"/>
  <c r="K658"/>
  <c r="O658" s="1"/>
  <c r="U657"/>
  <c r="T657"/>
  <c r="S657"/>
  <c r="N657"/>
  <c r="R657" s="1"/>
  <c r="M657"/>
  <c r="Q657" s="1"/>
  <c r="L657"/>
  <c r="P657" s="1"/>
  <c r="K657"/>
  <c r="O657" s="1"/>
  <c r="U656"/>
  <c r="T656"/>
  <c r="S656"/>
  <c r="N656"/>
  <c r="R656" s="1"/>
  <c r="M656"/>
  <c r="Q656" s="1"/>
  <c r="L656"/>
  <c r="P656" s="1"/>
  <c r="K656"/>
  <c r="O656" s="1"/>
  <c r="U655"/>
  <c r="T655"/>
  <c r="S655"/>
  <c r="N655"/>
  <c r="R655" s="1"/>
  <c r="M655"/>
  <c r="Q655" s="1"/>
  <c r="L655"/>
  <c r="P655" s="1"/>
  <c r="K655"/>
  <c r="O655" s="1"/>
  <c r="U654"/>
  <c r="T654"/>
  <c r="S654"/>
  <c r="N654"/>
  <c r="R654" s="1"/>
  <c r="M654"/>
  <c r="Q654" s="1"/>
  <c r="L654"/>
  <c r="P654" s="1"/>
  <c r="K654"/>
  <c r="O654" s="1"/>
  <c r="U653"/>
  <c r="T653"/>
  <c r="S653"/>
  <c r="N653"/>
  <c r="R653" s="1"/>
  <c r="M653"/>
  <c r="Q653" s="1"/>
  <c r="L653"/>
  <c r="P653" s="1"/>
  <c r="K653"/>
  <c r="O653" s="1"/>
  <c r="U652"/>
  <c r="T652"/>
  <c r="S652"/>
  <c r="N652"/>
  <c r="R652" s="1"/>
  <c r="M652"/>
  <c r="Q652" s="1"/>
  <c r="L652"/>
  <c r="P652" s="1"/>
  <c r="K652"/>
  <c r="O652" s="1"/>
  <c r="U651"/>
  <c r="T651"/>
  <c r="S651"/>
  <c r="N651"/>
  <c r="R651" s="1"/>
  <c r="M651"/>
  <c r="Q651" s="1"/>
  <c r="L651"/>
  <c r="P651" s="1"/>
  <c r="K651"/>
  <c r="O651" s="1"/>
  <c r="U650"/>
  <c r="T650"/>
  <c r="S650"/>
  <c r="N650"/>
  <c r="R650" s="1"/>
  <c r="M650"/>
  <c r="Q650" s="1"/>
  <c r="L650"/>
  <c r="P650" s="1"/>
  <c r="K650"/>
  <c r="O650" s="1"/>
  <c r="U649"/>
  <c r="T649"/>
  <c r="S649"/>
  <c r="N649"/>
  <c r="R649" s="1"/>
  <c r="M649"/>
  <c r="Q649" s="1"/>
  <c r="L649"/>
  <c r="P649" s="1"/>
  <c r="K649"/>
  <c r="O649" s="1"/>
  <c r="U648"/>
  <c r="T648"/>
  <c r="S648"/>
  <c r="N648"/>
  <c r="R648" s="1"/>
  <c r="M648"/>
  <c r="Q648" s="1"/>
  <c r="L648"/>
  <c r="P648" s="1"/>
  <c r="K648"/>
  <c r="O648" s="1"/>
  <c r="U647"/>
  <c r="T647"/>
  <c r="S647"/>
  <c r="N647"/>
  <c r="R647" s="1"/>
  <c r="M647"/>
  <c r="Q647" s="1"/>
  <c r="L647"/>
  <c r="P647" s="1"/>
  <c r="K647"/>
  <c r="O647" s="1"/>
  <c r="U646"/>
  <c r="T646"/>
  <c r="S646"/>
  <c r="N646"/>
  <c r="R646" s="1"/>
  <c r="M646"/>
  <c r="Q646" s="1"/>
  <c r="L646"/>
  <c r="P646" s="1"/>
  <c r="K646"/>
  <c r="O646" s="1"/>
  <c r="U645"/>
  <c r="T645"/>
  <c r="S645"/>
  <c r="N645"/>
  <c r="R645" s="1"/>
  <c r="M645"/>
  <c r="Q645" s="1"/>
  <c r="L645"/>
  <c r="P645" s="1"/>
  <c r="K645"/>
  <c r="O645" s="1"/>
  <c r="U644"/>
  <c r="T644"/>
  <c r="S644"/>
  <c r="N644"/>
  <c r="R644" s="1"/>
  <c r="M644"/>
  <c r="Q644" s="1"/>
  <c r="L644"/>
  <c r="P644" s="1"/>
  <c r="K644"/>
  <c r="O644" s="1"/>
  <c r="U643"/>
  <c r="T643"/>
  <c r="S643"/>
  <c r="N643"/>
  <c r="R643" s="1"/>
  <c r="M643"/>
  <c r="Q643" s="1"/>
  <c r="L643"/>
  <c r="P643" s="1"/>
  <c r="K643"/>
  <c r="O643" s="1"/>
  <c r="U642"/>
  <c r="T642"/>
  <c r="S642"/>
  <c r="N642"/>
  <c r="R642" s="1"/>
  <c r="M642"/>
  <c r="Q642" s="1"/>
  <c r="L642"/>
  <c r="P642" s="1"/>
  <c r="K642"/>
  <c r="O642" s="1"/>
  <c r="U641"/>
  <c r="T641"/>
  <c r="S641"/>
  <c r="N641"/>
  <c r="R641" s="1"/>
  <c r="M641"/>
  <c r="Q641" s="1"/>
  <c r="L641"/>
  <c r="P641" s="1"/>
  <c r="K641"/>
  <c r="O641" s="1"/>
  <c r="U640"/>
  <c r="T640"/>
  <c r="S640"/>
  <c r="N640"/>
  <c r="R640" s="1"/>
  <c r="M640"/>
  <c r="Q640" s="1"/>
  <c r="L640"/>
  <c r="P640" s="1"/>
  <c r="K640"/>
  <c r="O640" s="1"/>
  <c r="U639"/>
  <c r="T639"/>
  <c r="S639"/>
  <c r="N639"/>
  <c r="R639" s="1"/>
  <c r="M639"/>
  <c r="Q639" s="1"/>
  <c r="L639"/>
  <c r="P639" s="1"/>
  <c r="K639"/>
  <c r="O639" s="1"/>
  <c r="U638"/>
  <c r="T638"/>
  <c r="S638"/>
  <c r="N638"/>
  <c r="R638" s="1"/>
  <c r="M638"/>
  <c r="Q638" s="1"/>
  <c r="L638"/>
  <c r="P638" s="1"/>
  <c r="K638"/>
  <c r="O638" s="1"/>
  <c r="U637"/>
  <c r="T637"/>
  <c r="S637"/>
  <c r="N637"/>
  <c r="R637" s="1"/>
  <c r="M637"/>
  <c r="Q637" s="1"/>
  <c r="L637"/>
  <c r="P637" s="1"/>
  <c r="K637"/>
  <c r="O637" s="1"/>
  <c r="U636"/>
  <c r="T636"/>
  <c r="S636"/>
  <c r="N636"/>
  <c r="R636" s="1"/>
  <c r="M636"/>
  <c r="Q636" s="1"/>
  <c r="L636"/>
  <c r="P636" s="1"/>
  <c r="K636"/>
  <c r="O636" s="1"/>
  <c r="U635"/>
  <c r="T635"/>
  <c r="S635"/>
  <c r="N635"/>
  <c r="R635" s="1"/>
  <c r="M635"/>
  <c r="Q635" s="1"/>
  <c r="L635"/>
  <c r="P635" s="1"/>
  <c r="K635"/>
  <c r="O635" s="1"/>
  <c r="U634"/>
  <c r="T634"/>
  <c r="S634"/>
  <c r="N634"/>
  <c r="R634" s="1"/>
  <c r="M634"/>
  <c r="Q634" s="1"/>
  <c r="L634"/>
  <c r="P634" s="1"/>
  <c r="K634"/>
  <c r="O634" s="1"/>
  <c r="U633"/>
  <c r="T633"/>
  <c r="S633"/>
  <c r="N633"/>
  <c r="R633" s="1"/>
  <c r="M633"/>
  <c r="Q633" s="1"/>
  <c r="L633"/>
  <c r="P633" s="1"/>
  <c r="K633"/>
  <c r="O633" s="1"/>
  <c r="U632"/>
  <c r="T632"/>
  <c r="S632"/>
  <c r="N632"/>
  <c r="R632" s="1"/>
  <c r="M632"/>
  <c r="Q632" s="1"/>
  <c r="L632"/>
  <c r="P632" s="1"/>
  <c r="K632"/>
  <c r="O632" s="1"/>
  <c r="U631"/>
  <c r="T631"/>
  <c r="S631"/>
  <c r="N631"/>
  <c r="R631" s="1"/>
  <c r="M631"/>
  <c r="Q631" s="1"/>
  <c r="L631"/>
  <c r="P631" s="1"/>
  <c r="K631"/>
  <c r="O631" s="1"/>
  <c r="U630"/>
  <c r="T630"/>
  <c r="S630"/>
  <c r="N630"/>
  <c r="R630" s="1"/>
  <c r="M630"/>
  <c r="Q630" s="1"/>
  <c r="L630"/>
  <c r="P630" s="1"/>
  <c r="K630"/>
  <c r="O630" s="1"/>
  <c r="U629"/>
  <c r="T629"/>
  <c r="S629"/>
  <c r="N629"/>
  <c r="R629" s="1"/>
  <c r="M629"/>
  <c r="Q629" s="1"/>
  <c r="L629"/>
  <c r="P629" s="1"/>
  <c r="K629"/>
  <c r="O629" s="1"/>
  <c r="U628"/>
  <c r="T628"/>
  <c r="S628"/>
  <c r="N628"/>
  <c r="R628" s="1"/>
  <c r="M628"/>
  <c r="Q628" s="1"/>
  <c r="L628"/>
  <c r="P628" s="1"/>
  <c r="K628"/>
  <c r="O628" s="1"/>
  <c r="U627"/>
  <c r="T627"/>
  <c r="S627"/>
  <c r="N627"/>
  <c r="R627" s="1"/>
  <c r="M627"/>
  <c r="Q627" s="1"/>
  <c r="L627"/>
  <c r="P627" s="1"/>
  <c r="K627"/>
  <c r="O627" s="1"/>
  <c r="U626"/>
  <c r="T626"/>
  <c r="S626"/>
  <c r="N626"/>
  <c r="R626" s="1"/>
  <c r="M626"/>
  <c r="Q626" s="1"/>
  <c r="L626"/>
  <c r="P626" s="1"/>
  <c r="K626"/>
  <c r="O626" s="1"/>
  <c r="U625"/>
  <c r="T625"/>
  <c r="S625"/>
  <c r="N625"/>
  <c r="R625" s="1"/>
  <c r="M625"/>
  <c r="Q625" s="1"/>
  <c r="L625"/>
  <c r="P625" s="1"/>
  <c r="K625"/>
  <c r="O625" s="1"/>
  <c r="U624"/>
  <c r="T624"/>
  <c r="S624"/>
  <c r="N624"/>
  <c r="R624" s="1"/>
  <c r="M624"/>
  <c r="Q624" s="1"/>
  <c r="L624"/>
  <c r="P624" s="1"/>
  <c r="K624"/>
  <c r="O624" s="1"/>
  <c r="U623"/>
  <c r="T623"/>
  <c r="S623"/>
  <c r="N623"/>
  <c r="R623" s="1"/>
  <c r="M623"/>
  <c r="Q623" s="1"/>
  <c r="L623"/>
  <c r="P623" s="1"/>
  <c r="K623"/>
  <c r="O623" s="1"/>
  <c r="U622"/>
  <c r="T622"/>
  <c r="S622"/>
  <c r="N622"/>
  <c r="R622" s="1"/>
  <c r="M622"/>
  <c r="Q622" s="1"/>
  <c r="L622"/>
  <c r="P622" s="1"/>
  <c r="K622"/>
  <c r="O622" s="1"/>
  <c r="U621"/>
  <c r="T621"/>
  <c r="S621"/>
  <c r="N621"/>
  <c r="R621" s="1"/>
  <c r="M621"/>
  <c r="Q621" s="1"/>
  <c r="L621"/>
  <c r="P621" s="1"/>
  <c r="K621"/>
  <c r="O621" s="1"/>
  <c r="U620"/>
  <c r="T620"/>
  <c r="S620"/>
  <c r="N620"/>
  <c r="R620" s="1"/>
  <c r="M620"/>
  <c r="Q620" s="1"/>
  <c r="L620"/>
  <c r="P620" s="1"/>
  <c r="K620"/>
  <c r="O620" s="1"/>
  <c r="U619"/>
  <c r="T619"/>
  <c r="S619"/>
  <c r="N619"/>
  <c r="R619" s="1"/>
  <c r="M619"/>
  <c r="Q619" s="1"/>
  <c r="L619"/>
  <c r="P619" s="1"/>
  <c r="K619"/>
  <c r="O619" s="1"/>
  <c r="U618"/>
  <c r="T618"/>
  <c r="S618"/>
  <c r="N618"/>
  <c r="R618" s="1"/>
  <c r="M618"/>
  <c r="Q618" s="1"/>
  <c r="L618"/>
  <c r="P618" s="1"/>
  <c r="K618"/>
  <c r="O618" s="1"/>
  <c r="U617"/>
  <c r="T617"/>
  <c r="S617"/>
  <c r="N617"/>
  <c r="R617" s="1"/>
  <c r="M617"/>
  <c r="Q617" s="1"/>
  <c r="L617"/>
  <c r="P617" s="1"/>
  <c r="K617"/>
  <c r="O617" s="1"/>
  <c r="U616"/>
  <c r="T616"/>
  <c r="S616"/>
  <c r="N616"/>
  <c r="R616" s="1"/>
  <c r="M616"/>
  <c r="Q616" s="1"/>
  <c r="L616"/>
  <c r="P616" s="1"/>
  <c r="K616"/>
  <c r="O616" s="1"/>
  <c r="U615"/>
  <c r="T615"/>
  <c r="S615"/>
  <c r="N615"/>
  <c r="R615" s="1"/>
  <c r="M615"/>
  <c r="Q615" s="1"/>
  <c r="L615"/>
  <c r="P615" s="1"/>
  <c r="K615"/>
  <c r="O615" s="1"/>
  <c r="U614"/>
  <c r="T614"/>
  <c r="S614"/>
  <c r="N614"/>
  <c r="R614" s="1"/>
  <c r="M614"/>
  <c r="Q614" s="1"/>
  <c r="L614"/>
  <c r="P614" s="1"/>
  <c r="K614"/>
  <c r="O614" s="1"/>
  <c r="U613"/>
  <c r="T613"/>
  <c r="S613"/>
  <c r="N613"/>
  <c r="R613" s="1"/>
  <c r="M613"/>
  <c r="Q613" s="1"/>
  <c r="L613"/>
  <c r="P613" s="1"/>
  <c r="K613"/>
  <c r="O613" s="1"/>
  <c r="U612"/>
  <c r="T612"/>
  <c r="S612"/>
  <c r="N612"/>
  <c r="R612" s="1"/>
  <c r="M612"/>
  <c r="Q612" s="1"/>
  <c r="L612"/>
  <c r="P612" s="1"/>
  <c r="K612"/>
  <c r="O612" s="1"/>
  <c r="U611"/>
  <c r="T611"/>
  <c r="S611"/>
  <c r="N611"/>
  <c r="R611" s="1"/>
  <c r="M611"/>
  <c r="Q611" s="1"/>
  <c r="L611"/>
  <c r="P611" s="1"/>
  <c r="K611"/>
  <c r="O611" s="1"/>
  <c r="U610"/>
  <c r="T610"/>
  <c r="S610"/>
  <c r="N610"/>
  <c r="R610" s="1"/>
  <c r="M610"/>
  <c r="Q610" s="1"/>
  <c r="L610"/>
  <c r="P610" s="1"/>
  <c r="K610"/>
  <c r="O610" s="1"/>
  <c r="U609"/>
  <c r="T609"/>
  <c r="S609"/>
  <c r="N609"/>
  <c r="R609" s="1"/>
  <c r="M609"/>
  <c r="Q609" s="1"/>
  <c r="L609"/>
  <c r="P609" s="1"/>
  <c r="K609"/>
  <c r="O609" s="1"/>
  <c r="U608"/>
  <c r="T608"/>
  <c r="S608"/>
  <c r="N608"/>
  <c r="R608" s="1"/>
  <c r="M608"/>
  <c r="Q608" s="1"/>
  <c r="L608"/>
  <c r="P608" s="1"/>
  <c r="K608"/>
  <c r="O608" s="1"/>
  <c r="U607"/>
  <c r="T607"/>
  <c r="S607"/>
  <c r="N607"/>
  <c r="R607" s="1"/>
  <c r="M607"/>
  <c r="Q607" s="1"/>
  <c r="L607"/>
  <c r="P607" s="1"/>
  <c r="K607"/>
  <c r="O607" s="1"/>
  <c r="U606"/>
  <c r="T606"/>
  <c r="S606"/>
  <c r="N606"/>
  <c r="R606" s="1"/>
  <c r="M606"/>
  <c r="Q606" s="1"/>
  <c r="L606"/>
  <c r="P606" s="1"/>
  <c r="K606"/>
  <c r="O606" s="1"/>
  <c r="U605"/>
  <c r="T605"/>
  <c r="S605"/>
  <c r="N605"/>
  <c r="R605" s="1"/>
  <c r="M605"/>
  <c r="Q605" s="1"/>
  <c r="L605"/>
  <c r="P605" s="1"/>
  <c r="K605"/>
  <c r="O605" s="1"/>
  <c r="U604"/>
  <c r="T604"/>
  <c r="S604"/>
  <c r="N604"/>
  <c r="R604" s="1"/>
  <c r="M604"/>
  <c r="Q604" s="1"/>
  <c r="L604"/>
  <c r="P604" s="1"/>
  <c r="K604"/>
  <c r="O604" s="1"/>
  <c r="U603"/>
  <c r="T603"/>
  <c r="S603"/>
  <c r="N603"/>
  <c r="R603" s="1"/>
  <c r="M603"/>
  <c r="Q603" s="1"/>
  <c r="L603"/>
  <c r="P603" s="1"/>
  <c r="K603"/>
  <c r="O603" s="1"/>
  <c r="U602"/>
  <c r="T602"/>
  <c r="S602"/>
  <c r="N602"/>
  <c r="R602" s="1"/>
  <c r="M602"/>
  <c r="Q602" s="1"/>
  <c r="L602"/>
  <c r="P602" s="1"/>
  <c r="K602"/>
  <c r="O602" s="1"/>
  <c r="U601"/>
  <c r="T601"/>
  <c r="S601"/>
  <c r="N601"/>
  <c r="R601" s="1"/>
  <c r="M601"/>
  <c r="Q601" s="1"/>
  <c r="L601"/>
  <c r="P601" s="1"/>
  <c r="K601"/>
  <c r="O601" s="1"/>
  <c r="U600"/>
  <c r="T600"/>
  <c r="S600"/>
  <c r="N600"/>
  <c r="R600" s="1"/>
  <c r="M600"/>
  <c r="Q600" s="1"/>
  <c r="L600"/>
  <c r="P600" s="1"/>
  <c r="K600"/>
  <c r="O600" s="1"/>
  <c r="U599"/>
  <c r="T599"/>
  <c r="S599"/>
  <c r="N599"/>
  <c r="R599" s="1"/>
  <c r="M599"/>
  <c r="Q599" s="1"/>
  <c r="L599"/>
  <c r="P599" s="1"/>
  <c r="K599"/>
  <c r="O599" s="1"/>
  <c r="U598"/>
  <c r="T598"/>
  <c r="S598"/>
  <c r="N598"/>
  <c r="R598" s="1"/>
  <c r="M598"/>
  <c r="Q598" s="1"/>
  <c r="L598"/>
  <c r="P598" s="1"/>
  <c r="K598"/>
  <c r="O598" s="1"/>
  <c r="U597"/>
  <c r="T597"/>
  <c r="S597"/>
  <c r="N597"/>
  <c r="R597" s="1"/>
  <c r="M597"/>
  <c r="Q597" s="1"/>
  <c r="L597"/>
  <c r="P597" s="1"/>
  <c r="K597"/>
  <c r="O597" s="1"/>
  <c r="U596"/>
  <c r="T596"/>
  <c r="S596"/>
  <c r="N596"/>
  <c r="R596" s="1"/>
  <c r="M596"/>
  <c r="Q596" s="1"/>
  <c r="L596"/>
  <c r="P596" s="1"/>
  <c r="K596"/>
  <c r="O596" s="1"/>
  <c r="U595"/>
  <c r="T595"/>
  <c r="S595"/>
  <c r="N595"/>
  <c r="R595" s="1"/>
  <c r="M595"/>
  <c r="Q595" s="1"/>
  <c r="L595"/>
  <c r="P595" s="1"/>
  <c r="K595"/>
  <c r="O595" s="1"/>
  <c r="U594"/>
  <c r="T594"/>
  <c r="S594"/>
  <c r="N594"/>
  <c r="R594" s="1"/>
  <c r="M594"/>
  <c r="Q594" s="1"/>
  <c r="L594"/>
  <c r="P594" s="1"/>
  <c r="K594"/>
  <c r="O594" s="1"/>
  <c r="U593"/>
  <c r="T593"/>
  <c r="S593"/>
  <c r="N593"/>
  <c r="R593" s="1"/>
  <c r="M593"/>
  <c r="Q593" s="1"/>
  <c r="L593"/>
  <c r="P593" s="1"/>
  <c r="K593"/>
  <c r="O593" s="1"/>
  <c r="U592"/>
  <c r="T592"/>
  <c r="S592"/>
  <c r="N592"/>
  <c r="R592" s="1"/>
  <c r="M592"/>
  <c r="Q592" s="1"/>
  <c r="L592"/>
  <c r="P592" s="1"/>
  <c r="K592"/>
  <c r="O592" s="1"/>
  <c r="U591"/>
  <c r="T591"/>
  <c r="S591"/>
  <c r="N591"/>
  <c r="R591" s="1"/>
  <c r="M591"/>
  <c r="Q591" s="1"/>
  <c r="L591"/>
  <c r="P591" s="1"/>
  <c r="K591"/>
  <c r="O591" s="1"/>
  <c r="U590"/>
  <c r="T590"/>
  <c r="S590"/>
  <c r="N590"/>
  <c r="R590" s="1"/>
  <c r="M590"/>
  <c r="Q590" s="1"/>
  <c r="L590"/>
  <c r="P590" s="1"/>
  <c r="K590"/>
  <c r="O590" s="1"/>
  <c r="U589"/>
  <c r="T589"/>
  <c r="S589"/>
  <c r="N589"/>
  <c r="R589" s="1"/>
  <c r="M589"/>
  <c r="Q589" s="1"/>
  <c r="L589"/>
  <c r="P589" s="1"/>
  <c r="K589"/>
  <c r="O589" s="1"/>
  <c r="U588"/>
  <c r="T588"/>
  <c r="S588"/>
  <c r="N588"/>
  <c r="R588" s="1"/>
  <c r="M588"/>
  <c r="Q588" s="1"/>
  <c r="L588"/>
  <c r="P588" s="1"/>
  <c r="K588"/>
  <c r="O588" s="1"/>
  <c r="U587"/>
  <c r="T587"/>
  <c r="S587"/>
  <c r="N587"/>
  <c r="R587" s="1"/>
  <c r="M587"/>
  <c r="Q587" s="1"/>
  <c r="L587"/>
  <c r="P587" s="1"/>
  <c r="K587"/>
  <c r="O587" s="1"/>
  <c r="U586"/>
  <c r="T586"/>
  <c r="S586"/>
  <c r="N586"/>
  <c r="R586" s="1"/>
  <c r="M586"/>
  <c r="Q586" s="1"/>
  <c r="L586"/>
  <c r="P586" s="1"/>
  <c r="K586"/>
  <c r="O586" s="1"/>
  <c r="U585"/>
  <c r="T585"/>
  <c r="S585"/>
  <c r="N585"/>
  <c r="R585" s="1"/>
  <c r="M585"/>
  <c r="Q585" s="1"/>
  <c r="L585"/>
  <c r="P585" s="1"/>
  <c r="K585"/>
  <c r="O585" s="1"/>
  <c r="U584"/>
  <c r="T584"/>
  <c r="S584"/>
  <c r="N584"/>
  <c r="R584" s="1"/>
  <c r="M584"/>
  <c r="Q584" s="1"/>
  <c r="L584"/>
  <c r="P584" s="1"/>
  <c r="K584"/>
  <c r="O584" s="1"/>
  <c r="U583"/>
  <c r="T583"/>
  <c r="S583"/>
  <c r="N583"/>
  <c r="R583" s="1"/>
  <c r="M583"/>
  <c r="Q583" s="1"/>
  <c r="L583"/>
  <c r="P583" s="1"/>
  <c r="K583"/>
  <c r="O583" s="1"/>
  <c r="U582"/>
  <c r="T582"/>
  <c r="S582"/>
  <c r="N582"/>
  <c r="R582" s="1"/>
  <c r="M582"/>
  <c r="Q582" s="1"/>
  <c r="L582"/>
  <c r="P582" s="1"/>
  <c r="K582"/>
  <c r="O582" s="1"/>
  <c r="U581"/>
  <c r="T581"/>
  <c r="S581"/>
  <c r="N581"/>
  <c r="R581" s="1"/>
  <c r="M581"/>
  <c r="Q581" s="1"/>
  <c r="L581"/>
  <c r="P581" s="1"/>
  <c r="K581"/>
  <c r="O581" s="1"/>
  <c r="U580"/>
  <c r="T580"/>
  <c r="S580"/>
  <c r="N580"/>
  <c r="R580" s="1"/>
  <c r="M580"/>
  <c r="Q580" s="1"/>
  <c r="L580"/>
  <c r="P580" s="1"/>
  <c r="K580"/>
  <c r="O580" s="1"/>
  <c r="U579"/>
  <c r="T579"/>
  <c r="S579"/>
  <c r="N579"/>
  <c r="R579" s="1"/>
  <c r="M579"/>
  <c r="Q579" s="1"/>
  <c r="L579"/>
  <c r="P579" s="1"/>
  <c r="K579"/>
  <c r="O579" s="1"/>
  <c r="U578"/>
  <c r="T578"/>
  <c r="S578"/>
  <c r="N578"/>
  <c r="R578" s="1"/>
  <c r="M578"/>
  <c r="Q578" s="1"/>
  <c r="L578"/>
  <c r="P578" s="1"/>
  <c r="K578"/>
  <c r="O578" s="1"/>
  <c r="U577"/>
  <c r="T577"/>
  <c r="S577"/>
  <c r="N577"/>
  <c r="R577" s="1"/>
  <c r="M577"/>
  <c r="Q577" s="1"/>
  <c r="L577"/>
  <c r="P577" s="1"/>
  <c r="K577"/>
  <c r="O577" s="1"/>
  <c r="U576"/>
  <c r="T576"/>
  <c r="S576"/>
  <c r="N576"/>
  <c r="R576" s="1"/>
  <c r="M576"/>
  <c r="Q576" s="1"/>
  <c r="L576"/>
  <c r="P576" s="1"/>
  <c r="K576"/>
  <c r="O576" s="1"/>
  <c r="U575"/>
  <c r="T575"/>
  <c r="S575"/>
  <c r="N575"/>
  <c r="R575" s="1"/>
  <c r="M575"/>
  <c r="Q575" s="1"/>
  <c r="L575"/>
  <c r="P575" s="1"/>
  <c r="K575"/>
  <c r="O575" s="1"/>
  <c r="U574"/>
  <c r="T574"/>
  <c r="S574"/>
  <c r="N574"/>
  <c r="R574" s="1"/>
  <c r="M574"/>
  <c r="Q574" s="1"/>
  <c r="L574"/>
  <c r="P574" s="1"/>
  <c r="K574"/>
  <c r="O574" s="1"/>
  <c r="U573"/>
  <c r="T573"/>
  <c r="S573"/>
  <c r="N573"/>
  <c r="R573" s="1"/>
  <c r="M573"/>
  <c r="Q573" s="1"/>
  <c r="L573"/>
  <c r="P573" s="1"/>
  <c r="K573"/>
  <c r="O573" s="1"/>
  <c r="U572"/>
  <c r="T572"/>
  <c r="S572"/>
  <c r="N572"/>
  <c r="R572" s="1"/>
  <c r="M572"/>
  <c r="Q572" s="1"/>
  <c r="L572"/>
  <c r="P572" s="1"/>
  <c r="K572"/>
  <c r="O572" s="1"/>
  <c r="U571"/>
  <c r="T571"/>
  <c r="S571"/>
  <c r="N571"/>
  <c r="R571" s="1"/>
  <c r="M571"/>
  <c r="Q571" s="1"/>
  <c r="L571"/>
  <c r="P571" s="1"/>
  <c r="K571"/>
  <c r="O571" s="1"/>
  <c r="U570"/>
  <c r="T570"/>
  <c r="S570"/>
  <c r="N570"/>
  <c r="R570" s="1"/>
  <c r="M570"/>
  <c r="Q570" s="1"/>
  <c r="L570"/>
  <c r="P570" s="1"/>
  <c r="K570"/>
  <c r="O570" s="1"/>
  <c r="U569"/>
  <c r="T569"/>
  <c r="S569"/>
  <c r="N569"/>
  <c r="R569" s="1"/>
  <c r="M569"/>
  <c r="Q569" s="1"/>
  <c r="L569"/>
  <c r="P569" s="1"/>
  <c r="K569"/>
  <c r="O569" s="1"/>
  <c r="U568"/>
  <c r="T568"/>
  <c r="S568"/>
  <c r="N568"/>
  <c r="R568" s="1"/>
  <c r="M568"/>
  <c r="Q568" s="1"/>
  <c r="L568"/>
  <c r="P568" s="1"/>
  <c r="K568"/>
  <c r="O568" s="1"/>
  <c r="U567"/>
  <c r="T567"/>
  <c r="S567"/>
  <c r="N567"/>
  <c r="R567" s="1"/>
  <c r="M567"/>
  <c r="Q567" s="1"/>
  <c r="L567"/>
  <c r="P567" s="1"/>
  <c r="K567"/>
  <c r="O567" s="1"/>
  <c r="U566"/>
  <c r="T566"/>
  <c r="S566"/>
  <c r="N566"/>
  <c r="R566" s="1"/>
  <c r="M566"/>
  <c r="Q566" s="1"/>
  <c r="L566"/>
  <c r="P566" s="1"/>
  <c r="K566"/>
  <c r="O566" s="1"/>
  <c r="U565"/>
  <c r="T565"/>
  <c r="S565"/>
  <c r="N565"/>
  <c r="R565" s="1"/>
  <c r="M565"/>
  <c r="Q565" s="1"/>
  <c r="L565"/>
  <c r="P565" s="1"/>
  <c r="K565"/>
  <c r="O565" s="1"/>
  <c r="U564"/>
  <c r="T564"/>
  <c r="S564"/>
  <c r="N564"/>
  <c r="R564" s="1"/>
  <c r="M564"/>
  <c r="Q564" s="1"/>
  <c r="L564"/>
  <c r="P564" s="1"/>
  <c r="K564"/>
  <c r="O564" s="1"/>
  <c r="U563"/>
  <c r="T563"/>
  <c r="S563"/>
  <c r="N563"/>
  <c r="R563" s="1"/>
  <c r="M563"/>
  <c r="Q563" s="1"/>
  <c r="L563"/>
  <c r="P563" s="1"/>
  <c r="K563"/>
  <c r="O563" s="1"/>
  <c r="U562"/>
  <c r="T562"/>
  <c r="S562"/>
  <c r="N562"/>
  <c r="R562" s="1"/>
  <c r="M562"/>
  <c r="Q562" s="1"/>
  <c r="L562"/>
  <c r="P562" s="1"/>
  <c r="K562"/>
  <c r="O562" s="1"/>
  <c r="U561"/>
  <c r="T561"/>
  <c r="S561"/>
  <c r="N561"/>
  <c r="R561" s="1"/>
  <c r="M561"/>
  <c r="Q561" s="1"/>
  <c r="L561"/>
  <c r="P561" s="1"/>
  <c r="K561"/>
  <c r="O561" s="1"/>
  <c r="U560"/>
  <c r="T560"/>
  <c r="S560"/>
  <c r="N560"/>
  <c r="R560" s="1"/>
  <c r="M560"/>
  <c r="Q560" s="1"/>
  <c r="L560"/>
  <c r="P560" s="1"/>
  <c r="K560"/>
  <c r="O560" s="1"/>
  <c r="U559"/>
  <c r="T559"/>
  <c r="S559"/>
  <c r="N559"/>
  <c r="R559" s="1"/>
  <c r="M559"/>
  <c r="Q559" s="1"/>
  <c r="L559"/>
  <c r="P559" s="1"/>
  <c r="K559"/>
  <c r="O559" s="1"/>
  <c r="U558"/>
  <c r="T558"/>
  <c r="S558"/>
  <c r="N558"/>
  <c r="R558" s="1"/>
  <c r="M558"/>
  <c r="Q558" s="1"/>
  <c r="L558"/>
  <c r="P558" s="1"/>
  <c r="K558"/>
  <c r="O558" s="1"/>
  <c r="U557"/>
  <c r="T557"/>
  <c r="S557"/>
  <c r="N557"/>
  <c r="R557" s="1"/>
  <c r="M557"/>
  <c r="Q557" s="1"/>
  <c r="L557"/>
  <c r="P557" s="1"/>
  <c r="K557"/>
  <c r="O557" s="1"/>
  <c r="U556"/>
  <c r="T556"/>
  <c r="S556"/>
  <c r="N556"/>
  <c r="R556" s="1"/>
  <c r="M556"/>
  <c r="Q556" s="1"/>
  <c r="L556"/>
  <c r="P556" s="1"/>
  <c r="K556"/>
  <c r="O556" s="1"/>
  <c r="U555"/>
  <c r="T555"/>
  <c r="S555"/>
  <c r="N555"/>
  <c r="R555" s="1"/>
  <c r="M555"/>
  <c r="Q555" s="1"/>
  <c r="L555"/>
  <c r="P555" s="1"/>
  <c r="K555"/>
  <c r="O555" s="1"/>
  <c r="U554"/>
  <c r="T554"/>
  <c r="S554"/>
  <c r="N554"/>
  <c r="R554" s="1"/>
  <c r="M554"/>
  <c r="Q554" s="1"/>
  <c r="L554"/>
  <c r="P554" s="1"/>
  <c r="K554"/>
  <c r="O554" s="1"/>
  <c r="U553"/>
  <c r="T553"/>
  <c r="S553"/>
  <c r="N553"/>
  <c r="R553" s="1"/>
  <c r="M553"/>
  <c r="Q553" s="1"/>
  <c r="L553"/>
  <c r="P553" s="1"/>
  <c r="K553"/>
  <c r="O553" s="1"/>
  <c r="U552"/>
  <c r="T552"/>
  <c r="S552"/>
  <c r="N552"/>
  <c r="R552" s="1"/>
  <c r="M552"/>
  <c r="Q552" s="1"/>
  <c r="L552"/>
  <c r="P552" s="1"/>
  <c r="K552"/>
  <c r="O552" s="1"/>
  <c r="U551"/>
  <c r="T551"/>
  <c r="S551"/>
  <c r="N551"/>
  <c r="R551" s="1"/>
  <c r="M551"/>
  <c r="Q551" s="1"/>
  <c r="L551"/>
  <c r="P551" s="1"/>
  <c r="K551"/>
  <c r="O551" s="1"/>
  <c r="U550"/>
  <c r="T550"/>
  <c r="S550"/>
  <c r="N550"/>
  <c r="R550" s="1"/>
  <c r="M550"/>
  <c r="Q550" s="1"/>
  <c r="L550"/>
  <c r="P550" s="1"/>
  <c r="K550"/>
  <c r="O550" s="1"/>
  <c r="U549"/>
  <c r="T549"/>
  <c r="S549"/>
  <c r="N549"/>
  <c r="R549" s="1"/>
  <c r="M549"/>
  <c r="Q549" s="1"/>
  <c r="L549"/>
  <c r="P549" s="1"/>
  <c r="K549"/>
  <c r="O549" s="1"/>
  <c r="U548"/>
  <c r="T548"/>
  <c r="S548"/>
  <c r="N548"/>
  <c r="R548" s="1"/>
  <c r="M548"/>
  <c r="Q548" s="1"/>
  <c r="L548"/>
  <c r="P548" s="1"/>
  <c r="K548"/>
  <c r="O548" s="1"/>
  <c r="U547"/>
  <c r="T547"/>
  <c r="S547"/>
  <c r="N547"/>
  <c r="R547" s="1"/>
  <c r="M547"/>
  <c r="Q547" s="1"/>
  <c r="L547"/>
  <c r="P547" s="1"/>
  <c r="K547"/>
  <c r="O547" s="1"/>
  <c r="U546"/>
  <c r="T546"/>
  <c r="S546"/>
  <c r="N546"/>
  <c r="R546" s="1"/>
  <c r="M546"/>
  <c r="Q546" s="1"/>
  <c r="L546"/>
  <c r="P546" s="1"/>
  <c r="K546"/>
  <c r="O546" s="1"/>
  <c r="U545"/>
  <c r="T545"/>
  <c r="S545"/>
  <c r="N545"/>
  <c r="R545" s="1"/>
  <c r="M545"/>
  <c r="Q545" s="1"/>
  <c r="L545"/>
  <c r="P545" s="1"/>
  <c r="K545"/>
  <c r="O545" s="1"/>
  <c r="U544"/>
  <c r="T544"/>
  <c r="S544"/>
  <c r="N544"/>
  <c r="R544" s="1"/>
  <c r="M544"/>
  <c r="Q544" s="1"/>
  <c r="L544"/>
  <c r="P544" s="1"/>
  <c r="K544"/>
  <c r="O544" s="1"/>
  <c r="U543"/>
  <c r="T543"/>
  <c r="S543"/>
  <c r="N543"/>
  <c r="R543" s="1"/>
  <c r="M543"/>
  <c r="Q543" s="1"/>
  <c r="L543"/>
  <c r="P543" s="1"/>
  <c r="K543"/>
  <c r="O543" s="1"/>
  <c r="U542"/>
  <c r="T542"/>
  <c r="S542"/>
  <c r="N542"/>
  <c r="R542" s="1"/>
  <c r="M542"/>
  <c r="Q542" s="1"/>
  <c r="L542"/>
  <c r="P542" s="1"/>
  <c r="K542"/>
  <c r="O542" s="1"/>
  <c r="U541"/>
  <c r="T541"/>
  <c r="S541"/>
  <c r="N541"/>
  <c r="R541" s="1"/>
  <c r="M541"/>
  <c r="Q541" s="1"/>
  <c r="L541"/>
  <c r="P541" s="1"/>
  <c r="K541"/>
  <c r="O541" s="1"/>
  <c r="U540"/>
  <c r="T540"/>
  <c r="S540"/>
  <c r="N540"/>
  <c r="R540" s="1"/>
  <c r="M540"/>
  <c r="Q540" s="1"/>
  <c r="L540"/>
  <c r="P540" s="1"/>
  <c r="K540"/>
  <c r="O540" s="1"/>
  <c r="U539"/>
  <c r="T539"/>
  <c r="S539"/>
  <c r="N539"/>
  <c r="R539" s="1"/>
  <c r="M539"/>
  <c r="Q539" s="1"/>
  <c r="L539"/>
  <c r="P539" s="1"/>
  <c r="K539"/>
  <c r="O539" s="1"/>
  <c r="U538"/>
  <c r="T538"/>
  <c r="S538"/>
  <c r="N538"/>
  <c r="R538" s="1"/>
  <c r="M538"/>
  <c r="Q538" s="1"/>
  <c r="L538"/>
  <c r="P538" s="1"/>
  <c r="K538"/>
  <c r="O538" s="1"/>
  <c r="U537"/>
  <c r="T537"/>
  <c r="S537"/>
  <c r="N537"/>
  <c r="R537" s="1"/>
  <c r="M537"/>
  <c r="Q537" s="1"/>
  <c r="L537"/>
  <c r="P537" s="1"/>
  <c r="K537"/>
  <c r="O537" s="1"/>
  <c r="U536"/>
  <c r="T536"/>
  <c r="S536"/>
  <c r="N536"/>
  <c r="R536" s="1"/>
  <c r="M536"/>
  <c r="Q536" s="1"/>
  <c r="L536"/>
  <c r="P536" s="1"/>
  <c r="K536"/>
  <c r="O536" s="1"/>
  <c r="U535"/>
  <c r="T535"/>
  <c r="S535"/>
  <c r="N535"/>
  <c r="R535" s="1"/>
  <c r="M535"/>
  <c r="Q535" s="1"/>
  <c r="L535"/>
  <c r="P535" s="1"/>
  <c r="K535"/>
  <c r="O535" s="1"/>
  <c r="U534"/>
  <c r="T534"/>
  <c r="S534"/>
  <c r="N534"/>
  <c r="R534" s="1"/>
  <c r="M534"/>
  <c r="Q534" s="1"/>
  <c r="L534"/>
  <c r="P534" s="1"/>
  <c r="K534"/>
  <c r="O534" s="1"/>
  <c r="U533"/>
  <c r="T533"/>
  <c r="S533"/>
  <c r="N533"/>
  <c r="R533" s="1"/>
  <c r="M533"/>
  <c r="Q533" s="1"/>
  <c r="L533"/>
  <c r="P533" s="1"/>
  <c r="K533"/>
  <c r="O533" s="1"/>
  <c r="U532"/>
  <c r="T532"/>
  <c r="S532"/>
  <c r="N532"/>
  <c r="R532" s="1"/>
  <c r="M532"/>
  <c r="Q532" s="1"/>
  <c r="L532"/>
  <c r="P532" s="1"/>
  <c r="K532"/>
  <c r="O532" s="1"/>
  <c r="U531"/>
  <c r="T531"/>
  <c r="S531"/>
  <c r="N531"/>
  <c r="R531" s="1"/>
  <c r="M531"/>
  <c r="Q531" s="1"/>
  <c r="L531"/>
  <c r="P531" s="1"/>
  <c r="K531"/>
  <c r="O531" s="1"/>
  <c r="U530"/>
  <c r="T530"/>
  <c r="S530"/>
  <c r="N530"/>
  <c r="R530" s="1"/>
  <c r="M530"/>
  <c r="Q530" s="1"/>
  <c r="L530"/>
  <c r="P530" s="1"/>
  <c r="K530"/>
  <c r="O530" s="1"/>
  <c r="U529"/>
  <c r="T529"/>
  <c r="S529"/>
  <c r="N529"/>
  <c r="R529" s="1"/>
  <c r="M529"/>
  <c r="Q529" s="1"/>
  <c r="L529"/>
  <c r="P529" s="1"/>
  <c r="K529"/>
  <c r="O529" s="1"/>
  <c r="U528"/>
  <c r="T528"/>
  <c r="S528"/>
  <c r="N528"/>
  <c r="R528" s="1"/>
  <c r="M528"/>
  <c r="Q528" s="1"/>
  <c r="L528"/>
  <c r="P528" s="1"/>
  <c r="K528"/>
  <c r="O528" s="1"/>
  <c r="U527"/>
  <c r="T527"/>
  <c r="S527"/>
  <c r="N527"/>
  <c r="R527" s="1"/>
  <c r="M527"/>
  <c r="Q527" s="1"/>
  <c r="L527"/>
  <c r="P527" s="1"/>
  <c r="K527"/>
  <c r="O527" s="1"/>
  <c r="U526"/>
  <c r="T526"/>
  <c r="S526"/>
  <c r="N526"/>
  <c r="R526" s="1"/>
  <c r="M526"/>
  <c r="Q526" s="1"/>
  <c r="L526"/>
  <c r="P526" s="1"/>
  <c r="K526"/>
  <c r="O526" s="1"/>
  <c r="U525"/>
  <c r="T525"/>
  <c r="S525"/>
  <c r="N525"/>
  <c r="R525" s="1"/>
  <c r="M525"/>
  <c r="Q525" s="1"/>
  <c r="L525"/>
  <c r="P525" s="1"/>
  <c r="K525"/>
  <c r="O525" s="1"/>
  <c r="U524"/>
  <c r="T524"/>
  <c r="S524"/>
  <c r="N524"/>
  <c r="R524" s="1"/>
  <c r="M524"/>
  <c r="Q524" s="1"/>
  <c r="L524"/>
  <c r="P524" s="1"/>
  <c r="K524"/>
  <c r="O524" s="1"/>
  <c r="U523"/>
  <c r="T523"/>
  <c r="S523"/>
  <c r="N523"/>
  <c r="R523" s="1"/>
  <c r="M523"/>
  <c r="Q523" s="1"/>
  <c r="L523"/>
  <c r="P523" s="1"/>
  <c r="K523"/>
  <c r="O523" s="1"/>
  <c r="U522"/>
  <c r="T522"/>
  <c r="S522"/>
  <c r="N522"/>
  <c r="R522" s="1"/>
  <c r="M522"/>
  <c r="Q522" s="1"/>
  <c r="L522"/>
  <c r="P522" s="1"/>
  <c r="K522"/>
  <c r="O522" s="1"/>
  <c r="U521"/>
  <c r="T521"/>
  <c r="S521"/>
  <c r="N521"/>
  <c r="R521" s="1"/>
  <c r="M521"/>
  <c r="Q521" s="1"/>
  <c r="L521"/>
  <c r="P521" s="1"/>
  <c r="K521"/>
  <c r="O521" s="1"/>
  <c r="U520"/>
  <c r="T520"/>
  <c r="S520"/>
  <c r="N520"/>
  <c r="R520" s="1"/>
  <c r="M520"/>
  <c r="Q520" s="1"/>
  <c r="L520"/>
  <c r="P520" s="1"/>
  <c r="K520"/>
  <c r="O520" s="1"/>
  <c r="U519"/>
  <c r="T519"/>
  <c r="S519"/>
  <c r="N519"/>
  <c r="R519" s="1"/>
  <c r="M519"/>
  <c r="Q519" s="1"/>
  <c r="L519"/>
  <c r="P519" s="1"/>
  <c r="K519"/>
  <c r="O519" s="1"/>
  <c r="U518"/>
  <c r="T518"/>
  <c r="S518"/>
  <c r="N518"/>
  <c r="R518" s="1"/>
  <c r="M518"/>
  <c r="Q518" s="1"/>
  <c r="L518"/>
  <c r="P518" s="1"/>
  <c r="K518"/>
  <c r="O518" s="1"/>
  <c r="U517"/>
  <c r="T517"/>
  <c r="S517"/>
  <c r="N517"/>
  <c r="R517" s="1"/>
  <c r="M517"/>
  <c r="Q517" s="1"/>
  <c r="L517"/>
  <c r="P517" s="1"/>
  <c r="K517"/>
  <c r="O517" s="1"/>
  <c r="U516"/>
  <c r="T516"/>
  <c r="S516"/>
  <c r="N516"/>
  <c r="R516" s="1"/>
  <c r="M516"/>
  <c r="Q516" s="1"/>
  <c r="L516"/>
  <c r="P516" s="1"/>
  <c r="K516"/>
  <c r="O516" s="1"/>
  <c r="U515"/>
  <c r="T515"/>
  <c r="S515"/>
  <c r="N515"/>
  <c r="R515" s="1"/>
  <c r="M515"/>
  <c r="Q515" s="1"/>
  <c r="L515"/>
  <c r="P515" s="1"/>
  <c r="K515"/>
  <c r="O515" s="1"/>
  <c r="U514"/>
  <c r="T514"/>
  <c r="S514"/>
  <c r="N514"/>
  <c r="R514" s="1"/>
  <c r="M514"/>
  <c r="Q514" s="1"/>
  <c r="L514"/>
  <c r="P514" s="1"/>
  <c r="K514"/>
  <c r="O514" s="1"/>
  <c r="U513"/>
  <c r="T513"/>
  <c r="S513"/>
  <c r="N513"/>
  <c r="R513" s="1"/>
  <c r="M513"/>
  <c r="Q513" s="1"/>
  <c r="L513"/>
  <c r="P513" s="1"/>
  <c r="K513"/>
  <c r="O513" s="1"/>
  <c r="U512"/>
  <c r="T512"/>
  <c r="S512"/>
  <c r="N512"/>
  <c r="R512" s="1"/>
  <c r="M512"/>
  <c r="Q512" s="1"/>
  <c r="L512"/>
  <c r="P512" s="1"/>
  <c r="K512"/>
  <c r="O512" s="1"/>
  <c r="U511"/>
  <c r="T511"/>
  <c r="S511"/>
  <c r="N511"/>
  <c r="R511" s="1"/>
  <c r="M511"/>
  <c r="Q511" s="1"/>
  <c r="L511"/>
  <c r="P511" s="1"/>
  <c r="K511"/>
  <c r="O511" s="1"/>
  <c r="U510"/>
  <c r="T510"/>
  <c r="S510"/>
  <c r="N510"/>
  <c r="R510" s="1"/>
  <c r="M510"/>
  <c r="Q510" s="1"/>
  <c r="L510"/>
  <c r="P510" s="1"/>
  <c r="K510"/>
  <c r="O510" s="1"/>
  <c r="U509"/>
  <c r="T509"/>
  <c r="S509"/>
  <c r="N509"/>
  <c r="R509" s="1"/>
  <c r="M509"/>
  <c r="Q509" s="1"/>
  <c r="L509"/>
  <c r="P509" s="1"/>
  <c r="K509"/>
  <c r="O509" s="1"/>
  <c r="U508"/>
  <c r="T508"/>
  <c r="S508"/>
  <c r="N508"/>
  <c r="R508" s="1"/>
  <c r="M508"/>
  <c r="Q508" s="1"/>
  <c r="L508"/>
  <c r="P508" s="1"/>
  <c r="K508"/>
  <c r="O508" s="1"/>
  <c r="U507"/>
  <c r="T507"/>
  <c r="S507"/>
  <c r="N507"/>
  <c r="R507" s="1"/>
  <c r="M507"/>
  <c r="Q507" s="1"/>
  <c r="L507"/>
  <c r="P507" s="1"/>
  <c r="K507"/>
  <c r="O507" s="1"/>
  <c r="U506"/>
  <c r="T506"/>
  <c r="S506"/>
  <c r="N506"/>
  <c r="R506" s="1"/>
  <c r="M506"/>
  <c r="Q506" s="1"/>
  <c r="L506"/>
  <c r="P506" s="1"/>
  <c r="K506"/>
  <c r="O506" s="1"/>
  <c r="U505"/>
  <c r="T505"/>
  <c r="S505"/>
  <c r="N505"/>
  <c r="R505" s="1"/>
  <c r="M505"/>
  <c r="Q505" s="1"/>
  <c r="L505"/>
  <c r="P505" s="1"/>
  <c r="K505"/>
  <c r="O505" s="1"/>
  <c r="U504"/>
  <c r="T504"/>
  <c r="S504"/>
  <c r="N504"/>
  <c r="R504" s="1"/>
  <c r="M504"/>
  <c r="Q504" s="1"/>
  <c r="L504"/>
  <c r="P504" s="1"/>
  <c r="K504"/>
  <c r="O504" s="1"/>
  <c r="U503"/>
  <c r="T503"/>
  <c r="S503"/>
  <c r="N503"/>
  <c r="R503" s="1"/>
  <c r="M503"/>
  <c r="Q503" s="1"/>
  <c r="L503"/>
  <c r="P503" s="1"/>
  <c r="K503"/>
  <c r="O503" s="1"/>
  <c r="U502"/>
  <c r="T502"/>
  <c r="S502"/>
  <c r="N502"/>
  <c r="R502" s="1"/>
  <c r="M502"/>
  <c r="Q502" s="1"/>
  <c r="L502"/>
  <c r="P502" s="1"/>
  <c r="K502"/>
  <c r="O502" s="1"/>
  <c r="U501"/>
  <c r="T501"/>
  <c r="S501"/>
  <c r="N501"/>
  <c r="R501" s="1"/>
  <c r="M501"/>
  <c r="Q501" s="1"/>
  <c r="L501"/>
  <c r="P501" s="1"/>
  <c r="K501"/>
  <c r="O501" s="1"/>
  <c r="U500"/>
  <c r="T500"/>
  <c r="S500"/>
  <c r="N500"/>
  <c r="R500" s="1"/>
  <c r="M500"/>
  <c r="Q500" s="1"/>
  <c r="L500"/>
  <c r="P500" s="1"/>
  <c r="K500"/>
  <c r="O500" s="1"/>
  <c r="U499"/>
  <c r="T499"/>
  <c r="S499"/>
  <c r="N499"/>
  <c r="R499" s="1"/>
  <c r="M499"/>
  <c r="Q499" s="1"/>
  <c r="L499"/>
  <c r="P499" s="1"/>
  <c r="K499"/>
  <c r="O499" s="1"/>
  <c r="U498"/>
  <c r="T498"/>
  <c r="S498"/>
  <c r="N498"/>
  <c r="R498" s="1"/>
  <c r="M498"/>
  <c r="Q498" s="1"/>
  <c r="L498"/>
  <c r="P498" s="1"/>
  <c r="K498"/>
  <c r="O498" s="1"/>
  <c r="U497"/>
  <c r="T497"/>
  <c r="S497"/>
  <c r="N497"/>
  <c r="R497" s="1"/>
  <c r="M497"/>
  <c r="Q497" s="1"/>
  <c r="L497"/>
  <c r="P497" s="1"/>
  <c r="K497"/>
  <c r="O497" s="1"/>
  <c r="U496"/>
  <c r="T496"/>
  <c r="S496"/>
  <c r="N496"/>
  <c r="R496" s="1"/>
  <c r="M496"/>
  <c r="Q496" s="1"/>
  <c r="L496"/>
  <c r="P496" s="1"/>
  <c r="K496"/>
  <c r="O496" s="1"/>
  <c r="U495"/>
  <c r="T495"/>
  <c r="S495"/>
  <c r="N495"/>
  <c r="R495" s="1"/>
  <c r="M495"/>
  <c r="Q495" s="1"/>
  <c r="L495"/>
  <c r="P495" s="1"/>
  <c r="K495"/>
  <c r="O495" s="1"/>
  <c r="U494"/>
  <c r="T494"/>
  <c r="S494"/>
  <c r="N494"/>
  <c r="R494" s="1"/>
  <c r="M494"/>
  <c r="Q494" s="1"/>
  <c r="L494"/>
  <c r="P494" s="1"/>
  <c r="K494"/>
  <c r="O494" s="1"/>
  <c r="U493"/>
  <c r="T493"/>
  <c r="S493"/>
  <c r="N493"/>
  <c r="R493" s="1"/>
  <c r="M493"/>
  <c r="Q493" s="1"/>
  <c r="L493"/>
  <c r="P493" s="1"/>
  <c r="K493"/>
  <c r="O493" s="1"/>
  <c r="U492"/>
  <c r="T492"/>
  <c r="S492"/>
  <c r="N492"/>
  <c r="R492" s="1"/>
  <c r="M492"/>
  <c r="Q492" s="1"/>
  <c r="L492"/>
  <c r="P492" s="1"/>
  <c r="K492"/>
  <c r="O492" s="1"/>
  <c r="U491"/>
  <c r="T491"/>
  <c r="S491"/>
  <c r="N491"/>
  <c r="R491" s="1"/>
  <c r="M491"/>
  <c r="Q491" s="1"/>
  <c r="L491"/>
  <c r="P491" s="1"/>
  <c r="K491"/>
  <c r="O491" s="1"/>
  <c r="U490"/>
  <c r="T490"/>
  <c r="S490"/>
  <c r="N490"/>
  <c r="R490" s="1"/>
  <c r="M490"/>
  <c r="Q490" s="1"/>
  <c r="L490"/>
  <c r="P490" s="1"/>
  <c r="K490"/>
  <c r="O490" s="1"/>
  <c r="U489"/>
  <c r="T489"/>
  <c r="S489"/>
  <c r="N489"/>
  <c r="R489" s="1"/>
  <c r="M489"/>
  <c r="Q489" s="1"/>
  <c r="L489"/>
  <c r="P489" s="1"/>
  <c r="K489"/>
  <c r="O489" s="1"/>
  <c r="U488"/>
  <c r="T488"/>
  <c r="S488"/>
  <c r="N488"/>
  <c r="R488" s="1"/>
  <c r="M488"/>
  <c r="Q488" s="1"/>
  <c r="L488"/>
  <c r="P488" s="1"/>
  <c r="K488"/>
  <c r="O488" s="1"/>
  <c r="U487"/>
  <c r="T487"/>
  <c r="S487"/>
  <c r="N487"/>
  <c r="R487" s="1"/>
  <c r="M487"/>
  <c r="Q487" s="1"/>
  <c r="L487"/>
  <c r="P487" s="1"/>
  <c r="K487"/>
  <c r="O487" s="1"/>
  <c r="U486"/>
  <c r="T486"/>
  <c r="S486"/>
  <c r="N486"/>
  <c r="R486" s="1"/>
  <c r="M486"/>
  <c r="Q486" s="1"/>
  <c r="L486"/>
  <c r="P486" s="1"/>
  <c r="K486"/>
  <c r="O486" s="1"/>
  <c r="U485"/>
  <c r="T485"/>
  <c r="S485"/>
  <c r="N485"/>
  <c r="R485" s="1"/>
  <c r="M485"/>
  <c r="Q485" s="1"/>
  <c r="L485"/>
  <c r="P485" s="1"/>
  <c r="K485"/>
  <c r="O485" s="1"/>
  <c r="U484"/>
  <c r="T484"/>
  <c r="S484"/>
  <c r="N484"/>
  <c r="R484" s="1"/>
  <c r="M484"/>
  <c r="Q484" s="1"/>
  <c r="L484"/>
  <c r="P484" s="1"/>
  <c r="K484"/>
  <c r="O484" s="1"/>
  <c r="U483"/>
  <c r="T483"/>
  <c r="S483"/>
  <c r="N483"/>
  <c r="R483" s="1"/>
  <c r="M483"/>
  <c r="Q483" s="1"/>
  <c r="L483"/>
  <c r="P483" s="1"/>
  <c r="K483"/>
  <c r="O483" s="1"/>
  <c r="U482"/>
  <c r="T482"/>
  <c r="S482"/>
  <c r="N482"/>
  <c r="R482" s="1"/>
  <c r="M482"/>
  <c r="Q482" s="1"/>
  <c r="L482"/>
  <c r="P482" s="1"/>
  <c r="K482"/>
  <c r="O482" s="1"/>
  <c r="U481"/>
  <c r="T481"/>
  <c r="S481"/>
  <c r="N481"/>
  <c r="R481" s="1"/>
  <c r="M481"/>
  <c r="Q481" s="1"/>
  <c r="L481"/>
  <c r="P481" s="1"/>
  <c r="K481"/>
  <c r="O481" s="1"/>
  <c r="U480"/>
  <c r="T480"/>
  <c r="S480"/>
  <c r="N480"/>
  <c r="R480" s="1"/>
  <c r="M480"/>
  <c r="Q480" s="1"/>
  <c r="L480"/>
  <c r="P480" s="1"/>
  <c r="K480"/>
  <c r="O480" s="1"/>
  <c r="U479"/>
  <c r="T479"/>
  <c r="S479"/>
  <c r="N479"/>
  <c r="R479" s="1"/>
  <c r="M479"/>
  <c r="Q479" s="1"/>
  <c r="L479"/>
  <c r="P479" s="1"/>
  <c r="K479"/>
  <c r="O479" s="1"/>
  <c r="U478"/>
  <c r="T478"/>
  <c r="S478"/>
  <c r="N478"/>
  <c r="R478" s="1"/>
  <c r="M478"/>
  <c r="Q478" s="1"/>
  <c r="L478"/>
  <c r="P478" s="1"/>
  <c r="K478"/>
  <c r="O478" s="1"/>
  <c r="U477"/>
  <c r="T477"/>
  <c r="S477"/>
  <c r="N477"/>
  <c r="R477" s="1"/>
  <c r="M477"/>
  <c r="Q477" s="1"/>
  <c r="L477"/>
  <c r="P477" s="1"/>
  <c r="K477"/>
  <c r="O477" s="1"/>
  <c r="U476"/>
  <c r="T476"/>
  <c r="S476"/>
  <c r="N476"/>
  <c r="R476" s="1"/>
  <c r="M476"/>
  <c r="Q476" s="1"/>
  <c r="L476"/>
  <c r="P476" s="1"/>
  <c r="K476"/>
  <c r="O476" s="1"/>
  <c r="U475"/>
  <c r="T475"/>
  <c r="S475"/>
  <c r="N475"/>
  <c r="R475" s="1"/>
  <c r="M475"/>
  <c r="Q475" s="1"/>
  <c r="L475"/>
  <c r="P475" s="1"/>
  <c r="K475"/>
  <c r="O475" s="1"/>
  <c r="U474"/>
  <c r="T474"/>
  <c r="S474"/>
  <c r="N474"/>
  <c r="R474" s="1"/>
  <c r="M474"/>
  <c r="Q474" s="1"/>
  <c r="L474"/>
  <c r="P474" s="1"/>
  <c r="K474"/>
  <c r="O474" s="1"/>
  <c r="U473"/>
  <c r="T473"/>
  <c r="S473"/>
  <c r="N473"/>
  <c r="R473" s="1"/>
  <c r="M473"/>
  <c r="Q473" s="1"/>
  <c r="L473"/>
  <c r="P473" s="1"/>
  <c r="K473"/>
  <c r="O473" s="1"/>
  <c r="U472"/>
  <c r="T472"/>
  <c r="S472"/>
  <c r="N472"/>
  <c r="R472" s="1"/>
  <c r="M472"/>
  <c r="Q472" s="1"/>
  <c r="L472"/>
  <c r="P472" s="1"/>
  <c r="K472"/>
  <c r="O472" s="1"/>
  <c r="U471"/>
  <c r="T471"/>
  <c r="S471"/>
  <c r="N471"/>
  <c r="R471" s="1"/>
  <c r="M471"/>
  <c r="Q471" s="1"/>
  <c r="L471"/>
  <c r="P471" s="1"/>
  <c r="K471"/>
  <c r="O471" s="1"/>
  <c r="U470"/>
  <c r="T470"/>
  <c r="S470"/>
  <c r="N470"/>
  <c r="R470" s="1"/>
  <c r="M470"/>
  <c r="Q470" s="1"/>
  <c r="L470"/>
  <c r="P470" s="1"/>
  <c r="K470"/>
  <c r="O470" s="1"/>
  <c r="U469"/>
  <c r="T469"/>
  <c r="S469"/>
  <c r="N469"/>
  <c r="R469" s="1"/>
  <c r="M469"/>
  <c r="Q469" s="1"/>
  <c r="L469"/>
  <c r="P469" s="1"/>
  <c r="K469"/>
  <c r="O469" s="1"/>
  <c r="U468"/>
  <c r="T468"/>
  <c r="S468"/>
  <c r="N468"/>
  <c r="R468" s="1"/>
  <c r="M468"/>
  <c r="Q468" s="1"/>
  <c r="L468"/>
  <c r="P468" s="1"/>
  <c r="K468"/>
  <c r="O468" s="1"/>
  <c r="U467"/>
  <c r="T467"/>
  <c r="S467"/>
  <c r="N467"/>
  <c r="R467" s="1"/>
  <c r="M467"/>
  <c r="Q467" s="1"/>
  <c r="L467"/>
  <c r="P467" s="1"/>
  <c r="K467"/>
  <c r="O467" s="1"/>
  <c r="U466"/>
  <c r="T466"/>
  <c r="S466"/>
  <c r="N466"/>
  <c r="R466" s="1"/>
  <c r="M466"/>
  <c r="Q466" s="1"/>
  <c r="L466"/>
  <c r="P466" s="1"/>
  <c r="K466"/>
  <c r="O466" s="1"/>
  <c r="U465"/>
  <c r="T465"/>
  <c r="S465"/>
  <c r="N465"/>
  <c r="R465" s="1"/>
  <c r="M465"/>
  <c r="Q465" s="1"/>
  <c r="L465"/>
  <c r="P465" s="1"/>
  <c r="K465"/>
  <c r="O465" s="1"/>
  <c r="U464"/>
  <c r="T464"/>
  <c r="S464"/>
  <c r="N464"/>
  <c r="R464" s="1"/>
  <c r="M464"/>
  <c r="Q464" s="1"/>
  <c r="L464"/>
  <c r="P464" s="1"/>
  <c r="K464"/>
  <c r="O464" s="1"/>
  <c r="U463"/>
  <c r="T463"/>
  <c r="S463"/>
  <c r="N463"/>
  <c r="R463" s="1"/>
  <c r="M463"/>
  <c r="Q463" s="1"/>
  <c r="L463"/>
  <c r="P463" s="1"/>
  <c r="K463"/>
  <c r="O463" s="1"/>
  <c r="U462"/>
  <c r="T462"/>
  <c r="S462"/>
  <c r="N462"/>
  <c r="R462" s="1"/>
  <c r="M462"/>
  <c r="Q462" s="1"/>
  <c r="L462"/>
  <c r="P462" s="1"/>
  <c r="K462"/>
  <c r="O462" s="1"/>
  <c r="U461"/>
  <c r="T461"/>
  <c r="S461"/>
  <c r="N461"/>
  <c r="R461" s="1"/>
  <c r="M461"/>
  <c r="Q461" s="1"/>
  <c r="L461"/>
  <c r="P461" s="1"/>
  <c r="K461"/>
  <c r="O461" s="1"/>
  <c r="U460"/>
  <c r="T460"/>
  <c r="S460"/>
  <c r="N460"/>
  <c r="R460" s="1"/>
  <c r="M460"/>
  <c r="Q460" s="1"/>
  <c r="L460"/>
  <c r="P460" s="1"/>
  <c r="K460"/>
  <c r="O460" s="1"/>
  <c r="U459"/>
  <c r="T459"/>
  <c r="S459"/>
  <c r="N459"/>
  <c r="R459" s="1"/>
  <c r="M459"/>
  <c r="Q459" s="1"/>
  <c r="L459"/>
  <c r="P459" s="1"/>
  <c r="K459"/>
  <c r="O459" s="1"/>
  <c r="U458"/>
  <c r="T458"/>
  <c r="S458"/>
  <c r="N458"/>
  <c r="R458" s="1"/>
  <c r="M458"/>
  <c r="Q458" s="1"/>
  <c r="L458"/>
  <c r="P458" s="1"/>
  <c r="K458"/>
  <c r="O458" s="1"/>
  <c r="U457"/>
  <c r="T457"/>
  <c r="S457"/>
  <c r="N457"/>
  <c r="R457" s="1"/>
  <c r="M457"/>
  <c r="Q457" s="1"/>
  <c r="L457"/>
  <c r="P457" s="1"/>
  <c r="K457"/>
  <c r="O457" s="1"/>
  <c r="U456"/>
  <c r="T456"/>
  <c r="S456"/>
  <c r="N456"/>
  <c r="R456" s="1"/>
  <c r="M456"/>
  <c r="Q456" s="1"/>
  <c r="L456"/>
  <c r="P456" s="1"/>
  <c r="K456"/>
  <c r="O456" s="1"/>
  <c r="U455"/>
  <c r="T455"/>
  <c r="S455"/>
  <c r="N455"/>
  <c r="R455" s="1"/>
  <c r="M455"/>
  <c r="Q455" s="1"/>
  <c r="L455"/>
  <c r="P455" s="1"/>
  <c r="K455"/>
  <c r="O455" s="1"/>
  <c r="U454"/>
  <c r="T454"/>
  <c r="S454"/>
  <c r="N454"/>
  <c r="R454" s="1"/>
  <c r="M454"/>
  <c r="Q454" s="1"/>
  <c r="L454"/>
  <c r="P454" s="1"/>
  <c r="K454"/>
  <c r="O454" s="1"/>
  <c r="U453"/>
  <c r="T453"/>
  <c r="S453"/>
  <c r="N453"/>
  <c r="R453" s="1"/>
  <c r="M453"/>
  <c r="Q453" s="1"/>
  <c r="L453"/>
  <c r="P453" s="1"/>
  <c r="K453"/>
  <c r="O453" s="1"/>
  <c r="U452"/>
  <c r="T452"/>
  <c r="S452"/>
  <c r="N452"/>
  <c r="R452" s="1"/>
  <c r="M452"/>
  <c r="Q452" s="1"/>
  <c r="L452"/>
  <c r="P452" s="1"/>
  <c r="K452"/>
  <c r="O452" s="1"/>
  <c r="U451"/>
  <c r="T451"/>
  <c r="S451"/>
  <c r="N451"/>
  <c r="R451" s="1"/>
  <c r="M451"/>
  <c r="Q451" s="1"/>
  <c r="L451"/>
  <c r="P451" s="1"/>
  <c r="K451"/>
  <c r="O451" s="1"/>
  <c r="U450"/>
  <c r="T450"/>
  <c r="S450"/>
  <c r="N450"/>
  <c r="R450" s="1"/>
  <c r="M450"/>
  <c r="Q450" s="1"/>
  <c r="L450"/>
  <c r="P450" s="1"/>
  <c r="K450"/>
  <c r="O450" s="1"/>
  <c r="U449"/>
  <c r="T449"/>
  <c r="S449"/>
  <c r="N449"/>
  <c r="R449" s="1"/>
  <c r="M449"/>
  <c r="Q449" s="1"/>
  <c r="L449"/>
  <c r="P449" s="1"/>
  <c r="K449"/>
  <c r="O449" s="1"/>
  <c r="U448"/>
  <c r="T448"/>
  <c r="S448"/>
  <c r="N448"/>
  <c r="R448" s="1"/>
  <c r="M448"/>
  <c r="Q448" s="1"/>
  <c r="L448"/>
  <c r="P448" s="1"/>
  <c r="K448"/>
  <c r="O448" s="1"/>
  <c r="U447"/>
  <c r="T447"/>
  <c r="S447"/>
  <c r="N447"/>
  <c r="R447" s="1"/>
  <c r="M447"/>
  <c r="Q447" s="1"/>
  <c r="L447"/>
  <c r="P447" s="1"/>
  <c r="K447"/>
  <c r="O447" s="1"/>
  <c r="U446"/>
  <c r="T446"/>
  <c r="S446"/>
  <c r="N446"/>
  <c r="R446" s="1"/>
  <c r="M446"/>
  <c r="Q446" s="1"/>
  <c r="L446"/>
  <c r="P446" s="1"/>
  <c r="K446"/>
  <c r="O446" s="1"/>
  <c r="U445"/>
  <c r="T445"/>
  <c r="S445"/>
  <c r="N445"/>
  <c r="R445" s="1"/>
  <c r="M445"/>
  <c r="Q445" s="1"/>
  <c r="L445"/>
  <c r="P445" s="1"/>
  <c r="K445"/>
  <c r="O445" s="1"/>
  <c r="U444"/>
  <c r="T444"/>
  <c r="S444"/>
  <c r="N444"/>
  <c r="R444" s="1"/>
  <c r="M444"/>
  <c r="Q444" s="1"/>
  <c r="L444"/>
  <c r="P444" s="1"/>
  <c r="K444"/>
  <c r="O444" s="1"/>
  <c r="U443"/>
  <c r="T443"/>
  <c r="S443"/>
  <c r="N443"/>
  <c r="R443" s="1"/>
  <c r="M443"/>
  <c r="Q443" s="1"/>
  <c r="L443"/>
  <c r="P443" s="1"/>
  <c r="K443"/>
  <c r="O443" s="1"/>
  <c r="U442"/>
  <c r="T442"/>
  <c r="S442"/>
  <c r="N442"/>
  <c r="R442" s="1"/>
  <c r="M442"/>
  <c r="Q442" s="1"/>
  <c r="L442"/>
  <c r="P442" s="1"/>
  <c r="K442"/>
  <c r="O442" s="1"/>
  <c r="U441"/>
  <c r="T441"/>
  <c r="S441"/>
  <c r="N441"/>
  <c r="R441" s="1"/>
  <c r="M441"/>
  <c r="Q441" s="1"/>
  <c r="L441"/>
  <c r="P441" s="1"/>
  <c r="K441"/>
  <c r="O441" s="1"/>
  <c r="U440"/>
  <c r="T440"/>
  <c r="S440"/>
  <c r="N440"/>
  <c r="R440" s="1"/>
  <c r="M440"/>
  <c r="Q440" s="1"/>
  <c r="L440"/>
  <c r="P440" s="1"/>
  <c r="K440"/>
  <c r="O440" s="1"/>
  <c r="U439"/>
  <c r="T439"/>
  <c r="S439"/>
  <c r="N439"/>
  <c r="R439" s="1"/>
  <c r="M439"/>
  <c r="Q439" s="1"/>
  <c r="L439"/>
  <c r="P439" s="1"/>
  <c r="K439"/>
  <c r="O439" s="1"/>
  <c r="U438"/>
  <c r="T438"/>
  <c r="S438"/>
  <c r="N438"/>
  <c r="R438" s="1"/>
  <c r="M438"/>
  <c r="Q438" s="1"/>
  <c r="L438"/>
  <c r="P438" s="1"/>
  <c r="K438"/>
  <c r="O438" s="1"/>
  <c r="U437"/>
  <c r="T437"/>
  <c r="S437"/>
  <c r="N437"/>
  <c r="R437" s="1"/>
  <c r="M437"/>
  <c r="Q437" s="1"/>
  <c r="L437"/>
  <c r="P437" s="1"/>
  <c r="K437"/>
  <c r="O437" s="1"/>
  <c r="U436"/>
  <c r="T436"/>
  <c r="S436"/>
  <c r="N436"/>
  <c r="R436" s="1"/>
  <c r="M436"/>
  <c r="Q436" s="1"/>
  <c r="L436"/>
  <c r="P436" s="1"/>
  <c r="K436"/>
  <c r="O436" s="1"/>
  <c r="U435"/>
  <c r="T435"/>
  <c r="S435"/>
  <c r="N435"/>
  <c r="R435" s="1"/>
  <c r="M435"/>
  <c r="Q435" s="1"/>
  <c r="L435"/>
  <c r="P435" s="1"/>
  <c r="K435"/>
  <c r="O435" s="1"/>
  <c r="AK103" l="1"/>
  <c r="AL103" s="1"/>
  <c r="AK148"/>
  <c r="AL148" s="1"/>
  <c r="AK149"/>
  <c r="AL149" s="1"/>
  <c r="AK109"/>
  <c r="AL109" s="1"/>
  <c r="AK133"/>
  <c r="AL133" s="1"/>
  <c r="AK141"/>
  <c r="AL141" s="1"/>
  <c r="AK154"/>
  <c r="AL154" s="1"/>
  <c r="AK164"/>
  <c r="AL164" s="1"/>
  <c r="AK111"/>
  <c r="AL111" s="1"/>
  <c r="AK127"/>
  <c r="AL127" s="1"/>
  <c r="AK158"/>
  <c r="AL158" s="1"/>
  <c r="AK163"/>
  <c r="AL163" s="1"/>
  <c r="AK112"/>
  <c r="AL112" s="1"/>
  <c r="AK116"/>
  <c r="AL116" s="1"/>
  <c r="AK128"/>
  <c r="AL128" s="1"/>
  <c r="AK172"/>
  <c r="AL172" s="1"/>
  <c r="AK177"/>
  <c r="AL177" s="1"/>
  <c r="AK119"/>
  <c r="AL119" s="1"/>
  <c r="AK135"/>
  <c r="AL135" s="1"/>
  <c r="AK174"/>
  <c r="AL174" s="1"/>
  <c r="AJ108"/>
  <c r="AJ116"/>
  <c r="AK167"/>
  <c r="AL167" s="1"/>
  <c r="AK143"/>
  <c r="AL143" s="1"/>
  <c r="AK156"/>
  <c r="AL156" s="1"/>
  <c r="AK105"/>
  <c r="AL105" s="1"/>
  <c r="AK113"/>
  <c r="AL113" s="1"/>
  <c r="AK121"/>
  <c r="AL121" s="1"/>
  <c r="AK129"/>
  <c r="AL129" s="1"/>
  <c r="AK137"/>
  <c r="AL137" s="1"/>
  <c r="AK145"/>
  <c r="AL145" s="1"/>
  <c r="AK151"/>
  <c r="AL151" s="1"/>
  <c r="AK157"/>
  <c r="AL157" s="1"/>
  <c r="AK176"/>
  <c r="AL176" s="1"/>
  <c r="AK155"/>
  <c r="AL155" s="1"/>
  <c r="AK166"/>
  <c r="AL166" s="1"/>
  <c r="AK171"/>
  <c r="AL171" s="1"/>
  <c r="AK173"/>
  <c r="AL173" s="1"/>
  <c r="AK153"/>
  <c r="AL153" s="1"/>
  <c r="AJ164"/>
  <c r="AK169"/>
  <c r="AL169" s="1"/>
  <c r="AK165"/>
  <c r="AL165" s="1"/>
  <c r="AK104"/>
  <c r="AL104" s="1"/>
  <c r="AJ105"/>
  <c r="AK106"/>
  <c r="AL106" s="1"/>
  <c r="AJ109"/>
  <c r="AJ112"/>
  <c r="AJ113"/>
  <c r="AK114"/>
  <c r="AL114" s="1"/>
  <c r="AJ117"/>
  <c r="AJ120"/>
  <c r="AJ121"/>
  <c r="AK122"/>
  <c r="AL122" s="1"/>
  <c r="AK124"/>
  <c r="AL124" s="1"/>
  <c r="AJ125"/>
  <c r="AJ128"/>
  <c r="AJ129"/>
  <c r="AK130"/>
  <c r="AL130" s="1"/>
  <c r="AK132"/>
  <c r="AL132" s="1"/>
  <c r="AJ133"/>
  <c r="AK136"/>
  <c r="AL136" s="1"/>
  <c r="AJ137"/>
  <c r="AK138"/>
  <c r="AL138" s="1"/>
  <c r="AK140"/>
  <c r="AL140" s="1"/>
  <c r="AJ141"/>
  <c r="AK144"/>
  <c r="AL144" s="1"/>
  <c r="AJ145"/>
  <c r="AK146"/>
  <c r="AL146" s="1"/>
  <c r="AJ149"/>
  <c r="AJ156"/>
  <c r="AJ157"/>
  <c r="AK159"/>
  <c r="AL159" s="1"/>
  <c r="AK161"/>
  <c r="AL161" s="1"/>
  <c r="AK162"/>
  <c r="AL162" s="1"/>
  <c r="AJ174"/>
  <c r="AJ103"/>
  <c r="AJ151"/>
  <c r="AK152"/>
  <c r="AL152" s="1"/>
  <c r="AJ154"/>
  <c r="AJ159"/>
  <c r="AK160"/>
  <c r="AL160" s="1"/>
  <c r="AJ162"/>
  <c r="AJ167"/>
  <c r="AK168"/>
  <c r="AL168" s="1"/>
  <c r="AJ170"/>
  <c r="AJ172"/>
  <c r="AJ175"/>
  <c r="AJ177"/>
  <c r="CG49"/>
  <c r="CF50"/>
  <c r="CG50" s="1"/>
  <c r="CG53"/>
  <c r="CF54"/>
  <c r="CG54" s="1"/>
  <c r="BZ58"/>
  <c r="CA58" s="1"/>
  <c r="CF59"/>
  <c r="CG59" s="1"/>
  <c r="BZ63"/>
  <c r="CA63" s="1"/>
  <c r="BZ67"/>
  <c r="CA67" s="1"/>
  <c r="BZ71"/>
  <c r="CA71" s="1"/>
  <c r="BZ72"/>
  <c r="CA72" s="1"/>
  <c r="DN9"/>
  <c r="DJ10"/>
  <c r="AK107"/>
  <c r="AL107" s="1"/>
  <c r="AK110"/>
  <c r="AL110" s="1"/>
  <c r="AK115"/>
  <c r="AL115" s="1"/>
  <c r="AK118"/>
  <c r="AL118" s="1"/>
  <c r="AK123"/>
  <c r="AL123" s="1"/>
  <c r="AF124"/>
  <c r="AK126"/>
  <c r="AL126" s="1"/>
  <c r="AK131"/>
  <c r="AL131" s="1"/>
  <c r="AF132"/>
  <c r="AK134"/>
  <c r="AL134" s="1"/>
  <c r="AK139"/>
  <c r="AL139" s="1"/>
  <c r="AF140"/>
  <c r="AK142"/>
  <c r="AL142" s="1"/>
  <c r="AK147"/>
  <c r="AL147" s="1"/>
  <c r="AK150"/>
  <c r="AL150" s="1"/>
  <c r="BZ38"/>
  <c r="CA38" s="1"/>
  <c r="BZ39"/>
  <c r="CA39" s="1"/>
  <c r="BZ40"/>
  <c r="CA40" s="1"/>
  <c r="BZ41"/>
  <c r="CA41" s="1"/>
  <c r="BZ42"/>
  <c r="CA42" s="1"/>
  <c r="BZ43"/>
  <c r="CA43" s="1"/>
  <c r="BZ44"/>
  <c r="CA44" s="1"/>
  <c r="BZ45"/>
  <c r="CA45" s="1"/>
  <c r="BZ46"/>
  <c r="CA46" s="1"/>
  <c r="BZ47"/>
  <c r="CA47" s="1"/>
  <c r="BZ49"/>
  <c r="CA49" s="1"/>
  <c r="CG57"/>
  <c r="DP9"/>
  <c r="CF38"/>
  <c r="CG38" s="1"/>
  <c r="CF39"/>
  <c r="CG39" s="1"/>
  <c r="CF40"/>
  <c r="CF41"/>
  <c r="CG41" s="1"/>
  <c r="CF42"/>
  <c r="CG42" s="1"/>
  <c r="CF43"/>
  <c r="CG43" s="1"/>
  <c r="CF44"/>
  <c r="CF45"/>
  <c r="CG45" s="1"/>
  <c r="CF46"/>
  <c r="CG46" s="1"/>
  <c r="CF47"/>
  <c r="CG47" s="1"/>
  <c r="CF48"/>
  <c r="BZ51"/>
  <c r="CA51" s="1"/>
  <c r="BZ55"/>
  <c r="CA55" s="1"/>
  <c r="BZ57"/>
  <c r="CA57" s="1"/>
  <c r="CG61"/>
  <c r="CF62"/>
  <c r="CG62" s="1"/>
  <c r="CG65"/>
  <c r="CF66"/>
  <c r="CG66" s="1"/>
  <c r="CG69"/>
  <c r="CF70"/>
  <c r="CG70" s="1"/>
  <c r="CG72"/>
  <c r="DI9"/>
  <c r="DJ9" s="1"/>
  <c r="BZ50"/>
  <c r="CA50" s="1"/>
  <c r="BZ54"/>
  <c r="CA54" s="1"/>
  <c r="BZ59"/>
  <c r="CA59" s="1"/>
  <c r="BZ61"/>
  <c r="CA61" s="1"/>
  <c r="CA65"/>
  <c r="CA69"/>
  <c r="DI12"/>
  <c r="DJ12" s="1"/>
  <c r="DP11"/>
  <c r="DP10"/>
  <c r="DI8"/>
  <c r="DJ8" s="1"/>
  <c r="DO8"/>
  <c r="DP8" s="1"/>
  <c r="DO12"/>
  <c r="DP12" s="1"/>
  <c r="CG48"/>
  <c r="CG58"/>
  <c r="CG63"/>
  <c r="CG67"/>
  <c r="CG71"/>
  <c r="CG40"/>
  <c r="CG44"/>
  <c r="CG51"/>
  <c r="CG55"/>
  <c r="BZ48"/>
  <c r="CA48" s="1"/>
  <c r="BZ52"/>
  <c r="CA52" s="1"/>
  <c r="CF52"/>
  <c r="CG52" s="1"/>
  <c r="BZ56"/>
  <c r="CA56" s="1"/>
  <c r="CF56"/>
  <c r="CG56" s="1"/>
  <c r="BZ60"/>
  <c r="CA60" s="1"/>
  <c r="CF60"/>
  <c r="CG60" s="1"/>
  <c r="BZ64"/>
  <c r="CA64" s="1"/>
  <c r="CF64"/>
  <c r="CG64" s="1"/>
  <c r="BZ68"/>
  <c r="CA68" s="1"/>
  <c r="CF68"/>
  <c r="CG68" s="1"/>
  <c r="AI102"/>
  <c r="AJ102" s="1"/>
  <c r="AE102"/>
  <c r="AD102"/>
  <c r="AF102" s="1"/>
  <c r="AI101"/>
  <c r="AJ101" s="1"/>
  <c r="AE101"/>
  <c r="AD101"/>
  <c r="AF101" s="1"/>
  <c r="AI100"/>
  <c r="AJ100" s="1"/>
  <c r="AE100"/>
  <c r="AD100"/>
  <c r="AI99"/>
  <c r="AJ99" s="1"/>
  <c r="AE99"/>
  <c r="AD99"/>
  <c r="U434"/>
  <c r="T434"/>
  <c r="S434"/>
  <c r="N434"/>
  <c r="R434" s="1"/>
  <c r="M434"/>
  <c r="Q434" s="1"/>
  <c r="L434"/>
  <c r="P434" s="1"/>
  <c r="K434"/>
  <c r="O434" s="1"/>
  <c r="U433"/>
  <c r="T433"/>
  <c r="S433"/>
  <c r="N433"/>
  <c r="R433" s="1"/>
  <c r="M433"/>
  <c r="Q433" s="1"/>
  <c r="L433"/>
  <c r="P433" s="1"/>
  <c r="K433"/>
  <c r="O433" s="1"/>
  <c r="U432"/>
  <c r="T432"/>
  <c r="S432"/>
  <c r="N432"/>
  <c r="R432" s="1"/>
  <c r="M432"/>
  <c r="Q432" s="1"/>
  <c r="L432"/>
  <c r="P432" s="1"/>
  <c r="K432"/>
  <c r="O432" s="1"/>
  <c r="U431"/>
  <c r="T431"/>
  <c r="S431"/>
  <c r="N431"/>
  <c r="R431" s="1"/>
  <c r="M431"/>
  <c r="Q431" s="1"/>
  <c r="L431"/>
  <c r="P431" s="1"/>
  <c r="K431"/>
  <c r="O431" s="1"/>
  <c r="U430"/>
  <c r="T430"/>
  <c r="S430"/>
  <c r="N430"/>
  <c r="R430" s="1"/>
  <c r="M430"/>
  <c r="Q430" s="1"/>
  <c r="L430"/>
  <c r="P430" s="1"/>
  <c r="K430"/>
  <c r="O430" s="1"/>
  <c r="U429"/>
  <c r="T429"/>
  <c r="S429"/>
  <c r="N429"/>
  <c r="R429" s="1"/>
  <c r="M429"/>
  <c r="Q429" s="1"/>
  <c r="L429"/>
  <c r="P429" s="1"/>
  <c r="K429"/>
  <c r="O429" s="1"/>
  <c r="U428"/>
  <c r="T428"/>
  <c r="S428"/>
  <c r="N428"/>
  <c r="R428" s="1"/>
  <c r="M428"/>
  <c r="Q428" s="1"/>
  <c r="L428"/>
  <c r="P428" s="1"/>
  <c r="K428"/>
  <c r="O428" s="1"/>
  <c r="U427"/>
  <c r="T427"/>
  <c r="S427"/>
  <c r="N427"/>
  <c r="R427" s="1"/>
  <c r="M427"/>
  <c r="Q427" s="1"/>
  <c r="L427"/>
  <c r="P427" s="1"/>
  <c r="K427"/>
  <c r="O427" s="1"/>
  <c r="U426"/>
  <c r="T426"/>
  <c r="S426"/>
  <c r="N426"/>
  <c r="R426" s="1"/>
  <c r="M426"/>
  <c r="Q426" s="1"/>
  <c r="L426"/>
  <c r="P426" s="1"/>
  <c r="K426"/>
  <c r="O426" s="1"/>
  <c r="U425"/>
  <c r="T425"/>
  <c r="S425"/>
  <c r="N425"/>
  <c r="R425" s="1"/>
  <c r="M425"/>
  <c r="Q425" s="1"/>
  <c r="L425"/>
  <c r="P425" s="1"/>
  <c r="K425"/>
  <c r="O425" s="1"/>
  <c r="U424"/>
  <c r="T424"/>
  <c r="S424"/>
  <c r="N424"/>
  <c r="R424" s="1"/>
  <c r="M424"/>
  <c r="Q424" s="1"/>
  <c r="L424"/>
  <c r="P424" s="1"/>
  <c r="K424"/>
  <c r="O424" s="1"/>
  <c r="U423"/>
  <c r="T423"/>
  <c r="S423"/>
  <c r="N423"/>
  <c r="R423" s="1"/>
  <c r="M423"/>
  <c r="Q423" s="1"/>
  <c r="L423"/>
  <c r="P423" s="1"/>
  <c r="K423"/>
  <c r="O423" s="1"/>
  <c r="U422"/>
  <c r="T422"/>
  <c r="S422"/>
  <c r="N422"/>
  <c r="R422" s="1"/>
  <c r="M422"/>
  <c r="Q422" s="1"/>
  <c r="L422"/>
  <c r="P422" s="1"/>
  <c r="K422"/>
  <c r="O422" s="1"/>
  <c r="U421"/>
  <c r="T421"/>
  <c r="S421"/>
  <c r="N421"/>
  <c r="R421" s="1"/>
  <c r="M421"/>
  <c r="Q421" s="1"/>
  <c r="L421"/>
  <c r="P421" s="1"/>
  <c r="K421"/>
  <c r="O421" s="1"/>
  <c r="U420"/>
  <c r="T420"/>
  <c r="S420"/>
  <c r="N420"/>
  <c r="R420" s="1"/>
  <c r="M420"/>
  <c r="Q420" s="1"/>
  <c r="L420"/>
  <c r="P420" s="1"/>
  <c r="K420"/>
  <c r="O420" s="1"/>
  <c r="U419"/>
  <c r="T419"/>
  <c r="S419"/>
  <c r="N419"/>
  <c r="R419" s="1"/>
  <c r="M419"/>
  <c r="Q419" s="1"/>
  <c r="L419"/>
  <c r="P419" s="1"/>
  <c r="K419"/>
  <c r="O419" s="1"/>
  <c r="U418"/>
  <c r="T418"/>
  <c r="S418"/>
  <c r="N418"/>
  <c r="R418" s="1"/>
  <c r="M418"/>
  <c r="Q418" s="1"/>
  <c r="L418"/>
  <c r="P418" s="1"/>
  <c r="K418"/>
  <c r="O418" s="1"/>
  <c r="U417"/>
  <c r="T417"/>
  <c r="S417"/>
  <c r="N417"/>
  <c r="R417" s="1"/>
  <c r="M417"/>
  <c r="Q417" s="1"/>
  <c r="L417"/>
  <c r="P417" s="1"/>
  <c r="K417"/>
  <c r="O417" s="1"/>
  <c r="U416"/>
  <c r="T416"/>
  <c r="S416"/>
  <c r="N416"/>
  <c r="R416" s="1"/>
  <c r="M416"/>
  <c r="Q416" s="1"/>
  <c r="L416"/>
  <c r="P416" s="1"/>
  <c r="K416"/>
  <c r="O416" s="1"/>
  <c r="U415"/>
  <c r="T415"/>
  <c r="S415"/>
  <c r="N415"/>
  <c r="R415" s="1"/>
  <c r="M415"/>
  <c r="Q415" s="1"/>
  <c r="L415"/>
  <c r="P415" s="1"/>
  <c r="K415"/>
  <c r="O415" s="1"/>
  <c r="U414"/>
  <c r="T414"/>
  <c r="S414"/>
  <c r="N414"/>
  <c r="R414" s="1"/>
  <c r="M414"/>
  <c r="Q414" s="1"/>
  <c r="L414"/>
  <c r="P414" s="1"/>
  <c r="K414"/>
  <c r="O414" s="1"/>
  <c r="U413"/>
  <c r="T413"/>
  <c r="S413"/>
  <c r="N413"/>
  <c r="R413" s="1"/>
  <c r="M413"/>
  <c r="Q413" s="1"/>
  <c r="L413"/>
  <c r="P413" s="1"/>
  <c r="K413"/>
  <c r="O413" s="1"/>
  <c r="U412"/>
  <c r="T412"/>
  <c r="S412"/>
  <c r="N412"/>
  <c r="R412" s="1"/>
  <c r="M412"/>
  <c r="Q412" s="1"/>
  <c r="L412"/>
  <c r="P412" s="1"/>
  <c r="K412"/>
  <c r="O412" s="1"/>
  <c r="U411"/>
  <c r="T411"/>
  <c r="S411"/>
  <c r="N411"/>
  <c r="R411" s="1"/>
  <c r="M411"/>
  <c r="Q411" s="1"/>
  <c r="L411"/>
  <c r="P411" s="1"/>
  <c r="K411"/>
  <c r="O411" s="1"/>
  <c r="U410"/>
  <c r="T410"/>
  <c r="S410"/>
  <c r="N410"/>
  <c r="R410" s="1"/>
  <c r="M410"/>
  <c r="Q410" s="1"/>
  <c r="L410"/>
  <c r="P410" s="1"/>
  <c r="K410"/>
  <c r="O410" s="1"/>
  <c r="U409"/>
  <c r="T409"/>
  <c r="S409"/>
  <c r="N409"/>
  <c r="R409" s="1"/>
  <c r="M409"/>
  <c r="Q409" s="1"/>
  <c r="L409"/>
  <c r="P409" s="1"/>
  <c r="K409"/>
  <c r="O409" s="1"/>
  <c r="U408"/>
  <c r="T408"/>
  <c r="S408"/>
  <c r="N408"/>
  <c r="R408" s="1"/>
  <c r="M408"/>
  <c r="Q408" s="1"/>
  <c r="L408"/>
  <c r="P408" s="1"/>
  <c r="K408"/>
  <c r="O408" s="1"/>
  <c r="U407"/>
  <c r="T407"/>
  <c r="S407"/>
  <c r="N407"/>
  <c r="R407" s="1"/>
  <c r="M407"/>
  <c r="Q407" s="1"/>
  <c r="L407"/>
  <c r="P407" s="1"/>
  <c r="K407"/>
  <c r="O407" s="1"/>
  <c r="U406"/>
  <c r="T406"/>
  <c r="S406"/>
  <c r="N406"/>
  <c r="R406" s="1"/>
  <c r="M406"/>
  <c r="Q406" s="1"/>
  <c r="L406"/>
  <c r="P406" s="1"/>
  <c r="K406"/>
  <c r="O406" s="1"/>
  <c r="U405"/>
  <c r="T405"/>
  <c r="S405"/>
  <c r="N405"/>
  <c r="R405" s="1"/>
  <c r="M405"/>
  <c r="Q405" s="1"/>
  <c r="L405"/>
  <c r="P405" s="1"/>
  <c r="K405"/>
  <c r="O405" s="1"/>
  <c r="U404"/>
  <c r="T404"/>
  <c r="S404"/>
  <c r="N404"/>
  <c r="R404" s="1"/>
  <c r="M404"/>
  <c r="Q404" s="1"/>
  <c r="L404"/>
  <c r="P404" s="1"/>
  <c r="K404"/>
  <c r="O404" s="1"/>
  <c r="U403"/>
  <c r="T403"/>
  <c r="S403"/>
  <c r="N403"/>
  <c r="R403" s="1"/>
  <c r="M403"/>
  <c r="Q403" s="1"/>
  <c r="L403"/>
  <c r="P403" s="1"/>
  <c r="K403"/>
  <c r="O403" s="1"/>
  <c r="U402"/>
  <c r="T402"/>
  <c r="S402"/>
  <c r="N402"/>
  <c r="R402" s="1"/>
  <c r="M402"/>
  <c r="Q402" s="1"/>
  <c r="L402"/>
  <c r="P402" s="1"/>
  <c r="K402"/>
  <c r="O402" s="1"/>
  <c r="U401"/>
  <c r="T401"/>
  <c r="S401"/>
  <c r="N401"/>
  <c r="R401" s="1"/>
  <c r="M401"/>
  <c r="Q401" s="1"/>
  <c r="L401"/>
  <c r="P401" s="1"/>
  <c r="K401"/>
  <c r="O401" s="1"/>
  <c r="U400"/>
  <c r="T400"/>
  <c r="S400"/>
  <c r="N400"/>
  <c r="R400" s="1"/>
  <c r="M400"/>
  <c r="Q400" s="1"/>
  <c r="L400"/>
  <c r="P400" s="1"/>
  <c r="K400"/>
  <c r="O400" s="1"/>
  <c r="U399"/>
  <c r="T399"/>
  <c r="S399"/>
  <c r="N399"/>
  <c r="R399" s="1"/>
  <c r="M399"/>
  <c r="Q399" s="1"/>
  <c r="L399"/>
  <c r="P399" s="1"/>
  <c r="K399"/>
  <c r="O399" s="1"/>
  <c r="U398"/>
  <c r="T398"/>
  <c r="S398"/>
  <c r="N398"/>
  <c r="R398" s="1"/>
  <c r="M398"/>
  <c r="Q398" s="1"/>
  <c r="L398"/>
  <c r="P398" s="1"/>
  <c r="K398"/>
  <c r="O398" s="1"/>
  <c r="U397"/>
  <c r="T397"/>
  <c r="S397"/>
  <c r="N397"/>
  <c r="R397" s="1"/>
  <c r="M397"/>
  <c r="Q397" s="1"/>
  <c r="L397"/>
  <c r="P397" s="1"/>
  <c r="K397"/>
  <c r="O397" s="1"/>
  <c r="U396"/>
  <c r="T396"/>
  <c r="S396"/>
  <c r="N396"/>
  <c r="R396" s="1"/>
  <c r="M396"/>
  <c r="Q396" s="1"/>
  <c r="L396"/>
  <c r="P396" s="1"/>
  <c r="K396"/>
  <c r="O396" s="1"/>
  <c r="U395"/>
  <c r="T395"/>
  <c r="S395"/>
  <c r="N395"/>
  <c r="R395" s="1"/>
  <c r="M395"/>
  <c r="Q395" s="1"/>
  <c r="L395"/>
  <c r="P395" s="1"/>
  <c r="K395"/>
  <c r="O395" s="1"/>
  <c r="U394"/>
  <c r="T394"/>
  <c r="S394"/>
  <c r="N394"/>
  <c r="R394" s="1"/>
  <c r="M394"/>
  <c r="Q394" s="1"/>
  <c r="L394"/>
  <c r="P394" s="1"/>
  <c r="K394"/>
  <c r="O394" s="1"/>
  <c r="U393"/>
  <c r="T393"/>
  <c r="S393"/>
  <c r="N393"/>
  <c r="R393" s="1"/>
  <c r="M393"/>
  <c r="Q393" s="1"/>
  <c r="L393"/>
  <c r="P393" s="1"/>
  <c r="K393"/>
  <c r="O393" s="1"/>
  <c r="U392"/>
  <c r="T392"/>
  <c r="S392"/>
  <c r="N392"/>
  <c r="R392" s="1"/>
  <c r="M392"/>
  <c r="Q392" s="1"/>
  <c r="L392"/>
  <c r="P392" s="1"/>
  <c r="K392"/>
  <c r="O392" s="1"/>
  <c r="U391"/>
  <c r="T391"/>
  <c r="S391"/>
  <c r="N391"/>
  <c r="R391" s="1"/>
  <c r="M391"/>
  <c r="Q391" s="1"/>
  <c r="L391"/>
  <c r="P391" s="1"/>
  <c r="K391"/>
  <c r="O391" s="1"/>
  <c r="U390"/>
  <c r="T390"/>
  <c r="S390"/>
  <c r="N390"/>
  <c r="R390" s="1"/>
  <c r="M390"/>
  <c r="Q390" s="1"/>
  <c r="L390"/>
  <c r="P390" s="1"/>
  <c r="K390"/>
  <c r="O390" s="1"/>
  <c r="U389"/>
  <c r="T389"/>
  <c r="S389"/>
  <c r="N389"/>
  <c r="R389" s="1"/>
  <c r="M389"/>
  <c r="Q389" s="1"/>
  <c r="L389"/>
  <c r="P389" s="1"/>
  <c r="K389"/>
  <c r="O389" s="1"/>
  <c r="U388"/>
  <c r="T388"/>
  <c r="S388"/>
  <c r="N388"/>
  <c r="R388" s="1"/>
  <c r="M388"/>
  <c r="Q388" s="1"/>
  <c r="L388"/>
  <c r="P388" s="1"/>
  <c r="K388"/>
  <c r="O388" s="1"/>
  <c r="U387"/>
  <c r="T387"/>
  <c r="S387"/>
  <c r="N387"/>
  <c r="R387" s="1"/>
  <c r="M387"/>
  <c r="Q387" s="1"/>
  <c r="L387"/>
  <c r="P387" s="1"/>
  <c r="K387"/>
  <c r="O387" s="1"/>
  <c r="U386"/>
  <c r="T386"/>
  <c r="S386"/>
  <c r="N386"/>
  <c r="R386" s="1"/>
  <c r="M386"/>
  <c r="Q386" s="1"/>
  <c r="L386"/>
  <c r="P386" s="1"/>
  <c r="K386"/>
  <c r="O386" s="1"/>
  <c r="U385"/>
  <c r="T385"/>
  <c r="S385"/>
  <c r="N385"/>
  <c r="R385" s="1"/>
  <c r="M385"/>
  <c r="Q385" s="1"/>
  <c r="L385"/>
  <c r="P385" s="1"/>
  <c r="K385"/>
  <c r="O385" s="1"/>
  <c r="U384"/>
  <c r="T384"/>
  <c r="S384"/>
  <c r="N384"/>
  <c r="R384" s="1"/>
  <c r="M384"/>
  <c r="Q384" s="1"/>
  <c r="L384"/>
  <c r="P384" s="1"/>
  <c r="K384"/>
  <c r="O384" s="1"/>
  <c r="U383"/>
  <c r="T383"/>
  <c r="S383"/>
  <c r="N383"/>
  <c r="R383" s="1"/>
  <c r="M383"/>
  <c r="Q383" s="1"/>
  <c r="L383"/>
  <c r="P383" s="1"/>
  <c r="K383"/>
  <c r="O383" s="1"/>
  <c r="U382"/>
  <c r="T382"/>
  <c r="S382"/>
  <c r="N382"/>
  <c r="R382" s="1"/>
  <c r="M382"/>
  <c r="Q382" s="1"/>
  <c r="L382"/>
  <c r="P382" s="1"/>
  <c r="K382"/>
  <c r="O382" s="1"/>
  <c r="U381"/>
  <c r="T381"/>
  <c r="S381"/>
  <c r="N381"/>
  <c r="R381" s="1"/>
  <c r="M381"/>
  <c r="Q381" s="1"/>
  <c r="L381"/>
  <c r="P381" s="1"/>
  <c r="K381"/>
  <c r="O381" s="1"/>
  <c r="U380"/>
  <c r="T380"/>
  <c r="S380"/>
  <c r="N380"/>
  <c r="R380" s="1"/>
  <c r="M380"/>
  <c r="Q380" s="1"/>
  <c r="L380"/>
  <c r="P380" s="1"/>
  <c r="K380"/>
  <c r="O380" s="1"/>
  <c r="U379"/>
  <c r="T379"/>
  <c r="S379"/>
  <c r="N379"/>
  <c r="R379" s="1"/>
  <c r="M379"/>
  <c r="Q379" s="1"/>
  <c r="L379"/>
  <c r="P379" s="1"/>
  <c r="K379"/>
  <c r="O379" s="1"/>
  <c r="U378"/>
  <c r="T378"/>
  <c r="S378"/>
  <c r="N378"/>
  <c r="R378" s="1"/>
  <c r="M378"/>
  <c r="Q378" s="1"/>
  <c r="L378"/>
  <c r="P378" s="1"/>
  <c r="K378"/>
  <c r="O378" s="1"/>
  <c r="U377"/>
  <c r="T377"/>
  <c r="S377"/>
  <c r="N377"/>
  <c r="R377" s="1"/>
  <c r="M377"/>
  <c r="Q377" s="1"/>
  <c r="L377"/>
  <c r="P377" s="1"/>
  <c r="K377"/>
  <c r="O377" s="1"/>
  <c r="U376"/>
  <c r="T376"/>
  <c r="S376"/>
  <c r="N376"/>
  <c r="R376" s="1"/>
  <c r="M376"/>
  <c r="Q376" s="1"/>
  <c r="L376"/>
  <c r="P376" s="1"/>
  <c r="K376"/>
  <c r="O376" s="1"/>
  <c r="U375"/>
  <c r="T375"/>
  <c r="S375"/>
  <c r="N375"/>
  <c r="R375" s="1"/>
  <c r="M375"/>
  <c r="Q375" s="1"/>
  <c r="L375"/>
  <c r="P375" s="1"/>
  <c r="K375"/>
  <c r="O375" s="1"/>
  <c r="U374"/>
  <c r="T374"/>
  <c r="S374"/>
  <c r="N374"/>
  <c r="R374" s="1"/>
  <c r="M374"/>
  <c r="Q374" s="1"/>
  <c r="L374"/>
  <c r="P374" s="1"/>
  <c r="K374"/>
  <c r="O374" s="1"/>
  <c r="U373"/>
  <c r="T373"/>
  <c r="S373"/>
  <c r="N373"/>
  <c r="R373" s="1"/>
  <c r="M373"/>
  <c r="Q373" s="1"/>
  <c r="L373"/>
  <c r="P373" s="1"/>
  <c r="K373"/>
  <c r="O373" s="1"/>
  <c r="U372"/>
  <c r="T372"/>
  <c r="S372"/>
  <c r="N372"/>
  <c r="R372" s="1"/>
  <c r="M372"/>
  <c r="Q372" s="1"/>
  <c r="L372"/>
  <c r="P372" s="1"/>
  <c r="K372"/>
  <c r="O372" s="1"/>
  <c r="U371"/>
  <c r="T371"/>
  <c r="S371"/>
  <c r="N371"/>
  <c r="R371" s="1"/>
  <c r="M371"/>
  <c r="Q371" s="1"/>
  <c r="L371"/>
  <c r="P371" s="1"/>
  <c r="K371"/>
  <c r="O371" s="1"/>
  <c r="U370"/>
  <c r="T370"/>
  <c r="S370"/>
  <c r="N370"/>
  <c r="R370" s="1"/>
  <c r="M370"/>
  <c r="Q370" s="1"/>
  <c r="L370"/>
  <c r="P370" s="1"/>
  <c r="K370"/>
  <c r="O370" s="1"/>
  <c r="U369"/>
  <c r="T369"/>
  <c r="S369"/>
  <c r="N369"/>
  <c r="R369" s="1"/>
  <c r="M369"/>
  <c r="Q369" s="1"/>
  <c r="L369"/>
  <c r="P369" s="1"/>
  <c r="K369"/>
  <c r="O369" s="1"/>
  <c r="U368"/>
  <c r="T368"/>
  <c r="S368"/>
  <c r="N368"/>
  <c r="R368" s="1"/>
  <c r="M368"/>
  <c r="Q368" s="1"/>
  <c r="L368"/>
  <c r="P368" s="1"/>
  <c r="K368"/>
  <c r="O368" s="1"/>
  <c r="U367"/>
  <c r="T367"/>
  <c r="S367"/>
  <c r="N367"/>
  <c r="R367" s="1"/>
  <c r="M367"/>
  <c r="Q367" s="1"/>
  <c r="L367"/>
  <c r="P367" s="1"/>
  <c r="K367"/>
  <c r="O367" s="1"/>
  <c r="U366"/>
  <c r="T366"/>
  <c r="S366"/>
  <c r="N366"/>
  <c r="R366" s="1"/>
  <c r="M366"/>
  <c r="Q366" s="1"/>
  <c r="L366"/>
  <c r="P366" s="1"/>
  <c r="K366"/>
  <c r="O366" s="1"/>
  <c r="U365"/>
  <c r="T365"/>
  <c r="S365"/>
  <c r="N365"/>
  <c r="R365" s="1"/>
  <c r="M365"/>
  <c r="Q365" s="1"/>
  <c r="L365"/>
  <c r="P365" s="1"/>
  <c r="K365"/>
  <c r="O365" s="1"/>
  <c r="U364"/>
  <c r="T364"/>
  <c r="S364"/>
  <c r="N364"/>
  <c r="R364" s="1"/>
  <c r="M364"/>
  <c r="Q364" s="1"/>
  <c r="L364"/>
  <c r="P364" s="1"/>
  <c r="K364"/>
  <c r="O364" s="1"/>
  <c r="U363"/>
  <c r="T363"/>
  <c r="S363"/>
  <c r="N363"/>
  <c r="R363" s="1"/>
  <c r="M363"/>
  <c r="Q363" s="1"/>
  <c r="L363"/>
  <c r="P363" s="1"/>
  <c r="K363"/>
  <c r="O363" s="1"/>
  <c r="U362"/>
  <c r="T362"/>
  <c r="S362"/>
  <c r="N362"/>
  <c r="R362" s="1"/>
  <c r="M362"/>
  <c r="Q362" s="1"/>
  <c r="L362"/>
  <c r="P362" s="1"/>
  <c r="K362"/>
  <c r="O362" s="1"/>
  <c r="U361"/>
  <c r="T361"/>
  <c r="S361"/>
  <c r="N361"/>
  <c r="R361" s="1"/>
  <c r="M361"/>
  <c r="Q361" s="1"/>
  <c r="L361"/>
  <c r="P361" s="1"/>
  <c r="K361"/>
  <c r="O361" s="1"/>
  <c r="U360"/>
  <c r="T360"/>
  <c r="S360"/>
  <c r="N360"/>
  <c r="R360" s="1"/>
  <c r="M360"/>
  <c r="Q360" s="1"/>
  <c r="L360"/>
  <c r="P360" s="1"/>
  <c r="K360"/>
  <c r="O360" s="1"/>
  <c r="U359"/>
  <c r="T359"/>
  <c r="S359"/>
  <c r="N359"/>
  <c r="R359" s="1"/>
  <c r="M359"/>
  <c r="Q359" s="1"/>
  <c r="L359"/>
  <c r="P359" s="1"/>
  <c r="K359"/>
  <c r="O359" s="1"/>
  <c r="U358"/>
  <c r="T358"/>
  <c r="S358"/>
  <c r="N358"/>
  <c r="R358" s="1"/>
  <c r="M358"/>
  <c r="Q358" s="1"/>
  <c r="L358"/>
  <c r="P358" s="1"/>
  <c r="K358"/>
  <c r="O358" s="1"/>
  <c r="U357"/>
  <c r="T357"/>
  <c r="S357"/>
  <c r="N357"/>
  <c r="R357" s="1"/>
  <c r="M357"/>
  <c r="Q357" s="1"/>
  <c r="L357"/>
  <c r="P357" s="1"/>
  <c r="K357"/>
  <c r="O357" s="1"/>
  <c r="U356"/>
  <c r="T356"/>
  <c r="S356"/>
  <c r="N356"/>
  <c r="R356" s="1"/>
  <c r="M356"/>
  <c r="Q356" s="1"/>
  <c r="L356"/>
  <c r="P356" s="1"/>
  <c r="K356"/>
  <c r="O356" s="1"/>
  <c r="U355"/>
  <c r="T355"/>
  <c r="S355"/>
  <c r="N355"/>
  <c r="R355" s="1"/>
  <c r="M355"/>
  <c r="Q355" s="1"/>
  <c r="L355"/>
  <c r="P355" s="1"/>
  <c r="K355"/>
  <c r="O355" s="1"/>
  <c r="U354"/>
  <c r="T354"/>
  <c r="S354"/>
  <c r="N354"/>
  <c r="R354" s="1"/>
  <c r="M354"/>
  <c r="Q354" s="1"/>
  <c r="L354"/>
  <c r="P354" s="1"/>
  <c r="K354"/>
  <c r="O354" s="1"/>
  <c r="U353"/>
  <c r="T353"/>
  <c r="S353"/>
  <c r="N353"/>
  <c r="R353" s="1"/>
  <c r="M353"/>
  <c r="Q353" s="1"/>
  <c r="L353"/>
  <c r="P353" s="1"/>
  <c r="K353"/>
  <c r="O353" s="1"/>
  <c r="U352"/>
  <c r="T352"/>
  <c r="S352"/>
  <c r="N352"/>
  <c r="R352" s="1"/>
  <c r="M352"/>
  <c r="Q352" s="1"/>
  <c r="L352"/>
  <c r="P352" s="1"/>
  <c r="K352"/>
  <c r="O352" s="1"/>
  <c r="U351"/>
  <c r="T351"/>
  <c r="S351"/>
  <c r="N351"/>
  <c r="R351" s="1"/>
  <c r="M351"/>
  <c r="Q351" s="1"/>
  <c r="L351"/>
  <c r="P351" s="1"/>
  <c r="K351"/>
  <c r="O351" s="1"/>
  <c r="U350"/>
  <c r="T350"/>
  <c r="S350"/>
  <c r="N350"/>
  <c r="R350" s="1"/>
  <c r="M350"/>
  <c r="Q350" s="1"/>
  <c r="L350"/>
  <c r="P350" s="1"/>
  <c r="K350"/>
  <c r="O350" s="1"/>
  <c r="U349"/>
  <c r="T349"/>
  <c r="S349"/>
  <c r="N349"/>
  <c r="R349" s="1"/>
  <c r="M349"/>
  <c r="Q349" s="1"/>
  <c r="L349"/>
  <c r="P349" s="1"/>
  <c r="K349"/>
  <c r="O349" s="1"/>
  <c r="U348"/>
  <c r="T348"/>
  <c r="S348"/>
  <c r="N348"/>
  <c r="R348" s="1"/>
  <c r="M348"/>
  <c r="Q348" s="1"/>
  <c r="L348"/>
  <c r="P348" s="1"/>
  <c r="K348"/>
  <c r="O348" s="1"/>
  <c r="U347"/>
  <c r="T347"/>
  <c r="S347"/>
  <c r="N347"/>
  <c r="R347" s="1"/>
  <c r="M347"/>
  <c r="Q347" s="1"/>
  <c r="L347"/>
  <c r="P347" s="1"/>
  <c r="K347"/>
  <c r="O347" s="1"/>
  <c r="U346"/>
  <c r="T346"/>
  <c r="S346"/>
  <c r="N346"/>
  <c r="R346" s="1"/>
  <c r="M346"/>
  <c r="Q346" s="1"/>
  <c r="L346"/>
  <c r="P346" s="1"/>
  <c r="K346"/>
  <c r="O346" s="1"/>
  <c r="U345"/>
  <c r="T345"/>
  <c r="S345"/>
  <c r="N345"/>
  <c r="R345" s="1"/>
  <c r="M345"/>
  <c r="Q345" s="1"/>
  <c r="L345"/>
  <c r="P345" s="1"/>
  <c r="K345"/>
  <c r="O345" s="1"/>
  <c r="U344"/>
  <c r="T344"/>
  <c r="S344"/>
  <c r="N344"/>
  <c r="R344" s="1"/>
  <c r="M344"/>
  <c r="Q344" s="1"/>
  <c r="L344"/>
  <c r="P344" s="1"/>
  <c r="K344"/>
  <c r="O344" s="1"/>
  <c r="U343"/>
  <c r="T343"/>
  <c r="S343"/>
  <c r="N343"/>
  <c r="R343" s="1"/>
  <c r="M343"/>
  <c r="Q343" s="1"/>
  <c r="L343"/>
  <c r="P343" s="1"/>
  <c r="K343"/>
  <c r="O343" s="1"/>
  <c r="U342"/>
  <c r="T342"/>
  <c r="S342"/>
  <c r="N342"/>
  <c r="R342" s="1"/>
  <c r="M342"/>
  <c r="Q342" s="1"/>
  <c r="L342"/>
  <c r="P342" s="1"/>
  <c r="K342"/>
  <c r="O342" s="1"/>
  <c r="U341"/>
  <c r="T341"/>
  <c r="S341"/>
  <c r="N341"/>
  <c r="R341" s="1"/>
  <c r="M341"/>
  <c r="Q341" s="1"/>
  <c r="L341"/>
  <c r="P341" s="1"/>
  <c r="K341"/>
  <c r="O341" s="1"/>
  <c r="U340"/>
  <c r="T340"/>
  <c r="S340"/>
  <c r="N340"/>
  <c r="R340" s="1"/>
  <c r="M340"/>
  <c r="Q340" s="1"/>
  <c r="L340"/>
  <c r="P340" s="1"/>
  <c r="K340"/>
  <c r="O340" s="1"/>
  <c r="U339"/>
  <c r="T339"/>
  <c r="S339"/>
  <c r="N339"/>
  <c r="R339" s="1"/>
  <c r="M339"/>
  <c r="Q339" s="1"/>
  <c r="L339"/>
  <c r="P339" s="1"/>
  <c r="K339"/>
  <c r="O339" s="1"/>
  <c r="U338"/>
  <c r="T338"/>
  <c r="S338"/>
  <c r="N338"/>
  <c r="R338" s="1"/>
  <c r="M338"/>
  <c r="Q338" s="1"/>
  <c r="L338"/>
  <c r="P338" s="1"/>
  <c r="K338"/>
  <c r="O338" s="1"/>
  <c r="U337"/>
  <c r="T337"/>
  <c r="S337"/>
  <c r="N337"/>
  <c r="R337" s="1"/>
  <c r="M337"/>
  <c r="Q337" s="1"/>
  <c r="L337"/>
  <c r="P337" s="1"/>
  <c r="K337"/>
  <c r="O337" s="1"/>
  <c r="U336"/>
  <c r="T336"/>
  <c r="S336"/>
  <c r="N336"/>
  <c r="R336" s="1"/>
  <c r="M336"/>
  <c r="Q336" s="1"/>
  <c r="L336"/>
  <c r="P336" s="1"/>
  <c r="K336"/>
  <c r="O336" s="1"/>
  <c r="U335"/>
  <c r="T335"/>
  <c r="S335"/>
  <c r="N335"/>
  <c r="R335" s="1"/>
  <c r="M335"/>
  <c r="Q335" s="1"/>
  <c r="L335"/>
  <c r="P335" s="1"/>
  <c r="K335"/>
  <c r="O335" s="1"/>
  <c r="U334"/>
  <c r="T334"/>
  <c r="S334"/>
  <c r="N334"/>
  <c r="R334" s="1"/>
  <c r="M334"/>
  <c r="Q334" s="1"/>
  <c r="L334"/>
  <c r="P334" s="1"/>
  <c r="K334"/>
  <c r="O334" s="1"/>
  <c r="U333"/>
  <c r="T333"/>
  <c r="S333"/>
  <c r="N333"/>
  <c r="R333" s="1"/>
  <c r="M333"/>
  <c r="Q333" s="1"/>
  <c r="L333"/>
  <c r="P333" s="1"/>
  <c r="K333"/>
  <c r="O333" s="1"/>
  <c r="U332"/>
  <c r="T332"/>
  <c r="S332"/>
  <c r="N332"/>
  <c r="R332" s="1"/>
  <c r="M332"/>
  <c r="Q332" s="1"/>
  <c r="L332"/>
  <c r="P332" s="1"/>
  <c r="K332"/>
  <c r="O332" s="1"/>
  <c r="U331"/>
  <c r="T331"/>
  <c r="S331"/>
  <c r="N331"/>
  <c r="R331" s="1"/>
  <c r="M331"/>
  <c r="Q331" s="1"/>
  <c r="L331"/>
  <c r="P331" s="1"/>
  <c r="K331"/>
  <c r="O331" s="1"/>
  <c r="U330"/>
  <c r="T330"/>
  <c r="S330"/>
  <c r="N330"/>
  <c r="R330" s="1"/>
  <c r="M330"/>
  <c r="Q330" s="1"/>
  <c r="L330"/>
  <c r="P330" s="1"/>
  <c r="K330"/>
  <c r="O330" s="1"/>
  <c r="U329"/>
  <c r="T329"/>
  <c r="S329"/>
  <c r="N329"/>
  <c r="R329" s="1"/>
  <c r="M329"/>
  <c r="Q329" s="1"/>
  <c r="L329"/>
  <c r="P329" s="1"/>
  <c r="K329"/>
  <c r="O329" s="1"/>
  <c r="U328"/>
  <c r="T328"/>
  <c r="S328"/>
  <c r="N328"/>
  <c r="R328" s="1"/>
  <c r="M328"/>
  <c r="Q328" s="1"/>
  <c r="L328"/>
  <c r="P328" s="1"/>
  <c r="K328"/>
  <c r="O328" s="1"/>
  <c r="U327"/>
  <c r="T327"/>
  <c r="S327"/>
  <c r="N327"/>
  <c r="R327" s="1"/>
  <c r="M327"/>
  <c r="Q327" s="1"/>
  <c r="L327"/>
  <c r="P327" s="1"/>
  <c r="K327"/>
  <c r="O327" s="1"/>
  <c r="U326"/>
  <c r="T326"/>
  <c r="S326"/>
  <c r="N326"/>
  <c r="R326" s="1"/>
  <c r="M326"/>
  <c r="Q326" s="1"/>
  <c r="L326"/>
  <c r="P326" s="1"/>
  <c r="K326"/>
  <c r="O326" s="1"/>
  <c r="U325"/>
  <c r="T325"/>
  <c r="S325"/>
  <c r="N325"/>
  <c r="R325" s="1"/>
  <c r="M325"/>
  <c r="Q325" s="1"/>
  <c r="L325"/>
  <c r="P325" s="1"/>
  <c r="K325"/>
  <c r="O325" s="1"/>
  <c r="U324"/>
  <c r="T324"/>
  <c r="S324"/>
  <c r="N324"/>
  <c r="R324" s="1"/>
  <c r="M324"/>
  <c r="Q324" s="1"/>
  <c r="L324"/>
  <c r="P324" s="1"/>
  <c r="K324"/>
  <c r="O324" s="1"/>
  <c r="U323"/>
  <c r="T323"/>
  <c r="S323"/>
  <c r="N323"/>
  <c r="R323" s="1"/>
  <c r="M323"/>
  <c r="Q323" s="1"/>
  <c r="L323"/>
  <c r="P323" s="1"/>
  <c r="K323"/>
  <c r="O323" s="1"/>
  <c r="U322"/>
  <c r="T322"/>
  <c r="S322"/>
  <c r="N322"/>
  <c r="R322" s="1"/>
  <c r="M322"/>
  <c r="Q322" s="1"/>
  <c r="L322"/>
  <c r="P322" s="1"/>
  <c r="K322"/>
  <c r="O322" s="1"/>
  <c r="U321"/>
  <c r="T321"/>
  <c r="S321"/>
  <c r="N321"/>
  <c r="R321" s="1"/>
  <c r="M321"/>
  <c r="Q321" s="1"/>
  <c r="L321"/>
  <c r="P321" s="1"/>
  <c r="K321"/>
  <c r="O321" s="1"/>
  <c r="U320"/>
  <c r="T320"/>
  <c r="S320"/>
  <c r="N320"/>
  <c r="R320" s="1"/>
  <c r="M320"/>
  <c r="Q320" s="1"/>
  <c r="L320"/>
  <c r="P320" s="1"/>
  <c r="K320"/>
  <c r="O320" s="1"/>
  <c r="U319"/>
  <c r="T319"/>
  <c r="S319"/>
  <c r="N319"/>
  <c r="R319" s="1"/>
  <c r="M319"/>
  <c r="Q319" s="1"/>
  <c r="L319"/>
  <c r="P319" s="1"/>
  <c r="K319"/>
  <c r="O319" s="1"/>
  <c r="U318"/>
  <c r="T318"/>
  <c r="S318"/>
  <c r="N318"/>
  <c r="R318" s="1"/>
  <c r="M318"/>
  <c r="Q318" s="1"/>
  <c r="L318"/>
  <c r="P318" s="1"/>
  <c r="K318"/>
  <c r="O318" s="1"/>
  <c r="U317"/>
  <c r="T317"/>
  <c r="S317"/>
  <c r="N317"/>
  <c r="R317" s="1"/>
  <c r="M317"/>
  <c r="Q317" s="1"/>
  <c r="L317"/>
  <c r="P317" s="1"/>
  <c r="K317"/>
  <c r="O317" s="1"/>
  <c r="U316"/>
  <c r="T316"/>
  <c r="S316"/>
  <c r="N316"/>
  <c r="R316" s="1"/>
  <c r="M316"/>
  <c r="Q316" s="1"/>
  <c r="L316"/>
  <c r="P316" s="1"/>
  <c r="K316"/>
  <c r="O316" s="1"/>
  <c r="U315"/>
  <c r="T315"/>
  <c r="S315"/>
  <c r="N315"/>
  <c r="R315" s="1"/>
  <c r="M315"/>
  <c r="Q315" s="1"/>
  <c r="L315"/>
  <c r="P315" s="1"/>
  <c r="K315"/>
  <c r="O315" s="1"/>
  <c r="U314"/>
  <c r="T314"/>
  <c r="S314"/>
  <c r="N314"/>
  <c r="R314" s="1"/>
  <c r="M314"/>
  <c r="Q314" s="1"/>
  <c r="L314"/>
  <c r="P314" s="1"/>
  <c r="K314"/>
  <c r="O314" s="1"/>
  <c r="U313"/>
  <c r="T313"/>
  <c r="S313"/>
  <c r="N313"/>
  <c r="R313" s="1"/>
  <c r="M313"/>
  <c r="Q313" s="1"/>
  <c r="L313"/>
  <c r="P313" s="1"/>
  <c r="K313"/>
  <c r="O313" s="1"/>
  <c r="U312"/>
  <c r="T312"/>
  <c r="S312"/>
  <c r="N312"/>
  <c r="R312" s="1"/>
  <c r="M312"/>
  <c r="Q312" s="1"/>
  <c r="L312"/>
  <c r="P312" s="1"/>
  <c r="K312"/>
  <c r="O312" s="1"/>
  <c r="U311"/>
  <c r="T311"/>
  <c r="S311"/>
  <c r="N311"/>
  <c r="R311" s="1"/>
  <c r="M311"/>
  <c r="Q311" s="1"/>
  <c r="L311"/>
  <c r="P311" s="1"/>
  <c r="K311"/>
  <c r="O311" s="1"/>
  <c r="U310"/>
  <c r="T310"/>
  <c r="S310"/>
  <c r="N310"/>
  <c r="R310" s="1"/>
  <c r="M310"/>
  <c r="Q310" s="1"/>
  <c r="L310"/>
  <c r="P310" s="1"/>
  <c r="K310"/>
  <c r="O310" s="1"/>
  <c r="U309"/>
  <c r="T309"/>
  <c r="S309"/>
  <c r="N309"/>
  <c r="R309" s="1"/>
  <c r="M309"/>
  <c r="Q309" s="1"/>
  <c r="L309"/>
  <c r="P309" s="1"/>
  <c r="K309"/>
  <c r="O309" s="1"/>
  <c r="U308"/>
  <c r="T308"/>
  <c r="S308"/>
  <c r="N308"/>
  <c r="R308" s="1"/>
  <c r="M308"/>
  <c r="Q308" s="1"/>
  <c r="L308"/>
  <c r="P308" s="1"/>
  <c r="K308"/>
  <c r="O308" s="1"/>
  <c r="U307"/>
  <c r="T307"/>
  <c r="S307"/>
  <c r="N307"/>
  <c r="R307" s="1"/>
  <c r="M307"/>
  <c r="Q307" s="1"/>
  <c r="L307"/>
  <c r="P307" s="1"/>
  <c r="K307"/>
  <c r="O307" s="1"/>
  <c r="U306"/>
  <c r="T306"/>
  <c r="S306"/>
  <c r="N306"/>
  <c r="R306" s="1"/>
  <c r="M306"/>
  <c r="Q306" s="1"/>
  <c r="L306"/>
  <c r="P306" s="1"/>
  <c r="K306"/>
  <c r="O306" s="1"/>
  <c r="U305"/>
  <c r="T305"/>
  <c r="S305"/>
  <c r="N305"/>
  <c r="R305" s="1"/>
  <c r="M305"/>
  <c r="Q305" s="1"/>
  <c r="L305"/>
  <c r="P305" s="1"/>
  <c r="K305"/>
  <c r="O305" s="1"/>
  <c r="U304"/>
  <c r="T304"/>
  <c r="S304"/>
  <c r="N304"/>
  <c r="R304" s="1"/>
  <c r="M304"/>
  <c r="Q304" s="1"/>
  <c r="L304"/>
  <c r="P304" s="1"/>
  <c r="K304"/>
  <c r="O304" s="1"/>
  <c r="U303"/>
  <c r="T303"/>
  <c r="S303"/>
  <c r="N303"/>
  <c r="R303" s="1"/>
  <c r="M303"/>
  <c r="Q303" s="1"/>
  <c r="L303"/>
  <c r="P303" s="1"/>
  <c r="K303"/>
  <c r="O303" s="1"/>
  <c r="U302"/>
  <c r="T302"/>
  <c r="S302"/>
  <c r="N302"/>
  <c r="R302" s="1"/>
  <c r="M302"/>
  <c r="Q302" s="1"/>
  <c r="L302"/>
  <c r="P302" s="1"/>
  <c r="K302"/>
  <c r="O302" s="1"/>
  <c r="U301"/>
  <c r="T301"/>
  <c r="S301"/>
  <c r="N301"/>
  <c r="R301" s="1"/>
  <c r="M301"/>
  <c r="Q301" s="1"/>
  <c r="L301"/>
  <c r="P301" s="1"/>
  <c r="K301"/>
  <c r="O301" s="1"/>
  <c r="U300"/>
  <c r="T300"/>
  <c r="S300"/>
  <c r="N300"/>
  <c r="R300" s="1"/>
  <c r="M300"/>
  <c r="Q300" s="1"/>
  <c r="L300"/>
  <c r="P300" s="1"/>
  <c r="K300"/>
  <c r="O300" s="1"/>
  <c r="U299"/>
  <c r="T299"/>
  <c r="S299"/>
  <c r="N299"/>
  <c r="R299" s="1"/>
  <c r="M299"/>
  <c r="Q299" s="1"/>
  <c r="L299"/>
  <c r="P299" s="1"/>
  <c r="K299"/>
  <c r="O299" s="1"/>
  <c r="U298"/>
  <c r="T298"/>
  <c r="S298"/>
  <c r="N298"/>
  <c r="R298" s="1"/>
  <c r="M298"/>
  <c r="Q298" s="1"/>
  <c r="L298"/>
  <c r="P298" s="1"/>
  <c r="K298"/>
  <c r="O298" s="1"/>
  <c r="U297"/>
  <c r="T297"/>
  <c r="S297"/>
  <c r="N297"/>
  <c r="R297" s="1"/>
  <c r="M297"/>
  <c r="Q297" s="1"/>
  <c r="L297"/>
  <c r="P297" s="1"/>
  <c r="K297"/>
  <c r="O297" s="1"/>
  <c r="U296"/>
  <c r="T296"/>
  <c r="S296"/>
  <c r="N296"/>
  <c r="R296" s="1"/>
  <c r="M296"/>
  <c r="Q296" s="1"/>
  <c r="L296"/>
  <c r="P296" s="1"/>
  <c r="K296"/>
  <c r="O296" s="1"/>
  <c r="U295"/>
  <c r="T295"/>
  <c r="S295"/>
  <c r="N295"/>
  <c r="R295" s="1"/>
  <c r="M295"/>
  <c r="Q295" s="1"/>
  <c r="L295"/>
  <c r="P295" s="1"/>
  <c r="K295"/>
  <c r="O295" s="1"/>
  <c r="U294"/>
  <c r="T294"/>
  <c r="S294"/>
  <c r="N294"/>
  <c r="R294" s="1"/>
  <c r="M294"/>
  <c r="Q294" s="1"/>
  <c r="L294"/>
  <c r="P294" s="1"/>
  <c r="K294"/>
  <c r="O294" s="1"/>
  <c r="U293"/>
  <c r="T293"/>
  <c r="S293"/>
  <c r="N293"/>
  <c r="R293" s="1"/>
  <c r="M293"/>
  <c r="Q293" s="1"/>
  <c r="L293"/>
  <c r="P293" s="1"/>
  <c r="K293"/>
  <c r="O293" s="1"/>
  <c r="U292"/>
  <c r="T292"/>
  <c r="S292"/>
  <c r="N292"/>
  <c r="R292" s="1"/>
  <c r="M292"/>
  <c r="Q292" s="1"/>
  <c r="L292"/>
  <c r="P292" s="1"/>
  <c r="K292"/>
  <c r="O292" s="1"/>
  <c r="U291"/>
  <c r="T291"/>
  <c r="S291"/>
  <c r="N291"/>
  <c r="R291" s="1"/>
  <c r="M291"/>
  <c r="Q291" s="1"/>
  <c r="L291"/>
  <c r="P291" s="1"/>
  <c r="K291"/>
  <c r="O291" s="1"/>
  <c r="U290"/>
  <c r="T290"/>
  <c r="S290"/>
  <c r="N290"/>
  <c r="R290" s="1"/>
  <c r="M290"/>
  <c r="Q290" s="1"/>
  <c r="L290"/>
  <c r="P290" s="1"/>
  <c r="K290"/>
  <c r="O290" s="1"/>
  <c r="U289"/>
  <c r="T289"/>
  <c r="S289"/>
  <c r="N289"/>
  <c r="R289" s="1"/>
  <c r="M289"/>
  <c r="Q289" s="1"/>
  <c r="L289"/>
  <c r="P289" s="1"/>
  <c r="K289"/>
  <c r="O289" s="1"/>
  <c r="U288"/>
  <c r="T288"/>
  <c r="S288"/>
  <c r="N288"/>
  <c r="R288" s="1"/>
  <c r="M288"/>
  <c r="Q288" s="1"/>
  <c r="L288"/>
  <c r="P288" s="1"/>
  <c r="K288"/>
  <c r="O288" s="1"/>
  <c r="U287"/>
  <c r="T287"/>
  <c r="S287"/>
  <c r="N287"/>
  <c r="R287" s="1"/>
  <c r="M287"/>
  <c r="Q287" s="1"/>
  <c r="L287"/>
  <c r="P287" s="1"/>
  <c r="K287"/>
  <c r="O287" s="1"/>
  <c r="U286"/>
  <c r="T286"/>
  <c r="S286"/>
  <c r="N286"/>
  <c r="R286" s="1"/>
  <c r="M286"/>
  <c r="Q286" s="1"/>
  <c r="L286"/>
  <c r="P286" s="1"/>
  <c r="K286"/>
  <c r="O286" s="1"/>
  <c r="U285"/>
  <c r="T285"/>
  <c r="S285"/>
  <c r="N285"/>
  <c r="R285" s="1"/>
  <c r="M285"/>
  <c r="Q285" s="1"/>
  <c r="L285"/>
  <c r="P285" s="1"/>
  <c r="K285"/>
  <c r="O285" s="1"/>
  <c r="U284"/>
  <c r="T284"/>
  <c r="S284"/>
  <c r="N284"/>
  <c r="R284" s="1"/>
  <c r="M284"/>
  <c r="Q284" s="1"/>
  <c r="L284"/>
  <c r="P284" s="1"/>
  <c r="K284"/>
  <c r="O284" s="1"/>
  <c r="U283"/>
  <c r="T283"/>
  <c r="S283"/>
  <c r="N283"/>
  <c r="R283" s="1"/>
  <c r="M283"/>
  <c r="Q283" s="1"/>
  <c r="L283"/>
  <c r="P283" s="1"/>
  <c r="K283"/>
  <c r="O283" s="1"/>
  <c r="U282"/>
  <c r="T282"/>
  <c r="S282"/>
  <c r="N282"/>
  <c r="R282" s="1"/>
  <c r="M282"/>
  <c r="Q282" s="1"/>
  <c r="L282"/>
  <c r="P282" s="1"/>
  <c r="K282"/>
  <c r="O282" s="1"/>
  <c r="AI98"/>
  <c r="AJ98" s="1"/>
  <c r="AE98"/>
  <c r="AD98"/>
  <c r="AF98" s="1"/>
  <c r="AI97"/>
  <c r="AJ97" s="1"/>
  <c r="AE97"/>
  <c r="AD97"/>
  <c r="AF97" s="1"/>
  <c r="AI96"/>
  <c r="AJ96" s="1"/>
  <c r="AE96"/>
  <c r="AD96"/>
  <c r="AI95"/>
  <c r="AJ95" s="1"/>
  <c r="AE95"/>
  <c r="AD95"/>
  <c r="AI94"/>
  <c r="AJ94" s="1"/>
  <c r="AE94"/>
  <c r="AD94"/>
  <c r="AF94" s="1"/>
  <c r="AI93"/>
  <c r="AJ93" s="1"/>
  <c r="AE93"/>
  <c r="AD93"/>
  <c r="AF93" s="1"/>
  <c r="AI92"/>
  <c r="AJ92" s="1"/>
  <c r="AE92"/>
  <c r="AD92"/>
  <c r="AI91"/>
  <c r="AJ91" s="1"/>
  <c r="AE91"/>
  <c r="AD91"/>
  <c r="AK99" l="1"/>
  <c r="AL99" s="1"/>
  <c r="AK100"/>
  <c r="AL100" s="1"/>
  <c r="AF100"/>
  <c r="AK95"/>
  <c r="AL95" s="1"/>
  <c r="AK91"/>
  <c r="AL91" s="1"/>
  <c r="AK96"/>
  <c r="AL96" s="1"/>
  <c r="AK101"/>
  <c r="AL101" s="1"/>
  <c r="AF99"/>
  <c r="AK102"/>
  <c r="AL102" s="1"/>
  <c r="AK92"/>
  <c r="AL92" s="1"/>
  <c r="AF92"/>
  <c r="AF96"/>
  <c r="AK93"/>
  <c r="AL93" s="1"/>
  <c r="AK97"/>
  <c r="AL97" s="1"/>
  <c r="AF91"/>
  <c r="AK94"/>
  <c r="AL94" s="1"/>
  <c r="AF95"/>
  <c r="AK98"/>
  <c r="AL98" s="1"/>
  <c r="AI90" l="1"/>
  <c r="AJ90" s="1"/>
  <c r="AE90"/>
  <c r="AD90"/>
  <c r="AF90" s="1"/>
  <c r="AI89"/>
  <c r="AE89"/>
  <c r="AD89"/>
  <c r="AF89" s="1"/>
  <c r="AI88"/>
  <c r="AJ88" s="1"/>
  <c r="AE88"/>
  <c r="AD88"/>
  <c r="AF88" s="1"/>
  <c r="AI87"/>
  <c r="AJ87" s="1"/>
  <c r="AE87"/>
  <c r="AD87"/>
  <c r="AF87" s="1"/>
  <c r="AI86"/>
  <c r="AJ86" s="1"/>
  <c r="AE86"/>
  <c r="AD86"/>
  <c r="AF86" s="1"/>
  <c r="AI85"/>
  <c r="AE85"/>
  <c r="AD85"/>
  <c r="AF85" s="1"/>
  <c r="AI84"/>
  <c r="AJ84" s="1"/>
  <c r="AE84"/>
  <c r="AD84"/>
  <c r="AF84" s="1"/>
  <c r="AI83"/>
  <c r="AJ83" s="1"/>
  <c r="AE83"/>
  <c r="AD83"/>
  <c r="AF83" s="1"/>
  <c r="AI82"/>
  <c r="AJ82" s="1"/>
  <c r="AE82"/>
  <c r="AD82"/>
  <c r="AF82" s="1"/>
  <c r="AK89" l="1"/>
  <c r="AL89" s="1"/>
  <c r="AK85"/>
  <c r="AL85" s="1"/>
  <c r="AK82"/>
  <c r="AL82" s="1"/>
  <c r="AJ85"/>
  <c r="AK86"/>
  <c r="AL86" s="1"/>
  <c r="AJ89"/>
  <c r="AK90"/>
  <c r="AL90" s="1"/>
  <c r="AK83"/>
  <c r="AL83" s="1"/>
  <c r="AK87"/>
  <c r="AL87" s="1"/>
  <c r="AK84"/>
  <c r="AL84" s="1"/>
  <c r="AK88"/>
  <c r="AL88" s="1"/>
  <c r="AI81" l="1"/>
  <c r="AJ81" s="1"/>
  <c r="AE81"/>
  <c r="AD81"/>
  <c r="AF81" s="1"/>
  <c r="AI80"/>
  <c r="AJ80" s="1"/>
  <c r="AE80"/>
  <c r="AD80"/>
  <c r="AF80" s="1"/>
  <c r="AI79"/>
  <c r="AJ79" s="1"/>
  <c r="AE79"/>
  <c r="AD79"/>
  <c r="AF79" s="1"/>
  <c r="AI78"/>
  <c r="AJ78" s="1"/>
  <c r="AE78"/>
  <c r="AD78"/>
  <c r="AF78" s="1"/>
  <c r="AI77"/>
  <c r="AJ77" s="1"/>
  <c r="AE77"/>
  <c r="AD77"/>
  <c r="AF77" s="1"/>
  <c r="AI76"/>
  <c r="AJ76" s="1"/>
  <c r="AE76"/>
  <c r="AD76"/>
  <c r="AF76" s="1"/>
  <c r="AI75"/>
  <c r="AE75"/>
  <c r="AD75"/>
  <c r="AF75" s="1"/>
  <c r="U281"/>
  <c r="T281"/>
  <c r="S281"/>
  <c r="N281"/>
  <c r="R281" s="1"/>
  <c r="M281"/>
  <c r="Q281" s="1"/>
  <c r="L281"/>
  <c r="P281" s="1"/>
  <c r="K281"/>
  <c r="O281" s="1"/>
  <c r="U280"/>
  <c r="T280"/>
  <c r="S280"/>
  <c r="N280"/>
  <c r="R280" s="1"/>
  <c r="M280"/>
  <c r="Q280" s="1"/>
  <c r="L280"/>
  <c r="P280" s="1"/>
  <c r="K280"/>
  <c r="O280" s="1"/>
  <c r="U279"/>
  <c r="T279"/>
  <c r="S279"/>
  <c r="N279"/>
  <c r="R279" s="1"/>
  <c r="M279"/>
  <c r="Q279" s="1"/>
  <c r="L279"/>
  <c r="P279" s="1"/>
  <c r="K279"/>
  <c r="O279" s="1"/>
  <c r="U278"/>
  <c r="T278"/>
  <c r="S278"/>
  <c r="N278"/>
  <c r="R278" s="1"/>
  <c r="M278"/>
  <c r="Q278" s="1"/>
  <c r="L278"/>
  <c r="P278" s="1"/>
  <c r="K278"/>
  <c r="O278" s="1"/>
  <c r="U277"/>
  <c r="T277"/>
  <c r="S277"/>
  <c r="N277"/>
  <c r="R277" s="1"/>
  <c r="M277"/>
  <c r="Q277" s="1"/>
  <c r="L277"/>
  <c r="P277" s="1"/>
  <c r="K277"/>
  <c r="O277" s="1"/>
  <c r="U276"/>
  <c r="T276"/>
  <c r="S276"/>
  <c r="N276"/>
  <c r="R276" s="1"/>
  <c r="M276"/>
  <c r="Q276" s="1"/>
  <c r="L276"/>
  <c r="P276" s="1"/>
  <c r="K276"/>
  <c r="O276" s="1"/>
  <c r="U275"/>
  <c r="T275"/>
  <c r="S275"/>
  <c r="N275"/>
  <c r="R275" s="1"/>
  <c r="M275"/>
  <c r="Q275" s="1"/>
  <c r="L275"/>
  <c r="P275" s="1"/>
  <c r="K275"/>
  <c r="O275" s="1"/>
  <c r="U274"/>
  <c r="T274"/>
  <c r="S274"/>
  <c r="N274"/>
  <c r="R274" s="1"/>
  <c r="M274"/>
  <c r="Q274" s="1"/>
  <c r="L274"/>
  <c r="P274" s="1"/>
  <c r="K274"/>
  <c r="O274" s="1"/>
  <c r="U273"/>
  <c r="T273"/>
  <c r="S273"/>
  <c r="N273"/>
  <c r="R273" s="1"/>
  <c r="M273"/>
  <c r="Q273" s="1"/>
  <c r="L273"/>
  <c r="P273" s="1"/>
  <c r="K273"/>
  <c r="O273" s="1"/>
  <c r="U272"/>
  <c r="T272"/>
  <c r="S272"/>
  <c r="N272"/>
  <c r="R272" s="1"/>
  <c r="M272"/>
  <c r="Q272" s="1"/>
  <c r="L272"/>
  <c r="P272" s="1"/>
  <c r="K272"/>
  <c r="O272" s="1"/>
  <c r="U271"/>
  <c r="T271"/>
  <c r="S271"/>
  <c r="N271"/>
  <c r="R271" s="1"/>
  <c r="M271"/>
  <c r="Q271" s="1"/>
  <c r="L271"/>
  <c r="P271" s="1"/>
  <c r="K271"/>
  <c r="O271" s="1"/>
  <c r="U270"/>
  <c r="T270"/>
  <c r="S270"/>
  <c r="N270"/>
  <c r="R270" s="1"/>
  <c r="M270"/>
  <c r="Q270" s="1"/>
  <c r="L270"/>
  <c r="P270" s="1"/>
  <c r="K270"/>
  <c r="O270" s="1"/>
  <c r="U269"/>
  <c r="T269"/>
  <c r="S269"/>
  <c r="N269"/>
  <c r="R269" s="1"/>
  <c r="M269"/>
  <c r="Q269" s="1"/>
  <c r="L269"/>
  <c r="P269" s="1"/>
  <c r="K269"/>
  <c r="O269" s="1"/>
  <c r="U268"/>
  <c r="T268"/>
  <c r="S268"/>
  <c r="N268"/>
  <c r="R268" s="1"/>
  <c r="M268"/>
  <c r="Q268" s="1"/>
  <c r="L268"/>
  <c r="P268" s="1"/>
  <c r="K268"/>
  <c r="O268" s="1"/>
  <c r="U267"/>
  <c r="T267"/>
  <c r="S267"/>
  <c r="N267"/>
  <c r="R267" s="1"/>
  <c r="M267"/>
  <c r="Q267" s="1"/>
  <c r="L267"/>
  <c r="P267" s="1"/>
  <c r="K267"/>
  <c r="O267" s="1"/>
  <c r="U266"/>
  <c r="T266"/>
  <c r="S266"/>
  <c r="N266"/>
  <c r="R266" s="1"/>
  <c r="M266"/>
  <c r="Q266" s="1"/>
  <c r="L266"/>
  <c r="P266" s="1"/>
  <c r="K266"/>
  <c r="O266" s="1"/>
  <c r="U265"/>
  <c r="T265"/>
  <c r="S265"/>
  <c r="N265"/>
  <c r="R265" s="1"/>
  <c r="M265"/>
  <c r="Q265" s="1"/>
  <c r="L265"/>
  <c r="P265" s="1"/>
  <c r="K265"/>
  <c r="O265" s="1"/>
  <c r="U264"/>
  <c r="T264"/>
  <c r="S264"/>
  <c r="N264"/>
  <c r="R264" s="1"/>
  <c r="M264"/>
  <c r="Q264" s="1"/>
  <c r="L264"/>
  <c r="P264" s="1"/>
  <c r="K264"/>
  <c r="O264" s="1"/>
  <c r="U263"/>
  <c r="T263"/>
  <c r="S263"/>
  <c r="N263"/>
  <c r="R263" s="1"/>
  <c r="M263"/>
  <c r="Q263" s="1"/>
  <c r="L263"/>
  <c r="P263" s="1"/>
  <c r="K263"/>
  <c r="O263" s="1"/>
  <c r="U262"/>
  <c r="T262"/>
  <c r="S262"/>
  <c r="N262"/>
  <c r="R262" s="1"/>
  <c r="M262"/>
  <c r="Q262" s="1"/>
  <c r="L262"/>
  <c r="P262" s="1"/>
  <c r="K262"/>
  <c r="O262" s="1"/>
  <c r="U261"/>
  <c r="T261"/>
  <c r="S261"/>
  <c r="N261"/>
  <c r="R261" s="1"/>
  <c r="M261"/>
  <c r="Q261" s="1"/>
  <c r="L261"/>
  <c r="P261" s="1"/>
  <c r="K261"/>
  <c r="O261" s="1"/>
  <c r="U260"/>
  <c r="T260"/>
  <c r="S260"/>
  <c r="N260"/>
  <c r="R260" s="1"/>
  <c r="M260"/>
  <c r="Q260" s="1"/>
  <c r="L260"/>
  <c r="P260" s="1"/>
  <c r="K260"/>
  <c r="O260" s="1"/>
  <c r="U259"/>
  <c r="T259"/>
  <c r="S259"/>
  <c r="N259"/>
  <c r="R259" s="1"/>
  <c r="M259"/>
  <c r="Q259" s="1"/>
  <c r="L259"/>
  <c r="P259" s="1"/>
  <c r="K259"/>
  <c r="O259" s="1"/>
  <c r="AD3"/>
  <c r="U258"/>
  <c r="T258"/>
  <c r="S258"/>
  <c r="N258"/>
  <c r="R258" s="1"/>
  <c r="M258"/>
  <c r="Q258" s="1"/>
  <c r="L258"/>
  <c r="P258" s="1"/>
  <c r="K258"/>
  <c r="O258" s="1"/>
  <c r="U257"/>
  <c r="T257"/>
  <c r="S257"/>
  <c r="N257"/>
  <c r="R257" s="1"/>
  <c r="M257"/>
  <c r="Q257" s="1"/>
  <c r="L257"/>
  <c r="P257" s="1"/>
  <c r="K257"/>
  <c r="O257" s="1"/>
  <c r="U256"/>
  <c r="T256"/>
  <c r="S256"/>
  <c r="N256"/>
  <c r="R256" s="1"/>
  <c r="M256"/>
  <c r="Q256" s="1"/>
  <c r="L256"/>
  <c r="P256" s="1"/>
  <c r="K256"/>
  <c r="O256" s="1"/>
  <c r="U255"/>
  <c r="T255"/>
  <c r="S255"/>
  <c r="N255"/>
  <c r="R255" s="1"/>
  <c r="M255"/>
  <c r="Q255" s="1"/>
  <c r="L255"/>
  <c r="P255" s="1"/>
  <c r="K255"/>
  <c r="O255" s="1"/>
  <c r="U254"/>
  <c r="T254"/>
  <c r="S254"/>
  <c r="N254"/>
  <c r="R254" s="1"/>
  <c r="M254"/>
  <c r="Q254" s="1"/>
  <c r="L254"/>
  <c r="P254" s="1"/>
  <c r="K254"/>
  <c r="O254" s="1"/>
  <c r="U253"/>
  <c r="T253"/>
  <c r="S253"/>
  <c r="N253"/>
  <c r="R253" s="1"/>
  <c r="M253"/>
  <c r="Q253" s="1"/>
  <c r="L253"/>
  <c r="P253" s="1"/>
  <c r="K253"/>
  <c r="O253" s="1"/>
  <c r="U252"/>
  <c r="T252"/>
  <c r="S252"/>
  <c r="N252"/>
  <c r="R252" s="1"/>
  <c r="M252"/>
  <c r="Q252" s="1"/>
  <c r="L252"/>
  <c r="P252" s="1"/>
  <c r="K252"/>
  <c r="O252" s="1"/>
  <c r="U251"/>
  <c r="T251"/>
  <c r="S251"/>
  <c r="N251"/>
  <c r="R251" s="1"/>
  <c r="M251"/>
  <c r="Q251" s="1"/>
  <c r="L251"/>
  <c r="P251" s="1"/>
  <c r="K251"/>
  <c r="O251" s="1"/>
  <c r="U250"/>
  <c r="T250"/>
  <c r="S250"/>
  <c r="N250"/>
  <c r="R250" s="1"/>
  <c r="M250"/>
  <c r="Q250" s="1"/>
  <c r="L250"/>
  <c r="P250" s="1"/>
  <c r="K250"/>
  <c r="O250" s="1"/>
  <c r="U249"/>
  <c r="T249"/>
  <c r="S249"/>
  <c r="N249"/>
  <c r="R249" s="1"/>
  <c r="M249"/>
  <c r="Q249" s="1"/>
  <c r="L249"/>
  <c r="P249" s="1"/>
  <c r="K249"/>
  <c r="O249" s="1"/>
  <c r="U248"/>
  <c r="T248"/>
  <c r="S248"/>
  <c r="N248"/>
  <c r="R248" s="1"/>
  <c r="M248"/>
  <c r="Q248" s="1"/>
  <c r="L248"/>
  <c r="P248" s="1"/>
  <c r="K248"/>
  <c r="O248" s="1"/>
  <c r="U247"/>
  <c r="T247"/>
  <c r="S247"/>
  <c r="N247"/>
  <c r="R247" s="1"/>
  <c r="M247"/>
  <c r="Q247" s="1"/>
  <c r="L247"/>
  <c r="P247" s="1"/>
  <c r="K247"/>
  <c r="O247" s="1"/>
  <c r="U246"/>
  <c r="T246"/>
  <c r="S246"/>
  <c r="N246"/>
  <c r="R246" s="1"/>
  <c r="M246"/>
  <c r="Q246" s="1"/>
  <c r="L246"/>
  <c r="P246" s="1"/>
  <c r="K246"/>
  <c r="O246" s="1"/>
  <c r="U245"/>
  <c r="T245"/>
  <c r="S245"/>
  <c r="N245"/>
  <c r="R245" s="1"/>
  <c r="M245"/>
  <c r="Q245" s="1"/>
  <c r="L245"/>
  <c r="P245" s="1"/>
  <c r="K245"/>
  <c r="O245" s="1"/>
  <c r="U244"/>
  <c r="T244"/>
  <c r="S244"/>
  <c r="N244"/>
  <c r="R244" s="1"/>
  <c r="M244"/>
  <c r="Q244" s="1"/>
  <c r="L244"/>
  <c r="P244" s="1"/>
  <c r="K244"/>
  <c r="O244" s="1"/>
  <c r="U243"/>
  <c r="T243"/>
  <c r="S243"/>
  <c r="N243"/>
  <c r="R243" s="1"/>
  <c r="M243"/>
  <c r="Q243" s="1"/>
  <c r="L243"/>
  <c r="P243" s="1"/>
  <c r="K243"/>
  <c r="O243" s="1"/>
  <c r="U242"/>
  <c r="T242"/>
  <c r="S242"/>
  <c r="N242"/>
  <c r="R242" s="1"/>
  <c r="M242"/>
  <c r="Q242" s="1"/>
  <c r="L242"/>
  <c r="P242" s="1"/>
  <c r="K242"/>
  <c r="O242" s="1"/>
  <c r="U241"/>
  <c r="T241"/>
  <c r="S241"/>
  <c r="N241"/>
  <c r="R241" s="1"/>
  <c r="M241"/>
  <c r="Q241" s="1"/>
  <c r="L241"/>
  <c r="P241" s="1"/>
  <c r="K241"/>
  <c r="O241" s="1"/>
  <c r="U240"/>
  <c r="T240"/>
  <c r="S240"/>
  <c r="N240"/>
  <c r="R240" s="1"/>
  <c r="M240"/>
  <c r="Q240" s="1"/>
  <c r="L240"/>
  <c r="P240" s="1"/>
  <c r="K240"/>
  <c r="O240" s="1"/>
  <c r="U239"/>
  <c r="T239"/>
  <c r="S239"/>
  <c r="N239"/>
  <c r="R239" s="1"/>
  <c r="M239"/>
  <c r="Q239" s="1"/>
  <c r="L239"/>
  <c r="P239" s="1"/>
  <c r="K239"/>
  <c r="O239" s="1"/>
  <c r="U238"/>
  <c r="T238"/>
  <c r="S238"/>
  <c r="N238"/>
  <c r="R238" s="1"/>
  <c r="M238"/>
  <c r="Q238" s="1"/>
  <c r="L238"/>
  <c r="P238" s="1"/>
  <c r="K238"/>
  <c r="O238" s="1"/>
  <c r="U237"/>
  <c r="T237"/>
  <c r="S237"/>
  <c r="N237"/>
  <c r="R237" s="1"/>
  <c r="M237"/>
  <c r="Q237" s="1"/>
  <c r="L237"/>
  <c r="P237" s="1"/>
  <c r="K237"/>
  <c r="O237" s="1"/>
  <c r="U236"/>
  <c r="T236"/>
  <c r="S236"/>
  <c r="N236"/>
  <c r="R236" s="1"/>
  <c r="M236"/>
  <c r="Q236" s="1"/>
  <c r="L236"/>
  <c r="P236" s="1"/>
  <c r="K236"/>
  <c r="O236" s="1"/>
  <c r="U235"/>
  <c r="T235"/>
  <c r="S235"/>
  <c r="N235"/>
  <c r="R235" s="1"/>
  <c r="M235"/>
  <c r="Q235" s="1"/>
  <c r="L235"/>
  <c r="P235" s="1"/>
  <c r="K235"/>
  <c r="O235" s="1"/>
  <c r="U234"/>
  <c r="T234"/>
  <c r="S234"/>
  <c r="N234"/>
  <c r="R234" s="1"/>
  <c r="M234"/>
  <c r="Q234" s="1"/>
  <c r="L234"/>
  <c r="P234" s="1"/>
  <c r="K234"/>
  <c r="O234" s="1"/>
  <c r="U233"/>
  <c r="T233"/>
  <c r="S233"/>
  <c r="N233"/>
  <c r="R233" s="1"/>
  <c r="M233"/>
  <c r="Q233" s="1"/>
  <c r="L233"/>
  <c r="P233" s="1"/>
  <c r="K233"/>
  <c r="O233" s="1"/>
  <c r="U232"/>
  <c r="T232"/>
  <c r="S232"/>
  <c r="N232"/>
  <c r="R232" s="1"/>
  <c r="M232"/>
  <c r="Q232" s="1"/>
  <c r="L232"/>
  <c r="P232" s="1"/>
  <c r="K232"/>
  <c r="O232" s="1"/>
  <c r="U231"/>
  <c r="T231"/>
  <c r="S231"/>
  <c r="N231"/>
  <c r="R231" s="1"/>
  <c r="M231"/>
  <c r="Q231" s="1"/>
  <c r="L231"/>
  <c r="P231" s="1"/>
  <c r="K231"/>
  <c r="O231" s="1"/>
  <c r="U230"/>
  <c r="T230"/>
  <c r="S230"/>
  <c r="N230"/>
  <c r="R230" s="1"/>
  <c r="M230"/>
  <c r="Q230" s="1"/>
  <c r="L230"/>
  <c r="P230" s="1"/>
  <c r="K230"/>
  <c r="O230" s="1"/>
  <c r="U229"/>
  <c r="T229"/>
  <c r="S229"/>
  <c r="N229"/>
  <c r="R229" s="1"/>
  <c r="M229"/>
  <c r="Q229" s="1"/>
  <c r="L229"/>
  <c r="P229" s="1"/>
  <c r="K229"/>
  <c r="O229" s="1"/>
  <c r="U228"/>
  <c r="T228"/>
  <c r="S228"/>
  <c r="N228"/>
  <c r="R228" s="1"/>
  <c r="M228"/>
  <c r="Q228" s="1"/>
  <c r="L228"/>
  <c r="P228" s="1"/>
  <c r="K228"/>
  <c r="O228" s="1"/>
  <c r="U227"/>
  <c r="T227"/>
  <c r="S227"/>
  <c r="N227"/>
  <c r="R227" s="1"/>
  <c r="M227"/>
  <c r="Q227" s="1"/>
  <c r="L227"/>
  <c r="P227" s="1"/>
  <c r="K227"/>
  <c r="O227" s="1"/>
  <c r="U226"/>
  <c r="T226"/>
  <c r="S226"/>
  <c r="N226"/>
  <c r="R226" s="1"/>
  <c r="M226"/>
  <c r="Q226" s="1"/>
  <c r="L226"/>
  <c r="P226" s="1"/>
  <c r="K226"/>
  <c r="O226" s="1"/>
  <c r="U225"/>
  <c r="T225"/>
  <c r="S225"/>
  <c r="N225"/>
  <c r="R225" s="1"/>
  <c r="M225"/>
  <c r="Q225" s="1"/>
  <c r="L225"/>
  <c r="P225" s="1"/>
  <c r="K225"/>
  <c r="O225" s="1"/>
  <c r="U224"/>
  <c r="T224"/>
  <c r="S224"/>
  <c r="N224"/>
  <c r="R224" s="1"/>
  <c r="M224"/>
  <c r="Q224" s="1"/>
  <c r="L224"/>
  <c r="P224" s="1"/>
  <c r="K224"/>
  <c r="O224" s="1"/>
  <c r="U223"/>
  <c r="T223"/>
  <c r="S223"/>
  <c r="N223"/>
  <c r="R223" s="1"/>
  <c r="M223"/>
  <c r="Q223" s="1"/>
  <c r="L223"/>
  <c r="P223" s="1"/>
  <c r="K223"/>
  <c r="O223" s="1"/>
  <c r="U222"/>
  <c r="T222"/>
  <c r="S222"/>
  <c r="N222"/>
  <c r="R222" s="1"/>
  <c r="M222"/>
  <c r="Q222" s="1"/>
  <c r="L222"/>
  <c r="P222" s="1"/>
  <c r="K222"/>
  <c r="O222" s="1"/>
  <c r="U221"/>
  <c r="T221"/>
  <c r="S221"/>
  <c r="N221"/>
  <c r="R221" s="1"/>
  <c r="M221"/>
  <c r="Q221" s="1"/>
  <c r="L221"/>
  <c r="P221" s="1"/>
  <c r="K221"/>
  <c r="O221" s="1"/>
  <c r="U220"/>
  <c r="T220"/>
  <c r="S220"/>
  <c r="N220"/>
  <c r="R220" s="1"/>
  <c r="M220"/>
  <c r="Q220" s="1"/>
  <c r="L220"/>
  <c r="P220" s="1"/>
  <c r="K220"/>
  <c r="O220" s="1"/>
  <c r="U219"/>
  <c r="T219"/>
  <c r="S219"/>
  <c r="N219"/>
  <c r="R219" s="1"/>
  <c r="M219"/>
  <c r="Q219" s="1"/>
  <c r="L219"/>
  <c r="P219" s="1"/>
  <c r="K219"/>
  <c r="O219" s="1"/>
  <c r="U218"/>
  <c r="T218"/>
  <c r="S218"/>
  <c r="N218"/>
  <c r="R218" s="1"/>
  <c r="M218"/>
  <c r="Q218" s="1"/>
  <c r="L218"/>
  <c r="P218" s="1"/>
  <c r="K218"/>
  <c r="O218" s="1"/>
  <c r="U217"/>
  <c r="T217"/>
  <c r="S217"/>
  <c r="N217"/>
  <c r="R217" s="1"/>
  <c r="M217"/>
  <c r="Q217" s="1"/>
  <c r="L217"/>
  <c r="P217" s="1"/>
  <c r="K217"/>
  <c r="O217" s="1"/>
  <c r="U216"/>
  <c r="T216"/>
  <c r="S216"/>
  <c r="N216"/>
  <c r="R216" s="1"/>
  <c r="M216"/>
  <c r="Q216" s="1"/>
  <c r="L216"/>
  <c r="P216" s="1"/>
  <c r="K216"/>
  <c r="O216" s="1"/>
  <c r="U215"/>
  <c r="T215"/>
  <c r="S215"/>
  <c r="N215"/>
  <c r="R215" s="1"/>
  <c r="M215"/>
  <c r="Q215" s="1"/>
  <c r="L215"/>
  <c r="P215" s="1"/>
  <c r="K215"/>
  <c r="O215" s="1"/>
  <c r="U214"/>
  <c r="T214"/>
  <c r="S214"/>
  <c r="N214"/>
  <c r="R214" s="1"/>
  <c r="M214"/>
  <c r="Q214" s="1"/>
  <c r="L214"/>
  <c r="P214" s="1"/>
  <c r="K214"/>
  <c r="O214" s="1"/>
  <c r="U213"/>
  <c r="T213"/>
  <c r="S213"/>
  <c r="N213"/>
  <c r="R213" s="1"/>
  <c r="M213"/>
  <c r="Q213" s="1"/>
  <c r="L213"/>
  <c r="P213" s="1"/>
  <c r="K213"/>
  <c r="O213" s="1"/>
  <c r="U212"/>
  <c r="T212"/>
  <c r="S212"/>
  <c r="N212"/>
  <c r="R212" s="1"/>
  <c r="M212"/>
  <c r="Q212" s="1"/>
  <c r="L212"/>
  <c r="P212" s="1"/>
  <c r="K212"/>
  <c r="O212" s="1"/>
  <c r="U211"/>
  <c r="T211"/>
  <c r="S211"/>
  <c r="N211"/>
  <c r="R211" s="1"/>
  <c r="M211"/>
  <c r="Q211" s="1"/>
  <c r="L211"/>
  <c r="P211" s="1"/>
  <c r="K211"/>
  <c r="O211" s="1"/>
  <c r="U210"/>
  <c r="T210"/>
  <c r="S210"/>
  <c r="N210"/>
  <c r="R210" s="1"/>
  <c r="M210"/>
  <c r="Q210" s="1"/>
  <c r="L210"/>
  <c r="P210" s="1"/>
  <c r="K210"/>
  <c r="O210" s="1"/>
  <c r="U209"/>
  <c r="T209"/>
  <c r="S209"/>
  <c r="N209"/>
  <c r="R209" s="1"/>
  <c r="M209"/>
  <c r="Q209" s="1"/>
  <c r="L209"/>
  <c r="P209" s="1"/>
  <c r="K209"/>
  <c r="O209" s="1"/>
  <c r="U208"/>
  <c r="T208"/>
  <c r="S208"/>
  <c r="N208"/>
  <c r="R208" s="1"/>
  <c r="M208"/>
  <c r="Q208" s="1"/>
  <c r="L208"/>
  <c r="P208" s="1"/>
  <c r="K208"/>
  <c r="O208" s="1"/>
  <c r="U207"/>
  <c r="T207"/>
  <c r="S207"/>
  <c r="N207"/>
  <c r="R207" s="1"/>
  <c r="M207"/>
  <c r="Q207" s="1"/>
  <c r="L207"/>
  <c r="P207" s="1"/>
  <c r="K207"/>
  <c r="O207" s="1"/>
  <c r="U206"/>
  <c r="T206"/>
  <c r="S206"/>
  <c r="N206"/>
  <c r="R206" s="1"/>
  <c r="M206"/>
  <c r="Q206" s="1"/>
  <c r="L206"/>
  <c r="P206" s="1"/>
  <c r="K206"/>
  <c r="O206" s="1"/>
  <c r="U205"/>
  <c r="T205"/>
  <c r="S205"/>
  <c r="N205"/>
  <c r="R205" s="1"/>
  <c r="M205"/>
  <c r="Q205" s="1"/>
  <c r="L205"/>
  <c r="P205" s="1"/>
  <c r="K205"/>
  <c r="O205" s="1"/>
  <c r="U204"/>
  <c r="T204"/>
  <c r="S204"/>
  <c r="N204"/>
  <c r="R204" s="1"/>
  <c r="M204"/>
  <c r="Q204" s="1"/>
  <c r="L204"/>
  <c r="P204" s="1"/>
  <c r="K204"/>
  <c r="O204" s="1"/>
  <c r="U203"/>
  <c r="T203"/>
  <c r="S203"/>
  <c r="N203"/>
  <c r="R203" s="1"/>
  <c r="M203"/>
  <c r="Q203" s="1"/>
  <c r="L203"/>
  <c r="P203" s="1"/>
  <c r="K203"/>
  <c r="O203" s="1"/>
  <c r="U202"/>
  <c r="T202"/>
  <c r="S202"/>
  <c r="N202"/>
  <c r="R202" s="1"/>
  <c r="M202"/>
  <c r="Q202" s="1"/>
  <c r="L202"/>
  <c r="P202" s="1"/>
  <c r="K202"/>
  <c r="O202" s="1"/>
  <c r="U201"/>
  <c r="T201"/>
  <c r="S201"/>
  <c r="N201"/>
  <c r="R201" s="1"/>
  <c r="M201"/>
  <c r="Q201" s="1"/>
  <c r="L201"/>
  <c r="P201" s="1"/>
  <c r="K201"/>
  <c r="O201" s="1"/>
  <c r="U200"/>
  <c r="T200"/>
  <c r="S200"/>
  <c r="N200"/>
  <c r="R200" s="1"/>
  <c r="M200"/>
  <c r="Q200" s="1"/>
  <c r="L200"/>
  <c r="P200" s="1"/>
  <c r="K200"/>
  <c r="O200" s="1"/>
  <c r="U199"/>
  <c r="T199"/>
  <c r="S199"/>
  <c r="N199"/>
  <c r="R199" s="1"/>
  <c r="M199"/>
  <c r="Q199" s="1"/>
  <c r="L199"/>
  <c r="P199" s="1"/>
  <c r="K199"/>
  <c r="O199" s="1"/>
  <c r="U198"/>
  <c r="T198"/>
  <c r="S198"/>
  <c r="N198"/>
  <c r="R198" s="1"/>
  <c r="M198"/>
  <c r="Q198" s="1"/>
  <c r="L198"/>
  <c r="P198" s="1"/>
  <c r="K198"/>
  <c r="O198" s="1"/>
  <c r="U197"/>
  <c r="T197"/>
  <c r="S197"/>
  <c r="N197"/>
  <c r="R197" s="1"/>
  <c r="M197"/>
  <c r="Q197" s="1"/>
  <c r="L197"/>
  <c r="P197" s="1"/>
  <c r="K197"/>
  <c r="O197" s="1"/>
  <c r="U196"/>
  <c r="T196"/>
  <c r="S196"/>
  <c r="N196"/>
  <c r="R196" s="1"/>
  <c r="M196"/>
  <c r="Q196" s="1"/>
  <c r="L196"/>
  <c r="P196" s="1"/>
  <c r="K196"/>
  <c r="O196" s="1"/>
  <c r="U195"/>
  <c r="T195"/>
  <c r="S195"/>
  <c r="N195"/>
  <c r="R195" s="1"/>
  <c r="M195"/>
  <c r="Q195" s="1"/>
  <c r="L195"/>
  <c r="P195" s="1"/>
  <c r="K195"/>
  <c r="O195" s="1"/>
  <c r="U194"/>
  <c r="T194"/>
  <c r="S194"/>
  <c r="N194"/>
  <c r="R194" s="1"/>
  <c r="M194"/>
  <c r="Q194" s="1"/>
  <c r="L194"/>
  <c r="P194" s="1"/>
  <c r="K194"/>
  <c r="O194" s="1"/>
  <c r="U193"/>
  <c r="T193"/>
  <c r="S193"/>
  <c r="N193"/>
  <c r="R193" s="1"/>
  <c r="M193"/>
  <c r="Q193" s="1"/>
  <c r="L193"/>
  <c r="P193" s="1"/>
  <c r="K193"/>
  <c r="O193" s="1"/>
  <c r="U192"/>
  <c r="T192"/>
  <c r="S192"/>
  <c r="N192"/>
  <c r="R192" s="1"/>
  <c r="M192"/>
  <c r="Q192" s="1"/>
  <c r="L192"/>
  <c r="P192" s="1"/>
  <c r="K192"/>
  <c r="O192" s="1"/>
  <c r="U191"/>
  <c r="T191"/>
  <c r="S191"/>
  <c r="N191"/>
  <c r="R191" s="1"/>
  <c r="M191"/>
  <c r="Q191" s="1"/>
  <c r="L191"/>
  <c r="P191" s="1"/>
  <c r="K191"/>
  <c r="O191" s="1"/>
  <c r="U190"/>
  <c r="T190"/>
  <c r="S190"/>
  <c r="N190"/>
  <c r="R190" s="1"/>
  <c r="M190"/>
  <c r="Q190" s="1"/>
  <c r="L190"/>
  <c r="P190" s="1"/>
  <c r="K190"/>
  <c r="O190" s="1"/>
  <c r="U189"/>
  <c r="T189"/>
  <c r="S189"/>
  <c r="N189"/>
  <c r="R189" s="1"/>
  <c r="M189"/>
  <c r="Q189" s="1"/>
  <c r="L189"/>
  <c r="P189" s="1"/>
  <c r="K189"/>
  <c r="O189" s="1"/>
  <c r="U188"/>
  <c r="T188"/>
  <c r="S188"/>
  <c r="N188"/>
  <c r="R188" s="1"/>
  <c r="M188"/>
  <c r="Q188" s="1"/>
  <c r="L188"/>
  <c r="P188" s="1"/>
  <c r="K188"/>
  <c r="O188" s="1"/>
  <c r="U187"/>
  <c r="T187"/>
  <c r="S187"/>
  <c r="N187"/>
  <c r="R187" s="1"/>
  <c r="M187"/>
  <c r="Q187" s="1"/>
  <c r="L187"/>
  <c r="P187" s="1"/>
  <c r="K187"/>
  <c r="O187" s="1"/>
  <c r="U186"/>
  <c r="T186"/>
  <c r="S186"/>
  <c r="N186"/>
  <c r="R186" s="1"/>
  <c r="M186"/>
  <c r="Q186" s="1"/>
  <c r="L186"/>
  <c r="P186" s="1"/>
  <c r="K186"/>
  <c r="O186" s="1"/>
  <c r="U185"/>
  <c r="T185"/>
  <c r="S185"/>
  <c r="N185"/>
  <c r="R185" s="1"/>
  <c r="M185"/>
  <c r="Q185" s="1"/>
  <c r="L185"/>
  <c r="P185" s="1"/>
  <c r="K185"/>
  <c r="O185" s="1"/>
  <c r="U184"/>
  <c r="T184"/>
  <c r="S184"/>
  <c r="N184"/>
  <c r="R184" s="1"/>
  <c r="M184"/>
  <c r="Q184" s="1"/>
  <c r="L184"/>
  <c r="P184" s="1"/>
  <c r="K184"/>
  <c r="O184" s="1"/>
  <c r="U183"/>
  <c r="T183"/>
  <c r="S183"/>
  <c r="N183"/>
  <c r="R183" s="1"/>
  <c r="M183"/>
  <c r="Q183" s="1"/>
  <c r="L183"/>
  <c r="P183" s="1"/>
  <c r="K183"/>
  <c r="O183" s="1"/>
  <c r="U182"/>
  <c r="T182"/>
  <c r="S182"/>
  <c r="N182"/>
  <c r="R182" s="1"/>
  <c r="M182"/>
  <c r="Q182" s="1"/>
  <c r="L182"/>
  <c r="P182" s="1"/>
  <c r="K182"/>
  <c r="O182" s="1"/>
  <c r="U181"/>
  <c r="T181"/>
  <c r="S181"/>
  <c r="N181"/>
  <c r="R181" s="1"/>
  <c r="M181"/>
  <c r="Q181" s="1"/>
  <c r="L181"/>
  <c r="P181" s="1"/>
  <c r="K181"/>
  <c r="O181" s="1"/>
  <c r="U180"/>
  <c r="T180"/>
  <c r="S180"/>
  <c r="N180"/>
  <c r="R180" s="1"/>
  <c r="M180"/>
  <c r="Q180" s="1"/>
  <c r="L180"/>
  <c r="P180" s="1"/>
  <c r="K180"/>
  <c r="O180" s="1"/>
  <c r="U179"/>
  <c r="T179"/>
  <c r="S179"/>
  <c r="N179"/>
  <c r="R179" s="1"/>
  <c r="M179"/>
  <c r="Q179" s="1"/>
  <c r="L179"/>
  <c r="P179" s="1"/>
  <c r="K179"/>
  <c r="O179" s="1"/>
  <c r="U178"/>
  <c r="T178"/>
  <c r="S178"/>
  <c r="N178"/>
  <c r="R178" s="1"/>
  <c r="M178"/>
  <c r="Q178" s="1"/>
  <c r="L178"/>
  <c r="P178" s="1"/>
  <c r="K178"/>
  <c r="O178" s="1"/>
  <c r="U177"/>
  <c r="T177"/>
  <c r="S177"/>
  <c r="N177"/>
  <c r="R177" s="1"/>
  <c r="M177"/>
  <c r="Q177" s="1"/>
  <c r="L177"/>
  <c r="P177" s="1"/>
  <c r="K177"/>
  <c r="O177" s="1"/>
  <c r="U176"/>
  <c r="T176"/>
  <c r="S176"/>
  <c r="N176"/>
  <c r="R176" s="1"/>
  <c r="M176"/>
  <c r="Q176" s="1"/>
  <c r="L176"/>
  <c r="P176" s="1"/>
  <c r="K176"/>
  <c r="O176" s="1"/>
  <c r="U175"/>
  <c r="T175"/>
  <c r="S175"/>
  <c r="N175"/>
  <c r="R175" s="1"/>
  <c r="M175"/>
  <c r="Q175" s="1"/>
  <c r="L175"/>
  <c r="P175" s="1"/>
  <c r="K175"/>
  <c r="O175" s="1"/>
  <c r="U174"/>
  <c r="T174"/>
  <c r="S174"/>
  <c r="N174"/>
  <c r="R174" s="1"/>
  <c r="M174"/>
  <c r="Q174" s="1"/>
  <c r="L174"/>
  <c r="P174" s="1"/>
  <c r="K174"/>
  <c r="O174" s="1"/>
  <c r="U173"/>
  <c r="T173"/>
  <c r="S173"/>
  <c r="N173"/>
  <c r="R173" s="1"/>
  <c r="M173"/>
  <c r="Q173" s="1"/>
  <c r="L173"/>
  <c r="P173" s="1"/>
  <c r="K173"/>
  <c r="O173" s="1"/>
  <c r="U172"/>
  <c r="T172"/>
  <c r="S172"/>
  <c r="N172"/>
  <c r="R172" s="1"/>
  <c r="M172"/>
  <c r="Q172" s="1"/>
  <c r="L172"/>
  <c r="P172" s="1"/>
  <c r="K172"/>
  <c r="O172" s="1"/>
  <c r="U171"/>
  <c r="T171"/>
  <c r="S171"/>
  <c r="N171"/>
  <c r="R171" s="1"/>
  <c r="M171"/>
  <c r="Q171" s="1"/>
  <c r="L171"/>
  <c r="P171" s="1"/>
  <c r="K171"/>
  <c r="O171" s="1"/>
  <c r="U170"/>
  <c r="T170"/>
  <c r="S170"/>
  <c r="N170"/>
  <c r="R170" s="1"/>
  <c r="M170"/>
  <c r="Q170" s="1"/>
  <c r="L170"/>
  <c r="P170" s="1"/>
  <c r="K170"/>
  <c r="O170" s="1"/>
  <c r="U169"/>
  <c r="T169"/>
  <c r="S169"/>
  <c r="N169"/>
  <c r="R169" s="1"/>
  <c r="M169"/>
  <c r="Q169" s="1"/>
  <c r="L169"/>
  <c r="P169" s="1"/>
  <c r="K169"/>
  <c r="O169" s="1"/>
  <c r="U168"/>
  <c r="T168"/>
  <c r="S168"/>
  <c r="N168"/>
  <c r="R168" s="1"/>
  <c r="M168"/>
  <c r="Q168" s="1"/>
  <c r="L168"/>
  <c r="P168" s="1"/>
  <c r="K168"/>
  <c r="O168" s="1"/>
  <c r="U167"/>
  <c r="T167"/>
  <c r="S167"/>
  <c r="N167"/>
  <c r="R167" s="1"/>
  <c r="M167"/>
  <c r="Q167" s="1"/>
  <c r="L167"/>
  <c r="P167" s="1"/>
  <c r="K167"/>
  <c r="O167" s="1"/>
  <c r="U166"/>
  <c r="T166"/>
  <c r="S166"/>
  <c r="N166"/>
  <c r="R166" s="1"/>
  <c r="M166"/>
  <c r="Q166" s="1"/>
  <c r="L166"/>
  <c r="P166" s="1"/>
  <c r="K166"/>
  <c r="O166" s="1"/>
  <c r="BF72" l="1"/>
  <c r="BR72" s="1"/>
  <c r="BE72"/>
  <c r="BQ72" s="1"/>
  <c r="BD72"/>
  <c r="BG72"/>
  <c r="BS72" s="1"/>
  <c r="AK75"/>
  <c r="AL75" s="1"/>
  <c r="AK76"/>
  <c r="AL76" s="1"/>
  <c r="AK79"/>
  <c r="AL79" s="1"/>
  <c r="AK78"/>
  <c r="AL78" s="1"/>
  <c r="AJ75"/>
  <c r="AK81"/>
  <c r="AL81" s="1"/>
  <c r="AK80"/>
  <c r="AL80" s="1"/>
  <c r="AK77"/>
  <c r="AL77" s="1"/>
  <c r="BP72" l="1"/>
  <c r="BT72"/>
  <c r="AE3"/>
  <c r="AI74" l="1"/>
  <c r="AJ74" s="1"/>
  <c r="AE74"/>
  <c r="AD74"/>
  <c r="AF74" s="1"/>
  <c r="AI73"/>
  <c r="AJ73" s="1"/>
  <c r="AE73"/>
  <c r="AD73"/>
  <c r="AF73" s="1"/>
  <c r="U165"/>
  <c r="T165"/>
  <c r="S165"/>
  <c r="N165"/>
  <c r="R165" s="1"/>
  <c r="BG71" s="1"/>
  <c r="BS71" s="1"/>
  <c r="M165"/>
  <c r="Q165" s="1"/>
  <c r="BF71" s="1"/>
  <c r="BR71" s="1"/>
  <c r="L165"/>
  <c r="P165" s="1"/>
  <c r="BE71" s="1"/>
  <c r="BQ71" s="1"/>
  <c r="K165"/>
  <c r="O165" s="1"/>
  <c r="BD71" s="1"/>
  <c r="U164"/>
  <c r="T164"/>
  <c r="S164"/>
  <c r="N164"/>
  <c r="R164" s="1"/>
  <c r="M164"/>
  <c r="Q164" s="1"/>
  <c r="L164"/>
  <c r="P164" s="1"/>
  <c r="K164"/>
  <c r="O164" s="1"/>
  <c r="U163"/>
  <c r="T163"/>
  <c r="S163"/>
  <c r="N163"/>
  <c r="R163" s="1"/>
  <c r="M163"/>
  <c r="Q163" s="1"/>
  <c r="L163"/>
  <c r="P163" s="1"/>
  <c r="K163"/>
  <c r="O163" s="1"/>
  <c r="U162"/>
  <c r="T162"/>
  <c r="S162"/>
  <c r="N162"/>
  <c r="R162" s="1"/>
  <c r="BG70" s="1"/>
  <c r="BS70" s="1"/>
  <c r="M162"/>
  <c r="Q162" s="1"/>
  <c r="L162"/>
  <c r="P162" s="1"/>
  <c r="BE70" s="1"/>
  <c r="BQ70" s="1"/>
  <c r="K162"/>
  <c r="O162" s="1"/>
  <c r="BD70" s="1"/>
  <c r="U161"/>
  <c r="T161"/>
  <c r="S161"/>
  <c r="N161"/>
  <c r="R161" s="1"/>
  <c r="M161"/>
  <c r="Q161" s="1"/>
  <c r="L161"/>
  <c r="P161" s="1"/>
  <c r="K161"/>
  <c r="O161" s="1"/>
  <c r="U160"/>
  <c r="T160"/>
  <c r="S160"/>
  <c r="N160"/>
  <c r="R160" s="1"/>
  <c r="M160"/>
  <c r="Q160" s="1"/>
  <c r="L160"/>
  <c r="P160" s="1"/>
  <c r="K160"/>
  <c r="O160" s="1"/>
  <c r="U159"/>
  <c r="T159"/>
  <c r="S159"/>
  <c r="N159"/>
  <c r="R159" s="1"/>
  <c r="M159"/>
  <c r="Q159" s="1"/>
  <c r="BF69" s="1"/>
  <c r="BR69" s="1"/>
  <c r="L159"/>
  <c r="P159" s="1"/>
  <c r="BE69" s="1"/>
  <c r="BQ69" s="1"/>
  <c r="K159"/>
  <c r="O159" s="1"/>
  <c r="U158"/>
  <c r="T158"/>
  <c r="S158"/>
  <c r="N158"/>
  <c r="R158" s="1"/>
  <c r="M158"/>
  <c r="Q158" s="1"/>
  <c r="L158"/>
  <c r="P158" s="1"/>
  <c r="K158"/>
  <c r="O158" s="1"/>
  <c r="U157"/>
  <c r="T157"/>
  <c r="S157"/>
  <c r="N157"/>
  <c r="R157" s="1"/>
  <c r="M157"/>
  <c r="Q157" s="1"/>
  <c r="L157"/>
  <c r="P157" s="1"/>
  <c r="K157"/>
  <c r="O157" s="1"/>
  <c r="CV7"/>
  <c r="CV6"/>
  <c r="CV5"/>
  <c r="CV4"/>
  <c r="CV3"/>
  <c r="AT4"/>
  <c r="BP71" l="1"/>
  <c r="BT71"/>
  <c r="BP70"/>
  <c r="BD69"/>
  <c r="BG69"/>
  <c r="BS69" s="1"/>
  <c r="BF70"/>
  <c r="BR70" s="1"/>
  <c r="AK73"/>
  <c r="AL73" s="1"/>
  <c r="AK74"/>
  <c r="AL74" s="1"/>
  <c r="BP69" l="1"/>
  <c r="BT69"/>
  <c r="BT70"/>
  <c r="DF4"/>
  <c r="AD4" l="1"/>
  <c r="AF3" l="1"/>
  <c r="BI3" l="1"/>
  <c r="AE4" l="1"/>
  <c r="T3" l="1"/>
  <c r="K3"/>
  <c r="AD16" l="1"/>
  <c r="AI72" l="1"/>
  <c r="AJ72" s="1"/>
  <c r="AE72"/>
  <c r="AD72"/>
  <c r="AF72" s="1"/>
  <c r="AI71"/>
  <c r="AJ71" s="1"/>
  <c r="AE71"/>
  <c r="AD71"/>
  <c r="AF71" s="1"/>
  <c r="AI70"/>
  <c r="AE70"/>
  <c r="AD70"/>
  <c r="AF70" s="1"/>
  <c r="AI69"/>
  <c r="AJ69" s="1"/>
  <c r="AE69"/>
  <c r="AD69"/>
  <c r="AF69" s="1"/>
  <c r="AI68"/>
  <c r="AJ68" s="1"/>
  <c r="AE68"/>
  <c r="AD68"/>
  <c r="AF68" s="1"/>
  <c r="AI67"/>
  <c r="AJ67" s="1"/>
  <c r="AE67"/>
  <c r="AD67"/>
  <c r="AF67" s="1"/>
  <c r="AI66"/>
  <c r="AJ66" s="1"/>
  <c r="AE66"/>
  <c r="AD66"/>
  <c r="AI65"/>
  <c r="AJ65" s="1"/>
  <c r="AE65"/>
  <c r="AD65"/>
  <c r="AF65" s="1"/>
  <c r="AI64"/>
  <c r="AJ64" s="1"/>
  <c r="AE64"/>
  <c r="AD64"/>
  <c r="AF64" s="1"/>
  <c r="AI63"/>
  <c r="AE63"/>
  <c r="AD63"/>
  <c r="AF63" s="1"/>
  <c r="AI62"/>
  <c r="AJ62" s="1"/>
  <c r="AE62"/>
  <c r="AD62"/>
  <c r="AF62" s="1"/>
  <c r="AI61"/>
  <c r="AJ61" s="1"/>
  <c r="AE61"/>
  <c r="AD61"/>
  <c r="AF61" s="1"/>
  <c r="AI60"/>
  <c r="AJ60" s="1"/>
  <c r="AE60"/>
  <c r="AD60"/>
  <c r="AF60" s="1"/>
  <c r="AI59"/>
  <c r="AE59"/>
  <c r="AD59"/>
  <c r="AF59" s="1"/>
  <c r="AI58"/>
  <c r="AJ58" s="1"/>
  <c r="AE58"/>
  <c r="AD58"/>
  <c r="AF58" s="1"/>
  <c r="AI57"/>
  <c r="AJ57" s="1"/>
  <c r="AE57"/>
  <c r="AD57"/>
  <c r="AF57" s="1"/>
  <c r="AI56"/>
  <c r="AJ56" s="1"/>
  <c r="AE56"/>
  <c r="AD56"/>
  <c r="AF56" s="1"/>
  <c r="AI55"/>
  <c r="AE55"/>
  <c r="AD55"/>
  <c r="AF55" s="1"/>
  <c r="AI54"/>
  <c r="AJ54" s="1"/>
  <c r="AE54"/>
  <c r="AD54"/>
  <c r="AF54" s="1"/>
  <c r="AI53"/>
  <c r="AJ53" s="1"/>
  <c r="AE53"/>
  <c r="AD53"/>
  <c r="AF53" s="1"/>
  <c r="AK70" l="1"/>
  <c r="AL70" s="1"/>
  <c r="AJ70"/>
  <c r="AK71"/>
  <c r="AL71" s="1"/>
  <c r="AK68"/>
  <c r="AL68" s="1"/>
  <c r="AK72"/>
  <c r="AL72" s="1"/>
  <c r="AK69"/>
  <c r="AL69" s="1"/>
  <c r="AK55"/>
  <c r="AL55" s="1"/>
  <c r="AK63"/>
  <c r="AL63" s="1"/>
  <c r="AK66"/>
  <c r="AL66" s="1"/>
  <c r="AK67"/>
  <c r="AL67" s="1"/>
  <c r="AK59"/>
  <c r="AL59" s="1"/>
  <c r="AJ55"/>
  <c r="AK56"/>
  <c r="AL56" s="1"/>
  <c r="AJ59"/>
  <c r="AK60"/>
  <c r="AL60" s="1"/>
  <c r="AJ63"/>
  <c r="AK64"/>
  <c r="AL64" s="1"/>
  <c r="AK53"/>
  <c r="AL53" s="1"/>
  <c r="AK57"/>
  <c r="AL57" s="1"/>
  <c r="AK61"/>
  <c r="AL61" s="1"/>
  <c r="AK65"/>
  <c r="AL65" s="1"/>
  <c r="AF66"/>
  <c r="AK54"/>
  <c r="AL54" s="1"/>
  <c r="AK58"/>
  <c r="AL58" s="1"/>
  <c r="AK62"/>
  <c r="AL62" s="1"/>
  <c r="AD52" l="1"/>
  <c r="DH3" l="1"/>
  <c r="EZ6" l="1"/>
  <c r="CZ6"/>
  <c r="CZ4"/>
  <c r="CZ3"/>
  <c r="BY9"/>
  <c r="BY3"/>
  <c r="DH5"/>
  <c r="DG7"/>
  <c r="DG6"/>
  <c r="DG5"/>
  <c r="DG4"/>
  <c r="DG3"/>
  <c r="DN7"/>
  <c r="DF6"/>
  <c r="DN6" s="1"/>
  <c r="DF5"/>
  <c r="DN5" s="1"/>
  <c r="DF3"/>
  <c r="DN3" s="1"/>
  <c r="DN4" l="1"/>
  <c r="DQ4" s="1"/>
  <c r="DI3"/>
  <c r="DO3"/>
  <c r="DK4"/>
  <c r="DO4"/>
  <c r="DO6"/>
  <c r="DO5"/>
  <c r="DO7"/>
  <c r="DQ5" l="1"/>
  <c r="DH7"/>
  <c r="CY7"/>
  <c r="DC7" s="1"/>
  <c r="CX7"/>
  <c r="DB7" s="1"/>
  <c r="CW7"/>
  <c r="DA7" s="1"/>
  <c r="CZ7"/>
  <c r="CJ7"/>
  <c r="DM7" s="1"/>
  <c r="DP7" s="1"/>
  <c r="BY37"/>
  <c r="BX37"/>
  <c r="BW37"/>
  <c r="CE37" s="1"/>
  <c r="BY36"/>
  <c r="BX36"/>
  <c r="BW36"/>
  <c r="CE36" s="1"/>
  <c r="BY35"/>
  <c r="BX35"/>
  <c r="BW35"/>
  <c r="CE35" s="1"/>
  <c r="BY34"/>
  <c r="BX34"/>
  <c r="BW34"/>
  <c r="CE34" s="1"/>
  <c r="BY33"/>
  <c r="BX33"/>
  <c r="BW33"/>
  <c r="CE33" s="1"/>
  <c r="BY32"/>
  <c r="BX32"/>
  <c r="BW32"/>
  <c r="BY31"/>
  <c r="BX31"/>
  <c r="BW31"/>
  <c r="CE31" s="1"/>
  <c r="BY30"/>
  <c r="BX30"/>
  <c r="BW30"/>
  <c r="CE30" s="1"/>
  <c r="BY29"/>
  <c r="BX29"/>
  <c r="BW29"/>
  <c r="CE29" s="1"/>
  <c r="BY28"/>
  <c r="BX28"/>
  <c r="BW28"/>
  <c r="CE28" s="1"/>
  <c r="BY27"/>
  <c r="BX27"/>
  <c r="BW27"/>
  <c r="CE27" s="1"/>
  <c r="BY26"/>
  <c r="BX26"/>
  <c r="BW26"/>
  <c r="CE26" s="1"/>
  <c r="BY25"/>
  <c r="BX25"/>
  <c r="BW25"/>
  <c r="CE25" s="1"/>
  <c r="BY24"/>
  <c r="BX24"/>
  <c r="BW24"/>
  <c r="CE24" s="1"/>
  <c r="BY23"/>
  <c r="BX23"/>
  <c r="BW23"/>
  <c r="CE23" s="1"/>
  <c r="BY22"/>
  <c r="BX22"/>
  <c r="BW22"/>
  <c r="CE22" s="1"/>
  <c r="BY21"/>
  <c r="BX21"/>
  <c r="BW21"/>
  <c r="CE21" s="1"/>
  <c r="BY20"/>
  <c r="BX20"/>
  <c r="BW20"/>
  <c r="CE20" s="1"/>
  <c r="BY19"/>
  <c r="BX19"/>
  <c r="BW19"/>
  <c r="CE19" s="1"/>
  <c r="BY18"/>
  <c r="BX18"/>
  <c r="BW18"/>
  <c r="CE18" s="1"/>
  <c r="BY17"/>
  <c r="BX17"/>
  <c r="BW17"/>
  <c r="CE17" s="1"/>
  <c r="BY16"/>
  <c r="BX16"/>
  <c r="BW16"/>
  <c r="CE16" s="1"/>
  <c r="BY15"/>
  <c r="BX15"/>
  <c r="BW15"/>
  <c r="CE15" s="1"/>
  <c r="AV37"/>
  <c r="CD37" s="1"/>
  <c r="AV36"/>
  <c r="CD36" s="1"/>
  <c r="AV35"/>
  <c r="CD35" s="1"/>
  <c r="AV34"/>
  <c r="CD34" s="1"/>
  <c r="AV33"/>
  <c r="CD33" s="1"/>
  <c r="AV32"/>
  <c r="CD32" s="1"/>
  <c r="AV31"/>
  <c r="CD31" s="1"/>
  <c r="AV30"/>
  <c r="CD30" s="1"/>
  <c r="AV29"/>
  <c r="CD29" s="1"/>
  <c r="AV28"/>
  <c r="CD28" s="1"/>
  <c r="AV27"/>
  <c r="CD27" s="1"/>
  <c r="AV26"/>
  <c r="CD26" s="1"/>
  <c r="AV25"/>
  <c r="CD25" s="1"/>
  <c r="AV24"/>
  <c r="CD24" s="1"/>
  <c r="AV23"/>
  <c r="CD23" s="1"/>
  <c r="AV22"/>
  <c r="CD22" s="1"/>
  <c r="AV21"/>
  <c r="CD21" s="1"/>
  <c r="AV20"/>
  <c r="CD20" s="1"/>
  <c r="AV19"/>
  <c r="CD19" s="1"/>
  <c r="AV18"/>
  <c r="CD18" s="1"/>
  <c r="AV17"/>
  <c r="CD17" s="1"/>
  <c r="AV16"/>
  <c r="CD16" s="1"/>
  <c r="AV15"/>
  <c r="CD15" s="1"/>
  <c r="BK37"/>
  <c r="BJ37"/>
  <c r="BI37"/>
  <c r="BH37"/>
  <c r="BK36"/>
  <c r="BJ36"/>
  <c r="BI36"/>
  <c r="BH36"/>
  <c r="BK35"/>
  <c r="BJ35"/>
  <c r="BI35"/>
  <c r="BH35"/>
  <c r="BK34"/>
  <c r="BJ34"/>
  <c r="BI34"/>
  <c r="BH34"/>
  <c r="BK33"/>
  <c r="BJ33"/>
  <c r="BI33"/>
  <c r="BH33"/>
  <c r="BK32"/>
  <c r="BJ32"/>
  <c r="BI32"/>
  <c r="BH32"/>
  <c r="BK31"/>
  <c r="BJ31"/>
  <c r="BI31"/>
  <c r="BH31"/>
  <c r="BK30"/>
  <c r="BJ30"/>
  <c r="BI30"/>
  <c r="BH30"/>
  <c r="BK29"/>
  <c r="BJ29"/>
  <c r="BI29"/>
  <c r="BH29"/>
  <c r="BK28"/>
  <c r="BJ28"/>
  <c r="BI28"/>
  <c r="BH28"/>
  <c r="BK27"/>
  <c r="BJ27"/>
  <c r="BI27"/>
  <c r="BH27"/>
  <c r="BK26"/>
  <c r="BJ26"/>
  <c r="BI26"/>
  <c r="BH26"/>
  <c r="BK25"/>
  <c r="BJ25"/>
  <c r="BI25"/>
  <c r="BH25"/>
  <c r="BK24"/>
  <c r="BJ24"/>
  <c r="BI24"/>
  <c r="BH24"/>
  <c r="BK23"/>
  <c r="BJ23"/>
  <c r="BI23"/>
  <c r="BH23"/>
  <c r="BK22"/>
  <c r="BJ22"/>
  <c r="BI22"/>
  <c r="BH22"/>
  <c r="BK21"/>
  <c r="BJ21"/>
  <c r="BI21"/>
  <c r="BH21"/>
  <c r="BK20"/>
  <c r="BJ20"/>
  <c r="BI20"/>
  <c r="BH20"/>
  <c r="BK19"/>
  <c r="BJ19"/>
  <c r="BI19"/>
  <c r="BH19"/>
  <c r="BK18"/>
  <c r="BJ18"/>
  <c r="BI18"/>
  <c r="BH18"/>
  <c r="BK17"/>
  <c r="BJ17"/>
  <c r="BI17"/>
  <c r="BH17"/>
  <c r="BK16"/>
  <c r="BJ16"/>
  <c r="BI16"/>
  <c r="BH16"/>
  <c r="BK15"/>
  <c r="BJ15"/>
  <c r="BI15"/>
  <c r="BH15"/>
  <c r="CF17" l="1"/>
  <c r="CG17" s="1"/>
  <c r="CF21"/>
  <c r="CG21" s="1"/>
  <c r="CF25"/>
  <c r="CG25" s="1"/>
  <c r="CF29"/>
  <c r="CG29" s="1"/>
  <c r="CF33"/>
  <c r="CG33" s="1"/>
  <c r="CF37"/>
  <c r="CG37" s="1"/>
  <c r="BZ15"/>
  <c r="CA15" s="1"/>
  <c r="BZ19"/>
  <c r="CA19" s="1"/>
  <c r="BZ23"/>
  <c r="CA23" s="1"/>
  <c r="BZ27"/>
  <c r="CA27" s="1"/>
  <c r="BZ31"/>
  <c r="CA31" s="1"/>
  <c r="CF15"/>
  <c r="CG15" s="1"/>
  <c r="CF19"/>
  <c r="CG19" s="1"/>
  <c r="CF23"/>
  <c r="CG23" s="1"/>
  <c r="CF27"/>
  <c r="CG27" s="1"/>
  <c r="CF31"/>
  <c r="CG31" s="1"/>
  <c r="CF35"/>
  <c r="CG35" s="1"/>
  <c r="BZ18"/>
  <c r="CA18" s="1"/>
  <c r="BZ22"/>
  <c r="CA22" s="1"/>
  <c r="CF18"/>
  <c r="CF22"/>
  <c r="CG22" s="1"/>
  <c r="CF26"/>
  <c r="CG26" s="1"/>
  <c r="CF30"/>
  <c r="CG30" s="1"/>
  <c r="CF34"/>
  <c r="CG34" s="1"/>
  <c r="BZ35"/>
  <c r="CA35" s="1"/>
  <c r="CF16"/>
  <c r="CG16" s="1"/>
  <c r="CF20"/>
  <c r="CG20" s="1"/>
  <c r="CF24"/>
  <c r="CG24" s="1"/>
  <c r="CF28"/>
  <c r="CG28" s="1"/>
  <c r="CF32"/>
  <c r="CF36"/>
  <c r="CG36" s="1"/>
  <c r="BZ32"/>
  <c r="CA32" s="1"/>
  <c r="CE32"/>
  <c r="BZ26"/>
  <c r="CA26" s="1"/>
  <c r="BZ30"/>
  <c r="CA30" s="1"/>
  <c r="CG18"/>
  <c r="BZ16"/>
  <c r="CA16" s="1"/>
  <c r="BZ20"/>
  <c r="CA20" s="1"/>
  <c r="BZ24"/>
  <c r="CA24" s="1"/>
  <c r="BZ28"/>
  <c r="CA28" s="1"/>
  <c r="BZ36"/>
  <c r="CA36" s="1"/>
  <c r="BZ17"/>
  <c r="CA17" s="1"/>
  <c r="BZ21"/>
  <c r="CA21" s="1"/>
  <c r="BZ25"/>
  <c r="CA25" s="1"/>
  <c r="BZ29"/>
  <c r="CA29" s="1"/>
  <c r="BZ33"/>
  <c r="CA33" s="1"/>
  <c r="BZ37"/>
  <c r="CA37" s="1"/>
  <c r="BZ34"/>
  <c r="CA34" s="1"/>
  <c r="DI7"/>
  <c r="DJ7" s="1"/>
  <c r="AI52"/>
  <c r="AJ52" s="1"/>
  <c r="AE52"/>
  <c r="AF52"/>
  <c r="AI51"/>
  <c r="AJ51" s="1"/>
  <c r="AE51"/>
  <c r="AD51"/>
  <c r="AF51" s="1"/>
  <c r="AI50"/>
  <c r="AJ50" s="1"/>
  <c r="AE50"/>
  <c r="AD50"/>
  <c r="AF50" s="1"/>
  <c r="AI49"/>
  <c r="AE49"/>
  <c r="AD49"/>
  <c r="AF49" s="1"/>
  <c r="AI48"/>
  <c r="AJ48" s="1"/>
  <c r="AE48"/>
  <c r="AD48"/>
  <c r="AF48" s="1"/>
  <c r="AI47"/>
  <c r="AJ47" s="1"/>
  <c r="AE47"/>
  <c r="AD47"/>
  <c r="AF47" s="1"/>
  <c r="AI46"/>
  <c r="AJ46" s="1"/>
  <c r="AE46"/>
  <c r="AD46"/>
  <c r="AF46" s="1"/>
  <c r="AI45"/>
  <c r="AE45"/>
  <c r="AD45"/>
  <c r="AF45" s="1"/>
  <c r="AI44"/>
  <c r="AJ44" s="1"/>
  <c r="AE44"/>
  <c r="AD44"/>
  <c r="AF44" s="1"/>
  <c r="AI43"/>
  <c r="AJ43" s="1"/>
  <c r="AE43"/>
  <c r="AD43"/>
  <c r="AF43" s="1"/>
  <c r="AI42"/>
  <c r="AJ42" s="1"/>
  <c r="AE42"/>
  <c r="AD42"/>
  <c r="AF42" s="1"/>
  <c r="AI41"/>
  <c r="AE41"/>
  <c r="AD41"/>
  <c r="AF41" s="1"/>
  <c r="AI40"/>
  <c r="AJ40" s="1"/>
  <c r="AE40"/>
  <c r="AD40"/>
  <c r="AF40" s="1"/>
  <c r="AI39"/>
  <c r="AJ39" s="1"/>
  <c r="AE39"/>
  <c r="AD39"/>
  <c r="AF39" s="1"/>
  <c r="AI38"/>
  <c r="AJ38" s="1"/>
  <c r="AE38"/>
  <c r="AD38"/>
  <c r="AF38" s="1"/>
  <c r="AI37"/>
  <c r="AE37"/>
  <c r="AD37"/>
  <c r="AF37" s="1"/>
  <c r="AI36"/>
  <c r="AJ36" s="1"/>
  <c r="AE36"/>
  <c r="AD36"/>
  <c r="AF36" s="1"/>
  <c r="AI35"/>
  <c r="AJ35" s="1"/>
  <c r="AE35"/>
  <c r="AD35"/>
  <c r="AF35" s="1"/>
  <c r="AI34"/>
  <c r="AJ34" s="1"/>
  <c r="AE34"/>
  <c r="AD34"/>
  <c r="AF34" s="1"/>
  <c r="AI33"/>
  <c r="AE33"/>
  <c r="AD33"/>
  <c r="AF33" s="1"/>
  <c r="AI32"/>
  <c r="AJ32" s="1"/>
  <c r="AE32"/>
  <c r="AD32"/>
  <c r="AF32" s="1"/>
  <c r="AI31"/>
  <c r="AJ31" s="1"/>
  <c r="AE31"/>
  <c r="AD31"/>
  <c r="AF31" s="1"/>
  <c r="AI30"/>
  <c r="AJ30" s="1"/>
  <c r="AE30"/>
  <c r="AD30"/>
  <c r="AF30" s="1"/>
  <c r="AI29"/>
  <c r="AE29"/>
  <c r="AD29"/>
  <c r="AF29" s="1"/>
  <c r="AI28"/>
  <c r="AJ28" s="1"/>
  <c r="AE28"/>
  <c r="AD28"/>
  <c r="AF28" s="1"/>
  <c r="AI27"/>
  <c r="AJ27" s="1"/>
  <c r="AE27"/>
  <c r="AD27"/>
  <c r="AF27" s="1"/>
  <c r="AI26"/>
  <c r="AJ26" s="1"/>
  <c r="AE26"/>
  <c r="AD26"/>
  <c r="AF26" s="1"/>
  <c r="AI25"/>
  <c r="AE25"/>
  <c r="AD25"/>
  <c r="AF25" s="1"/>
  <c r="AI24"/>
  <c r="AJ24" s="1"/>
  <c r="AE24"/>
  <c r="AD24"/>
  <c r="AF24" s="1"/>
  <c r="AI23"/>
  <c r="AJ23" s="1"/>
  <c r="AE23"/>
  <c r="AD23"/>
  <c r="AF23" s="1"/>
  <c r="AI22"/>
  <c r="AJ22" s="1"/>
  <c r="AE22"/>
  <c r="AD22"/>
  <c r="AF22" s="1"/>
  <c r="AI21"/>
  <c r="AE21"/>
  <c r="AD21"/>
  <c r="AF21" s="1"/>
  <c r="AI20"/>
  <c r="AJ20" s="1"/>
  <c r="AE20"/>
  <c r="AD20"/>
  <c r="AF20" s="1"/>
  <c r="AI19"/>
  <c r="AJ19" s="1"/>
  <c r="AE19"/>
  <c r="AD19"/>
  <c r="AF19" s="1"/>
  <c r="AI18"/>
  <c r="AJ18" s="1"/>
  <c r="AE18"/>
  <c r="AD18"/>
  <c r="AF18" s="1"/>
  <c r="AI17"/>
  <c r="AE17"/>
  <c r="AD17"/>
  <c r="AF17" s="1"/>
  <c r="AI16"/>
  <c r="AJ16" s="1"/>
  <c r="AE16"/>
  <c r="AF16"/>
  <c r="AI15"/>
  <c r="AJ15" s="1"/>
  <c r="AE15"/>
  <c r="AD15"/>
  <c r="AF15" s="1"/>
  <c r="AI14"/>
  <c r="AJ14" s="1"/>
  <c r="AE14"/>
  <c r="AD14"/>
  <c r="AF14" s="1"/>
  <c r="AI13"/>
  <c r="AJ13" s="1"/>
  <c r="AE13"/>
  <c r="AD13"/>
  <c r="AF13" s="1"/>
  <c r="AI12"/>
  <c r="AJ12" s="1"/>
  <c r="AE12"/>
  <c r="AD12"/>
  <c r="AF12" s="1"/>
  <c r="AI11"/>
  <c r="AJ11" s="1"/>
  <c r="AE11"/>
  <c r="AD11"/>
  <c r="AF11" s="1"/>
  <c r="AI10"/>
  <c r="AJ10" s="1"/>
  <c r="AE10"/>
  <c r="AD10"/>
  <c r="AF10" s="1"/>
  <c r="U156"/>
  <c r="T156"/>
  <c r="S156"/>
  <c r="N156"/>
  <c r="R156" s="1"/>
  <c r="BG68" s="1"/>
  <c r="BS68" s="1"/>
  <c r="M156"/>
  <c r="Q156" s="1"/>
  <c r="BF68" s="1"/>
  <c r="BR68" s="1"/>
  <c r="L156"/>
  <c r="P156" s="1"/>
  <c r="BE68" s="1"/>
  <c r="BQ68" s="1"/>
  <c r="K156"/>
  <c r="O156" s="1"/>
  <c r="BD68" s="1"/>
  <c r="U155"/>
  <c r="T155"/>
  <c r="S155"/>
  <c r="N155"/>
  <c r="R155" s="1"/>
  <c r="M155"/>
  <c r="Q155" s="1"/>
  <c r="L155"/>
  <c r="P155" s="1"/>
  <c r="K155"/>
  <c r="O155" s="1"/>
  <c r="U154"/>
  <c r="T154"/>
  <c r="S154"/>
  <c r="N154"/>
  <c r="R154" s="1"/>
  <c r="M154"/>
  <c r="Q154" s="1"/>
  <c r="L154"/>
  <c r="P154" s="1"/>
  <c r="K154"/>
  <c r="O154" s="1"/>
  <c r="U153"/>
  <c r="T153"/>
  <c r="S153"/>
  <c r="N153"/>
  <c r="R153" s="1"/>
  <c r="BG67" s="1"/>
  <c r="BS67" s="1"/>
  <c r="M153"/>
  <c r="Q153" s="1"/>
  <c r="L153"/>
  <c r="P153" s="1"/>
  <c r="K153"/>
  <c r="O153" s="1"/>
  <c r="BD67" s="1"/>
  <c r="U152"/>
  <c r="T152"/>
  <c r="S152"/>
  <c r="N152"/>
  <c r="R152" s="1"/>
  <c r="M152"/>
  <c r="Q152" s="1"/>
  <c r="L152"/>
  <c r="P152" s="1"/>
  <c r="K152"/>
  <c r="O152" s="1"/>
  <c r="U151"/>
  <c r="T151"/>
  <c r="S151"/>
  <c r="N151"/>
  <c r="R151" s="1"/>
  <c r="M151"/>
  <c r="Q151" s="1"/>
  <c r="L151"/>
  <c r="P151" s="1"/>
  <c r="K151"/>
  <c r="O151" s="1"/>
  <c r="U150"/>
  <c r="T150"/>
  <c r="S150"/>
  <c r="N150"/>
  <c r="R150" s="1"/>
  <c r="M150"/>
  <c r="Q150" s="1"/>
  <c r="L150"/>
  <c r="P150" s="1"/>
  <c r="BE66" s="1"/>
  <c r="BQ66" s="1"/>
  <c r="K150"/>
  <c r="O150" s="1"/>
  <c r="BD66" s="1"/>
  <c r="U149"/>
  <c r="T149"/>
  <c r="S149"/>
  <c r="N149"/>
  <c r="R149" s="1"/>
  <c r="M149"/>
  <c r="Q149" s="1"/>
  <c r="L149"/>
  <c r="P149" s="1"/>
  <c r="K149"/>
  <c r="O149" s="1"/>
  <c r="U148"/>
  <c r="T148"/>
  <c r="S148"/>
  <c r="N148"/>
  <c r="R148" s="1"/>
  <c r="M148"/>
  <c r="Q148" s="1"/>
  <c r="L148"/>
  <c r="P148" s="1"/>
  <c r="K148"/>
  <c r="O148" s="1"/>
  <c r="U147"/>
  <c r="T147"/>
  <c r="S147"/>
  <c r="N147"/>
  <c r="R147" s="1"/>
  <c r="M147"/>
  <c r="Q147" s="1"/>
  <c r="BF65" s="1"/>
  <c r="BR65" s="1"/>
  <c r="L147"/>
  <c r="P147" s="1"/>
  <c r="BE65" s="1"/>
  <c r="BQ65" s="1"/>
  <c r="K147"/>
  <c r="O147" s="1"/>
  <c r="U146"/>
  <c r="T146"/>
  <c r="S146"/>
  <c r="N146"/>
  <c r="R146" s="1"/>
  <c r="M146"/>
  <c r="Q146" s="1"/>
  <c r="L146"/>
  <c r="P146" s="1"/>
  <c r="K146"/>
  <c r="O146" s="1"/>
  <c r="U145"/>
  <c r="T145"/>
  <c r="S145"/>
  <c r="N145"/>
  <c r="R145" s="1"/>
  <c r="M145"/>
  <c r="Q145" s="1"/>
  <c r="L145"/>
  <c r="P145" s="1"/>
  <c r="K145"/>
  <c r="O145" s="1"/>
  <c r="U144"/>
  <c r="T144"/>
  <c r="S144"/>
  <c r="N144"/>
  <c r="R144" s="1"/>
  <c r="BG64" s="1"/>
  <c r="BS64" s="1"/>
  <c r="M144"/>
  <c r="Q144" s="1"/>
  <c r="BF64" s="1"/>
  <c r="BR64" s="1"/>
  <c r="L144"/>
  <c r="P144" s="1"/>
  <c r="K144"/>
  <c r="O144" s="1"/>
  <c r="BD64" s="1"/>
  <c r="U143"/>
  <c r="T143"/>
  <c r="S143"/>
  <c r="N143"/>
  <c r="R143" s="1"/>
  <c r="M143"/>
  <c r="Q143" s="1"/>
  <c r="L143"/>
  <c r="P143" s="1"/>
  <c r="K143"/>
  <c r="O143" s="1"/>
  <c r="U142"/>
  <c r="T142"/>
  <c r="S142"/>
  <c r="N142"/>
  <c r="R142" s="1"/>
  <c r="M142"/>
  <c r="Q142" s="1"/>
  <c r="L142"/>
  <c r="P142" s="1"/>
  <c r="K142"/>
  <c r="O142" s="1"/>
  <c r="U141"/>
  <c r="T141"/>
  <c r="S141"/>
  <c r="N141"/>
  <c r="R141" s="1"/>
  <c r="BG63" s="1"/>
  <c r="BS63" s="1"/>
  <c r="M141"/>
  <c r="Q141" s="1"/>
  <c r="L141"/>
  <c r="P141" s="1"/>
  <c r="BE63" s="1"/>
  <c r="BQ63" s="1"/>
  <c r="K141"/>
  <c r="O141" s="1"/>
  <c r="BD63" s="1"/>
  <c r="U140"/>
  <c r="T140"/>
  <c r="S140"/>
  <c r="N140"/>
  <c r="R140" s="1"/>
  <c r="M140"/>
  <c r="Q140" s="1"/>
  <c r="L140"/>
  <c r="P140" s="1"/>
  <c r="K140"/>
  <c r="O140" s="1"/>
  <c r="U139"/>
  <c r="T139"/>
  <c r="S139"/>
  <c r="N139"/>
  <c r="R139" s="1"/>
  <c r="M139"/>
  <c r="Q139" s="1"/>
  <c r="L139"/>
  <c r="P139" s="1"/>
  <c r="K139"/>
  <c r="O139" s="1"/>
  <c r="U138"/>
  <c r="T138"/>
  <c r="S138"/>
  <c r="N138"/>
  <c r="R138" s="1"/>
  <c r="M138"/>
  <c r="Q138" s="1"/>
  <c r="BF62" s="1"/>
  <c r="BR62" s="1"/>
  <c r="L138"/>
  <c r="P138" s="1"/>
  <c r="K138"/>
  <c r="O138" s="1"/>
  <c r="BD62" s="1"/>
  <c r="U137"/>
  <c r="T137"/>
  <c r="S137"/>
  <c r="N137"/>
  <c r="R137" s="1"/>
  <c r="M137"/>
  <c r="Q137" s="1"/>
  <c r="L137"/>
  <c r="P137" s="1"/>
  <c r="K137"/>
  <c r="O137" s="1"/>
  <c r="U136"/>
  <c r="T136"/>
  <c r="S136"/>
  <c r="N136"/>
  <c r="R136" s="1"/>
  <c r="M136"/>
  <c r="Q136" s="1"/>
  <c r="L136"/>
  <c r="P136" s="1"/>
  <c r="K136"/>
  <c r="O136" s="1"/>
  <c r="U135"/>
  <c r="T135"/>
  <c r="S135"/>
  <c r="N135"/>
  <c r="R135" s="1"/>
  <c r="M135"/>
  <c r="Q135" s="1"/>
  <c r="L135"/>
  <c r="P135" s="1"/>
  <c r="K135"/>
  <c r="O135" s="1"/>
  <c r="U134"/>
  <c r="T134"/>
  <c r="S134"/>
  <c r="N134"/>
  <c r="R134" s="1"/>
  <c r="M134"/>
  <c r="Q134" s="1"/>
  <c r="L134"/>
  <c r="P134" s="1"/>
  <c r="K134"/>
  <c r="O134" s="1"/>
  <c r="U133"/>
  <c r="T133"/>
  <c r="S133"/>
  <c r="N133"/>
  <c r="R133" s="1"/>
  <c r="M133"/>
  <c r="Q133" s="1"/>
  <c r="L133"/>
  <c r="P133" s="1"/>
  <c r="K133"/>
  <c r="O133" s="1"/>
  <c r="U132"/>
  <c r="T132"/>
  <c r="S132"/>
  <c r="N132"/>
  <c r="R132" s="1"/>
  <c r="M132"/>
  <c r="Q132" s="1"/>
  <c r="L132"/>
  <c r="P132" s="1"/>
  <c r="K132"/>
  <c r="O132" s="1"/>
  <c r="U131"/>
  <c r="T131"/>
  <c r="S131"/>
  <c r="N131"/>
  <c r="R131" s="1"/>
  <c r="M131"/>
  <c r="Q131" s="1"/>
  <c r="L131"/>
  <c r="P131" s="1"/>
  <c r="K131"/>
  <c r="O131" s="1"/>
  <c r="U130"/>
  <c r="T130"/>
  <c r="S130"/>
  <c r="N130"/>
  <c r="R130" s="1"/>
  <c r="M130"/>
  <c r="Q130" s="1"/>
  <c r="L130"/>
  <c r="P130" s="1"/>
  <c r="K130"/>
  <c r="O130" s="1"/>
  <c r="U129"/>
  <c r="T129"/>
  <c r="S129"/>
  <c r="N129"/>
  <c r="R129" s="1"/>
  <c r="M129"/>
  <c r="Q129" s="1"/>
  <c r="L129"/>
  <c r="P129" s="1"/>
  <c r="K129"/>
  <c r="O129" s="1"/>
  <c r="U128"/>
  <c r="T128"/>
  <c r="S128"/>
  <c r="N128"/>
  <c r="R128" s="1"/>
  <c r="M128"/>
  <c r="Q128" s="1"/>
  <c r="L128"/>
  <c r="P128" s="1"/>
  <c r="K128"/>
  <c r="O128" s="1"/>
  <c r="U127"/>
  <c r="T127"/>
  <c r="S127"/>
  <c r="N127"/>
  <c r="R127" s="1"/>
  <c r="M127"/>
  <c r="Q127" s="1"/>
  <c r="L127"/>
  <c r="P127" s="1"/>
  <c r="K127"/>
  <c r="O127" s="1"/>
  <c r="U126"/>
  <c r="T126"/>
  <c r="S126"/>
  <c r="N126"/>
  <c r="R126" s="1"/>
  <c r="M126"/>
  <c r="Q126" s="1"/>
  <c r="L126"/>
  <c r="P126" s="1"/>
  <c r="K126"/>
  <c r="O126" s="1"/>
  <c r="U125"/>
  <c r="T125"/>
  <c r="S125"/>
  <c r="N125"/>
  <c r="R125" s="1"/>
  <c r="M125"/>
  <c r="Q125" s="1"/>
  <c r="L125"/>
  <c r="P125" s="1"/>
  <c r="K125"/>
  <c r="O125" s="1"/>
  <c r="U124"/>
  <c r="T124"/>
  <c r="S124"/>
  <c r="N124"/>
  <c r="R124" s="1"/>
  <c r="M124"/>
  <c r="Q124" s="1"/>
  <c r="L124"/>
  <c r="P124" s="1"/>
  <c r="K124"/>
  <c r="O124" s="1"/>
  <c r="U123"/>
  <c r="T123"/>
  <c r="S123"/>
  <c r="N123"/>
  <c r="R123" s="1"/>
  <c r="M123"/>
  <c r="Q123" s="1"/>
  <c r="L123"/>
  <c r="P123" s="1"/>
  <c r="K123"/>
  <c r="O123" s="1"/>
  <c r="U122"/>
  <c r="T122"/>
  <c r="S122"/>
  <c r="N122"/>
  <c r="R122" s="1"/>
  <c r="M122"/>
  <c r="Q122" s="1"/>
  <c r="L122"/>
  <c r="P122" s="1"/>
  <c r="K122"/>
  <c r="O122" s="1"/>
  <c r="U121"/>
  <c r="T121"/>
  <c r="S121"/>
  <c r="N121"/>
  <c r="R121" s="1"/>
  <c r="M121"/>
  <c r="Q121" s="1"/>
  <c r="L121"/>
  <c r="P121" s="1"/>
  <c r="K121"/>
  <c r="O121" s="1"/>
  <c r="U120"/>
  <c r="T120"/>
  <c r="S120"/>
  <c r="N120"/>
  <c r="R120" s="1"/>
  <c r="M120"/>
  <c r="Q120" s="1"/>
  <c r="L120"/>
  <c r="P120" s="1"/>
  <c r="K120"/>
  <c r="O120" s="1"/>
  <c r="U119"/>
  <c r="T119"/>
  <c r="S119"/>
  <c r="N119"/>
  <c r="R119" s="1"/>
  <c r="M119"/>
  <c r="Q119" s="1"/>
  <c r="L119"/>
  <c r="P119" s="1"/>
  <c r="K119"/>
  <c r="O119" s="1"/>
  <c r="U118"/>
  <c r="T118"/>
  <c r="S118"/>
  <c r="N118"/>
  <c r="R118" s="1"/>
  <c r="M118"/>
  <c r="Q118" s="1"/>
  <c r="L118"/>
  <c r="P118" s="1"/>
  <c r="K118"/>
  <c r="O118" s="1"/>
  <c r="U117"/>
  <c r="T117"/>
  <c r="S117"/>
  <c r="N117"/>
  <c r="R117" s="1"/>
  <c r="M117"/>
  <c r="Q117" s="1"/>
  <c r="L117"/>
  <c r="P117" s="1"/>
  <c r="K117"/>
  <c r="O117" s="1"/>
  <c r="U116"/>
  <c r="T116"/>
  <c r="S116"/>
  <c r="N116"/>
  <c r="R116" s="1"/>
  <c r="M116"/>
  <c r="Q116" s="1"/>
  <c r="L116"/>
  <c r="P116" s="1"/>
  <c r="K116"/>
  <c r="O116" s="1"/>
  <c r="U115"/>
  <c r="T115"/>
  <c r="S115"/>
  <c r="N115"/>
  <c r="R115" s="1"/>
  <c r="M115"/>
  <c r="Q115" s="1"/>
  <c r="L115"/>
  <c r="P115" s="1"/>
  <c r="K115"/>
  <c r="O115" s="1"/>
  <c r="U114"/>
  <c r="T114"/>
  <c r="S114"/>
  <c r="N114"/>
  <c r="R114" s="1"/>
  <c r="M114"/>
  <c r="Q114" s="1"/>
  <c r="L114"/>
  <c r="P114" s="1"/>
  <c r="K114"/>
  <c r="O114" s="1"/>
  <c r="U113"/>
  <c r="T113"/>
  <c r="S113"/>
  <c r="N113"/>
  <c r="R113" s="1"/>
  <c r="M113"/>
  <c r="Q113" s="1"/>
  <c r="L113"/>
  <c r="P113" s="1"/>
  <c r="K113"/>
  <c r="O113" s="1"/>
  <c r="U112"/>
  <c r="T112"/>
  <c r="S112"/>
  <c r="N112"/>
  <c r="R112" s="1"/>
  <c r="M112"/>
  <c r="Q112" s="1"/>
  <c r="L112"/>
  <c r="P112" s="1"/>
  <c r="K112"/>
  <c r="O112" s="1"/>
  <c r="U111"/>
  <c r="T111"/>
  <c r="S111"/>
  <c r="N111"/>
  <c r="R111" s="1"/>
  <c r="M111"/>
  <c r="Q111" s="1"/>
  <c r="L111"/>
  <c r="P111" s="1"/>
  <c r="K111"/>
  <c r="O111" s="1"/>
  <c r="U110"/>
  <c r="T110"/>
  <c r="S110"/>
  <c r="N110"/>
  <c r="R110" s="1"/>
  <c r="M110"/>
  <c r="Q110" s="1"/>
  <c r="L110"/>
  <c r="P110" s="1"/>
  <c r="K110"/>
  <c r="O110" s="1"/>
  <c r="U109"/>
  <c r="T109"/>
  <c r="S109"/>
  <c r="N109"/>
  <c r="R109" s="1"/>
  <c r="M109"/>
  <c r="Q109" s="1"/>
  <c r="L109"/>
  <c r="P109" s="1"/>
  <c r="K109"/>
  <c r="O109" s="1"/>
  <c r="U108"/>
  <c r="T108"/>
  <c r="S108"/>
  <c r="N108"/>
  <c r="R108" s="1"/>
  <c r="M108"/>
  <c r="Q108" s="1"/>
  <c r="L108"/>
  <c r="P108" s="1"/>
  <c r="K108"/>
  <c r="O108" s="1"/>
  <c r="U107"/>
  <c r="T107"/>
  <c r="S107"/>
  <c r="N107"/>
  <c r="R107" s="1"/>
  <c r="M107"/>
  <c r="Q107" s="1"/>
  <c r="L107"/>
  <c r="P107" s="1"/>
  <c r="K107"/>
  <c r="O107" s="1"/>
  <c r="U106"/>
  <c r="T106"/>
  <c r="S106"/>
  <c r="N106"/>
  <c r="R106" s="1"/>
  <c r="M106"/>
  <c r="Q106" s="1"/>
  <c r="L106"/>
  <c r="P106" s="1"/>
  <c r="K106"/>
  <c r="O106" s="1"/>
  <c r="U105"/>
  <c r="T105"/>
  <c r="S105"/>
  <c r="N105"/>
  <c r="R105" s="1"/>
  <c r="M105"/>
  <c r="Q105" s="1"/>
  <c r="L105"/>
  <c r="P105" s="1"/>
  <c r="K105"/>
  <c r="O105" s="1"/>
  <c r="U104"/>
  <c r="T104"/>
  <c r="S104"/>
  <c r="N104"/>
  <c r="R104" s="1"/>
  <c r="M104"/>
  <c r="Q104" s="1"/>
  <c r="L104"/>
  <c r="P104" s="1"/>
  <c r="K104"/>
  <c r="O104" s="1"/>
  <c r="U103"/>
  <c r="T103"/>
  <c r="S103"/>
  <c r="N103"/>
  <c r="R103" s="1"/>
  <c r="M103"/>
  <c r="Q103" s="1"/>
  <c r="L103"/>
  <c r="P103" s="1"/>
  <c r="K103"/>
  <c r="O103" s="1"/>
  <c r="U102"/>
  <c r="T102"/>
  <c r="S102"/>
  <c r="N102"/>
  <c r="R102" s="1"/>
  <c r="M102"/>
  <c r="Q102" s="1"/>
  <c r="L102"/>
  <c r="P102" s="1"/>
  <c r="K102"/>
  <c r="O102" s="1"/>
  <c r="U101"/>
  <c r="T101"/>
  <c r="S101"/>
  <c r="N101"/>
  <c r="R101" s="1"/>
  <c r="M101"/>
  <c r="Q101" s="1"/>
  <c r="L101"/>
  <c r="P101" s="1"/>
  <c r="K101"/>
  <c r="O101" s="1"/>
  <c r="U100"/>
  <c r="T100"/>
  <c r="S100"/>
  <c r="N100"/>
  <c r="R100" s="1"/>
  <c r="M100"/>
  <c r="Q100" s="1"/>
  <c r="L100"/>
  <c r="P100" s="1"/>
  <c r="K100"/>
  <c r="O100" s="1"/>
  <c r="FF6"/>
  <c r="FE6"/>
  <c r="FD6"/>
  <c r="FB6"/>
  <c r="DH6"/>
  <c r="DH4"/>
  <c r="DI4" s="1"/>
  <c r="C25"/>
  <c r="ED6"/>
  <c r="C23"/>
  <c r="U99"/>
  <c r="U98"/>
  <c r="U97"/>
  <c r="U96"/>
  <c r="U95"/>
  <c r="U94"/>
  <c r="U93"/>
  <c r="U92"/>
  <c r="U91"/>
  <c r="U90"/>
  <c r="U89"/>
  <c r="U88"/>
  <c r="U87"/>
  <c r="U86"/>
  <c r="U85"/>
  <c r="U84"/>
  <c r="U83"/>
  <c r="U82"/>
  <c r="U81"/>
  <c r="U80"/>
  <c r="U79"/>
  <c r="U78"/>
  <c r="U77"/>
  <c r="U76"/>
  <c r="U75"/>
  <c r="U74"/>
  <c r="U73"/>
  <c r="U72"/>
  <c r="U71"/>
  <c r="U70"/>
  <c r="U69"/>
  <c r="U68"/>
  <c r="U67"/>
  <c r="U66"/>
  <c r="U65"/>
  <c r="U64"/>
  <c r="U63"/>
  <c r="U62"/>
  <c r="U61"/>
  <c r="U60"/>
  <c r="U59"/>
  <c r="U58"/>
  <c r="U57"/>
  <c r="U56"/>
  <c r="U55"/>
  <c r="U54"/>
  <c r="U53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U4"/>
  <c r="U3"/>
  <c r="T99"/>
  <c r="T98"/>
  <c r="T97"/>
  <c r="T96"/>
  <c r="T95"/>
  <c r="T94"/>
  <c r="T93"/>
  <c r="T92"/>
  <c r="T91"/>
  <c r="T90"/>
  <c r="T89"/>
  <c r="T88"/>
  <c r="T87"/>
  <c r="T86"/>
  <c r="T85"/>
  <c r="T84"/>
  <c r="T83"/>
  <c r="T82"/>
  <c r="T81"/>
  <c r="T80"/>
  <c r="T79"/>
  <c r="T78"/>
  <c r="T77"/>
  <c r="T76"/>
  <c r="T75"/>
  <c r="T74"/>
  <c r="T73"/>
  <c r="T72"/>
  <c r="T71"/>
  <c r="T70"/>
  <c r="T69"/>
  <c r="T68"/>
  <c r="T67"/>
  <c r="T66"/>
  <c r="T65"/>
  <c r="T64"/>
  <c r="T63"/>
  <c r="T62"/>
  <c r="T61"/>
  <c r="T60"/>
  <c r="T59"/>
  <c r="T58"/>
  <c r="T57"/>
  <c r="T56"/>
  <c r="T55"/>
  <c r="T54"/>
  <c r="T53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T4"/>
  <c r="S99"/>
  <c r="S98"/>
  <c r="S97"/>
  <c r="S96"/>
  <c r="S95"/>
  <c r="S94"/>
  <c r="S93"/>
  <c r="S92"/>
  <c r="S91"/>
  <c r="S90"/>
  <c r="S89"/>
  <c r="S88"/>
  <c r="S87"/>
  <c r="S86"/>
  <c r="S85"/>
  <c r="S84"/>
  <c r="S83"/>
  <c r="S82"/>
  <c r="S81"/>
  <c r="S80"/>
  <c r="S79"/>
  <c r="S78"/>
  <c r="S77"/>
  <c r="S76"/>
  <c r="S75"/>
  <c r="S74"/>
  <c r="S73"/>
  <c r="S72"/>
  <c r="S71"/>
  <c r="S70"/>
  <c r="S69"/>
  <c r="S68"/>
  <c r="S67"/>
  <c r="S66"/>
  <c r="S65"/>
  <c r="S64"/>
  <c r="S63"/>
  <c r="S62"/>
  <c r="S61"/>
  <c r="S60"/>
  <c r="S59"/>
  <c r="S58"/>
  <c r="S57"/>
  <c r="S56"/>
  <c r="S55"/>
  <c r="S54"/>
  <c r="S53"/>
  <c r="S52"/>
  <c r="S51"/>
  <c r="S50"/>
  <c r="S49"/>
  <c r="S48"/>
  <c r="S47"/>
  <c r="S46"/>
  <c r="S45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S4"/>
  <c r="S3"/>
  <c r="AV4"/>
  <c r="CD4" s="1"/>
  <c r="CJ6"/>
  <c r="DM6" s="1"/>
  <c r="CJ5"/>
  <c r="DM5" s="1"/>
  <c r="CJ4"/>
  <c r="DM4" s="1"/>
  <c r="CJ3"/>
  <c r="DM3" s="1"/>
  <c r="AV14"/>
  <c r="AV7"/>
  <c r="AV6"/>
  <c r="CD6" s="1"/>
  <c r="AV5"/>
  <c r="CY6"/>
  <c r="DC6" s="1"/>
  <c r="CX6"/>
  <c r="DB6" s="1"/>
  <c r="CW6"/>
  <c r="DA6" s="1"/>
  <c r="CY5"/>
  <c r="DC5" s="1"/>
  <c r="CX5"/>
  <c r="DB5" s="1"/>
  <c r="CZ5"/>
  <c r="CY4"/>
  <c r="DC4" s="1"/>
  <c r="CX4"/>
  <c r="DB4" s="1"/>
  <c r="CW4"/>
  <c r="DA4" s="1"/>
  <c r="CY3"/>
  <c r="DC3" s="1"/>
  <c r="CX3"/>
  <c r="DB3" s="1"/>
  <c r="CW3"/>
  <c r="DA3" s="1"/>
  <c r="CW5"/>
  <c r="DA5" s="1"/>
  <c r="BW3"/>
  <c r="CE3" s="1"/>
  <c r="AI9"/>
  <c r="AI8"/>
  <c r="AI7"/>
  <c r="AI6"/>
  <c r="AI5"/>
  <c r="AI4"/>
  <c r="BP64" l="1"/>
  <c r="BT68"/>
  <c r="BP68"/>
  <c r="BG52"/>
  <c r="BS52" s="1"/>
  <c r="BF53"/>
  <c r="BR53" s="1"/>
  <c r="BE54"/>
  <c r="BQ54" s="1"/>
  <c r="BD55"/>
  <c r="BG56"/>
  <c r="BS56" s="1"/>
  <c r="BF57"/>
  <c r="BR57" s="1"/>
  <c r="BE58"/>
  <c r="BQ58" s="1"/>
  <c r="BG65"/>
  <c r="BS65" s="1"/>
  <c r="BD59"/>
  <c r="BF66"/>
  <c r="BR66" s="1"/>
  <c r="BE67"/>
  <c r="BQ67" s="1"/>
  <c r="BP63"/>
  <c r="BP67"/>
  <c r="BF45"/>
  <c r="BR45" s="1"/>
  <c r="BD46"/>
  <c r="BG47"/>
  <c r="BS47" s="1"/>
  <c r="BF48"/>
  <c r="BR48" s="1"/>
  <c r="BE49"/>
  <c r="BQ49" s="1"/>
  <c r="BD50"/>
  <c r="BG51"/>
  <c r="BS51" s="1"/>
  <c r="BF52"/>
  <c r="BR52" s="1"/>
  <c r="BE62"/>
  <c r="BQ62" s="1"/>
  <c r="BE57"/>
  <c r="BQ57" s="1"/>
  <c r="BD58"/>
  <c r="BP58" s="1"/>
  <c r="BG59"/>
  <c r="BS59" s="1"/>
  <c r="BF60"/>
  <c r="BR60" s="1"/>
  <c r="BE61"/>
  <c r="BQ61" s="1"/>
  <c r="BP62"/>
  <c r="BP66"/>
  <c r="BE45"/>
  <c r="BQ45" s="1"/>
  <c r="BG46"/>
  <c r="BS46" s="1"/>
  <c r="BF47"/>
  <c r="BR47" s="1"/>
  <c r="BE48"/>
  <c r="BQ48" s="1"/>
  <c r="BD49"/>
  <c r="BP49" s="1"/>
  <c r="BG50"/>
  <c r="BS50" s="1"/>
  <c r="BF51"/>
  <c r="BR51" s="1"/>
  <c r="BE52"/>
  <c r="BQ52" s="1"/>
  <c r="BD53"/>
  <c r="BP53" s="1"/>
  <c r="BG54"/>
  <c r="BS54" s="1"/>
  <c r="BF55"/>
  <c r="BR55" s="1"/>
  <c r="BE56"/>
  <c r="BQ56" s="1"/>
  <c r="BD57"/>
  <c r="BP57" s="1"/>
  <c r="BG58"/>
  <c r="BS58" s="1"/>
  <c r="BF59"/>
  <c r="BR59" s="1"/>
  <c r="BE60"/>
  <c r="BQ60" s="1"/>
  <c r="BD61"/>
  <c r="BP61" s="1"/>
  <c r="BG62"/>
  <c r="BS62" s="1"/>
  <c r="BF63"/>
  <c r="BR63" s="1"/>
  <c r="BE64"/>
  <c r="BQ64" s="1"/>
  <c r="BD65"/>
  <c r="BG66"/>
  <c r="BS66" s="1"/>
  <c r="BF67"/>
  <c r="BR67" s="1"/>
  <c r="BG61"/>
  <c r="BS61" s="1"/>
  <c r="BP55"/>
  <c r="BP59"/>
  <c r="BG45"/>
  <c r="BS45" s="1"/>
  <c r="BE46"/>
  <c r="BQ46" s="1"/>
  <c r="BD47"/>
  <c r="BG48"/>
  <c r="BS48" s="1"/>
  <c r="BF49"/>
  <c r="BR49" s="1"/>
  <c r="BE50"/>
  <c r="BQ50" s="1"/>
  <c r="BD51"/>
  <c r="BG60"/>
  <c r="BS60" s="1"/>
  <c r="BF61"/>
  <c r="BR61" s="1"/>
  <c r="BP46"/>
  <c r="BP50"/>
  <c r="BE53"/>
  <c r="BQ53" s="1"/>
  <c r="BD54"/>
  <c r="BG55"/>
  <c r="BS55" s="1"/>
  <c r="BF56"/>
  <c r="BR56" s="1"/>
  <c r="BD45"/>
  <c r="BF46"/>
  <c r="BR46" s="1"/>
  <c r="BE47"/>
  <c r="BQ47" s="1"/>
  <c r="BD48"/>
  <c r="BG49"/>
  <c r="BS49" s="1"/>
  <c r="BF50"/>
  <c r="BR50" s="1"/>
  <c r="BE51"/>
  <c r="BQ51" s="1"/>
  <c r="BD52"/>
  <c r="BG53"/>
  <c r="BS53" s="1"/>
  <c r="BF54"/>
  <c r="BR54" s="1"/>
  <c r="BE55"/>
  <c r="BQ55" s="1"/>
  <c r="BD56"/>
  <c r="BG57"/>
  <c r="BS57" s="1"/>
  <c r="BF58"/>
  <c r="BR58" s="1"/>
  <c r="BE59"/>
  <c r="BQ59" s="1"/>
  <c r="BD60"/>
  <c r="AJ3"/>
  <c r="DQ3"/>
  <c r="DQ6" s="1"/>
  <c r="DP3"/>
  <c r="EC6"/>
  <c r="DZ6" s="1"/>
  <c r="CG32"/>
  <c r="AK37"/>
  <c r="AL37" s="1"/>
  <c r="AK41"/>
  <c r="AL41" s="1"/>
  <c r="AK45"/>
  <c r="AL45" s="1"/>
  <c r="AK49"/>
  <c r="AL49" s="1"/>
  <c r="AK21"/>
  <c r="AL21" s="1"/>
  <c r="AK33"/>
  <c r="AL33" s="1"/>
  <c r="DI5"/>
  <c r="DJ5" s="1"/>
  <c r="AK29"/>
  <c r="AL29" s="1"/>
  <c r="AK10"/>
  <c r="AL10" s="1"/>
  <c r="AK14"/>
  <c r="AL14" s="1"/>
  <c r="AK13"/>
  <c r="AL13" s="1"/>
  <c r="AK17"/>
  <c r="AL17" s="1"/>
  <c r="AK25"/>
  <c r="AL25" s="1"/>
  <c r="AJ17"/>
  <c r="AK18"/>
  <c r="AL18" s="1"/>
  <c r="AJ21"/>
  <c r="AK22"/>
  <c r="AL22" s="1"/>
  <c r="AJ25"/>
  <c r="AK26"/>
  <c r="AL26" s="1"/>
  <c r="AJ29"/>
  <c r="AK30"/>
  <c r="AL30" s="1"/>
  <c r="AJ33"/>
  <c r="AK34"/>
  <c r="AL34" s="1"/>
  <c r="AJ37"/>
  <c r="AK38"/>
  <c r="AL38" s="1"/>
  <c r="AJ41"/>
  <c r="AK42"/>
  <c r="AL42" s="1"/>
  <c r="AJ45"/>
  <c r="AK46"/>
  <c r="AL46" s="1"/>
  <c r="AJ49"/>
  <c r="AK50"/>
  <c r="AL50" s="1"/>
  <c r="AK11"/>
  <c r="AL11" s="1"/>
  <c r="AK15"/>
  <c r="AL15" s="1"/>
  <c r="AK19"/>
  <c r="AL19" s="1"/>
  <c r="AK23"/>
  <c r="AL23" s="1"/>
  <c r="AK27"/>
  <c r="AL27" s="1"/>
  <c r="AK31"/>
  <c r="AL31" s="1"/>
  <c r="AK35"/>
  <c r="AL35" s="1"/>
  <c r="AK39"/>
  <c r="AL39" s="1"/>
  <c r="AK43"/>
  <c r="AL43" s="1"/>
  <c r="AK47"/>
  <c r="AL47" s="1"/>
  <c r="AK51"/>
  <c r="AL51" s="1"/>
  <c r="AK12"/>
  <c r="AL12" s="1"/>
  <c r="AK16"/>
  <c r="AL16" s="1"/>
  <c r="AK20"/>
  <c r="AL20" s="1"/>
  <c r="AK24"/>
  <c r="AL24" s="1"/>
  <c r="AK28"/>
  <c r="AL28" s="1"/>
  <c r="AK32"/>
  <c r="AL32" s="1"/>
  <c r="AK36"/>
  <c r="AL36" s="1"/>
  <c r="AK40"/>
  <c r="AL40" s="1"/>
  <c r="AK44"/>
  <c r="AL44" s="1"/>
  <c r="AK48"/>
  <c r="AL48" s="1"/>
  <c r="AK52"/>
  <c r="AL52" s="1"/>
  <c r="DI6"/>
  <c r="DJ6" s="1"/>
  <c r="DJ4"/>
  <c r="DT9"/>
  <c r="K10"/>
  <c r="BT63" l="1"/>
  <c r="BT62"/>
  <c r="BT64"/>
  <c r="BT61"/>
  <c r="BT67"/>
  <c r="BP65"/>
  <c r="BT65"/>
  <c r="BT66"/>
  <c r="BP60"/>
  <c r="BT60"/>
  <c r="BP56"/>
  <c r="BT56"/>
  <c r="BP52"/>
  <c r="BT52"/>
  <c r="BT48"/>
  <c r="BP48"/>
  <c r="BT53"/>
  <c r="BT58"/>
  <c r="BT46"/>
  <c r="BT55"/>
  <c r="BP45"/>
  <c r="BT45"/>
  <c r="BT51"/>
  <c r="BP51"/>
  <c r="BT47"/>
  <c r="BP47"/>
  <c r="BT49"/>
  <c r="BT59"/>
  <c r="BT54"/>
  <c r="BP54"/>
  <c r="BT57"/>
  <c r="BT50"/>
  <c r="DJ3"/>
  <c r="DK5"/>
  <c r="DK3" s="1"/>
  <c r="DT5"/>
  <c r="EW6"/>
  <c r="DT13"/>
  <c r="EF6"/>
  <c r="DY6"/>
  <c r="DX6"/>
  <c r="BK14"/>
  <c r="BJ14"/>
  <c r="BI14"/>
  <c r="BH14"/>
  <c r="BK13"/>
  <c r="BJ13"/>
  <c r="BI13"/>
  <c r="BH13"/>
  <c r="BK12"/>
  <c r="BJ12"/>
  <c r="BI12"/>
  <c r="BH12"/>
  <c r="BK11"/>
  <c r="BJ11"/>
  <c r="BI11"/>
  <c r="BH11"/>
  <c r="BK10"/>
  <c r="BJ10"/>
  <c r="BI10"/>
  <c r="BH10"/>
  <c r="BK9"/>
  <c r="BJ9"/>
  <c r="BI9"/>
  <c r="BH9"/>
  <c r="BK8"/>
  <c r="BJ8"/>
  <c r="BI8"/>
  <c r="BH8"/>
  <c r="BK7"/>
  <c r="BJ7"/>
  <c r="BI7"/>
  <c r="BH7"/>
  <c r="BK6"/>
  <c r="BJ6"/>
  <c r="BI6"/>
  <c r="BH6"/>
  <c r="BK5"/>
  <c r="BJ5"/>
  <c r="BI5"/>
  <c r="BH5"/>
  <c r="BK4"/>
  <c r="BJ4"/>
  <c r="BI4"/>
  <c r="BH4"/>
  <c r="EV6" l="1"/>
  <c r="EX6"/>
  <c r="FC6"/>
  <c r="FA6"/>
  <c r="AV13" l="1"/>
  <c r="AV12"/>
  <c r="AV11"/>
  <c r="AV10"/>
  <c r="AV9"/>
  <c r="AV8"/>
  <c r="AV3"/>
  <c r="CD3" s="1"/>
  <c r="BY14"/>
  <c r="BY13"/>
  <c r="BY12"/>
  <c r="BY11"/>
  <c r="BY10"/>
  <c r="BY8"/>
  <c r="BY7"/>
  <c r="BY6"/>
  <c r="BY5"/>
  <c r="BY4"/>
  <c r="BK3"/>
  <c r="BH3"/>
  <c r="BX14" l="1"/>
  <c r="BX13"/>
  <c r="BX12"/>
  <c r="BX11"/>
  <c r="BX10"/>
  <c r="BX9"/>
  <c r="BX8"/>
  <c r="BX7"/>
  <c r="BX6"/>
  <c r="BX5"/>
  <c r="BX4"/>
  <c r="BX3"/>
  <c r="BW14"/>
  <c r="CE14" s="1"/>
  <c r="BW13"/>
  <c r="CE13" s="1"/>
  <c r="BW12"/>
  <c r="CE12" s="1"/>
  <c r="BW11"/>
  <c r="CE11" s="1"/>
  <c r="BW10"/>
  <c r="CE10" s="1"/>
  <c r="BW9"/>
  <c r="CE9" s="1"/>
  <c r="BW8"/>
  <c r="CE8" s="1"/>
  <c r="BW7"/>
  <c r="CE7" s="1"/>
  <c r="BW6"/>
  <c r="CE6" s="1"/>
  <c r="BW5"/>
  <c r="CE5" s="1"/>
  <c r="BW4"/>
  <c r="CE4" s="1"/>
  <c r="EK6"/>
  <c r="AD9"/>
  <c r="AD8"/>
  <c r="AD7"/>
  <c r="AD6"/>
  <c r="AD5"/>
  <c r="CB4" l="1"/>
  <c r="DT8"/>
  <c r="CF4"/>
  <c r="CF8"/>
  <c r="CF12"/>
  <c r="CF3"/>
  <c r="CF11"/>
  <c r="CF6"/>
  <c r="CF10"/>
  <c r="CF14"/>
  <c r="CF7"/>
  <c r="CF5"/>
  <c r="CF9"/>
  <c r="CF13"/>
  <c r="BZ3"/>
  <c r="DT12" l="1"/>
  <c r="DT10"/>
  <c r="CA3"/>
  <c r="AJ9"/>
  <c r="AJ8"/>
  <c r="AJ7"/>
  <c r="AJ6"/>
  <c r="AJ5"/>
  <c r="AJ4"/>
  <c r="AM3" l="1"/>
  <c r="AL3"/>
  <c r="CG6" l="1"/>
  <c r="N99" l="1"/>
  <c r="R99" s="1"/>
  <c r="M99"/>
  <c r="Q99" s="1"/>
  <c r="L99"/>
  <c r="P99" s="1"/>
  <c r="K99"/>
  <c r="O99" s="1"/>
  <c r="N98"/>
  <c r="R98" s="1"/>
  <c r="BG44" s="1"/>
  <c r="BS44" s="1"/>
  <c r="M98"/>
  <c r="Q98" s="1"/>
  <c r="BF44" s="1"/>
  <c r="BR44" s="1"/>
  <c r="L98"/>
  <c r="P98" s="1"/>
  <c r="BE44" s="1"/>
  <c r="BQ44" s="1"/>
  <c r="K98"/>
  <c r="O98" s="1"/>
  <c r="BD44" s="1"/>
  <c r="N97"/>
  <c r="R97" s="1"/>
  <c r="M97"/>
  <c r="Q97" s="1"/>
  <c r="L97"/>
  <c r="P97" s="1"/>
  <c r="K97"/>
  <c r="O97" s="1"/>
  <c r="N96"/>
  <c r="R96" s="1"/>
  <c r="BG43" s="1"/>
  <c r="BS43" s="1"/>
  <c r="M96"/>
  <c r="Q96" s="1"/>
  <c r="BF43" s="1"/>
  <c r="BR43" s="1"/>
  <c r="L96"/>
  <c r="P96" s="1"/>
  <c r="BE43" s="1"/>
  <c r="BQ43" s="1"/>
  <c r="K96"/>
  <c r="O96" s="1"/>
  <c r="BD43" s="1"/>
  <c r="N95"/>
  <c r="R95" s="1"/>
  <c r="M95"/>
  <c r="Q95" s="1"/>
  <c r="L95"/>
  <c r="P95" s="1"/>
  <c r="K95"/>
  <c r="O95" s="1"/>
  <c r="N94"/>
  <c r="R94" s="1"/>
  <c r="BG42" s="1"/>
  <c r="BS42" s="1"/>
  <c r="M94"/>
  <c r="Q94" s="1"/>
  <c r="BF42" s="1"/>
  <c r="BR42" s="1"/>
  <c r="L94"/>
  <c r="P94" s="1"/>
  <c r="BE42" s="1"/>
  <c r="BQ42" s="1"/>
  <c r="K94"/>
  <c r="O94" s="1"/>
  <c r="BD42" s="1"/>
  <c r="N93"/>
  <c r="R93" s="1"/>
  <c r="M93"/>
  <c r="Q93" s="1"/>
  <c r="L93"/>
  <c r="P93" s="1"/>
  <c r="K93"/>
  <c r="O93" s="1"/>
  <c r="N92"/>
  <c r="R92" s="1"/>
  <c r="M92"/>
  <c r="Q92" s="1"/>
  <c r="L92"/>
  <c r="P92" s="1"/>
  <c r="K92"/>
  <c r="O92" s="1"/>
  <c r="N91"/>
  <c r="R91" s="1"/>
  <c r="M91"/>
  <c r="Q91" s="1"/>
  <c r="L91"/>
  <c r="P91" s="1"/>
  <c r="K91"/>
  <c r="O91" s="1"/>
  <c r="N90"/>
  <c r="R90" s="1"/>
  <c r="M90"/>
  <c r="Q90" s="1"/>
  <c r="L90"/>
  <c r="P90" s="1"/>
  <c r="K90"/>
  <c r="O90" s="1"/>
  <c r="N89"/>
  <c r="R89" s="1"/>
  <c r="M89"/>
  <c r="Q89" s="1"/>
  <c r="L89"/>
  <c r="P89" s="1"/>
  <c r="K89"/>
  <c r="O89" s="1"/>
  <c r="N88"/>
  <c r="R88" s="1"/>
  <c r="M88"/>
  <c r="Q88" s="1"/>
  <c r="L88"/>
  <c r="P88" s="1"/>
  <c r="K88"/>
  <c r="O88" s="1"/>
  <c r="N87"/>
  <c r="R87" s="1"/>
  <c r="M87"/>
  <c r="Q87" s="1"/>
  <c r="L87"/>
  <c r="P87" s="1"/>
  <c r="K87"/>
  <c r="O87" s="1"/>
  <c r="N86"/>
  <c r="R86" s="1"/>
  <c r="M86"/>
  <c r="Q86" s="1"/>
  <c r="L86"/>
  <c r="P86" s="1"/>
  <c r="K86"/>
  <c r="O86" s="1"/>
  <c r="N85"/>
  <c r="R85" s="1"/>
  <c r="M85"/>
  <c r="Q85" s="1"/>
  <c r="L85"/>
  <c r="P85" s="1"/>
  <c r="K85"/>
  <c r="O85" s="1"/>
  <c r="N84"/>
  <c r="R84" s="1"/>
  <c r="M84"/>
  <c r="Q84" s="1"/>
  <c r="L84"/>
  <c r="P84" s="1"/>
  <c r="K84"/>
  <c r="O84" s="1"/>
  <c r="N83"/>
  <c r="R83" s="1"/>
  <c r="M83"/>
  <c r="Q83" s="1"/>
  <c r="L83"/>
  <c r="P83" s="1"/>
  <c r="K83"/>
  <c r="O83" s="1"/>
  <c r="N82"/>
  <c r="R82" s="1"/>
  <c r="M82"/>
  <c r="Q82" s="1"/>
  <c r="L82"/>
  <c r="P82" s="1"/>
  <c r="K82"/>
  <c r="O82" s="1"/>
  <c r="N81"/>
  <c r="R81" s="1"/>
  <c r="M81"/>
  <c r="Q81" s="1"/>
  <c r="L81"/>
  <c r="P81" s="1"/>
  <c r="K81"/>
  <c r="O81" s="1"/>
  <c r="N80"/>
  <c r="R80" s="1"/>
  <c r="M80"/>
  <c r="Q80" s="1"/>
  <c r="L80"/>
  <c r="P80" s="1"/>
  <c r="K80"/>
  <c r="O80" s="1"/>
  <c r="N79"/>
  <c r="R79" s="1"/>
  <c r="M79"/>
  <c r="Q79" s="1"/>
  <c r="L79"/>
  <c r="P79" s="1"/>
  <c r="K79"/>
  <c r="O79" s="1"/>
  <c r="N78"/>
  <c r="R78" s="1"/>
  <c r="M78"/>
  <c r="Q78" s="1"/>
  <c r="L78"/>
  <c r="P78" s="1"/>
  <c r="K78"/>
  <c r="O78" s="1"/>
  <c r="N77"/>
  <c r="R77" s="1"/>
  <c r="M77"/>
  <c r="Q77" s="1"/>
  <c r="L77"/>
  <c r="P77" s="1"/>
  <c r="K77"/>
  <c r="O77" s="1"/>
  <c r="N76"/>
  <c r="R76" s="1"/>
  <c r="M76"/>
  <c r="Q76" s="1"/>
  <c r="L76"/>
  <c r="P76" s="1"/>
  <c r="K76"/>
  <c r="O76" s="1"/>
  <c r="N75"/>
  <c r="R75" s="1"/>
  <c r="M75"/>
  <c r="Q75" s="1"/>
  <c r="L75"/>
  <c r="P75" s="1"/>
  <c r="K75"/>
  <c r="O75" s="1"/>
  <c r="N74"/>
  <c r="R74" s="1"/>
  <c r="M74"/>
  <c r="Q74" s="1"/>
  <c r="L74"/>
  <c r="P74" s="1"/>
  <c r="K74"/>
  <c r="O74" s="1"/>
  <c r="N73"/>
  <c r="R73" s="1"/>
  <c r="M73"/>
  <c r="Q73" s="1"/>
  <c r="L73"/>
  <c r="P73" s="1"/>
  <c r="K73"/>
  <c r="O73" s="1"/>
  <c r="N72"/>
  <c r="R72" s="1"/>
  <c r="M72"/>
  <c r="Q72" s="1"/>
  <c r="L72"/>
  <c r="P72" s="1"/>
  <c r="K72"/>
  <c r="O72" s="1"/>
  <c r="N71"/>
  <c r="R71" s="1"/>
  <c r="M71"/>
  <c r="Q71" s="1"/>
  <c r="L71"/>
  <c r="P71" s="1"/>
  <c r="K71"/>
  <c r="O71" s="1"/>
  <c r="N70"/>
  <c r="R70" s="1"/>
  <c r="M70"/>
  <c r="Q70" s="1"/>
  <c r="L70"/>
  <c r="P70" s="1"/>
  <c r="K70"/>
  <c r="O70" s="1"/>
  <c r="N69"/>
  <c r="R69" s="1"/>
  <c r="M69"/>
  <c r="Q69" s="1"/>
  <c r="L69"/>
  <c r="P69" s="1"/>
  <c r="K69"/>
  <c r="O69" s="1"/>
  <c r="N68"/>
  <c r="R68" s="1"/>
  <c r="M68"/>
  <c r="Q68" s="1"/>
  <c r="L68"/>
  <c r="P68" s="1"/>
  <c r="K68"/>
  <c r="O68" s="1"/>
  <c r="N67"/>
  <c r="R67" s="1"/>
  <c r="M67"/>
  <c r="Q67" s="1"/>
  <c r="L67"/>
  <c r="P67" s="1"/>
  <c r="K67"/>
  <c r="O67" s="1"/>
  <c r="N66"/>
  <c r="R66" s="1"/>
  <c r="M66"/>
  <c r="Q66" s="1"/>
  <c r="L66"/>
  <c r="P66" s="1"/>
  <c r="K66"/>
  <c r="O66" s="1"/>
  <c r="N65"/>
  <c r="R65" s="1"/>
  <c r="M65"/>
  <c r="Q65" s="1"/>
  <c r="L65"/>
  <c r="P65" s="1"/>
  <c r="K65"/>
  <c r="O65" s="1"/>
  <c r="N64"/>
  <c r="R64" s="1"/>
  <c r="M64"/>
  <c r="Q64" s="1"/>
  <c r="L64"/>
  <c r="P64" s="1"/>
  <c r="K64"/>
  <c r="O64" s="1"/>
  <c r="N63"/>
  <c r="R63" s="1"/>
  <c r="M63"/>
  <c r="Q63" s="1"/>
  <c r="L63"/>
  <c r="P63" s="1"/>
  <c r="K63"/>
  <c r="O63" s="1"/>
  <c r="N62"/>
  <c r="R62" s="1"/>
  <c r="M62"/>
  <c r="Q62" s="1"/>
  <c r="L62"/>
  <c r="P62" s="1"/>
  <c r="K62"/>
  <c r="O62" s="1"/>
  <c r="N61"/>
  <c r="R61" s="1"/>
  <c r="M61"/>
  <c r="Q61" s="1"/>
  <c r="L61"/>
  <c r="P61" s="1"/>
  <c r="K61"/>
  <c r="O61" s="1"/>
  <c r="N60"/>
  <c r="R60" s="1"/>
  <c r="M60"/>
  <c r="Q60" s="1"/>
  <c r="L60"/>
  <c r="P60" s="1"/>
  <c r="K60"/>
  <c r="O60" s="1"/>
  <c r="N59"/>
  <c r="R59" s="1"/>
  <c r="M59"/>
  <c r="Q59" s="1"/>
  <c r="L59"/>
  <c r="P59" s="1"/>
  <c r="K59"/>
  <c r="O59" s="1"/>
  <c r="N58"/>
  <c r="R58" s="1"/>
  <c r="M58"/>
  <c r="Q58" s="1"/>
  <c r="L58"/>
  <c r="P58" s="1"/>
  <c r="K58"/>
  <c r="O58" s="1"/>
  <c r="N57"/>
  <c r="R57" s="1"/>
  <c r="M57"/>
  <c r="Q57" s="1"/>
  <c r="L57"/>
  <c r="P57" s="1"/>
  <c r="K57"/>
  <c r="O57" s="1"/>
  <c r="N56"/>
  <c r="R56" s="1"/>
  <c r="M56"/>
  <c r="Q56" s="1"/>
  <c r="L56"/>
  <c r="P56" s="1"/>
  <c r="K56"/>
  <c r="O56" s="1"/>
  <c r="N55"/>
  <c r="R55" s="1"/>
  <c r="M55"/>
  <c r="Q55" s="1"/>
  <c r="L55"/>
  <c r="P55" s="1"/>
  <c r="K55"/>
  <c r="O55" s="1"/>
  <c r="N54"/>
  <c r="R54" s="1"/>
  <c r="M54"/>
  <c r="Q54" s="1"/>
  <c r="L54"/>
  <c r="P54" s="1"/>
  <c r="K54"/>
  <c r="O54" s="1"/>
  <c r="N53"/>
  <c r="R53" s="1"/>
  <c r="M53"/>
  <c r="Q53" s="1"/>
  <c r="L53"/>
  <c r="P53" s="1"/>
  <c r="K53"/>
  <c r="O53" s="1"/>
  <c r="N52"/>
  <c r="R52" s="1"/>
  <c r="M52"/>
  <c r="Q52" s="1"/>
  <c r="L52"/>
  <c r="P52" s="1"/>
  <c r="K52"/>
  <c r="O52" s="1"/>
  <c r="N51"/>
  <c r="R51" s="1"/>
  <c r="M51"/>
  <c r="Q51" s="1"/>
  <c r="L51"/>
  <c r="P51" s="1"/>
  <c r="K51"/>
  <c r="O51" s="1"/>
  <c r="N50"/>
  <c r="R50" s="1"/>
  <c r="M50"/>
  <c r="Q50" s="1"/>
  <c r="L50"/>
  <c r="P50" s="1"/>
  <c r="K50"/>
  <c r="O50" s="1"/>
  <c r="N49"/>
  <c r="R49" s="1"/>
  <c r="M49"/>
  <c r="Q49" s="1"/>
  <c r="L49"/>
  <c r="P49" s="1"/>
  <c r="K49"/>
  <c r="O49" s="1"/>
  <c r="N48"/>
  <c r="R48" s="1"/>
  <c r="M48"/>
  <c r="Q48" s="1"/>
  <c r="L48"/>
  <c r="P48" s="1"/>
  <c r="K48"/>
  <c r="O48" s="1"/>
  <c r="N47"/>
  <c r="R47" s="1"/>
  <c r="M47"/>
  <c r="Q47" s="1"/>
  <c r="L47"/>
  <c r="P47" s="1"/>
  <c r="K47"/>
  <c r="O47" s="1"/>
  <c r="N46"/>
  <c r="R46" s="1"/>
  <c r="M46"/>
  <c r="Q46" s="1"/>
  <c r="L46"/>
  <c r="P46" s="1"/>
  <c r="K46"/>
  <c r="O46" s="1"/>
  <c r="N45"/>
  <c r="R45" s="1"/>
  <c r="M45"/>
  <c r="Q45" s="1"/>
  <c r="L45"/>
  <c r="P45" s="1"/>
  <c r="K45"/>
  <c r="O45" s="1"/>
  <c r="N44"/>
  <c r="R44" s="1"/>
  <c r="M44"/>
  <c r="Q44" s="1"/>
  <c r="L44"/>
  <c r="P44" s="1"/>
  <c r="K44"/>
  <c r="O44" s="1"/>
  <c r="N43"/>
  <c r="R43" s="1"/>
  <c r="M43"/>
  <c r="Q43" s="1"/>
  <c r="L43"/>
  <c r="P43" s="1"/>
  <c r="K43"/>
  <c r="O43" s="1"/>
  <c r="N42"/>
  <c r="R42" s="1"/>
  <c r="M42"/>
  <c r="Q42" s="1"/>
  <c r="L42"/>
  <c r="P42" s="1"/>
  <c r="K42"/>
  <c r="O42" s="1"/>
  <c r="N41"/>
  <c r="R41" s="1"/>
  <c r="M41"/>
  <c r="Q41" s="1"/>
  <c r="L41"/>
  <c r="P41" s="1"/>
  <c r="K41"/>
  <c r="O41" s="1"/>
  <c r="N40"/>
  <c r="R40" s="1"/>
  <c r="M40"/>
  <c r="Q40" s="1"/>
  <c r="L40"/>
  <c r="P40" s="1"/>
  <c r="K40"/>
  <c r="O40" s="1"/>
  <c r="N39"/>
  <c r="R39" s="1"/>
  <c r="M39"/>
  <c r="Q39" s="1"/>
  <c r="L39"/>
  <c r="P39" s="1"/>
  <c r="K39"/>
  <c r="O39" s="1"/>
  <c r="N38"/>
  <c r="R38" s="1"/>
  <c r="M38"/>
  <c r="Q38" s="1"/>
  <c r="L38"/>
  <c r="P38" s="1"/>
  <c r="K38"/>
  <c r="O38" s="1"/>
  <c r="N37"/>
  <c r="R37" s="1"/>
  <c r="M37"/>
  <c r="Q37" s="1"/>
  <c r="L37"/>
  <c r="P37" s="1"/>
  <c r="K37"/>
  <c r="O37" s="1"/>
  <c r="N36"/>
  <c r="R36" s="1"/>
  <c r="M36"/>
  <c r="Q36" s="1"/>
  <c r="L36"/>
  <c r="P36" s="1"/>
  <c r="K36"/>
  <c r="O36" s="1"/>
  <c r="N35"/>
  <c r="R35" s="1"/>
  <c r="M35"/>
  <c r="Q35" s="1"/>
  <c r="L35"/>
  <c r="P35" s="1"/>
  <c r="K35"/>
  <c r="O35" s="1"/>
  <c r="N34"/>
  <c r="R34" s="1"/>
  <c r="M34"/>
  <c r="Q34" s="1"/>
  <c r="L34"/>
  <c r="P34" s="1"/>
  <c r="K34"/>
  <c r="O34" s="1"/>
  <c r="N33"/>
  <c r="R33" s="1"/>
  <c r="M33"/>
  <c r="Q33" s="1"/>
  <c r="L33"/>
  <c r="P33" s="1"/>
  <c r="K33"/>
  <c r="O33" s="1"/>
  <c r="N32"/>
  <c r="R32" s="1"/>
  <c r="M32"/>
  <c r="Q32" s="1"/>
  <c r="L32"/>
  <c r="P32" s="1"/>
  <c r="K32"/>
  <c r="O32" s="1"/>
  <c r="N31"/>
  <c r="R31" s="1"/>
  <c r="M31"/>
  <c r="Q31" s="1"/>
  <c r="L31"/>
  <c r="P31" s="1"/>
  <c r="K31"/>
  <c r="O31" s="1"/>
  <c r="N30"/>
  <c r="R30" s="1"/>
  <c r="M30"/>
  <c r="Q30" s="1"/>
  <c r="L30"/>
  <c r="P30" s="1"/>
  <c r="K30"/>
  <c r="O30" s="1"/>
  <c r="N29"/>
  <c r="R29" s="1"/>
  <c r="M29"/>
  <c r="Q29" s="1"/>
  <c r="L29"/>
  <c r="P29" s="1"/>
  <c r="K29"/>
  <c r="O29" s="1"/>
  <c r="N28"/>
  <c r="R28" s="1"/>
  <c r="M28"/>
  <c r="Q28" s="1"/>
  <c r="L28"/>
  <c r="P28" s="1"/>
  <c r="K28"/>
  <c r="O28" s="1"/>
  <c r="N27"/>
  <c r="R27" s="1"/>
  <c r="M27"/>
  <c r="Q27" s="1"/>
  <c r="L27"/>
  <c r="P27" s="1"/>
  <c r="K27"/>
  <c r="O27" s="1"/>
  <c r="N26"/>
  <c r="R26" s="1"/>
  <c r="M26"/>
  <c r="Q26" s="1"/>
  <c r="L26"/>
  <c r="P26" s="1"/>
  <c r="K26"/>
  <c r="O26" s="1"/>
  <c r="N25"/>
  <c r="R25" s="1"/>
  <c r="M25"/>
  <c r="Q25" s="1"/>
  <c r="L25"/>
  <c r="P25" s="1"/>
  <c r="K25"/>
  <c r="O25" s="1"/>
  <c r="N24"/>
  <c r="R24" s="1"/>
  <c r="M24"/>
  <c r="Q24" s="1"/>
  <c r="L24"/>
  <c r="P24" s="1"/>
  <c r="K24"/>
  <c r="O24" s="1"/>
  <c r="N23"/>
  <c r="R23" s="1"/>
  <c r="M23"/>
  <c r="Q23" s="1"/>
  <c r="L23"/>
  <c r="P23" s="1"/>
  <c r="K23"/>
  <c r="O23" s="1"/>
  <c r="N22"/>
  <c r="R22" s="1"/>
  <c r="M22"/>
  <c r="Q22" s="1"/>
  <c r="L22"/>
  <c r="P22" s="1"/>
  <c r="K22"/>
  <c r="O22" s="1"/>
  <c r="N21"/>
  <c r="R21" s="1"/>
  <c r="M21"/>
  <c r="Q21" s="1"/>
  <c r="L21"/>
  <c r="P21" s="1"/>
  <c r="K21"/>
  <c r="O21" s="1"/>
  <c r="N20"/>
  <c r="R20" s="1"/>
  <c r="M20"/>
  <c r="Q20" s="1"/>
  <c r="L20"/>
  <c r="P20" s="1"/>
  <c r="K20"/>
  <c r="O20" s="1"/>
  <c r="N19"/>
  <c r="R19" s="1"/>
  <c r="M19"/>
  <c r="Q19" s="1"/>
  <c r="L19"/>
  <c r="P19" s="1"/>
  <c r="K19"/>
  <c r="O19" s="1"/>
  <c r="N18"/>
  <c r="R18" s="1"/>
  <c r="M18"/>
  <c r="Q18" s="1"/>
  <c r="L18"/>
  <c r="P18" s="1"/>
  <c r="K18"/>
  <c r="O18" s="1"/>
  <c r="N17"/>
  <c r="R17" s="1"/>
  <c r="M17"/>
  <c r="Q17" s="1"/>
  <c r="L17"/>
  <c r="P17" s="1"/>
  <c r="K17"/>
  <c r="O17" s="1"/>
  <c r="N16"/>
  <c r="R16" s="1"/>
  <c r="M16"/>
  <c r="Q16" s="1"/>
  <c r="L16"/>
  <c r="P16" s="1"/>
  <c r="K16"/>
  <c r="O16" s="1"/>
  <c r="N15"/>
  <c r="R15" s="1"/>
  <c r="M15"/>
  <c r="Q15" s="1"/>
  <c r="L15"/>
  <c r="P15" s="1"/>
  <c r="K15"/>
  <c r="O15" s="1"/>
  <c r="CD14"/>
  <c r="CG14" s="1"/>
  <c r="N14"/>
  <c r="R14" s="1"/>
  <c r="M14"/>
  <c r="Q14" s="1"/>
  <c r="L14"/>
  <c r="P14" s="1"/>
  <c r="K14"/>
  <c r="O14" s="1"/>
  <c r="CD13"/>
  <c r="CG13" s="1"/>
  <c r="N13"/>
  <c r="R13" s="1"/>
  <c r="M13"/>
  <c r="Q13" s="1"/>
  <c r="L13"/>
  <c r="P13" s="1"/>
  <c r="K13"/>
  <c r="O13" s="1"/>
  <c r="CD12"/>
  <c r="CG12" s="1"/>
  <c r="N12"/>
  <c r="R12" s="1"/>
  <c r="M12"/>
  <c r="Q12" s="1"/>
  <c r="L12"/>
  <c r="P12" s="1"/>
  <c r="K12"/>
  <c r="O12" s="1"/>
  <c r="CD11"/>
  <c r="CG11" s="1"/>
  <c r="N11"/>
  <c r="R11" s="1"/>
  <c r="M11"/>
  <c r="Q11" s="1"/>
  <c r="L11"/>
  <c r="P11" s="1"/>
  <c r="K11"/>
  <c r="O11" s="1"/>
  <c r="CD10"/>
  <c r="CG10" s="1"/>
  <c r="N10"/>
  <c r="R10" s="1"/>
  <c r="M10"/>
  <c r="Q10" s="1"/>
  <c r="L10"/>
  <c r="P10" s="1"/>
  <c r="O10"/>
  <c r="CD9"/>
  <c r="CG9" s="1"/>
  <c r="AE9"/>
  <c r="N9"/>
  <c r="R9" s="1"/>
  <c r="M9"/>
  <c r="Q9" s="1"/>
  <c r="L9"/>
  <c r="P9" s="1"/>
  <c r="K9"/>
  <c r="O9" s="1"/>
  <c r="CD8"/>
  <c r="CG8" s="1"/>
  <c r="AE8"/>
  <c r="N8"/>
  <c r="R8" s="1"/>
  <c r="M8"/>
  <c r="Q8" s="1"/>
  <c r="L8"/>
  <c r="P8" s="1"/>
  <c r="K8"/>
  <c r="O8" s="1"/>
  <c r="CD7"/>
  <c r="CG7" s="1"/>
  <c r="AE7"/>
  <c r="N7"/>
  <c r="R7" s="1"/>
  <c r="M7"/>
  <c r="Q7" s="1"/>
  <c r="L7"/>
  <c r="P7" s="1"/>
  <c r="K7"/>
  <c r="O7" s="1"/>
  <c r="AE6"/>
  <c r="N6"/>
  <c r="R6" s="1"/>
  <c r="M6"/>
  <c r="Q6" s="1"/>
  <c r="L6"/>
  <c r="P6" s="1"/>
  <c r="K6"/>
  <c r="O6" s="1"/>
  <c r="CD5"/>
  <c r="AE5"/>
  <c r="N5"/>
  <c r="R5" s="1"/>
  <c r="M5"/>
  <c r="Q5" s="1"/>
  <c r="L5"/>
  <c r="P5" s="1"/>
  <c r="K5"/>
  <c r="O5" s="1"/>
  <c r="N4"/>
  <c r="R4" s="1"/>
  <c r="M4"/>
  <c r="Q4" s="1"/>
  <c r="L4"/>
  <c r="P4" s="1"/>
  <c r="K4"/>
  <c r="O4" s="1"/>
  <c r="BJ3"/>
  <c r="N3"/>
  <c r="R3" s="1"/>
  <c r="M3"/>
  <c r="Q3" s="1"/>
  <c r="L3"/>
  <c r="P3" s="1"/>
  <c r="O3"/>
  <c r="BG38" l="1"/>
  <c r="BS38" s="1"/>
  <c r="BG39"/>
  <c r="BS39" s="1"/>
  <c r="BG40"/>
  <c r="BS40" s="1"/>
  <c r="BG41"/>
  <c r="BS41" s="1"/>
  <c r="BF38"/>
  <c r="BR38" s="1"/>
  <c r="BF39"/>
  <c r="BR39" s="1"/>
  <c r="BF40"/>
  <c r="BR40" s="1"/>
  <c r="BF41"/>
  <c r="BR41" s="1"/>
  <c r="BE38"/>
  <c r="BQ38" s="1"/>
  <c r="BE39"/>
  <c r="BQ39" s="1"/>
  <c r="BE40"/>
  <c r="BQ40" s="1"/>
  <c r="BE41"/>
  <c r="BQ41" s="1"/>
  <c r="BP42"/>
  <c r="BT42"/>
  <c r="BP43"/>
  <c r="BT43"/>
  <c r="BP44"/>
  <c r="BT44"/>
  <c r="BD38"/>
  <c r="BP38" s="1"/>
  <c r="BD39"/>
  <c r="BP39" s="1"/>
  <c r="BD40"/>
  <c r="BD41"/>
  <c r="BP41" s="1"/>
  <c r="BT38"/>
  <c r="BD3"/>
  <c r="BD4"/>
  <c r="BP4" s="1"/>
  <c r="BD27"/>
  <c r="BP27" s="1"/>
  <c r="BD28"/>
  <c r="BP28" s="1"/>
  <c r="BD29"/>
  <c r="BP29" s="1"/>
  <c r="BD30"/>
  <c r="BP30" s="1"/>
  <c r="BD31"/>
  <c r="BP31" s="1"/>
  <c r="BD32"/>
  <c r="BP32" s="1"/>
  <c r="BD33"/>
  <c r="BP33" s="1"/>
  <c r="BD34"/>
  <c r="BP34" s="1"/>
  <c r="BD35"/>
  <c r="BP35" s="1"/>
  <c r="BD36"/>
  <c r="BP36" s="1"/>
  <c r="BD37"/>
  <c r="BP37" s="1"/>
  <c r="BD7"/>
  <c r="BP7" s="1"/>
  <c r="BD6"/>
  <c r="BP6" s="1"/>
  <c r="BD9"/>
  <c r="BP9" s="1"/>
  <c r="BD10"/>
  <c r="BP10" s="1"/>
  <c r="BD11"/>
  <c r="BP11" s="1"/>
  <c r="BD12"/>
  <c r="BP12" s="1"/>
  <c r="BD13"/>
  <c r="BP13" s="1"/>
  <c r="BD14"/>
  <c r="BP14" s="1"/>
  <c r="BD15"/>
  <c r="BP15" s="1"/>
  <c r="BD16"/>
  <c r="BP16" s="1"/>
  <c r="BD17"/>
  <c r="BP17" s="1"/>
  <c r="BD18"/>
  <c r="BP18" s="1"/>
  <c r="BD19"/>
  <c r="BP19" s="1"/>
  <c r="BD20"/>
  <c r="BP20" s="1"/>
  <c r="BD21"/>
  <c r="BP21" s="1"/>
  <c r="BD22"/>
  <c r="BP22" s="1"/>
  <c r="BD23"/>
  <c r="BP23" s="1"/>
  <c r="BD24"/>
  <c r="BP24" s="1"/>
  <c r="BD25"/>
  <c r="BP25" s="1"/>
  <c r="BD26"/>
  <c r="BP26" s="1"/>
  <c r="BD8"/>
  <c r="BP8" s="1"/>
  <c r="BD5"/>
  <c r="BP5" s="1"/>
  <c r="CH6"/>
  <c r="D14" s="1"/>
  <c r="AG4"/>
  <c r="DT3" s="1"/>
  <c r="BG28"/>
  <c r="BS28" s="1"/>
  <c r="BG30"/>
  <c r="BS30" s="1"/>
  <c r="BF30"/>
  <c r="BR30" s="1"/>
  <c r="BE29"/>
  <c r="BQ29" s="1"/>
  <c r="BG31"/>
  <c r="BS31" s="1"/>
  <c r="BG33"/>
  <c r="BS33" s="1"/>
  <c r="BG34"/>
  <c r="BS34" s="1"/>
  <c r="BF32"/>
  <c r="BR32" s="1"/>
  <c r="BF33"/>
  <c r="BR33" s="1"/>
  <c r="BE32"/>
  <c r="BQ32" s="1"/>
  <c r="BE35"/>
  <c r="BQ35" s="1"/>
  <c r="CG5"/>
  <c r="BF19"/>
  <c r="BR19" s="1"/>
  <c r="BF26"/>
  <c r="BR26" s="1"/>
  <c r="BG18"/>
  <c r="BS18" s="1"/>
  <c r="BF28"/>
  <c r="BR28" s="1"/>
  <c r="BE36"/>
  <c r="BQ36" s="1"/>
  <c r="BF37"/>
  <c r="BR37" s="1"/>
  <c r="BE20"/>
  <c r="BQ20" s="1"/>
  <c r="BF22"/>
  <c r="BR22" s="1"/>
  <c r="BF24"/>
  <c r="BR24" s="1"/>
  <c r="BF18"/>
  <c r="BR18" s="1"/>
  <c r="BE19"/>
  <c r="BQ19" s="1"/>
  <c r="BE18"/>
  <c r="BQ18" s="1"/>
  <c r="BG20"/>
  <c r="BS20" s="1"/>
  <c r="BF21"/>
  <c r="BR21" s="1"/>
  <c r="BF23"/>
  <c r="BR23" s="1"/>
  <c r="BF25"/>
  <c r="BR25" s="1"/>
  <c r="BF27"/>
  <c r="BR27" s="1"/>
  <c r="BF29"/>
  <c r="BR29" s="1"/>
  <c r="BE31"/>
  <c r="BQ31" s="1"/>
  <c r="BE15"/>
  <c r="BQ15" s="1"/>
  <c r="BF16"/>
  <c r="BR16" s="1"/>
  <c r="BG17"/>
  <c r="BS17" s="1"/>
  <c r="BG19"/>
  <c r="BS19" s="1"/>
  <c r="BF20"/>
  <c r="BR20" s="1"/>
  <c r="BE21"/>
  <c r="BQ21" s="1"/>
  <c r="BG22"/>
  <c r="BS22" s="1"/>
  <c r="BE23"/>
  <c r="BQ23" s="1"/>
  <c r="BG24"/>
  <c r="BS24" s="1"/>
  <c r="BE25"/>
  <c r="BQ25" s="1"/>
  <c r="BG26"/>
  <c r="BS26" s="1"/>
  <c r="BE27"/>
  <c r="BQ27" s="1"/>
  <c r="BF36"/>
  <c r="BR36" s="1"/>
  <c r="BG37"/>
  <c r="BS37" s="1"/>
  <c r="BE16"/>
  <c r="BQ16" s="1"/>
  <c r="BF17"/>
  <c r="BR17" s="1"/>
  <c r="BG15"/>
  <c r="BS15" s="1"/>
  <c r="BE17"/>
  <c r="BQ17" s="1"/>
  <c r="BG21"/>
  <c r="BS21" s="1"/>
  <c r="BE22"/>
  <c r="BQ22" s="1"/>
  <c r="BG23"/>
  <c r="BS23" s="1"/>
  <c r="BE24"/>
  <c r="BQ24" s="1"/>
  <c r="BG25"/>
  <c r="BS25" s="1"/>
  <c r="BE26"/>
  <c r="BQ26" s="1"/>
  <c r="BG27"/>
  <c r="BS27" s="1"/>
  <c r="BE28"/>
  <c r="BQ28" s="1"/>
  <c r="BG29"/>
  <c r="BS29" s="1"/>
  <c r="BE30"/>
  <c r="BQ30" s="1"/>
  <c r="BF31"/>
  <c r="BR31" s="1"/>
  <c r="BE33"/>
  <c r="BQ33" s="1"/>
  <c r="BF34"/>
  <c r="BR34" s="1"/>
  <c r="BG35"/>
  <c r="BS35" s="1"/>
  <c r="BE37"/>
  <c r="BQ37" s="1"/>
  <c r="BF15"/>
  <c r="BR15" s="1"/>
  <c r="BG16"/>
  <c r="BS16" s="1"/>
  <c r="BG32"/>
  <c r="BS32" s="1"/>
  <c r="BE34"/>
  <c r="BQ34" s="1"/>
  <c r="BF35"/>
  <c r="BR35" s="1"/>
  <c r="BG36"/>
  <c r="BS36" s="1"/>
  <c r="BF7"/>
  <c r="BR7" s="1"/>
  <c r="BF6"/>
  <c r="BR6" s="1"/>
  <c r="BF5"/>
  <c r="BR5" s="1"/>
  <c r="BF8"/>
  <c r="BR8" s="1"/>
  <c r="BE10"/>
  <c r="BQ10" s="1"/>
  <c r="BF10"/>
  <c r="BR10" s="1"/>
  <c r="BG10"/>
  <c r="BS10" s="1"/>
  <c r="BG13"/>
  <c r="BS13" s="1"/>
  <c r="BF9"/>
  <c r="BR9" s="1"/>
  <c r="BF14"/>
  <c r="BR14" s="1"/>
  <c r="DP6"/>
  <c r="BE4"/>
  <c r="BQ4" s="1"/>
  <c r="BG4"/>
  <c r="BS4" s="1"/>
  <c r="BF11"/>
  <c r="BR11" s="1"/>
  <c r="BF12"/>
  <c r="BR12" s="1"/>
  <c r="CG4"/>
  <c r="BG5"/>
  <c r="BS5" s="1"/>
  <c r="BG6"/>
  <c r="BS6" s="1"/>
  <c r="BG7"/>
  <c r="BS7" s="1"/>
  <c r="BG8"/>
  <c r="BS8" s="1"/>
  <c r="BG9"/>
  <c r="BS9" s="1"/>
  <c r="BG11"/>
  <c r="BS11" s="1"/>
  <c r="BG12"/>
  <c r="BS12" s="1"/>
  <c r="BE5"/>
  <c r="BQ5" s="1"/>
  <c r="BE6"/>
  <c r="BQ6" s="1"/>
  <c r="BE7"/>
  <c r="BQ7" s="1"/>
  <c r="BE8"/>
  <c r="BQ8" s="1"/>
  <c r="BE9"/>
  <c r="BQ9" s="1"/>
  <c r="BE11"/>
  <c r="BQ11" s="1"/>
  <c r="BE12"/>
  <c r="BQ12" s="1"/>
  <c r="BE13"/>
  <c r="BQ13" s="1"/>
  <c r="BF4"/>
  <c r="BR4" s="1"/>
  <c r="BG14"/>
  <c r="BS14" s="1"/>
  <c r="BF13"/>
  <c r="BR13" s="1"/>
  <c r="BE14"/>
  <c r="BQ14" s="1"/>
  <c r="BF3"/>
  <c r="BR3" s="1"/>
  <c r="AP3"/>
  <c r="AS3"/>
  <c r="BG3"/>
  <c r="BS3" s="1"/>
  <c r="AF5"/>
  <c r="AK5"/>
  <c r="AL5" s="1"/>
  <c r="AF8"/>
  <c r="AK8"/>
  <c r="AL8" s="1"/>
  <c r="AF6"/>
  <c r="AK6"/>
  <c r="AL6" s="1"/>
  <c r="AF9"/>
  <c r="AK9"/>
  <c r="AL9" s="1"/>
  <c r="AF4"/>
  <c r="AK4"/>
  <c r="AL4" s="1"/>
  <c r="AF7"/>
  <c r="AK7"/>
  <c r="AL7" s="1"/>
  <c r="BZ14"/>
  <c r="CA14" s="1"/>
  <c r="BZ11"/>
  <c r="CA11" s="1"/>
  <c r="BE3"/>
  <c r="BQ3" s="1"/>
  <c r="AP5"/>
  <c r="BZ13"/>
  <c r="CA13" s="1"/>
  <c r="BZ6"/>
  <c r="CA6" s="1"/>
  <c r="AS4"/>
  <c r="AR4"/>
  <c r="BZ5"/>
  <c r="CA5" s="1"/>
  <c r="BZ7"/>
  <c r="CA7" s="1"/>
  <c r="BZ10"/>
  <c r="CA10" s="1"/>
  <c r="BZ8"/>
  <c r="CA8" s="1"/>
  <c r="AR3"/>
  <c r="AQ4"/>
  <c r="AP4"/>
  <c r="AS5"/>
  <c r="AR5"/>
  <c r="AQ5"/>
  <c r="AQ3"/>
  <c r="BZ9"/>
  <c r="CA9" s="1"/>
  <c r="BZ12"/>
  <c r="CA12" s="1"/>
  <c r="BZ4"/>
  <c r="BT40" l="1"/>
  <c r="BT39"/>
  <c r="BP40"/>
  <c r="BT41"/>
  <c r="AT3"/>
  <c r="AT5" s="1"/>
  <c r="BT3"/>
  <c r="BT9"/>
  <c r="CB5"/>
  <c r="CB3" s="1"/>
  <c r="BT11"/>
  <c r="BT17"/>
  <c r="BT36"/>
  <c r="BT32"/>
  <c r="BT26"/>
  <c r="BT22"/>
  <c r="BT18"/>
  <c r="BT4"/>
  <c r="BT14"/>
  <c r="BT12"/>
  <c r="BT30"/>
  <c r="BT15"/>
  <c r="BT19"/>
  <c r="BT21"/>
  <c r="BT29"/>
  <c r="BT34"/>
  <c r="BT5"/>
  <c r="BT6"/>
  <c r="BT28"/>
  <c r="BT24"/>
  <c r="BT25"/>
  <c r="BT13"/>
  <c r="BT8"/>
  <c r="BT10"/>
  <c r="BT7"/>
  <c r="BT37"/>
  <c r="BT33"/>
  <c r="BT16"/>
  <c r="BT20"/>
  <c r="BT23"/>
  <c r="BT27"/>
  <c r="BT35"/>
  <c r="BT31"/>
  <c r="AG3"/>
  <c r="EG6" s="1"/>
  <c r="AT7"/>
  <c r="EN6" s="1"/>
  <c r="AT9"/>
  <c r="EP6" s="1"/>
  <c r="AT8"/>
  <c r="EO6" s="1"/>
  <c r="AT6"/>
  <c r="EM6" s="1"/>
  <c r="ES6"/>
  <c r="ET6"/>
  <c r="DT4"/>
  <c r="DT6" s="1"/>
  <c r="DP5"/>
  <c r="AM4"/>
  <c r="AM5" s="1"/>
  <c r="EH6"/>
  <c r="CA4"/>
  <c r="DX7" l="1"/>
  <c r="C26"/>
  <c r="DT14"/>
  <c r="DT15" s="1"/>
  <c r="ER6"/>
  <c r="EL6"/>
  <c r="DP4"/>
  <c r="AG5"/>
  <c r="EI6" s="1"/>
</calcChain>
</file>

<file path=xl/sharedStrings.xml><?xml version="1.0" encoding="utf-8"?>
<sst xmlns="http://schemas.openxmlformats.org/spreadsheetml/2006/main" count="222" uniqueCount="136">
  <si>
    <t>Largura</t>
  </si>
  <si>
    <t>Espessura</t>
  </si>
  <si>
    <t>Itens</t>
  </si>
  <si>
    <t>i</t>
  </si>
  <si>
    <t>t</t>
  </si>
  <si>
    <t>Demandas de itens</t>
  </si>
  <si>
    <t>k</t>
  </si>
  <si>
    <t>Máquinas</t>
  </si>
  <si>
    <t>Capacidade</t>
  </si>
  <si>
    <t>esp. Max</t>
  </si>
  <si>
    <t>compr. Min</t>
  </si>
  <si>
    <t>compr. Max</t>
  </si>
  <si>
    <t>max Itens</t>
  </si>
  <si>
    <t>Demanda</t>
  </si>
  <si>
    <t>est Ini</t>
  </si>
  <si>
    <t>Compr.</t>
  </si>
  <si>
    <t>estMin</t>
  </si>
  <si>
    <t>estMax</t>
  </si>
  <si>
    <t>custoEst</t>
  </si>
  <si>
    <t>Períodos</t>
  </si>
  <si>
    <t>Padrões</t>
  </si>
  <si>
    <t>Estoques dos itens</t>
  </si>
  <si>
    <t>Produção dos itens</t>
  </si>
  <si>
    <t>Demanda dos itens</t>
  </si>
  <si>
    <t>Padrão</t>
  </si>
  <si>
    <t>Item</t>
  </si>
  <si>
    <t>Qtd</t>
  </si>
  <si>
    <t>Custo</t>
  </si>
  <si>
    <t>f</t>
  </si>
  <si>
    <t>p</t>
  </si>
  <si>
    <t>pm</t>
  </si>
  <si>
    <t>t=0</t>
  </si>
  <si>
    <t>t=1</t>
  </si>
  <si>
    <t>t=2</t>
  </si>
  <si>
    <t>t=3</t>
  </si>
  <si>
    <t>t=4</t>
  </si>
  <si>
    <t>Resultado</t>
  </si>
  <si>
    <t>Valor</t>
  </si>
  <si>
    <t>Gap</t>
  </si>
  <si>
    <t>Solução</t>
  </si>
  <si>
    <t>Tempo (s)</t>
  </si>
  <si>
    <t>Total</t>
  </si>
  <si>
    <t>Decaimento da FO</t>
  </si>
  <si>
    <t>Soma</t>
  </si>
  <si>
    <t>Instruções:</t>
  </si>
  <si>
    <t>* Tabela "Itens" ordenada por i</t>
  </si>
  <si>
    <t>* Tabela "Objetos" ordenada por k</t>
  </si>
  <si>
    <t>* Tabela "Máquinas" ordenada por m</t>
  </si>
  <si>
    <t>* Tabela "Períodos" ordenada por t</t>
  </si>
  <si>
    <t>Perda Total</t>
  </si>
  <si>
    <t>Peso</t>
  </si>
  <si>
    <t>Problema Relaxado</t>
  </si>
  <si>
    <t>Problema Inteiro</t>
  </si>
  <si>
    <t>LB-inteiro</t>
  </si>
  <si>
    <t>LB-relaxado</t>
  </si>
  <si>
    <t>Nº</t>
  </si>
  <si>
    <t>Período</t>
  </si>
  <si>
    <t>Barra</t>
  </si>
  <si>
    <t>Máquina</t>
  </si>
  <si>
    <t>Padrões Utilizados</t>
  </si>
  <si>
    <t>Análise da Perda</t>
  </si>
  <si>
    <t>Compr</t>
  </si>
  <si>
    <t>Compr Total</t>
  </si>
  <si>
    <t>T</t>
  </si>
  <si>
    <t>P1</t>
  </si>
  <si>
    <t>P2</t>
  </si>
  <si>
    <t>P3</t>
  </si>
  <si>
    <t>P4</t>
  </si>
  <si>
    <t>Análise ocupação de estoque de itens</t>
  </si>
  <si>
    <t>Custo Estoque Itens</t>
  </si>
  <si>
    <t>E min</t>
  </si>
  <si>
    <t>Amplitude</t>
  </si>
  <si>
    <t>E médio</t>
  </si>
  <si>
    <t>Dif</t>
  </si>
  <si>
    <t>Ocupação média</t>
  </si>
  <si>
    <t>Média</t>
  </si>
  <si>
    <t>Min</t>
  </si>
  <si>
    <t>Composição da FO</t>
  </si>
  <si>
    <t>Perda</t>
  </si>
  <si>
    <t>Estoque Itens</t>
  </si>
  <si>
    <t>Perda min</t>
  </si>
  <si>
    <t>Estoque Min Item</t>
  </si>
  <si>
    <t>Diferença %</t>
  </si>
  <si>
    <t>Análise da Perda - Peso</t>
  </si>
  <si>
    <t>Peso Perda</t>
  </si>
  <si>
    <t>Peso T Perda</t>
  </si>
  <si>
    <t>Peso T</t>
  </si>
  <si>
    <t>Colunas</t>
  </si>
  <si>
    <t>Subproblemas</t>
  </si>
  <si>
    <t>Cest</t>
  </si>
  <si>
    <t>Exemplo</t>
  </si>
  <si>
    <t>Subgrupos</t>
  </si>
  <si>
    <t>Capacidade Total</t>
  </si>
  <si>
    <t>Capacidade Utilizada</t>
  </si>
  <si>
    <t>Tempo Computacional</t>
  </si>
  <si>
    <t>FO</t>
  </si>
  <si>
    <t>Colunas Geradas</t>
  </si>
  <si>
    <t>Iniciais</t>
  </si>
  <si>
    <t>Geradas</t>
  </si>
  <si>
    <t>Utilizadas</t>
  </si>
  <si>
    <t>Barras Utilizadas</t>
  </si>
  <si>
    <t>Total Cortado</t>
  </si>
  <si>
    <t>Perda %</t>
  </si>
  <si>
    <t>Custo Estoque</t>
  </si>
  <si>
    <t>Iterações</t>
  </si>
  <si>
    <t>Mestre Relaxado</t>
  </si>
  <si>
    <t>Subproblema</t>
  </si>
  <si>
    <t>Mestre Inteiro</t>
  </si>
  <si>
    <t>Por Iteração</t>
  </si>
  <si>
    <t>Max</t>
  </si>
  <si>
    <t>Custo %</t>
  </si>
  <si>
    <t>Objetos</t>
  </si>
  <si>
    <t>Feixe</t>
  </si>
  <si>
    <t>Demandas de Feixes</t>
  </si>
  <si>
    <t>Estoques dos feixes</t>
  </si>
  <si>
    <t>Produção dos feixes</t>
  </si>
  <si>
    <t>Demanda dos feixes</t>
  </si>
  <si>
    <t>Para Produção de feixes</t>
  </si>
  <si>
    <t>Análise ocupação de estoque de feixes</t>
  </si>
  <si>
    <t>Custo Estoque Feixes</t>
  </si>
  <si>
    <t>Testes</t>
  </si>
  <si>
    <t>Erro?</t>
  </si>
  <si>
    <t>Objetos Utilizados</t>
  </si>
  <si>
    <t>Padrões Inseridos</t>
  </si>
  <si>
    <t>Estoque Feixes</t>
  </si>
  <si>
    <t>Estoque Min Feixes</t>
  </si>
  <si>
    <t>Perda max</t>
  </si>
  <si>
    <t>Estoque Max Item</t>
  </si>
  <si>
    <t>Estoque Max Feixes</t>
  </si>
  <si>
    <t>Ocupação %</t>
  </si>
  <si>
    <t>estIni</t>
  </si>
  <si>
    <t>* Tabela "Demanda de itens" ordenada por i e t</t>
  </si>
  <si>
    <t>* Tabela "Compras e ..." ordenada por k e t</t>
  </si>
  <si>
    <t>* Tabela "Capacidade" ordenada por m e t</t>
  </si>
  <si>
    <t>PF</t>
  </si>
  <si>
    <t>maxIt</t>
  </si>
</sst>
</file>

<file path=xl/styles.xml><?xml version="1.0" encoding="utf-8"?>
<styleSheet xmlns="http://schemas.openxmlformats.org/spreadsheetml/2006/main">
  <numFmts count="3">
    <numFmt numFmtId="164" formatCode="0.0"/>
    <numFmt numFmtId="165" formatCode="#,##0.0"/>
    <numFmt numFmtId="166" formatCode="0.000%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8">
    <xf numFmtId="0" fontId="0" fillId="0" borderId="0" xfId="0"/>
    <xf numFmtId="0" fontId="2" fillId="0" borderId="0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3" borderId="2" xfId="0" applyFont="1" applyFill="1" applyBorder="1" applyAlignment="1">
      <alignment horizontal="center"/>
    </xf>
    <xf numFmtId="21" fontId="2" fillId="0" borderId="0" xfId="0" applyNumberFormat="1" applyFont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0" fontId="2" fillId="0" borderId="0" xfId="1" applyNumberFormat="1" applyFont="1" applyBorder="1" applyAlignment="1">
      <alignment horizontal="center"/>
    </xf>
    <xf numFmtId="10" fontId="3" fillId="0" borderId="1" xfId="1" applyNumberFormat="1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10" fontId="2" fillId="0" borderId="0" xfId="1" applyNumberFormat="1" applyFont="1" applyAlignment="1">
      <alignment horizontal="center"/>
    </xf>
    <xf numFmtId="166" fontId="3" fillId="0" borderId="1" xfId="1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10" fontId="2" fillId="0" borderId="1" xfId="1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3" fontId="2" fillId="0" borderId="0" xfId="0" applyNumberFormat="1" applyFont="1" applyBorder="1" applyAlignment="1">
      <alignment horizontal="center"/>
    </xf>
    <xf numFmtId="11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0" fontId="2" fillId="0" borderId="1" xfId="1" applyNumberFormat="1" applyFont="1" applyBorder="1" applyAlignment="1">
      <alignment horizontal="center" vertical="center"/>
    </xf>
    <xf numFmtId="10" fontId="2" fillId="0" borderId="1" xfId="1" applyNumberFormat="1" applyFont="1" applyBorder="1"/>
    <xf numFmtId="10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10" fontId="3" fillId="0" borderId="0" xfId="1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0" borderId="8" xfId="0" applyFont="1" applyBorder="1" applyAlignment="1"/>
    <xf numFmtId="0" fontId="2" fillId="0" borderId="0" xfId="0" applyFont="1" applyBorder="1" applyAlignment="1"/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2" fillId="0" borderId="0" xfId="0" applyFont="1" applyAlignment="1">
      <alignment horizontal="center" wrapText="1"/>
    </xf>
    <xf numFmtId="1" fontId="2" fillId="0" borderId="1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wrapText="1"/>
    </xf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10" fontId="2" fillId="3" borderId="1" xfId="1" applyNumberFormat="1" applyFont="1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</xdr:row>
      <xdr:rowOff>114300</xdr:rowOff>
    </xdr:from>
    <xdr:to>
      <xdr:col>1</xdr:col>
      <xdr:colOff>3248025</xdr:colOff>
      <xdr:row>7</xdr:row>
      <xdr:rowOff>85725</xdr:rowOff>
    </xdr:to>
    <xdr:sp macro="[0]!prepara_matriz" textlink="">
      <xdr:nvSpPr>
        <xdr:cNvPr id="2" name="Retângulo 1">
          <a:extLst>
            <a:ext uri="{FF2B5EF4-FFF2-40B4-BE49-F238E27FC236}">
              <a16:creationId xmlns="" xmlns:a16="http://schemas.microsoft.com/office/drawing/2014/main" id="{25CF1FB3-D933-495E-89A5-CA7B6140AFB0}"/>
            </a:ext>
          </a:extLst>
        </xdr:cNvPr>
        <xdr:cNvSpPr/>
      </xdr:nvSpPr>
      <xdr:spPr>
        <a:xfrm>
          <a:off x="209550" y="276225"/>
          <a:ext cx="3124200" cy="942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atin typeface="Arial" panose="020B0604020202020204" pitchFamily="34" charset="0"/>
              <a:cs typeface="Arial" panose="020B0604020202020204" pitchFamily="34" charset="0"/>
            </a:rPr>
            <a:t>Gerar instância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2</xdr:row>
      <xdr:rowOff>66676</xdr:rowOff>
    </xdr:from>
    <xdr:to>
      <xdr:col>3</xdr:col>
      <xdr:colOff>238125</xdr:colOff>
      <xdr:row>7</xdr:row>
      <xdr:rowOff>95251</xdr:rowOff>
    </xdr:to>
    <xdr:sp macro="[0]!puxa_resultados" textlink="">
      <xdr:nvSpPr>
        <xdr:cNvPr id="2" name="Retângulo 1">
          <a:extLst>
            <a:ext uri="{FF2B5EF4-FFF2-40B4-BE49-F238E27FC236}">
              <a16:creationId xmlns="" xmlns:a16="http://schemas.microsoft.com/office/drawing/2014/main" id="{413A1463-B457-4192-A0EB-362A0AC81F04}"/>
            </a:ext>
          </a:extLst>
        </xdr:cNvPr>
        <xdr:cNvSpPr/>
      </xdr:nvSpPr>
      <xdr:spPr>
        <a:xfrm>
          <a:off x="352425" y="390526"/>
          <a:ext cx="1971675" cy="838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atin typeface="Arial" panose="020B0604020202020204" pitchFamily="34" charset="0"/>
              <a:cs typeface="Arial" panose="020B0604020202020204" pitchFamily="34" charset="0"/>
            </a:rPr>
            <a:t>Importar resultados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ilha1"/>
  <dimension ref="B1:AR282"/>
  <sheetViews>
    <sheetView showGridLines="0" zoomScale="90" zoomScaleNormal="90" workbookViewId="0">
      <selection activeCell="U2" sqref="U2"/>
    </sheetView>
  </sheetViews>
  <sheetFormatPr defaultRowHeight="12.75"/>
  <cols>
    <col min="1" max="1" width="1.42578125" style="1" customWidth="1"/>
    <col min="2" max="2" width="37" style="1" customWidth="1"/>
    <col min="3" max="3" width="1.42578125" style="1" customWidth="1"/>
    <col min="4" max="4" width="4.42578125" style="1" bestFit="1" customWidth="1"/>
    <col min="5" max="5" width="7.5703125" style="1" bestFit="1" customWidth="1"/>
    <col min="6" max="6" width="9" style="1" bestFit="1" customWidth="1"/>
    <col min="7" max="7" width="6.7109375" style="1" bestFit="1" customWidth="1"/>
    <col min="8" max="8" width="5.5703125" style="1" customWidth="1"/>
    <col min="9" max="9" width="6.42578125" style="1" bestFit="1" customWidth="1"/>
    <col min="10" max="10" width="6.5703125" style="1" bestFit="1" customWidth="1"/>
    <col min="11" max="11" width="7.5703125" style="1" bestFit="1" customWidth="1"/>
    <col min="12" max="12" width="5.140625" style="1" bestFit="1" customWidth="1"/>
    <col min="13" max="13" width="5.140625" style="1" customWidth="1"/>
    <col min="14" max="14" width="1.42578125" style="1" customWidth="1"/>
    <col min="15" max="15" width="4.42578125" style="1" bestFit="1" customWidth="1"/>
    <col min="16" max="16" width="7" style="1" bestFit="1" customWidth="1"/>
    <col min="17" max="17" width="8.140625" style="1" bestFit="1" customWidth="1"/>
    <col min="18" max="18" width="1.42578125" style="1" customWidth="1"/>
    <col min="19" max="19" width="3.28515625" style="1" bestFit="1" customWidth="1"/>
    <col min="20" max="20" width="7.5703125" style="1" bestFit="1" customWidth="1"/>
    <col min="21" max="21" width="9" style="1" bestFit="1" customWidth="1"/>
    <col min="22" max="22" width="6.7109375" style="1" bestFit="1" customWidth="1"/>
    <col min="23" max="23" width="1.42578125" style="1" customWidth="1"/>
    <col min="24" max="24" width="2.85546875" style="1" bestFit="1" customWidth="1"/>
    <col min="25" max="25" width="7.7109375" style="1" bestFit="1" customWidth="1"/>
    <col min="26" max="26" width="9.85546875" style="1" bestFit="1" customWidth="1"/>
    <col min="27" max="27" width="10" style="1" bestFit="1" customWidth="1"/>
    <col min="28" max="28" width="8.42578125" style="1" bestFit="1" customWidth="1"/>
    <col min="29" max="29" width="1.28515625" style="1" customWidth="1"/>
    <col min="30" max="30" width="2.85546875" style="1" bestFit="1" customWidth="1"/>
    <col min="31" max="31" width="7" style="1" bestFit="1" customWidth="1"/>
    <col min="32" max="32" width="9.7109375" style="1" bestFit="1" customWidth="1"/>
    <col min="33" max="33" width="1.28515625" style="1" customWidth="1"/>
    <col min="34" max="34" width="7.85546875" style="1" bestFit="1" customWidth="1"/>
    <col min="35" max="35" width="1.28515625" style="1" customWidth="1"/>
    <col min="36" max="36" width="3.28515625" style="1" bestFit="1" customWidth="1"/>
    <col min="37" max="37" width="5.85546875" style="1" bestFit="1" customWidth="1"/>
    <col min="38" max="38" width="6.42578125" style="1" bestFit="1" customWidth="1"/>
    <col min="39" max="39" width="6.5703125" style="1" bestFit="1" customWidth="1"/>
    <col min="40" max="40" width="7.5703125" style="1" bestFit="1" customWidth="1"/>
    <col min="41" max="41" width="1.28515625" style="1" customWidth="1"/>
    <col min="42" max="42" width="5.140625" style="1" bestFit="1" customWidth="1"/>
    <col min="43" max="43" width="7" style="1" bestFit="1" customWidth="1"/>
    <col min="44" max="44" width="8.140625" style="1" bestFit="1" customWidth="1"/>
    <col min="45" max="16384" width="9.140625" style="1"/>
  </cols>
  <sheetData>
    <row r="1" spans="2:44">
      <c r="D1" s="65" t="s">
        <v>2</v>
      </c>
      <c r="E1" s="65"/>
      <c r="F1" s="65"/>
      <c r="G1" s="65"/>
      <c r="H1" s="65"/>
      <c r="I1" s="65"/>
      <c r="J1" s="65"/>
      <c r="K1" s="65"/>
      <c r="L1" s="65"/>
      <c r="M1" s="65"/>
      <c r="O1" s="65" t="s">
        <v>5</v>
      </c>
      <c r="P1" s="65"/>
      <c r="Q1" s="65"/>
      <c r="S1" s="65" t="s">
        <v>111</v>
      </c>
      <c r="T1" s="65"/>
      <c r="U1" s="65"/>
      <c r="V1" s="65"/>
      <c r="X1" s="65" t="s">
        <v>7</v>
      </c>
      <c r="Y1" s="65"/>
      <c r="Z1" s="65"/>
      <c r="AA1" s="65"/>
      <c r="AB1" s="65"/>
      <c r="AD1" s="65" t="s">
        <v>8</v>
      </c>
      <c r="AE1" s="65"/>
      <c r="AF1" s="65"/>
      <c r="AH1" s="57" t="s">
        <v>19</v>
      </c>
      <c r="AJ1" s="65" t="s">
        <v>112</v>
      </c>
      <c r="AK1" s="65"/>
      <c r="AL1" s="65"/>
      <c r="AM1" s="65"/>
      <c r="AN1" s="65"/>
      <c r="AP1" s="65" t="s">
        <v>113</v>
      </c>
      <c r="AQ1" s="65"/>
      <c r="AR1" s="65"/>
    </row>
    <row r="2" spans="2:44">
      <c r="D2" s="57" t="s">
        <v>55</v>
      </c>
      <c r="E2" s="57" t="s">
        <v>0</v>
      </c>
      <c r="F2" s="57" t="s">
        <v>1</v>
      </c>
      <c r="G2" s="57" t="s">
        <v>15</v>
      </c>
      <c r="H2" s="57" t="s">
        <v>130</v>
      </c>
      <c r="I2" s="57" t="s">
        <v>16</v>
      </c>
      <c r="J2" s="57" t="s">
        <v>17</v>
      </c>
      <c r="K2" s="57" t="s">
        <v>18</v>
      </c>
      <c r="L2" s="57" t="s">
        <v>112</v>
      </c>
      <c r="M2" s="57" t="s">
        <v>26</v>
      </c>
      <c r="O2" s="57" t="s">
        <v>25</v>
      </c>
      <c r="P2" s="57" t="s">
        <v>56</v>
      </c>
      <c r="Q2" s="57" t="s">
        <v>13</v>
      </c>
      <c r="S2" s="57" t="s">
        <v>55</v>
      </c>
      <c r="T2" s="57" t="s">
        <v>0</v>
      </c>
      <c r="U2" s="57" t="s">
        <v>1</v>
      </c>
      <c r="V2" s="57" t="s">
        <v>15</v>
      </c>
      <c r="X2" s="57" t="s">
        <v>55</v>
      </c>
      <c r="Y2" s="57" t="s">
        <v>9</v>
      </c>
      <c r="Z2" s="57" t="s">
        <v>10</v>
      </c>
      <c r="AA2" s="57" t="s">
        <v>11</v>
      </c>
      <c r="AB2" s="57" t="s">
        <v>12</v>
      </c>
      <c r="AD2" s="57" t="s">
        <v>55</v>
      </c>
      <c r="AE2" s="57" t="s">
        <v>56</v>
      </c>
      <c r="AF2" s="57" t="s">
        <v>8</v>
      </c>
      <c r="AH2" s="57" t="s">
        <v>55</v>
      </c>
      <c r="AJ2" s="57" t="s">
        <v>55</v>
      </c>
      <c r="AK2" s="57" t="s">
        <v>14</v>
      </c>
      <c r="AL2" s="57" t="s">
        <v>16</v>
      </c>
      <c r="AM2" s="57" t="s">
        <v>17</v>
      </c>
      <c r="AN2" s="57" t="s">
        <v>18</v>
      </c>
      <c r="AP2" s="57" t="s">
        <v>112</v>
      </c>
      <c r="AQ2" s="57" t="s">
        <v>56</v>
      </c>
      <c r="AR2" s="57" t="s">
        <v>13</v>
      </c>
    </row>
    <row r="3" spans="2:44">
      <c r="D3" s="4">
        <v>1</v>
      </c>
      <c r="E3" s="4">
        <v>66</v>
      </c>
      <c r="F3" s="4">
        <v>11</v>
      </c>
      <c r="G3" s="4">
        <v>995</v>
      </c>
      <c r="H3" s="4">
        <v>45</v>
      </c>
      <c r="I3" s="4">
        <v>45</v>
      </c>
      <c r="J3" s="4">
        <v>90</v>
      </c>
      <c r="K3" s="59">
        <v>204</v>
      </c>
      <c r="L3" s="4">
        <v>3</v>
      </c>
      <c r="M3" s="4">
        <v>3</v>
      </c>
      <c r="N3" s="4"/>
      <c r="O3" s="4">
        <v>1</v>
      </c>
      <c r="P3" s="4">
        <v>1</v>
      </c>
      <c r="Q3" s="4">
        <v>0</v>
      </c>
      <c r="R3" s="4"/>
      <c r="S3" s="4">
        <v>1</v>
      </c>
      <c r="T3" s="4">
        <v>66</v>
      </c>
      <c r="U3" s="4">
        <v>11</v>
      </c>
      <c r="V3" s="4">
        <v>5349</v>
      </c>
      <c r="W3" s="4"/>
      <c r="X3" s="4">
        <v>1</v>
      </c>
      <c r="Y3" s="4">
        <v>35</v>
      </c>
      <c r="Z3" s="4">
        <v>0</v>
      </c>
      <c r="AA3" s="4">
        <v>9999</v>
      </c>
      <c r="AB3" s="4">
        <v>3</v>
      </c>
      <c r="AC3" s="4"/>
      <c r="AD3" s="4">
        <v>1</v>
      </c>
      <c r="AE3" s="4">
        <v>1</v>
      </c>
      <c r="AF3" s="4">
        <v>1403</v>
      </c>
      <c r="AG3" s="4"/>
      <c r="AH3" s="4">
        <v>1</v>
      </c>
      <c r="AI3" s="4"/>
      <c r="AJ3" s="4">
        <v>1</v>
      </c>
      <c r="AK3" s="4">
        <v>1</v>
      </c>
      <c r="AL3" s="4">
        <v>1</v>
      </c>
      <c r="AM3" s="4">
        <v>16</v>
      </c>
      <c r="AN3" s="4">
        <v>2302</v>
      </c>
      <c r="AO3" s="4"/>
      <c r="AP3" s="4">
        <v>1</v>
      </c>
      <c r="AQ3" s="4">
        <v>1</v>
      </c>
      <c r="AR3" s="4">
        <v>0</v>
      </c>
    </row>
    <row r="4" spans="2:44">
      <c r="D4" s="4">
        <v>2</v>
      </c>
      <c r="E4" s="4">
        <v>66</v>
      </c>
      <c r="F4" s="4">
        <v>11</v>
      </c>
      <c r="G4" s="4">
        <v>677</v>
      </c>
      <c r="H4" s="4">
        <v>0</v>
      </c>
      <c r="I4" s="4">
        <v>0</v>
      </c>
      <c r="J4" s="4">
        <v>30</v>
      </c>
      <c r="K4" s="59">
        <v>147</v>
      </c>
      <c r="L4" s="4">
        <v>8</v>
      </c>
      <c r="M4" s="4">
        <v>1</v>
      </c>
      <c r="N4" s="4"/>
      <c r="O4" s="4">
        <v>1</v>
      </c>
      <c r="P4" s="4">
        <v>2</v>
      </c>
      <c r="Q4" s="4">
        <v>0</v>
      </c>
      <c r="R4" s="4"/>
      <c r="S4" s="4">
        <v>2</v>
      </c>
      <c r="T4" s="4">
        <v>66</v>
      </c>
      <c r="U4" s="4">
        <v>31</v>
      </c>
      <c r="V4" s="4">
        <v>5211</v>
      </c>
      <c r="W4" s="4"/>
      <c r="X4" s="4">
        <v>2</v>
      </c>
      <c r="Y4" s="4">
        <v>20</v>
      </c>
      <c r="Z4" s="4">
        <v>0</v>
      </c>
      <c r="AA4" s="4">
        <v>9999</v>
      </c>
      <c r="AB4" s="4">
        <v>3</v>
      </c>
      <c r="AC4" s="4"/>
      <c r="AD4" s="4">
        <v>1</v>
      </c>
      <c r="AE4" s="4">
        <v>2</v>
      </c>
      <c r="AF4" s="4">
        <v>1403</v>
      </c>
      <c r="AG4" s="4"/>
      <c r="AH4" s="4">
        <v>2</v>
      </c>
      <c r="AI4" s="4"/>
      <c r="AJ4" s="4">
        <v>2</v>
      </c>
      <c r="AK4" s="4">
        <v>10</v>
      </c>
      <c r="AL4" s="4">
        <v>10</v>
      </c>
      <c r="AM4" s="4">
        <v>20</v>
      </c>
      <c r="AN4" s="4">
        <v>1912</v>
      </c>
      <c r="AO4" s="4"/>
      <c r="AP4" s="4">
        <v>1</v>
      </c>
      <c r="AQ4" s="4">
        <v>2</v>
      </c>
      <c r="AR4" s="4">
        <v>16</v>
      </c>
    </row>
    <row r="5" spans="2:44">
      <c r="D5" s="4">
        <v>3</v>
      </c>
      <c r="E5" s="4">
        <v>66</v>
      </c>
      <c r="F5" s="4">
        <v>11</v>
      </c>
      <c r="G5" s="4">
        <v>915</v>
      </c>
      <c r="H5" s="4">
        <v>80</v>
      </c>
      <c r="I5" s="4">
        <v>80</v>
      </c>
      <c r="J5" s="4">
        <v>140</v>
      </c>
      <c r="K5" s="59">
        <v>199</v>
      </c>
      <c r="L5" s="4">
        <v>5</v>
      </c>
      <c r="M5" s="4">
        <v>3</v>
      </c>
      <c r="N5" s="4"/>
      <c r="O5" s="4">
        <v>1</v>
      </c>
      <c r="P5" s="4">
        <v>3</v>
      </c>
      <c r="Q5" s="4">
        <v>161</v>
      </c>
      <c r="R5" s="4"/>
      <c r="S5" s="4">
        <v>3</v>
      </c>
      <c r="T5" s="4">
        <v>125</v>
      </c>
      <c r="U5" s="4">
        <v>17</v>
      </c>
      <c r="V5" s="4">
        <v>5307</v>
      </c>
      <c r="W5" s="4"/>
      <c r="X5" s="4">
        <v>3</v>
      </c>
      <c r="Y5" s="4">
        <v>30</v>
      </c>
      <c r="Z5" s="4">
        <v>500</v>
      </c>
      <c r="AA5" s="4">
        <v>2000</v>
      </c>
      <c r="AB5" s="4">
        <v>4</v>
      </c>
      <c r="AC5" s="4"/>
      <c r="AD5" s="4">
        <v>1</v>
      </c>
      <c r="AE5" s="4">
        <v>3</v>
      </c>
      <c r="AF5" s="4">
        <v>1403</v>
      </c>
      <c r="AG5" s="4"/>
      <c r="AH5" s="4">
        <v>3</v>
      </c>
      <c r="AI5" s="4"/>
      <c r="AJ5" s="4">
        <v>3</v>
      </c>
      <c r="AK5" s="4">
        <v>0</v>
      </c>
      <c r="AL5" s="4">
        <v>0</v>
      </c>
      <c r="AM5" s="4">
        <v>18</v>
      </c>
      <c r="AN5" s="4">
        <v>3845</v>
      </c>
      <c r="AO5" s="4"/>
      <c r="AP5" s="4">
        <v>1</v>
      </c>
      <c r="AQ5" s="4">
        <v>3</v>
      </c>
      <c r="AR5" s="4">
        <v>0</v>
      </c>
    </row>
    <row r="6" spans="2:44">
      <c r="D6" s="4">
        <v>4</v>
      </c>
      <c r="E6" s="4">
        <v>66</v>
      </c>
      <c r="F6" s="4">
        <v>11</v>
      </c>
      <c r="G6" s="4">
        <v>740</v>
      </c>
      <c r="H6" s="4">
        <v>0</v>
      </c>
      <c r="I6" s="4">
        <v>0</v>
      </c>
      <c r="J6" s="4">
        <v>30</v>
      </c>
      <c r="K6" s="59">
        <v>165</v>
      </c>
      <c r="L6" s="4">
        <v>6</v>
      </c>
      <c r="M6" s="4">
        <v>3</v>
      </c>
      <c r="N6" s="4"/>
      <c r="O6" s="4">
        <v>1</v>
      </c>
      <c r="P6" s="4">
        <v>4</v>
      </c>
      <c r="Q6" s="4">
        <v>0</v>
      </c>
      <c r="R6" s="4"/>
      <c r="S6" s="4">
        <v>4</v>
      </c>
      <c r="T6" s="4">
        <v>125</v>
      </c>
      <c r="U6" s="4">
        <v>17</v>
      </c>
      <c r="V6" s="4">
        <v>5995</v>
      </c>
      <c r="W6" s="4"/>
      <c r="X6" s="4"/>
      <c r="Y6" s="4"/>
      <c r="Z6" s="4"/>
      <c r="AA6" s="4"/>
      <c r="AB6" s="4"/>
      <c r="AC6" s="4"/>
      <c r="AD6" s="4">
        <v>1</v>
      </c>
      <c r="AE6" s="4">
        <v>4</v>
      </c>
      <c r="AF6" s="4">
        <v>1403</v>
      </c>
      <c r="AG6" s="4"/>
      <c r="AH6" s="4">
        <v>4</v>
      </c>
      <c r="AI6" s="4"/>
      <c r="AJ6" s="4">
        <v>4</v>
      </c>
      <c r="AK6" s="4">
        <v>3</v>
      </c>
      <c r="AL6" s="4">
        <v>3</v>
      </c>
      <c r="AM6" s="4">
        <v>20</v>
      </c>
      <c r="AN6" s="4">
        <v>3713</v>
      </c>
      <c r="AO6" s="4"/>
      <c r="AP6" s="4">
        <v>1</v>
      </c>
      <c r="AQ6" s="4">
        <v>4</v>
      </c>
      <c r="AR6" s="4">
        <v>0</v>
      </c>
    </row>
    <row r="7" spans="2:44">
      <c r="D7" s="4">
        <v>5</v>
      </c>
      <c r="E7" s="4">
        <v>66</v>
      </c>
      <c r="F7" s="4">
        <v>11</v>
      </c>
      <c r="G7" s="4">
        <v>614</v>
      </c>
      <c r="H7" s="4">
        <v>80</v>
      </c>
      <c r="I7" s="4">
        <v>80</v>
      </c>
      <c r="J7" s="4">
        <v>140</v>
      </c>
      <c r="K7" s="59">
        <v>127</v>
      </c>
      <c r="L7" s="4">
        <v>2</v>
      </c>
      <c r="M7" s="4">
        <v>2</v>
      </c>
      <c r="N7" s="4"/>
      <c r="O7" s="4">
        <v>2</v>
      </c>
      <c r="P7" s="4">
        <v>1</v>
      </c>
      <c r="Q7" s="4">
        <v>0</v>
      </c>
      <c r="R7" s="4"/>
      <c r="S7" s="4">
        <v>5</v>
      </c>
      <c r="T7" s="4">
        <v>125</v>
      </c>
      <c r="U7" s="4">
        <v>17</v>
      </c>
      <c r="V7" s="4">
        <v>6374</v>
      </c>
      <c r="W7" s="4"/>
      <c r="X7" s="4"/>
      <c r="Y7" s="4"/>
      <c r="Z7" s="4"/>
      <c r="AA7" s="4"/>
      <c r="AB7" s="4"/>
      <c r="AC7" s="4"/>
      <c r="AD7" s="4">
        <v>2</v>
      </c>
      <c r="AE7" s="4">
        <v>1</v>
      </c>
      <c r="AF7" s="4">
        <v>1403</v>
      </c>
      <c r="AG7" s="4"/>
      <c r="AH7" s="4"/>
      <c r="AI7" s="4"/>
      <c r="AJ7" s="4">
        <v>5</v>
      </c>
      <c r="AK7" s="4">
        <v>9</v>
      </c>
      <c r="AL7" s="4">
        <v>9</v>
      </c>
      <c r="AM7" s="4">
        <v>15</v>
      </c>
      <c r="AN7" s="4">
        <v>2257</v>
      </c>
      <c r="AO7" s="4"/>
      <c r="AP7" s="4">
        <v>2</v>
      </c>
      <c r="AQ7" s="4">
        <v>1</v>
      </c>
      <c r="AR7" s="4">
        <v>0</v>
      </c>
    </row>
    <row r="8" spans="2:44">
      <c r="D8" s="4">
        <v>6</v>
      </c>
      <c r="E8" s="4">
        <v>66</v>
      </c>
      <c r="F8" s="4">
        <v>31</v>
      </c>
      <c r="G8" s="4">
        <v>699</v>
      </c>
      <c r="H8" s="4">
        <v>80</v>
      </c>
      <c r="I8" s="4">
        <v>80</v>
      </c>
      <c r="J8" s="4">
        <v>140</v>
      </c>
      <c r="K8" s="59">
        <v>152</v>
      </c>
      <c r="L8" s="4">
        <v>6</v>
      </c>
      <c r="M8" s="4">
        <v>2</v>
      </c>
      <c r="N8" s="4"/>
      <c r="O8" s="4">
        <v>2</v>
      </c>
      <c r="P8" s="4">
        <v>2</v>
      </c>
      <c r="Q8" s="4">
        <v>0</v>
      </c>
      <c r="R8" s="4"/>
      <c r="S8" s="4">
        <v>6</v>
      </c>
      <c r="T8" s="4">
        <v>125</v>
      </c>
      <c r="U8" s="4">
        <v>17</v>
      </c>
      <c r="V8" s="4">
        <v>6798</v>
      </c>
      <c r="W8" s="4"/>
      <c r="X8" s="4"/>
      <c r="Y8" s="4"/>
      <c r="Z8" s="4"/>
      <c r="AA8" s="4"/>
      <c r="AB8" s="4"/>
      <c r="AC8" s="4"/>
      <c r="AD8" s="4">
        <v>2</v>
      </c>
      <c r="AE8" s="4">
        <v>2</v>
      </c>
      <c r="AF8" s="4">
        <v>1403</v>
      </c>
      <c r="AG8" s="4"/>
      <c r="AH8" s="4"/>
      <c r="AI8" s="4"/>
      <c r="AJ8" s="4">
        <v>6</v>
      </c>
      <c r="AK8" s="4">
        <v>10</v>
      </c>
      <c r="AL8" s="4">
        <v>10</v>
      </c>
      <c r="AM8" s="4">
        <v>17</v>
      </c>
      <c r="AN8" s="4">
        <v>1935</v>
      </c>
      <c r="AO8" s="4"/>
      <c r="AP8" s="4">
        <v>2</v>
      </c>
      <c r="AQ8" s="4">
        <v>2</v>
      </c>
      <c r="AR8" s="4">
        <v>22</v>
      </c>
    </row>
    <row r="9" spans="2:44">
      <c r="D9" s="4">
        <v>7</v>
      </c>
      <c r="E9" s="4">
        <v>66</v>
      </c>
      <c r="F9" s="4">
        <v>31</v>
      </c>
      <c r="G9" s="4">
        <v>680</v>
      </c>
      <c r="H9" s="4">
        <v>0</v>
      </c>
      <c r="I9" s="4">
        <v>0</v>
      </c>
      <c r="J9" s="4">
        <v>30</v>
      </c>
      <c r="K9" s="59">
        <v>158</v>
      </c>
      <c r="L9" s="4">
        <v>3</v>
      </c>
      <c r="M9" s="4">
        <v>1</v>
      </c>
      <c r="N9" s="4"/>
      <c r="O9" s="4">
        <v>2</v>
      </c>
      <c r="P9" s="4">
        <v>3</v>
      </c>
      <c r="Q9" s="4">
        <v>0</v>
      </c>
      <c r="R9" s="4"/>
      <c r="S9" s="4">
        <v>7</v>
      </c>
      <c r="T9" s="4">
        <v>125</v>
      </c>
      <c r="U9" s="4">
        <v>17</v>
      </c>
      <c r="V9" s="4">
        <v>5515</v>
      </c>
      <c r="W9" s="4"/>
      <c r="X9" s="4"/>
      <c r="Y9" s="4"/>
      <c r="Z9" s="4"/>
      <c r="AA9" s="4"/>
      <c r="AB9" s="4"/>
      <c r="AC9" s="4"/>
      <c r="AD9" s="4">
        <v>2</v>
      </c>
      <c r="AE9" s="4">
        <v>3</v>
      </c>
      <c r="AF9" s="4">
        <v>1403</v>
      </c>
      <c r="AG9" s="4"/>
      <c r="AH9" s="4"/>
      <c r="AI9" s="4"/>
      <c r="AJ9" s="4">
        <v>7</v>
      </c>
      <c r="AK9" s="4">
        <v>2</v>
      </c>
      <c r="AL9" s="4">
        <v>2</v>
      </c>
      <c r="AM9" s="4">
        <v>18</v>
      </c>
      <c r="AN9" s="4">
        <v>3298</v>
      </c>
      <c r="AO9" s="4"/>
      <c r="AP9" s="4">
        <v>2</v>
      </c>
      <c r="AQ9" s="4">
        <v>3</v>
      </c>
      <c r="AR9" s="4">
        <v>0</v>
      </c>
    </row>
    <row r="10" spans="2:44">
      <c r="B10" s="60" t="s">
        <v>44</v>
      </c>
      <c r="D10" s="4">
        <v>8</v>
      </c>
      <c r="E10" s="4">
        <v>66</v>
      </c>
      <c r="F10" s="4">
        <v>31</v>
      </c>
      <c r="G10" s="4">
        <v>831</v>
      </c>
      <c r="H10" s="4">
        <v>0</v>
      </c>
      <c r="I10" s="4">
        <v>0</v>
      </c>
      <c r="J10" s="4">
        <v>30</v>
      </c>
      <c r="K10" s="59">
        <v>174</v>
      </c>
      <c r="L10" s="4">
        <v>4</v>
      </c>
      <c r="M10" s="4">
        <v>3</v>
      </c>
      <c r="N10" s="4"/>
      <c r="O10" s="4">
        <v>2</v>
      </c>
      <c r="P10" s="4">
        <v>4</v>
      </c>
      <c r="Q10" s="4">
        <v>13</v>
      </c>
      <c r="R10" s="4"/>
      <c r="S10" s="4">
        <v>8</v>
      </c>
      <c r="T10" s="4">
        <v>51</v>
      </c>
      <c r="U10" s="4">
        <v>30</v>
      </c>
      <c r="V10" s="4">
        <v>6548</v>
      </c>
      <c r="W10" s="4"/>
      <c r="X10" s="4"/>
      <c r="Y10" s="4"/>
      <c r="Z10" s="4"/>
      <c r="AA10" s="4"/>
      <c r="AB10" s="4"/>
      <c r="AC10" s="4"/>
      <c r="AD10" s="4">
        <v>2</v>
      </c>
      <c r="AE10" s="4">
        <v>4</v>
      </c>
      <c r="AF10" s="4">
        <v>1403</v>
      </c>
      <c r="AG10" s="4"/>
      <c r="AH10" s="4"/>
      <c r="AI10" s="4"/>
      <c r="AJ10" s="4">
        <v>8</v>
      </c>
      <c r="AK10" s="4">
        <v>9</v>
      </c>
      <c r="AL10" s="4">
        <v>9</v>
      </c>
      <c r="AM10" s="4">
        <v>20</v>
      </c>
      <c r="AN10" s="4">
        <v>2461</v>
      </c>
      <c r="AO10" s="4"/>
      <c r="AP10" s="4">
        <v>2</v>
      </c>
      <c r="AQ10" s="4">
        <v>4</v>
      </c>
      <c r="AR10" s="4">
        <v>0</v>
      </c>
    </row>
    <row r="11" spans="2:44">
      <c r="B11" s="61" t="s">
        <v>45</v>
      </c>
      <c r="D11" s="4">
        <v>9</v>
      </c>
      <c r="E11" s="4">
        <v>66</v>
      </c>
      <c r="F11" s="4">
        <v>31</v>
      </c>
      <c r="G11" s="4">
        <v>638</v>
      </c>
      <c r="H11" s="4">
        <v>20</v>
      </c>
      <c r="I11" s="4">
        <v>20</v>
      </c>
      <c r="J11" s="4">
        <v>55</v>
      </c>
      <c r="K11" s="59">
        <v>136</v>
      </c>
      <c r="L11" s="4">
        <v>3</v>
      </c>
      <c r="M11" s="4">
        <v>3</v>
      </c>
      <c r="N11" s="4"/>
      <c r="O11" s="4">
        <v>3</v>
      </c>
      <c r="P11" s="4">
        <v>1</v>
      </c>
      <c r="Q11" s="4">
        <v>208</v>
      </c>
      <c r="R11" s="4"/>
      <c r="S11" s="4">
        <v>9</v>
      </c>
      <c r="T11" s="4">
        <v>51</v>
      </c>
      <c r="U11" s="4">
        <v>30</v>
      </c>
      <c r="V11" s="4">
        <v>6388</v>
      </c>
      <c r="W11" s="4"/>
      <c r="X11" s="4"/>
      <c r="Y11" s="4"/>
      <c r="Z11" s="4"/>
      <c r="AA11" s="4"/>
      <c r="AB11" s="4"/>
      <c r="AC11" s="4"/>
      <c r="AD11" s="4">
        <v>3</v>
      </c>
      <c r="AE11" s="4">
        <v>1</v>
      </c>
      <c r="AF11" s="4">
        <v>1403</v>
      </c>
      <c r="AG11" s="4"/>
      <c r="AH11" s="4"/>
      <c r="AI11" s="4"/>
      <c r="AJ11" s="4">
        <v>9</v>
      </c>
      <c r="AK11" s="4">
        <v>7</v>
      </c>
      <c r="AL11" s="4">
        <v>7</v>
      </c>
      <c r="AM11" s="4">
        <v>17</v>
      </c>
      <c r="AN11" s="4">
        <v>3236</v>
      </c>
      <c r="AO11" s="4"/>
      <c r="AP11" s="4">
        <v>3</v>
      </c>
      <c r="AQ11" s="4">
        <v>1</v>
      </c>
      <c r="AR11" s="4">
        <v>0</v>
      </c>
    </row>
    <row r="12" spans="2:44">
      <c r="B12" s="61" t="s">
        <v>131</v>
      </c>
      <c r="D12" s="4">
        <v>10</v>
      </c>
      <c r="E12" s="4">
        <v>125</v>
      </c>
      <c r="F12" s="4">
        <v>17</v>
      </c>
      <c r="G12" s="4">
        <v>910</v>
      </c>
      <c r="H12" s="4">
        <v>20</v>
      </c>
      <c r="I12" s="4">
        <v>20</v>
      </c>
      <c r="J12" s="4">
        <v>55</v>
      </c>
      <c r="K12" s="59">
        <v>191</v>
      </c>
      <c r="L12" s="4">
        <v>7</v>
      </c>
      <c r="M12" s="4">
        <v>1</v>
      </c>
      <c r="N12" s="4"/>
      <c r="O12" s="4">
        <v>3</v>
      </c>
      <c r="P12" s="4">
        <v>2</v>
      </c>
      <c r="Q12" s="4">
        <v>0</v>
      </c>
      <c r="R12" s="4"/>
      <c r="S12" s="4">
        <v>10</v>
      </c>
      <c r="T12" s="4">
        <v>51</v>
      </c>
      <c r="U12" s="4">
        <v>30</v>
      </c>
      <c r="V12" s="4">
        <v>6034</v>
      </c>
      <c r="W12" s="4"/>
      <c r="X12" s="4"/>
      <c r="Y12" s="4"/>
      <c r="Z12" s="4"/>
      <c r="AA12" s="4"/>
      <c r="AB12" s="4"/>
      <c r="AC12" s="4"/>
      <c r="AD12" s="4">
        <v>3</v>
      </c>
      <c r="AE12" s="4">
        <v>2</v>
      </c>
      <c r="AF12" s="4">
        <v>1403</v>
      </c>
      <c r="AG12" s="4"/>
      <c r="AH12" s="4"/>
      <c r="AI12" s="4"/>
      <c r="AJ12" s="4">
        <v>10</v>
      </c>
      <c r="AK12" s="4">
        <v>4</v>
      </c>
      <c r="AL12" s="4">
        <v>4</v>
      </c>
      <c r="AM12" s="4">
        <v>16</v>
      </c>
      <c r="AN12" s="4">
        <v>1568</v>
      </c>
      <c r="AO12" s="4"/>
      <c r="AP12" s="4">
        <v>3</v>
      </c>
      <c r="AQ12" s="4">
        <v>2</v>
      </c>
      <c r="AR12" s="4">
        <v>0</v>
      </c>
    </row>
    <row r="13" spans="2:44">
      <c r="B13" s="61" t="s">
        <v>46</v>
      </c>
      <c r="D13" s="4">
        <v>11</v>
      </c>
      <c r="E13" s="4">
        <v>125</v>
      </c>
      <c r="F13" s="4">
        <v>17</v>
      </c>
      <c r="G13" s="4">
        <v>504</v>
      </c>
      <c r="H13" s="4">
        <v>45</v>
      </c>
      <c r="I13" s="4">
        <v>45</v>
      </c>
      <c r="J13" s="4">
        <v>90</v>
      </c>
      <c r="K13" s="59">
        <v>102</v>
      </c>
      <c r="L13" s="4">
        <v>8</v>
      </c>
      <c r="M13" s="4">
        <v>3</v>
      </c>
      <c r="N13" s="4"/>
      <c r="O13" s="4">
        <v>3</v>
      </c>
      <c r="P13" s="4">
        <v>3</v>
      </c>
      <c r="Q13" s="4">
        <v>0</v>
      </c>
      <c r="R13" s="4"/>
      <c r="S13" s="4">
        <v>11</v>
      </c>
      <c r="T13" s="4">
        <v>51</v>
      </c>
      <c r="U13" s="4">
        <v>30</v>
      </c>
      <c r="V13" s="4">
        <v>5743</v>
      </c>
      <c r="W13" s="4"/>
      <c r="X13" s="4"/>
      <c r="Y13" s="4"/>
      <c r="Z13" s="4"/>
      <c r="AA13" s="4"/>
      <c r="AB13" s="4"/>
      <c r="AC13" s="4"/>
      <c r="AD13" s="4">
        <v>3</v>
      </c>
      <c r="AE13" s="4">
        <v>3</v>
      </c>
      <c r="AF13" s="4">
        <v>1403</v>
      </c>
      <c r="AG13" s="4"/>
      <c r="AH13" s="4"/>
      <c r="AI13" s="4"/>
      <c r="AJ13" s="4"/>
      <c r="AK13" s="4"/>
      <c r="AL13" s="4"/>
      <c r="AM13" s="4"/>
      <c r="AN13" s="4"/>
      <c r="AO13" s="4"/>
      <c r="AP13" s="4">
        <v>3</v>
      </c>
      <c r="AQ13" s="4">
        <v>3</v>
      </c>
      <c r="AR13" s="4">
        <v>0</v>
      </c>
    </row>
    <row r="14" spans="2:44">
      <c r="B14" s="61" t="s">
        <v>132</v>
      </c>
      <c r="D14" s="4">
        <v>12</v>
      </c>
      <c r="E14" s="4">
        <v>51</v>
      </c>
      <c r="F14" s="4">
        <v>30</v>
      </c>
      <c r="G14" s="4">
        <v>544</v>
      </c>
      <c r="H14" s="4">
        <v>80</v>
      </c>
      <c r="I14" s="4">
        <v>80</v>
      </c>
      <c r="J14" s="4">
        <v>140</v>
      </c>
      <c r="K14" s="59">
        <v>110</v>
      </c>
      <c r="L14" s="4">
        <v>10</v>
      </c>
      <c r="M14" s="4">
        <v>1</v>
      </c>
      <c r="N14" s="4"/>
      <c r="O14" s="4">
        <v>3</v>
      </c>
      <c r="P14" s="4">
        <v>4</v>
      </c>
      <c r="Q14" s="4">
        <v>0</v>
      </c>
      <c r="R14" s="4"/>
      <c r="S14" s="4">
        <v>12</v>
      </c>
      <c r="T14" s="4">
        <v>44</v>
      </c>
      <c r="U14" s="4">
        <v>8</v>
      </c>
      <c r="V14" s="4">
        <v>6509</v>
      </c>
      <c r="W14" s="4"/>
      <c r="X14" s="4"/>
      <c r="Y14" s="4"/>
      <c r="Z14" s="4"/>
      <c r="AA14" s="4"/>
      <c r="AB14" s="4"/>
      <c r="AC14" s="4"/>
      <c r="AD14" s="4">
        <v>3</v>
      </c>
      <c r="AE14" s="4">
        <v>4</v>
      </c>
      <c r="AF14" s="4">
        <v>1403</v>
      </c>
      <c r="AG14" s="4"/>
      <c r="AH14" s="4"/>
      <c r="AI14" s="4"/>
      <c r="AJ14" s="4"/>
      <c r="AK14" s="4"/>
      <c r="AL14" s="4"/>
      <c r="AM14" s="4"/>
      <c r="AN14" s="4"/>
      <c r="AO14" s="4"/>
      <c r="AP14" s="4">
        <v>3</v>
      </c>
      <c r="AQ14" s="4">
        <v>4</v>
      </c>
      <c r="AR14" s="4">
        <v>15</v>
      </c>
    </row>
    <row r="15" spans="2:44">
      <c r="B15" s="61" t="s">
        <v>47</v>
      </c>
      <c r="D15" s="4">
        <v>13</v>
      </c>
      <c r="E15" s="4">
        <v>51</v>
      </c>
      <c r="F15" s="4">
        <v>30</v>
      </c>
      <c r="G15" s="4">
        <v>702</v>
      </c>
      <c r="H15" s="4">
        <v>45</v>
      </c>
      <c r="I15" s="4">
        <v>45</v>
      </c>
      <c r="J15" s="4">
        <v>90</v>
      </c>
      <c r="K15" s="59">
        <v>150</v>
      </c>
      <c r="L15" s="4">
        <v>4</v>
      </c>
      <c r="M15" s="4">
        <v>2</v>
      </c>
      <c r="N15" s="4"/>
      <c r="O15" s="4">
        <v>4</v>
      </c>
      <c r="P15" s="4">
        <v>1</v>
      </c>
      <c r="Q15" s="4">
        <v>0</v>
      </c>
      <c r="R15" s="4"/>
      <c r="S15" s="4">
        <v>13</v>
      </c>
      <c r="T15" s="4">
        <v>78</v>
      </c>
      <c r="U15" s="4">
        <v>14</v>
      </c>
      <c r="V15" s="4">
        <v>6370</v>
      </c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>
        <v>4</v>
      </c>
      <c r="AQ15" s="4">
        <v>1</v>
      </c>
      <c r="AR15" s="4">
        <v>0</v>
      </c>
    </row>
    <row r="16" spans="2:44">
      <c r="B16" s="61" t="s">
        <v>133</v>
      </c>
      <c r="D16" s="4">
        <v>14</v>
      </c>
      <c r="E16" s="4">
        <v>51</v>
      </c>
      <c r="F16" s="4">
        <v>30</v>
      </c>
      <c r="G16" s="4">
        <v>614</v>
      </c>
      <c r="H16" s="4">
        <v>0</v>
      </c>
      <c r="I16" s="4">
        <v>0</v>
      </c>
      <c r="J16" s="4">
        <v>30</v>
      </c>
      <c r="K16" s="59">
        <v>129</v>
      </c>
      <c r="L16" s="4">
        <v>7</v>
      </c>
      <c r="M16" s="4">
        <v>3</v>
      </c>
      <c r="N16" s="4"/>
      <c r="O16" s="4">
        <v>4</v>
      </c>
      <c r="P16" s="4">
        <v>2</v>
      </c>
      <c r="Q16" s="4">
        <v>0</v>
      </c>
      <c r="R16" s="4"/>
      <c r="S16" s="4">
        <v>14</v>
      </c>
      <c r="T16" s="4">
        <v>78</v>
      </c>
      <c r="U16" s="4">
        <v>14</v>
      </c>
      <c r="V16" s="4">
        <v>6039</v>
      </c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>
        <v>4</v>
      </c>
      <c r="AQ16" s="4">
        <v>2</v>
      </c>
      <c r="AR16" s="4">
        <v>0</v>
      </c>
    </row>
    <row r="17" spans="2:44">
      <c r="B17" s="62" t="s">
        <v>48</v>
      </c>
      <c r="D17" s="4">
        <v>15</v>
      </c>
      <c r="E17" s="4">
        <v>51</v>
      </c>
      <c r="F17" s="4">
        <v>30</v>
      </c>
      <c r="G17" s="4">
        <v>766</v>
      </c>
      <c r="H17" s="4">
        <v>0</v>
      </c>
      <c r="I17" s="4">
        <v>0</v>
      </c>
      <c r="J17" s="4">
        <v>30</v>
      </c>
      <c r="K17" s="59">
        <v>160</v>
      </c>
      <c r="L17" s="4">
        <v>9</v>
      </c>
      <c r="M17" s="4">
        <v>2</v>
      </c>
      <c r="N17" s="4"/>
      <c r="O17" s="4">
        <v>4</v>
      </c>
      <c r="P17" s="4">
        <v>3</v>
      </c>
      <c r="Q17" s="4">
        <v>0</v>
      </c>
      <c r="R17" s="4"/>
      <c r="S17" s="4">
        <v>15</v>
      </c>
      <c r="T17" s="4">
        <v>50</v>
      </c>
      <c r="U17" s="4">
        <v>25</v>
      </c>
      <c r="V17" s="4">
        <v>5248</v>
      </c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>
        <v>4</v>
      </c>
      <c r="AQ17" s="4">
        <v>3</v>
      </c>
      <c r="AR17" s="4">
        <v>0</v>
      </c>
    </row>
    <row r="18" spans="2:44">
      <c r="D18" s="4">
        <v>16</v>
      </c>
      <c r="E18" s="4">
        <v>51</v>
      </c>
      <c r="F18" s="4">
        <v>30</v>
      </c>
      <c r="G18" s="4">
        <v>901</v>
      </c>
      <c r="H18" s="4">
        <v>45</v>
      </c>
      <c r="I18" s="4">
        <v>45</v>
      </c>
      <c r="J18" s="4">
        <v>90</v>
      </c>
      <c r="K18" s="59">
        <v>204</v>
      </c>
      <c r="L18" s="4">
        <v>3</v>
      </c>
      <c r="M18" s="4">
        <v>1</v>
      </c>
      <c r="N18" s="4"/>
      <c r="O18" s="4">
        <v>4</v>
      </c>
      <c r="P18" s="4">
        <v>4</v>
      </c>
      <c r="Q18" s="4">
        <v>26</v>
      </c>
      <c r="R18" s="4"/>
      <c r="S18" s="4">
        <v>16</v>
      </c>
      <c r="T18" s="4">
        <v>91</v>
      </c>
      <c r="U18" s="4">
        <v>6</v>
      </c>
      <c r="V18" s="4">
        <v>5273</v>
      </c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>
        <v>4</v>
      </c>
      <c r="AQ18" s="4">
        <v>4</v>
      </c>
      <c r="AR18" s="4">
        <v>33</v>
      </c>
    </row>
    <row r="19" spans="2:44">
      <c r="D19" s="4">
        <v>17</v>
      </c>
      <c r="E19" s="4">
        <v>51</v>
      </c>
      <c r="F19" s="4">
        <v>30</v>
      </c>
      <c r="G19" s="4">
        <v>514</v>
      </c>
      <c r="H19" s="4">
        <v>0</v>
      </c>
      <c r="I19" s="4">
        <v>0</v>
      </c>
      <c r="J19" s="4">
        <v>30</v>
      </c>
      <c r="K19" s="59">
        <v>106</v>
      </c>
      <c r="L19" s="4">
        <v>10</v>
      </c>
      <c r="M19" s="4">
        <v>3</v>
      </c>
      <c r="N19" s="4"/>
      <c r="O19" s="4">
        <v>5</v>
      </c>
      <c r="P19" s="4">
        <v>1</v>
      </c>
      <c r="Q19" s="4">
        <v>0</v>
      </c>
      <c r="R19" s="4"/>
      <c r="S19" s="4">
        <v>17</v>
      </c>
      <c r="T19" s="4">
        <v>87</v>
      </c>
      <c r="U19" s="4">
        <v>6</v>
      </c>
      <c r="V19" s="4">
        <v>6041</v>
      </c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>
        <v>5</v>
      </c>
      <c r="AQ19" s="4">
        <v>1</v>
      </c>
      <c r="AR19" s="4">
        <v>33</v>
      </c>
    </row>
    <row r="20" spans="2:44">
      <c r="D20" s="4">
        <v>18</v>
      </c>
      <c r="E20" s="4">
        <v>44</v>
      </c>
      <c r="F20" s="4">
        <v>8</v>
      </c>
      <c r="G20" s="4">
        <v>711</v>
      </c>
      <c r="H20" s="4">
        <v>80</v>
      </c>
      <c r="I20" s="4">
        <v>80</v>
      </c>
      <c r="J20" s="4">
        <v>140</v>
      </c>
      <c r="K20" s="59">
        <v>145</v>
      </c>
      <c r="L20" s="4">
        <v>1</v>
      </c>
      <c r="M20" s="4">
        <v>1</v>
      </c>
      <c r="N20" s="4"/>
      <c r="O20" s="4">
        <v>5</v>
      </c>
      <c r="P20" s="4">
        <v>2</v>
      </c>
      <c r="Q20" s="4">
        <v>0</v>
      </c>
      <c r="R20" s="4"/>
      <c r="S20" s="4">
        <v>18</v>
      </c>
      <c r="T20" s="4">
        <v>65</v>
      </c>
      <c r="U20" s="4">
        <v>23</v>
      </c>
      <c r="V20" s="4">
        <v>5206</v>
      </c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>
        <v>5</v>
      </c>
      <c r="AQ20" s="4">
        <v>2</v>
      </c>
      <c r="AR20" s="4">
        <v>0</v>
      </c>
    </row>
    <row r="21" spans="2:44">
      <c r="D21" s="4">
        <v>19</v>
      </c>
      <c r="E21" s="4">
        <v>44</v>
      </c>
      <c r="F21" s="4">
        <v>8</v>
      </c>
      <c r="G21" s="4">
        <v>886</v>
      </c>
      <c r="H21" s="4">
        <v>80</v>
      </c>
      <c r="I21" s="4">
        <v>80</v>
      </c>
      <c r="J21" s="4">
        <v>140</v>
      </c>
      <c r="K21" s="59">
        <v>204</v>
      </c>
      <c r="L21" s="4">
        <v>7</v>
      </c>
      <c r="M21" s="4">
        <v>3</v>
      </c>
      <c r="N21" s="4"/>
      <c r="O21" s="4">
        <v>5</v>
      </c>
      <c r="P21" s="4">
        <v>3</v>
      </c>
      <c r="Q21" s="4">
        <v>286</v>
      </c>
      <c r="R21" s="4"/>
      <c r="S21" s="4">
        <v>19</v>
      </c>
      <c r="T21" s="4">
        <v>65</v>
      </c>
      <c r="U21" s="4">
        <v>23</v>
      </c>
      <c r="V21" s="4">
        <v>6032</v>
      </c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>
        <v>5</v>
      </c>
      <c r="AQ21" s="4">
        <v>3</v>
      </c>
      <c r="AR21" s="4">
        <v>0</v>
      </c>
    </row>
    <row r="22" spans="2:44">
      <c r="D22" s="4">
        <v>20</v>
      </c>
      <c r="E22" s="4">
        <v>78</v>
      </c>
      <c r="F22" s="4">
        <v>14</v>
      </c>
      <c r="G22" s="4">
        <v>818</v>
      </c>
      <c r="H22" s="4">
        <v>45</v>
      </c>
      <c r="I22" s="4">
        <v>45</v>
      </c>
      <c r="J22" s="4">
        <v>90</v>
      </c>
      <c r="K22" s="59">
        <v>190</v>
      </c>
      <c r="L22" s="4">
        <v>5</v>
      </c>
      <c r="M22" s="4">
        <v>3</v>
      </c>
      <c r="N22" s="4"/>
      <c r="O22" s="4">
        <v>5</v>
      </c>
      <c r="P22" s="4">
        <v>4</v>
      </c>
      <c r="Q22" s="4">
        <v>0</v>
      </c>
      <c r="R22" s="4"/>
      <c r="S22" s="4">
        <v>20</v>
      </c>
      <c r="T22" s="4">
        <v>65</v>
      </c>
      <c r="U22" s="4">
        <v>30</v>
      </c>
      <c r="V22" s="4">
        <v>5418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>
        <v>5</v>
      </c>
      <c r="AQ22" s="4">
        <v>4</v>
      </c>
      <c r="AR22" s="4">
        <v>0</v>
      </c>
    </row>
    <row r="23" spans="2:44">
      <c r="D23" s="4">
        <v>21</v>
      </c>
      <c r="E23" s="4">
        <v>78</v>
      </c>
      <c r="F23" s="4">
        <v>14</v>
      </c>
      <c r="G23" s="4">
        <v>674</v>
      </c>
      <c r="H23" s="4">
        <v>0</v>
      </c>
      <c r="I23" s="4">
        <v>0</v>
      </c>
      <c r="J23" s="4">
        <v>30</v>
      </c>
      <c r="K23" s="59">
        <v>166</v>
      </c>
      <c r="L23" s="4">
        <v>6</v>
      </c>
      <c r="M23" s="4">
        <v>3</v>
      </c>
      <c r="N23" s="4"/>
      <c r="O23" s="4">
        <v>6</v>
      </c>
      <c r="P23" s="4">
        <v>1</v>
      </c>
      <c r="Q23" s="4">
        <v>0</v>
      </c>
      <c r="R23" s="4"/>
      <c r="S23" s="4">
        <v>21</v>
      </c>
      <c r="T23" s="4">
        <v>112</v>
      </c>
      <c r="U23" s="4">
        <v>17</v>
      </c>
      <c r="V23" s="4">
        <v>6464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>
        <v>6</v>
      </c>
      <c r="AQ23" s="4">
        <v>1</v>
      </c>
      <c r="AR23" s="4">
        <v>25</v>
      </c>
    </row>
    <row r="24" spans="2:44">
      <c r="D24" s="4">
        <v>22</v>
      </c>
      <c r="E24" s="4">
        <v>78</v>
      </c>
      <c r="F24" s="4">
        <v>14</v>
      </c>
      <c r="G24" s="4">
        <v>800</v>
      </c>
      <c r="H24" s="4">
        <v>80</v>
      </c>
      <c r="I24" s="4">
        <v>80</v>
      </c>
      <c r="J24" s="4">
        <v>140</v>
      </c>
      <c r="K24" s="59">
        <v>165</v>
      </c>
      <c r="L24" s="4">
        <v>1</v>
      </c>
      <c r="M24" s="4">
        <v>1</v>
      </c>
      <c r="N24" s="4"/>
      <c r="O24" s="4">
        <v>6</v>
      </c>
      <c r="P24" s="4">
        <v>2</v>
      </c>
      <c r="Q24" s="4">
        <v>0</v>
      </c>
      <c r="R24" s="4"/>
      <c r="S24" s="4">
        <v>22</v>
      </c>
      <c r="T24" s="4">
        <v>112</v>
      </c>
      <c r="U24" s="4">
        <v>17</v>
      </c>
      <c r="V24" s="4">
        <v>5270</v>
      </c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>
        <v>6</v>
      </c>
      <c r="AQ24" s="4">
        <v>2</v>
      </c>
      <c r="AR24" s="4">
        <v>0</v>
      </c>
    </row>
    <row r="25" spans="2:44">
      <c r="D25" s="4">
        <v>23</v>
      </c>
      <c r="E25" s="4">
        <v>78</v>
      </c>
      <c r="F25" s="4">
        <v>14</v>
      </c>
      <c r="G25" s="4">
        <v>743</v>
      </c>
      <c r="H25" s="4">
        <v>80</v>
      </c>
      <c r="I25" s="4">
        <v>80</v>
      </c>
      <c r="J25" s="4">
        <v>140</v>
      </c>
      <c r="K25" s="59">
        <v>159</v>
      </c>
      <c r="L25" s="4">
        <v>9</v>
      </c>
      <c r="M25" s="4">
        <v>1</v>
      </c>
      <c r="N25" s="4"/>
      <c r="O25" s="4">
        <v>6</v>
      </c>
      <c r="P25" s="4">
        <v>3</v>
      </c>
      <c r="Q25" s="4">
        <v>0</v>
      </c>
      <c r="R25" s="4"/>
      <c r="S25" s="4">
        <v>23</v>
      </c>
      <c r="T25" s="4">
        <v>112</v>
      </c>
      <c r="U25" s="4">
        <v>17</v>
      </c>
      <c r="V25" s="4">
        <v>5580</v>
      </c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>
        <v>6</v>
      </c>
      <c r="AQ25" s="4">
        <v>3</v>
      </c>
      <c r="AR25" s="4">
        <v>0</v>
      </c>
    </row>
    <row r="26" spans="2:44">
      <c r="D26" s="4">
        <v>24</v>
      </c>
      <c r="E26" s="4">
        <v>50</v>
      </c>
      <c r="F26" s="4">
        <v>25</v>
      </c>
      <c r="G26" s="4">
        <v>542</v>
      </c>
      <c r="H26" s="4">
        <v>80</v>
      </c>
      <c r="I26" s="4">
        <v>80</v>
      </c>
      <c r="J26" s="4">
        <v>140</v>
      </c>
      <c r="K26" s="59">
        <v>131</v>
      </c>
      <c r="L26" s="4">
        <v>5</v>
      </c>
      <c r="M26" s="4">
        <v>3</v>
      </c>
      <c r="N26" s="4"/>
      <c r="O26" s="4">
        <v>6</v>
      </c>
      <c r="P26" s="4">
        <v>4</v>
      </c>
      <c r="Q26" s="4">
        <v>201</v>
      </c>
      <c r="R26" s="4"/>
      <c r="S26" s="4">
        <v>24</v>
      </c>
      <c r="T26" s="4">
        <v>112</v>
      </c>
      <c r="U26" s="4">
        <v>17</v>
      </c>
      <c r="V26" s="4">
        <v>5245</v>
      </c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>
        <v>6</v>
      </c>
      <c r="AQ26" s="4">
        <v>4</v>
      </c>
      <c r="AR26" s="4">
        <v>0</v>
      </c>
    </row>
    <row r="27" spans="2:44">
      <c r="D27" s="4">
        <v>25</v>
      </c>
      <c r="E27" s="4">
        <v>50</v>
      </c>
      <c r="F27" s="4">
        <v>25</v>
      </c>
      <c r="G27" s="4">
        <v>847</v>
      </c>
      <c r="H27" s="4">
        <v>20</v>
      </c>
      <c r="I27" s="4">
        <v>20</v>
      </c>
      <c r="J27" s="4">
        <v>55</v>
      </c>
      <c r="K27" s="59">
        <v>194</v>
      </c>
      <c r="L27" s="4">
        <v>8</v>
      </c>
      <c r="M27" s="4">
        <v>1</v>
      </c>
      <c r="N27" s="4"/>
      <c r="O27" s="4">
        <v>7</v>
      </c>
      <c r="P27" s="4">
        <v>1</v>
      </c>
      <c r="Q27" s="4">
        <v>0</v>
      </c>
      <c r="R27" s="4"/>
      <c r="S27" s="4">
        <v>25</v>
      </c>
      <c r="T27" s="4">
        <v>112</v>
      </c>
      <c r="U27" s="4">
        <v>17</v>
      </c>
      <c r="V27" s="4">
        <v>6135</v>
      </c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>
        <v>7</v>
      </c>
      <c r="AQ27" s="4">
        <v>1</v>
      </c>
      <c r="AR27" s="4">
        <v>0</v>
      </c>
    </row>
    <row r="28" spans="2:44">
      <c r="D28" s="4">
        <v>26</v>
      </c>
      <c r="E28" s="4">
        <v>50</v>
      </c>
      <c r="F28" s="4">
        <v>25</v>
      </c>
      <c r="G28" s="4">
        <v>728</v>
      </c>
      <c r="H28" s="4">
        <v>80</v>
      </c>
      <c r="I28" s="4">
        <v>80</v>
      </c>
      <c r="J28" s="4">
        <v>140</v>
      </c>
      <c r="K28" s="59">
        <v>164</v>
      </c>
      <c r="L28" s="4">
        <v>5</v>
      </c>
      <c r="M28" s="4">
        <v>3</v>
      </c>
      <c r="N28" s="4"/>
      <c r="O28" s="4">
        <v>7</v>
      </c>
      <c r="P28" s="4">
        <v>2</v>
      </c>
      <c r="Q28" s="4">
        <v>0</v>
      </c>
      <c r="R28" s="4"/>
      <c r="S28" s="4">
        <v>26</v>
      </c>
      <c r="T28" s="4">
        <v>112</v>
      </c>
      <c r="U28" s="4">
        <v>17</v>
      </c>
      <c r="V28" s="4">
        <v>5594</v>
      </c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>
        <v>7</v>
      </c>
      <c r="AQ28" s="4">
        <v>2</v>
      </c>
      <c r="AR28" s="4">
        <v>0</v>
      </c>
    </row>
    <row r="29" spans="2:44">
      <c r="D29" s="4">
        <v>27</v>
      </c>
      <c r="E29" s="4">
        <v>50</v>
      </c>
      <c r="F29" s="4">
        <v>25</v>
      </c>
      <c r="G29" s="4">
        <v>799</v>
      </c>
      <c r="H29" s="4">
        <v>80</v>
      </c>
      <c r="I29" s="4">
        <v>80</v>
      </c>
      <c r="J29" s="4">
        <v>140</v>
      </c>
      <c r="K29" s="59">
        <v>186</v>
      </c>
      <c r="L29" s="4">
        <v>4</v>
      </c>
      <c r="M29" s="4">
        <v>3</v>
      </c>
      <c r="N29" s="4"/>
      <c r="O29" s="4">
        <v>7</v>
      </c>
      <c r="P29" s="4">
        <v>3</v>
      </c>
      <c r="Q29" s="4">
        <v>52</v>
      </c>
      <c r="R29" s="4"/>
      <c r="S29" s="4">
        <v>27</v>
      </c>
      <c r="T29" s="4">
        <v>112</v>
      </c>
      <c r="U29" s="4">
        <v>17</v>
      </c>
      <c r="V29" s="4">
        <v>6538</v>
      </c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>
        <v>7</v>
      </c>
      <c r="AQ29" s="4">
        <v>3</v>
      </c>
      <c r="AR29" s="4">
        <v>8</v>
      </c>
    </row>
    <row r="30" spans="2:44">
      <c r="D30" s="4">
        <v>28</v>
      </c>
      <c r="E30" s="4">
        <v>50</v>
      </c>
      <c r="F30" s="4">
        <v>25</v>
      </c>
      <c r="G30" s="4">
        <v>531</v>
      </c>
      <c r="H30" s="4">
        <v>80</v>
      </c>
      <c r="I30" s="4">
        <v>80</v>
      </c>
      <c r="J30" s="4">
        <v>140</v>
      </c>
      <c r="K30" s="59">
        <v>121</v>
      </c>
      <c r="L30" s="4">
        <v>4</v>
      </c>
      <c r="M30" s="4">
        <v>3</v>
      </c>
      <c r="N30" s="4"/>
      <c r="O30" s="4">
        <v>7</v>
      </c>
      <c r="P30" s="4">
        <v>4</v>
      </c>
      <c r="Q30" s="4">
        <v>0</v>
      </c>
      <c r="R30" s="4"/>
      <c r="S30" s="4">
        <v>28</v>
      </c>
      <c r="T30" s="4">
        <v>112</v>
      </c>
      <c r="U30" s="4">
        <v>17</v>
      </c>
      <c r="V30" s="4">
        <v>6280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>
        <v>7</v>
      </c>
      <c r="AQ30" s="4">
        <v>4</v>
      </c>
      <c r="AR30" s="4">
        <v>0</v>
      </c>
    </row>
    <row r="31" spans="2:44">
      <c r="D31" s="4">
        <v>29</v>
      </c>
      <c r="E31" s="4">
        <v>50</v>
      </c>
      <c r="F31" s="4">
        <v>25</v>
      </c>
      <c r="G31" s="4">
        <v>914</v>
      </c>
      <c r="H31" s="4">
        <v>45</v>
      </c>
      <c r="I31" s="4">
        <v>45</v>
      </c>
      <c r="J31" s="4">
        <v>90</v>
      </c>
      <c r="K31" s="59">
        <v>214</v>
      </c>
      <c r="L31" s="4">
        <v>2</v>
      </c>
      <c r="M31" s="4">
        <v>1</v>
      </c>
      <c r="N31" s="4"/>
      <c r="O31" s="4">
        <v>8</v>
      </c>
      <c r="P31" s="4">
        <v>1</v>
      </c>
      <c r="Q31" s="4">
        <v>0</v>
      </c>
      <c r="R31" s="4"/>
      <c r="S31" s="4">
        <v>29</v>
      </c>
      <c r="T31" s="4">
        <v>112</v>
      </c>
      <c r="U31" s="4">
        <v>17</v>
      </c>
      <c r="V31" s="4">
        <v>6369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>
        <v>8</v>
      </c>
      <c r="AQ31" s="4">
        <v>1</v>
      </c>
      <c r="AR31" s="4">
        <v>0</v>
      </c>
    </row>
    <row r="32" spans="2:44">
      <c r="D32" s="4">
        <v>30</v>
      </c>
      <c r="E32" s="4">
        <v>91</v>
      </c>
      <c r="F32" s="4">
        <v>6</v>
      </c>
      <c r="G32" s="4">
        <v>858</v>
      </c>
      <c r="H32" s="4">
        <v>0</v>
      </c>
      <c r="I32" s="4">
        <v>0</v>
      </c>
      <c r="J32" s="4">
        <v>30</v>
      </c>
      <c r="K32" s="59">
        <v>183</v>
      </c>
      <c r="L32" s="4">
        <v>4</v>
      </c>
      <c r="M32" s="4">
        <v>1</v>
      </c>
      <c r="N32" s="4"/>
      <c r="O32" s="4">
        <v>8</v>
      </c>
      <c r="P32" s="4">
        <v>2</v>
      </c>
      <c r="Q32" s="4">
        <v>0</v>
      </c>
      <c r="R32" s="4"/>
      <c r="S32" s="4">
        <v>30</v>
      </c>
      <c r="T32" s="4">
        <v>111</v>
      </c>
      <c r="U32" s="4">
        <v>27</v>
      </c>
      <c r="V32" s="4">
        <v>5646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>
        <v>8</v>
      </c>
      <c r="AQ32" s="4">
        <v>2</v>
      </c>
      <c r="AR32" s="4">
        <v>40</v>
      </c>
    </row>
    <row r="33" spans="4:44">
      <c r="D33" s="4">
        <v>31</v>
      </c>
      <c r="E33" s="4">
        <v>91</v>
      </c>
      <c r="F33" s="4">
        <v>6</v>
      </c>
      <c r="G33" s="4">
        <v>514</v>
      </c>
      <c r="H33" s="4">
        <v>20</v>
      </c>
      <c r="I33" s="4">
        <v>20</v>
      </c>
      <c r="J33" s="4">
        <v>55</v>
      </c>
      <c r="K33" s="59">
        <v>119</v>
      </c>
      <c r="L33" s="4">
        <v>6</v>
      </c>
      <c r="M33" s="4">
        <v>2</v>
      </c>
      <c r="N33" s="4"/>
      <c r="O33" s="4">
        <v>8</v>
      </c>
      <c r="P33" s="4">
        <v>3</v>
      </c>
      <c r="Q33" s="4">
        <v>28</v>
      </c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>
        <v>8</v>
      </c>
      <c r="AQ33" s="4">
        <v>3</v>
      </c>
      <c r="AR33" s="4">
        <v>0</v>
      </c>
    </row>
    <row r="34" spans="4:44">
      <c r="D34" s="4">
        <v>32</v>
      </c>
      <c r="E34" s="4">
        <v>91</v>
      </c>
      <c r="F34" s="4">
        <v>6</v>
      </c>
      <c r="G34" s="4">
        <v>936</v>
      </c>
      <c r="H34" s="4">
        <v>80</v>
      </c>
      <c r="I34" s="4">
        <v>80</v>
      </c>
      <c r="J34" s="4">
        <v>140</v>
      </c>
      <c r="K34" s="59">
        <v>195</v>
      </c>
      <c r="L34" s="4">
        <v>8</v>
      </c>
      <c r="M34" s="4">
        <v>3</v>
      </c>
      <c r="N34" s="4"/>
      <c r="O34" s="4">
        <v>8</v>
      </c>
      <c r="P34" s="4">
        <v>4</v>
      </c>
      <c r="Q34" s="4">
        <v>0</v>
      </c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>
        <v>8</v>
      </c>
      <c r="AQ34" s="4">
        <v>4</v>
      </c>
      <c r="AR34" s="4">
        <v>0</v>
      </c>
    </row>
    <row r="35" spans="4:44">
      <c r="D35" s="4">
        <v>33</v>
      </c>
      <c r="E35" s="4">
        <v>91</v>
      </c>
      <c r="F35" s="4">
        <v>6</v>
      </c>
      <c r="G35" s="4">
        <v>682</v>
      </c>
      <c r="H35" s="4">
        <v>80</v>
      </c>
      <c r="I35" s="4">
        <v>80</v>
      </c>
      <c r="J35" s="4">
        <v>140</v>
      </c>
      <c r="K35" s="59">
        <v>140</v>
      </c>
      <c r="L35" s="4">
        <v>2</v>
      </c>
      <c r="M35" s="4">
        <v>1</v>
      </c>
      <c r="N35" s="4"/>
      <c r="O35" s="4">
        <v>9</v>
      </c>
      <c r="P35" s="4">
        <v>1</v>
      </c>
      <c r="Q35" s="4">
        <v>0</v>
      </c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>
        <v>9</v>
      </c>
      <c r="AQ35" s="4">
        <v>1</v>
      </c>
      <c r="AR35" s="4">
        <v>16</v>
      </c>
    </row>
    <row r="36" spans="4:44">
      <c r="D36" s="4">
        <v>34</v>
      </c>
      <c r="E36" s="4">
        <v>91</v>
      </c>
      <c r="F36" s="4">
        <v>6</v>
      </c>
      <c r="G36" s="4">
        <v>790</v>
      </c>
      <c r="H36" s="4">
        <v>20</v>
      </c>
      <c r="I36" s="4">
        <v>20</v>
      </c>
      <c r="J36" s="4">
        <v>55</v>
      </c>
      <c r="K36" s="59">
        <v>174</v>
      </c>
      <c r="L36" s="4">
        <v>7</v>
      </c>
      <c r="M36" s="4">
        <v>2</v>
      </c>
      <c r="N36" s="4"/>
      <c r="O36" s="4">
        <v>9</v>
      </c>
      <c r="P36" s="4">
        <v>2</v>
      </c>
      <c r="Q36" s="4">
        <v>0</v>
      </c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>
        <v>9</v>
      </c>
      <c r="AQ36" s="4">
        <v>2</v>
      </c>
      <c r="AR36" s="4">
        <v>0</v>
      </c>
    </row>
    <row r="37" spans="4:44">
      <c r="D37" s="4">
        <v>35</v>
      </c>
      <c r="E37" s="4">
        <v>91</v>
      </c>
      <c r="F37" s="4">
        <v>6</v>
      </c>
      <c r="G37" s="4">
        <v>799</v>
      </c>
      <c r="H37" s="4">
        <v>0</v>
      </c>
      <c r="I37" s="4">
        <v>0</v>
      </c>
      <c r="J37" s="4">
        <v>30</v>
      </c>
      <c r="K37" s="59">
        <v>182</v>
      </c>
      <c r="L37" s="4">
        <v>10</v>
      </c>
      <c r="M37" s="4">
        <v>2</v>
      </c>
      <c r="N37" s="4"/>
      <c r="O37" s="4">
        <v>9</v>
      </c>
      <c r="P37" s="4">
        <v>3</v>
      </c>
      <c r="Q37" s="4">
        <v>81</v>
      </c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>
        <v>9</v>
      </c>
      <c r="AQ37" s="4">
        <v>3</v>
      </c>
      <c r="AR37" s="4">
        <v>0</v>
      </c>
    </row>
    <row r="38" spans="4:44">
      <c r="D38" s="4">
        <v>36</v>
      </c>
      <c r="E38" s="4">
        <v>91</v>
      </c>
      <c r="F38" s="4">
        <v>6</v>
      </c>
      <c r="G38" s="4">
        <v>632</v>
      </c>
      <c r="H38" s="4">
        <v>0</v>
      </c>
      <c r="I38" s="4">
        <v>0</v>
      </c>
      <c r="J38" s="4">
        <v>30</v>
      </c>
      <c r="K38" s="4">
        <v>149</v>
      </c>
      <c r="L38" s="4">
        <v>7</v>
      </c>
      <c r="M38" s="4">
        <v>3</v>
      </c>
      <c r="N38" s="4"/>
      <c r="O38" s="4">
        <v>9</v>
      </c>
      <c r="P38" s="4">
        <v>4</v>
      </c>
      <c r="Q38" s="4">
        <v>0</v>
      </c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>
        <v>9</v>
      </c>
      <c r="AQ38" s="4">
        <v>4</v>
      </c>
      <c r="AR38" s="4">
        <v>0</v>
      </c>
    </row>
    <row r="39" spans="4:44">
      <c r="D39" s="4">
        <v>37</v>
      </c>
      <c r="E39" s="4">
        <v>91</v>
      </c>
      <c r="F39" s="4">
        <v>6</v>
      </c>
      <c r="G39" s="4">
        <v>967</v>
      </c>
      <c r="H39" s="4">
        <v>0</v>
      </c>
      <c r="I39" s="4">
        <v>0</v>
      </c>
      <c r="J39" s="4">
        <v>30</v>
      </c>
      <c r="K39" s="59">
        <v>230</v>
      </c>
      <c r="L39" s="59">
        <v>10</v>
      </c>
      <c r="M39" s="59">
        <v>1</v>
      </c>
      <c r="N39" s="4"/>
      <c r="O39" s="4">
        <v>10</v>
      </c>
      <c r="P39" s="4">
        <v>1</v>
      </c>
      <c r="Q39" s="4">
        <v>0</v>
      </c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>
        <v>10</v>
      </c>
      <c r="AQ39" s="4">
        <v>1</v>
      </c>
      <c r="AR39" s="4">
        <v>0</v>
      </c>
    </row>
    <row r="40" spans="4:44">
      <c r="D40" s="4">
        <v>38</v>
      </c>
      <c r="E40" s="4">
        <v>91</v>
      </c>
      <c r="F40" s="4">
        <v>6</v>
      </c>
      <c r="G40" s="4">
        <v>560</v>
      </c>
      <c r="H40" s="4">
        <v>45</v>
      </c>
      <c r="I40" s="4">
        <v>45</v>
      </c>
      <c r="J40" s="4">
        <v>90</v>
      </c>
      <c r="K40" s="4">
        <v>114</v>
      </c>
      <c r="L40" s="4">
        <v>2</v>
      </c>
      <c r="M40" s="4">
        <v>2</v>
      </c>
      <c r="N40" s="4"/>
      <c r="O40" s="4">
        <v>10</v>
      </c>
      <c r="P40" s="4">
        <v>2</v>
      </c>
      <c r="Q40" s="4">
        <v>68</v>
      </c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>
        <v>10</v>
      </c>
      <c r="AQ40" s="4">
        <v>2</v>
      </c>
      <c r="AR40" s="4">
        <v>0</v>
      </c>
    </row>
    <row r="41" spans="4:44">
      <c r="D41" s="4">
        <v>39</v>
      </c>
      <c r="E41" s="4">
        <v>87</v>
      </c>
      <c r="F41" s="4">
        <v>6</v>
      </c>
      <c r="G41" s="4">
        <v>993</v>
      </c>
      <c r="H41" s="4">
        <v>20</v>
      </c>
      <c r="I41" s="4">
        <v>20</v>
      </c>
      <c r="J41" s="4">
        <v>55</v>
      </c>
      <c r="K41" s="4">
        <v>231</v>
      </c>
      <c r="L41" s="4">
        <v>3</v>
      </c>
      <c r="M41" s="4">
        <v>2</v>
      </c>
      <c r="N41" s="4"/>
      <c r="O41" s="4">
        <v>10</v>
      </c>
      <c r="P41" s="4">
        <v>3</v>
      </c>
      <c r="Q41" s="4">
        <v>0</v>
      </c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>
        <v>10</v>
      </c>
      <c r="AQ41" s="4">
        <v>3</v>
      </c>
      <c r="AR41" s="4">
        <v>0</v>
      </c>
    </row>
    <row r="42" spans="4:44">
      <c r="D42" s="4">
        <v>40</v>
      </c>
      <c r="E42" s="4">
        <v>87</v>
      </c>
      <c r="F42" s="4">
        <v>6</v>
      </c>
      <c r="G42" s="4">
        <v>932</v>
      </c>
      <c r="H42" s="4">
        <v>45</v>
      </c>
      <c r="I42" s="4">
        <v>45</v>
      </c>
      <c r="J42" s="4">
        <v>90</v>
      </c>
      <c r="K42" s="4">
        <v>192</v>
      </c>
      <c r="L42" s="4">
        <v>8</v>
      </c>
      <c r="M42" s="4">
        <v>2</v>
      </c>
      <c r="N42" s="4"/>
      <c r="O42" s="4">
        <v>10</v>
      </c>
      <c r="P42" s="4">
        <v>4</v>
      </c>
      <c r="Q42" s="4">
        <v>0</v>
      </c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>
        <v>10</v>
      </c>
      <c r="AQ42" s="4">
        <v>4</v>
      </c>
      <c r="AR42" s="4">
        <v>31</v>
      </c>
    </row>
    <row r="43" spans="4:44">
      <c r="D43" s="4">
        <v>41</v>
      </c>
      <c r="E43" s="4">
        <v>87</v>
      </c>
      <c r="F43" s="4">
        <v>6</v>
      </c>
      <c r="G43" s="4">
        <v>767</v>
      </c>
      <c r="H43" s="4">
        <v>0</v>
      </c>
      <c r="I43" s="4">
        <v>0</v>
      </c>
      <c r="J43" s="4">
        <v>30</v>
      </c>
      <c r="K43" s="4">
        <v>166</v>
      </c>
      <c r="L43" s="4">
        <v>1</v>
      </c>
      <c r="M43" s="4">
        <v>1</v>
      </c>
      <c r="N43" s="4"/>
      <c r="O43" s="4">
        <v>11</v>
      </c>
      <c r="P43" s="4">
        <v>1</v>
      </c>
      <c r="Q43" s="4">
        <v>131</v>
      </c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</row>
    <row r="44" spans="4:44">
      <c r="D44" s="4">
        <v>42</v>
      </c>
      <c r="E44" s="4">
        <v>87</v>
      </c>
      <c r="F44" s="4">
        <v>6</v>
      </c>
      <c r="G44" s="4">
        <v>845</v>
      </c>
      <c r="H44" s="4">
        <v>80</v>
      </c>
      <c r="I44" s="4">
        <v>80</v>
      </c>
      <c r="J44" s="4">
        <v>140</v>
      </c>
      <c r="K44" s="4">
        <v>170</v>
      </c>
      <c r="L44" s="4">
        <v>9</v>
      </c>
      <c r="M44" s="4">
        <v>1</v>
      </c>
      <c r="N44" s="4"/>
      <c r="O44" s="4">
        <v>11</v>
      </c>
      <c r="P44" s="4">
        <v>2</v>
      </c>
      <c r="Q44" s="4">
        <v>0</v>
      </c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</row>
    <row r="45" spans="4:44">
      <c r="D45" s="4">
        <v>43</v>
      </c>
      <c r="E45" s="4">
        <v>87</v>
      </c>
      <c r="F45" s="4">
        <v>6</v>
      </c>
      <c r="G45" s="4">
        <v>648</v>
      </c>
      <c r="H45" s="4">
        <v>45</v>
      </c>
      <c r="I45" s="4">
        <v>45</v>
      </c>
      <c r="J45" s="4">
        <v>90</v>
      </c>
      <c r="K45" s="4">
        <v>153</v>
      </c>
      <c r="L45" s="4">
        <v>4</v>
      </c>
      <c r="M45" s="4">
        <v>3</v>
      </c>
      <c r="N45" s="4"/>
      <c r="O45" s="4">
        <v>11</v>
      </c>
      <c r="P45" s="4">
        <v>3</v>
      </c>
      <c r="Q45" s="4">
        <v>0</v>
      </c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</row>
    <row r="46" spans="4:44">
      <c r="D46" s="4">
        <v>44</v>
      </c>
      <c r="E46" s="4">
        <v>87</v>
      </c>
      <c r="F46" s="4">
        <v>6</v>
      </c>
      <c r="G46" s="4">
        <v>580</v>
      </c>
      <c r="H46" s="4">
        <v>45</v>
      </c>
      <c r="I46" s="4">
        <v>45</v>
      </c>
      <c r="J46" s="4">
        <v>90</v>
      </c>
      <c r="K46" s="4">
        <v>131</v>
      </c>
      <c r="L46" s="4">
        <v>7</v>
      </c>
      <c r="M46" s="4">
        <v>3</v>
      </c>
      <c r="N46" s="4"/>
      <c r="O46" s="4">
        <v>11</v>
      </c>
      <c r="P46" s="4">
        <v>4</v>
      </c>
      <c r="Q46" s="4">
        <v>0</v>
      </c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</row>
    <row r="47" spans="4:44">
      <c r="D47" s="4">
        <v>45</v>
      </c>
      <c r="E47" s="4">
        <v>87</v>
      </c>
      <c r="F47" s="4">
        <v>6</v>
      </c>
      <c r="G47" s="4">
        <v>665</v>
      </c>
      <c r="H47" s="4">
        <v>45</v>
      </c>
      <c r="I47" s="4">
        <v>45</v>
      </c>
      <c r="J47" s="4">
        <v>90</v>
      </c>
      <c r="K47" s="4">
        <v>156</v>
      </c>
      <c r="L47" s="4">
        <v>9</v>
      </c>
      <c r="M47" s="4">
        <v>2</v>
      </c>
      <c r="N47" s="4"/>
      <c r="O47" s="4">
        <v>12</v>
      </c>
      <c r="P47" s="4">
        <v>1</v>
      </c>
      <c r="Q47" s="4">
        <v>0</v>
      </c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</row>
    <row r="48" spans="4:44">
      <c r="D48" s="4">
        <v>46</v>
      </c>
      <c r="E48" s="4">
        <v>65</v>
      </c>
      <c r="F48" s="4">
        <v>23</v>
      </c>
      <c r="G48" s="4">
        <v>942</v>
      </c>
      <c r="H48" s="4">
        <v>45</v>
      </c>
      <c r="I48" s="4">
        <v>45</v>
      </c>
      <c r="J48" s="4">
        <v>90</v>
      </c>
      <c r="K48" s="4">
        <v>207</v>
      </c>
      <c r="L48" s="4">
        <v>8</v>
      </c>
      <c r="M48" s="4">
        <v>3</v>
      </c>
      <c r="N48" s="4"/>
      <c r="O48" s="4">
        <v>12</v>
      </c>
      <c r="P48" s="4">
        <v>2</v>
      </c>
      <c r="Q48" s="4">
        <v>0</v>
      </c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</row>
    <row r="49" spans="4:44">
      <c r="D49" s="4">
        <v>47</v>
      </c>
      <c r="E49" s="4">
        <v>65</v>
      </c>
      <c r="F49" s="4">
        <v>23</v>
      </c>
      <c r="G49" s="4">
        <v>509</v>
      </c>
      <c r="H49" s="4">
        <v>80</v>
      </c>
      <c r="I49" s="4">
        <v>80</v>
      </c>
      <c r="J49" s="4">
        <v>140</v>
      </c>
      <c r="K49" s="4">
        <v>118</v>
      </c>
      <c r="L49" s="4">
        <v>4</v>
      </c>
      <c r="M49" s="4">
        <v>2</v>
      </c>
      <c r="N49" s="4"/>
      <c r="O49" s="4">
        <v>12</v>
      </c>
      <c r="P49" s="4">
        <v>3</v>
      </c>
      <c r="Q49" s="4">
        <v>221</v>
      </c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</row>
    <row r="50" spans="4:44">
      <c r="D50" s="4">
        <v>48</v>
      </c>
      <c r="E50" s="4">
        <v>65</v>
      </c>
      <c r="F50" s="4">
        <v>23</v>
      </c>
      <c r="G50" s="4">
        <v>828</v>
      </c>
      <c r="H50" s="4">
        <v>0</v>
      </c>
      <c r="I50" s="4">
        <v>0</v>
      </c>
      <c r="J50" s="4">
        <v>30</v>
      </c>
      <c r="K50" s="4">
        <v>185</v>
      </c>
      <c r="L50" s="4">
        <v>4</v>
      </c>
      <c r="M50" s="4">
        <v>3</v>
      </c>
      <c r="N50" s="4"/>
      <c r="O50" s="4">
        <v>12</v>
      </c>
      <c r="P50" s="4">
        <v>4</v>
      </c>
      <c r="Q50" s="4">
        <v>0</v>
      </c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</row>
    <row r="51" spans="4:44">
      <c r="D51" s="4">
        <v>49</v>
      </c>
      <c r="E51" s="4">
        <v>65</v>
      </c>
      <c r="F51" s="4">
        <v>23</v>
      </c>
      <c r="G51" s="4">
        <v>506</v>
      </c>
      <c r="H51" s="4">
        <v>20</v>
      </c>
      <c r="I51" s="4">
        <v>20</v>
      </c>
      <c r="J51" s="4">
        <v>55</v>
      </c>
      <c r="K51" s="4">
        <v>112</v>
      </c>
      <c r="L51" s="4">
        <v>6</v>
      </c>
      <c r="M51" s="4">
        <v>2</v>
      </c>
      <c r="N51" s="4"/>
      <c r="O51" s="4">
        <v>13</v>
      </c>
      <c r="P51" s="4">
        <v>1</v>
      </c>
      <c r="Q51" s="4">
        <v>0</v>
      </c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</row>
    <row r="52" spans="4:44">
      <c r="D52" s="4">
        <v>50</v>
      </c>
      <c r="E52" s="4">
        <v>65</v>
      </c>
      <c r="F52" s="4">
        <v>23</v>
      </c>
      <c r="G52" s="4">
        <v>974</v>
      </c>
      <c r="H52" s="4">
        <v>80</v>
      </c>
      <c r="I52" s="4">
        <v>80</v>
      </c>
      <c r="J52" s="4">
        <v>140</v>
      </c>
      <c r="K52" s="4">
        <v>241</v>
      </c>
      <c r="L52" s="4">
        <v>3</v>
      </c>
      <c r="M52" s="4">
        <v>2</v>
      </c>
      <c r="N52" s="4"/>
      <c r="O52" s="4">
        <v>13</v>
      </c>
      <c r="P52" s="4">
        <v>2</v>
      </c>
      <c r="Q52" s="4">
        <v>174</v>
      </c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</row>
    <row r="53" spans="4:44">
      <c r="D53" s="4">
        <v>51</v>
      </c>
      <c r="E53" s="4">
        <v>65</v>
      </c>
      <c r="F53" s="4">
        <v>23</v>
      </c>
      <c r="G53" s="4">
        <v>689</v>
      </c>
      <c r="H53" s="4">
        <v>80</v>
      </c>
      <c r="I53" s="4">
        <v>80</v>
      </c>
      <c r="J53" s="4">
        <v>140</v>
      </c>
      <c r="K53" s="4">
        <v>147</v>
      </c>
      <c r="L53" s="4">
        <v>9</v>
      </c>
      <c r="M53" s="4">
        <v>3</v>
      </c>
      <c r="N53" s="4"/>
      <c r="O53" s="4">
        <v>13</v>
      </c>
      <c r="P53" s="4">
        <v>3</v>
      </c>
      <c r="Q53" s="4">
        <v>0</v>
      </c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</row>
    <row r="54" spans="4:44">
      <c r="D54" s="4">
        <v>52</v>
      </c>
      <c r="E54" s="4">
        <v>65</v>
      </c>
      <c r="F54" s="4">
        <v>23</v>
      </c>
      <c r="G54" s="4">
        <v>541</v>
      </c>
      <c r="H54" s="4">
        <v>80</v>
      </c>
      <c r="I54" s="4">
        <v>80</v>
      </c>
      <c r="J54" s="4">
        <v>140</v>
      </c>
      <c r="K54" s="4">
        <v>127</v>
      </c>
      <c r="L54" s="4">
        <v>10</v>
      </c>
      <c r="M54" s="4">
        <v>2</v>
      </c>
      <c r="N54" s="4"/>
      <c r="O54" s="4">
        <v>13</v>
      </c>
      <c r="P54" s="4">
        <v>4</v>
      </c>
      <c r="Q54" s="4">
        <v>0</v>
      </c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</row>
    <row r="55" spans="4:44">
      <c r="D55" s="4">
        <v>53</v>
      </c>
      <c r="E55" s="4">
        <v>65</v>
      </c>
      <c r="F55" s="4">
        <v>30</v>
      </c>
      <c r="G55" s="4">
        <v>654</v>
      </c>
      <c r="H55" s="4">
        <v>80</v>
      </c>
      <c r="I55" s="4">
        <v>80</v>
      </c>
      <c r="J55" s="4">
        <v>140</v>
      </c>
      <c r="K55" s="4">
        <v>137</v>
      </c>
      <c r="L55" s="4">
        <v>9</v>
      </c>
      <c r="M55" s="4">
        <v>2</v>
      </c>
      <c r="N55" s="4"/>
      <c r="O55" s="4">
        <v>14</v>
      </c>
      <c r="P55" s="4">
        <v>1</v>
      </c>
      <c r="Q55" s="4">
        <v>33</v>
      </c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</row>
    <row r="56" spans="4:44">
      <c r="D56" s="4">
        <v>54</v>
      </c>
      <c r="E56" s="4">
        <v>65</v>
      </c>
      <c r="F56" s="4">
        <v>30</v>
      </c>
      <c r="G56" s="4">
        <v>677</v>
      </c>
      <c r="H56" s="4">
        <v>45</v>
      </c>
      <c r="I56" s="4">
        <v>45</v>
      </c>
      <c r="J56" s="4">
        <v>90</v>
      </c>
      <c r="K56" s="4">
        <v>149</v>
      </c>
      <c r="L56" s="4">
        <v>10</v>
      </c>
      <c r="M56" s="4">
        <v>1</v>
      </c>
      <c r="N56" s="4"/>
      <c r="O56" s="4">
        <v>14</v>
      </c>
      <c r="P56" s="4">
        <v>2</v>
      </c>
      <c r="Q56" s="4">
        <v>0</v>
      </c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</row>
    <row r="57" spans="4:44">
      <c r="D57" s="4">
        <v>55</v>
      </c>
      <c r="E57" s="4">
        <v>65</v>
      </c>
      <c r="F57" s="4">
        <v>30</v>
      </c>
      <c r="G57" s="4">
        <v>559</v>
      </c>
      <c r="H57" s="4">
        <v>45</v>
      </c>
      <c r="I57" s="4">
        <v>45</v>
      </c>
      <c r="J57" s="4">
        <v>90</v>
      </c>
      <c r="K57" s="4">
        <v>138</v>
      </c>
      <c r="L57" s="4">
        <v>1</v>
      </c>
      <c r="M57" s="4">
        <v>2</v>
      </c>
      <c r="N57" s="4"/>
      <c r="O57" s="4">
        <v>14</v>
      </c>
      <c r="P57" s="4">
        <v>3</v>
      </c>
      <c r="Q57" s="4">
        <v>0</v>
      </c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</row>
    <row r="58" spans="4:44">
      <c r="D58" s="4">
        <v>56</v>
      </c>
      <c r="E58" s="4">
        <v>65</v>
      </c>
      <c r="F58" s="4">
        <v>30</v>
      </c>
      <c r="G58" s="4">
        <v>759</v>
      </c>
      <c r="H58" s="4">
        <v>0</v>
      </c>
      <c r="I58" s="4">
        <v>0</v>
      </c>
      <c r="J58" s="4">
        <v>30</v>
      </c>
      <c r="K58" s="4">
        <v>186</v>
      </c>
      <c r="L58" s="4">
        <v>7</v>
      </c>
      <c r="M58" s="4">
        <v>1</v>
      </c>
      <c r="N58" s="4"/>
      <c r="O58" s="4">
        <v>14</v>
      </c>
      <c r="P58" s="4">
        <v>4</v>
      </c>
      <c r="Q58" s="4">
        <v>0</v>
      </c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</row>
    <row r="59" spans="4:44">
      <c r="D59" s="4">
        <v>57</v>
      </c>
      <c r="E59" s="4">
        <v>65</v>
      </c>
      <c r="F59" s="4">
        <v>30</v>
      </c>
      <c r="G59" s="4">
        <v>573</v>
      </c>
      <c r="H59" s="4">
        <v>45</v>
      </c>
      <c r="I59" s="4">
        <v>45</v>
      </c>
      <c r="J59" s="4">
        <v>90</v>
      </c>
      <c r="K59" s="4">
        <v>131</v>
      </c>
      <c r="L59" s="4">
        <v>1</v>
      </c>
      <c r="M59" s="4">
        <v>3</v>
      </c>
      <c r="N59" s="4"/>
      <c r="O59" s="4">
        <v>15</v>
      </c>
      <c r="P59" s="4">
        <v>1</v>
      </c>
      <c r="Q59" s="4">
        <v>0</v>
      </c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</row>
    <row r="60" spans="4:44">
      <c r="D60" s="4">
        <v>58</v>
      </c>
      <c r="E60" s="4">
        <v>65</v>
      </c>
      <c r="F60" s="4">
        <v>30</v>
      </c>
      <c r="G60" s="4">
        <v>751</v>
      </c>
      <c r="H60" s="4">
        <v>80</v>
      </c>
      <c r="I60" s="4">
        <v>80</v>
      </c>
      <c r="J60" s="4">
        <v>140</v>
      </c>
      <c r="K60" s="4">
        <v>171</v>
      </c>
      <c r="L60" s="4">
        <v>9</v>
      </c>
      <c r="M60" s="4">
        <v>1</v>
      </c>
      <c r="N60" s="4"/>
      <c r="O60" s="4">
        <v>15</v>
      </c>
      <c r="P60" s="4">
        <v>2</v>
      </c>
      <c r="Q60" s="4">
        <v>0</v>
      </c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</row>
    <row r="61" spans="4:44">
      <c r="D61" s="4">
        <v>59</v>
      </c>
      <c r="E61" s="4">
        <v>112</v>
      </c>
      <c r="F61" s="4">
        <v>17</v>
      </c>
      <c r="G61" s="4">
        <v>539</v>
      </c>
      <c r="H61" s="4">
        <v>80</v>
      </c>
      <c r="I61" s="4">
        <v>80</v>
      </c>
      <c r="J61" s="4">
        <v>140</v>
      </c>
      <c r="K61" s="4">
        <v>121</v>
      </c>
      <c r="L61" s="4">
        <v>7</v>
      </c>
      <c r="M61" s="4">
        <v>2</v>
      </c>
      <c r="N61" s="4"/>
      <c r="O61" s="4">
        <v>15</v>
      </c>
      <c r="P61" s="4">
        <v>3</v>
      </c>
      <c r="Q61" s="4">
        <v>0</v>
      </c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</row>
    <row r="62" spans="4:44">
      <c r="D62" s="4">
        <v>60</v>
      </c>
      <c r="E62" s="4">
        <v>112</v>
      </c>
      <c r="F62" s="4">
        <v>17</v>
      </c>
      <c r="G62" s="4">
        <v>689</v>
      </c>
      <c r="H62" s="4">
        <v>80</v>
      </c>
      <c r="I62" s="4">
        <v>80</v>
      </c>
      <c r="J62" s="4">
        <v>140</v>
      </c>
      <c r="K62" s="4">
        <v>165</v>
      </c>
      <c r="L62" s="4">
        <v>1</v>
      </c>
      <c r="M62" s="4">
        <v>2</v>
      </c>
      <c r="N62" s="4"/>
      <c r="O62" s="4">
        <v>15</v>
      </c>
      <c r="P62" s="4">
        <v>4</v>
      </c>
      <c r="Q62" s="4">
        <v>50</v>
      </c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</row>
    <row r="63" spans="4:44">
      <c r="D63" s="4">
        <v>61</v>
      </c>
      <c r="E63" s="4">
        <v>112</v>
      </c>
      <c r="F63" s="4">
        <v>17</v>
      </c>
      <c r="G63" s="4">
        <v>896</v>
      </c>
      <c r="H63" s="4">
        <v>80</v>
      </c>
      <c r="I63" s="4">
        <v>80</v>
      </c>
      <c r="J63" s="4">
        <v>140</v>
      </c>
      <c r="K63" s="4">
        <v>192</v>
      </c>
      <c r="L63" s="4">
        <v>7</v>
      </c>
      <c r="M63" s="4">
        <v>1</v>
      </c>
      <c r="N63" s="4"/>
      <c r="O63" s="4">
        <v>16</v>
      </c>
      <c r="P63" s="4">
        <v>1</v>
      </c>
      <c r="Q63" s="4">
        <v>0</v>
      </c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</row>
    <row r="64" spans="4:44">
      <c r="D64" s="4">
        <v>62</v>
      </c>
      <c r="E64" s="4">
        <v>112</v>
      </c>
      <c r="F64" s="4">
        <v>17</v>
      </c>
      <c r="G64" s="4">
        <v>666</v>
      </c>
      <c r="H64" s="4">
        <v>0</v>
      </c>
      <c r="I64" s="4">
        <v>0</v>
      </c>
      <c r="J64" s="4">
        <v>30</v>
      </c>
      <c r="K64" s="4">
        <v>159</v>
      </c>
      <c r="L64" s="4">
        <v>3</v>
      </c>
      <c r="M64" s="4">
        <v>2</v>
      </c>
      <c r="N64" s="4"/>
      <c r="O64" s="4">
        <v>16</v>
      </c>
      <c r="P64" s="4">
        <v>2</v>
      </c>
      <c r="Q64" s="4">
        <v>142</v>
      </c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</row>
    <row r="65" spans="4:44">
      <c r="D65" s="4">
        <v>63</v>
      </c>
      <c r="E65" s="4">
        <v>112</v>
      </c>
      <c r="F65" s="4">
        <v>17</v>
      </c>
      <c r="G65" s="4">
        <v>503</v>
      </c>
      <c r="H65" s="4">
        <v>80</v>
      </c>
      <c r="I65" s="4">
        <v>80</v>
      </c>
      <c r="J65" s="4">
        <v>140</v>
      </c>
      <c r="K65" s="4">
        <v>115</v>
      </c>
      <c r="L65" s="4">
        <v>3</v>
      </c>
      <c r="M65" s="4">
        <v>2</v>
      </c>
      <c r="N65" s="4"/>
      <c r="O65" s="4">
        <v>16</v>
      </c>
      <c r="P65" s="4">
        <v>3</v>
      </c>
      <c r="Q65" s="4">
        <v>0</v>
      </c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</row>
    <row r="66" spans="4:44">
      <c r="D66" s="4">
        <v>64</v>
      </c>
      <c r="E66" s="4">
        <v>112</v>
      </c>
      <c r="F66" s="4">
        <v>17</v>
      </c>
      <c r="G66" s="4">
        <v>854</v>
      </c>
      <c r="H66" s="4">
        <v>20</v>
      </c>
      <c r="I66" s="4">
        <v>20</v>
      </c>
      <c r="J66" s="4">
        <v>55</v>
      </c>
      <c r="K66" s="4">
        <v>205</v>
      </c>
      <c r="L66" s="4">
        <v>9</v>
      </c>
      <c r="M66" s="4">
        <v>3</v>
      </c>
      <c r="N66" s="4"/>
      <c r="O66" s="4">
        <v>16</v>
      </c>
      <c r="P66" s="4">
        <v>4</v>
      </c>
      <c r="Q66" s="4">
        <v>0</v>
      </c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</row>
    <row r="67" spans="4:44">
      <c r="D67" s="4">
        <v>65</v>
      </c>
      <c r="E67" s="4">
        <v>112</v>
      </c>
      <c r="F67" s="4">
        <v>17</v>
      </c>
      <c r="G67" s="4">
        <v>923</v>
      </c>
      <c r="H67" s="4">
        <v>45</v>
      </c>
      <c r="I67" s="4">
        <v>45</v>
      </c>
      <c r="J67" s="4">
        <v>90</v>
      </c>
      <c r="K67" s="4">
        <v>206</v>
      </c>
      <c r="L67" s="4">
        <v>1</v>
      </c>
      <c r="M67" s="4">
        <v>3</v>
      </c>
      <c r="N67" s="4"/>
      <c r="O67" s="4">
        <v>17</v>
      </c>
      <c r="P67" s="4">
        <v>1</v>
      </c>
      <c r="Q67" s="4">
        <v>0</v>
      </c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</row>
    <row r="68" spans="4:44">
      <c r="D68" s="4">
        <v>66</v>
      </c>
      <c r="E68" s="4">
        <v>112</v>
      </c>
      <c r="F68" s="4">
        <v>17</v>
      </c>
      <c r="G68" s="4">
        <v>868</v>
      </c>
      <c r="H68" s="4">
        <v>80</v>
      </c>
      <c r="I68" s="4">
        <v>80</v>
      </c>
      <c r="J68" s="4">
        <v>140</v>
      </c>
      <c r="K68" s="4">
        <v>207</v>
      </c>
      <c r="L68" s="4">
        <v>3</v>
      </c>
      <c r="M68" s="4">
        <v>3</v>
      </c>
      <c r="N68" s="4"/>
      <c r="O68" s="4">
        <v>17</v>
      </c>
      <c r="P68" s="4">
        <v>2</v>
      </c>
      <c r="Q68" s="4">
        <v>0</v>
      </c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</row>
    <row r="69" spans="4:44">
      <c r="D69" s="4">
        <v>67</v>
      </c>
      <c r="E69" s="4">
        <v>112</v>
      </c>
      <c r="F69" s="4">
        <v>17</v>
      </c>
      <c r="G69" s="4">
        <v>803</v>
      </c>
      <c r="H69" s="4">
        <v>80</v>
      </c>
      <c r="I69" s="4">
        <v>80</v>
      </c>
      <c r="J69" s="4">
        <v>140</v>
      </c>
      <c r="K69" s="4">
        <v>187</v>
      </c>
      <c r="L69" s="4">
        <v>2</v>
      </c>
      <c r="M69" s="4">
        <v>2</v>
      </c>
      <c r="N69" s="4"/>
      <c r="O69" s="4">
        <v>17</v>
      </c>
      <c r="P69" s="4">
        <v>3</v>
      </c>
      <c r="Q69" s="4">
        <v>16</v>
      </c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</row>
    <row r="70" spans="4:44">
      <c r="D70" s="4">
        <v>68</v>
      </c>
      <c r="E70" s="4">
        <v>111</v>
      </c>
      <c r="F70" s="4">
        <v>27</v>
      </c>
      <c r="G70" s="4">
        <v>810</v>
      </c>
      <c r="H70" s="4">
        <v>45</v>
      </c>
      <c r="I70" s="4">
        <v>45</v>
      </c>
      <c r="J70" s="4">
        <v>90</v>
      </c>
      <c r="K70" s="4">
        <v>199</v>
      </c>
      <c r="L70" s="4">
        <v>4</v>
      </c>
      <c r="M70" s="4">
        <v>1</v>
      </c>
      <c r="N70" s="4"/>
      <c r="O70" s="4">
        <v>17</v>
      </c>
      <c r="P70" s="4">
        <v>4</v>
      </c>
      <c r="Q70" s="4">
        <v>0</v>
      </c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</row>
    <row r="71" spans="4:44">
      <c r="D71" s="4">
        <v>69</v>
      </c>
      <c r="E71" s="4">
        <v>111</v>
      </c>
      <c r="F71" s="4">
        <v>27</v>
      </c>
      <c r="G71" s="4">
        <v>722</v>
      </c>
      <c r="H71" s="4">
        <v>80</v>
      </c>
      <c r="I71" s="4">
        <v>80</v>
      </c>
      <c r="J71" s="4">
        <v>140</v>
      </c>
      <c r="K71" s="4">
        <v>176</v>
      </c>
      <c r="L71" s="4">
        <v>2</v>
      </c>
      <c r="M71" s="4">
        <v>3</v>
      </c>
      <c r="N71" s="4"/>
      <c r="O71" s="4">
        <v>18</v>
      </c>
      <c r="P71" s="4">
        <v>1</v>
      </c>
      <c r="Q71" s="4">
        <v>243</v>
      </c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</row>
    <row r="72" spans="4:44">
      <c r="D72" s="4">
        <v>70</v>
      </c>
      <c r="E72" s="4">
        <v>111</v>
      </c>
      <c r="F72" s="4">
        <v>27</v>
      </c>
      <c r="G72" s="4">
        <v>755</v>
      </c>
      <c r="H72" s="4">
        <v>0</v>
      </c>
      <c r="I72" s="4">
        <v>0</v>
      </c>
      <c r="J72" s="4">
        <v>30</v>
      </c>
      <c r="K72" s="4">
        <v>160</v>
      </c>
      <c r="L72" s="4">
        <v>9</v>
      </c>
      <c r="M72" s="4">
        <v>3</v>
      </c>
      <c r="N72" s="4"/>
      <c r="O72" s="4">
        <v>18</v>
      </c>
      <c r="P72" s="4">
        <v>2</v>
      </c>
      <c r="Q72" s="4">
        <v>0</v>
      </c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</row>
    <row r="73" spans="4:44"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>
        <v>18</v>
      </c>
      <c r="P73" s="4">
        <v>3</v>
      </c>
      <c r="Q73" s="4">
        <v>0</v>
      </c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</row>
    <row r="74" spans="4:44"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>
        <v>18</v>
      </c>
      <c r="P74" s="4">
        <v>4</v>
      </c>
      <c r="Q74" s="4">
        <v>0</v>
      </c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</row>
    <row r="75" spans="4:44"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>
        <v>19</v>
      </c>
      <c r="P75" s="4">
        <v>1</v>
      </c>
      <c r="Q75" s="4">
        <v>0</v>
      </c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</row>
    <row r="76" spans="4:44"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>
        <v>19</v>
      </c>
      <c r="P76" s="4">
        <v>2</v>
      </c>
      <c r="Q76" s="4">
        <v>0</v>
      </c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</row>
    <row r="77" spans="4:44"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>
        <v>19</v>
      </c>
      <c r="P77" s="4">
        <v>3</v>
      </c>
      <c r="Q77" s="4">
        <v>213</v>
      </c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</row>
    <row r="78" spans="4:44"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>
        <v>19</v>
      </c>
      <c r="P78" s="4">
        <v>4</v>
      </c>
      <c r="Q78" s="4">
        <v>0</v>
      </c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</row>
    <row r="79" spans="4:44"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>
        <v>20</v>
      </c>
      <c r="P79" s="4">
        <v>1</v>
      </c>
      <c r="Q79" s="4">
        <v>0</v>
      </c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</row>
    <row r="80" spans="4:44"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>
        <v>20</v>
      </c>
      <c r="P80" s="4">
        <v>2</v>
      </c>
      <c r="Q80" s="4">
        <v>0</v>
      </c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</row>
    <row r="81" spans="4:44"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>
        <v>20</v>
      </c>
      <c r="P81" s="4">
        <v>3</v>
      </c>
      <c r="Q81" s="4">
        <v>0</v>
      </c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</row>
    <row r="82" spans="4:44"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>
        <v>20</v>
      </c>
      <c r="P82" s="4">
        <v>4</v>
      </c>
      <c r="Q82" s="4">
        <v>141</v>
      </c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</row>
    <row r="83" spans="4:44"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>
        <v>21</v>
      </c>
      <c r="P83" s="4">
        <v>1</v>
      </c>
      <c r="Q83" s="4">
        <v>0</v>
      </c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</row>
    <row r="84" spans="4:44"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>
        <v>21</v>
      </c>
      <c r="P84" s="4">
        <v>2</v>
      </c>
      <c r="Q84" s="4">
        <v>32</v>
      </c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</row>
    <row r="85" spans="4:44"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>
        <v>21</v>
      </c>
      <c r="P85" s="4">
        <v>3</v>
      </c>
      <c r="Q85" s="4">
        <v>0</v>
      </c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</row>
    <row r="86" spans="4:44"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>
        <v>21</v>
      </c>
      <c r="P86" s="4">
        <v>4</v>
      </c>
      <c r="Q86" s="4">
        <v>0</v>
      </c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</row>
    <row r="87" spans="4:44"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>
        <v>22</v>
      </c>
      <c r="P87" s="4">
        <v>1</v>
      </c>
      <c r="Q87" s="4">
        <v>0</v>
      </c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</row>
    <row r="88" spans="4:44"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>
        <v>22</v>
      </c>
      <c r="P88" s="4">
        <v>2</v>
      </c>
      <c r="Q88" s="4">
        <v>0</v>
      </c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</row>
    <row r="89" spans="4:44"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>
        <v>22</v>
      </c>
      <c r="P89" s="4">
        <v>3</v>
      </c>
      <c r="Q89" s="4">
        <v>0</v>
      </c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</row>
    <row r="90" spans="4:44"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>
        <v>22</v>
      </c>
      <c r="P90" s="4">
        <v>4</v>
      </c>
      <c r="Q90" s="4">
        <v>207</v>
      </c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</row>
    <row r="91" spans="4:44"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>
        <v>23</v>
      </c>
      <c r="P91" s="4">
        <v>1</v>
      </c>
      <c r="Q91" s="4">
        <v>0</v>
      </c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</row>
    <row r="92" spans="4:44"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>
        <v>23</v>
      </c>
      <c r="P92" s="4">
        <v>2</v>
      </c>
      <c r="Q92" s="4">
        <v>0</v>
      </c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</row>
    <row r="93" spans="4:44"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>
        <v>23</v>
      </c>
      <c r="P93" s="4">
        <v>3</v>
      </c>
      <c r="Q93" s="4">
        <v>0</v>
      </c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</row>
    <row r="94" spans="4:44"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>
        <v>23</v>
      </c>
      <c r="P94" s="4">
        <v>4</v>
      </c>
      <c r="Q94" s="4">
        <v>271</v>
      </c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</row>
    <row r="95" spans="4:44"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>
        <v>24</v>
      </c>
      <c r="P95" s="4">
        <v>1</v>
      </c>
      <c r="Q95" s="4">
        <v>0</v>
      </c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</row>
    <row r="96" spans="4:44"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>
        <v>24</v>
      </c>
      <c r="P96" s="4">
        <v>2</v>
      </c>
      <c r="Q96" s="4">
        <v>278</v>
      </c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</row>
    <row r="97" spans="4:44"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>
        <v>24</v>
      </c>
      <c r="P97" s="4">
        <v>3</v>
      </c>
      <c r="Q97" s="4">
        <v>0</v>
      </c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</row>
    <row r="98" spans="4:44"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>
        <v>24</v>
      </c>
      <c r="P98" s="4">
        <v>4</v>
      </c>
      <c r="Q98" s="4">
        <v>0</v>
      </c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</row>
    <row r="99" spans="4:44"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>
        <v>25</v>
      </c>
      <c r="P99" s="4">
        <v>1</v>
      </c>
      <c r="Q99" s="4">
        <v>0</v>
      </c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</row>
    <row r="100" spans="4:44"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>
        <v>25</v>
      </c>
      <c r="P100" s="4">
        <v>2</v>
      </c>
      <c r="Q100" s="4">
        <v>0</v>
      </c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</row>
    <row r="101" spans="4:44"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>
        <v>25</v>
      </c>
      <c r="P101" s="4">
        <v>3</v>
      </c>
      <c r="Q101" s="4">
        <v>82</v>
      </c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</row>
    <row r="102" spans="4:44"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>
        <v>25</v>
      </c>
      <c r="P102" s="4">
        <v>4</v>
      </c>
      <c r="Q102" s="4">
        <v>0</v>
      </c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</row>
    <row r="103" spans="4:44"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>
        <v>26</v>
      </c>
      <c r="P103" s="4">
        <v>1</v>
      </c>
      <c r="Q103" s="4">
        <v>0</v>
      </c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</row>
    <row r="104" spans="4:44"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>
        <v>26</v>
      </c>
      <c r="P104" s="4">
        <v>2</v>
      </c>
      <c r="Q104" s="4">
        <v>0</v>
      </c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</row>
    <row r="105" spans="4:44"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>
        <v>26</v>
      </c>
      <c r="P105" s="4">
        <v>3</v>
      </c>
      <c r="Q105" s="4">
        <v>266</v>
      </c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</row>
    <row r="106" spans="4:44"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>
        <v>26</v>
      </c>
      <c r="P106" s="4">
        <v>4</v>
      </c>
      <c r="Q106" s="4">
        <v>0</v>
      </c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</row>
    <row r="107" spans="4:44"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>
        <v>27</v>
      </c>
      <c r="P107" s="4">
        <v>1</v>
      </c>
      <c r="Q107" s="4">
        <v>255</v>
      </c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</row>
    <row r="108" spans="4:44"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>
        <v>27</v>
      </c>
      <c r="P108" s="4">
        <v>2</v>
      </c>
      <c r="Q108" s="4">
        <v>0</v>
      </c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</row>
    <row r="109" spans="4:44"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>
        <v>27</v>
      </c>
      <c r="P109" s="4">
        <v>3</v>
      </c>
      <c r="Q109" s="4">
        <v>0</v>
      </c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</row>
    <row r="110" spans="4:44"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>
        <v>27</v>
      </c>
      <c r="P110" s="4">
        <v>4</v>
      </c>
      <c r="Q110" s="4">
        <v>0</v>
      </c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</row>
    <row r="111" spans="4:44"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>
        <v>28</v>
      </c>
      <c r="P111" s="4">
        <v>1</v>
      </c>
      <c r="Q111" s="4">
        <v>237</v>
      </c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</row>
    <row r="112" spans="4:44"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>
        <v>28</v>
      </c>
      <c r="P112" s="4">
        <v>2</v>
      </c>
      <c r="Q112" s="4">
        <v>0</v>
      </c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</row>
    <row r="113" spans="4:44"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>
        <v>28</v>
      </c>
      <c r="P113" s="4">
        <v>3</v>
      </c>
      <c r="Q113" s="4">
        <v>0</v>
      </c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</row>
    <row r="114" spans="4:44"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>
        <v>28</v>
      </c>
      <c r="P114" s="4">
        <v>4</v>
      </c>
      <c r="Q114" s="4">
        <v>0</v>
      </c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</row>
    <row r="115" spans="4:44"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>
        <v>29</v>
      </c>
      <c r="P115" s="4">
        <v>1</v>
      </c>
      <c r="Q115" s="4">
        <v>0</v>
      </c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</row>
    <row r="116" spans="4:44"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>
        <v>29</v>
      </c>
      <c r="P116" s="4">
        <v>2</v>
      </c>
      <c r="Q116" s="4">
        <v>172</v>
      </c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</row>
    <row r="117" spans="4:44"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>
        <v>29</v>
      </c>
      <c r="P117" s="4">
        <v>3</v>
      </c>
      <c r="Q117" s="4">
        <v>0</v>
      </c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</row>
    <row r="118" spans="4:44"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>
        <v>29</v>
      </c>
      <c r="P118" s="4">
        <v>4</v>
      </c>
      <c r="Q118" s="4">
        <v>0</v>
      </c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</row>
    <row r="119" spans="4:44"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>
        <v>30</v>
      </c>
      <c r="P119" s="4">
        <v>1</v>
      </c>
      <c r="Q119" s="4">
        <v>52</v>
      </c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</row>
    <row r="120" spans="4:44"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>
        <v>30</v>
      </c>
      <c r="P120" s="4">
        <v>2</v>
      </c>
      <c r="Q120" s="4">
        <v>0</v>
      </c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</row>
    <row r="121" spans="4:44"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>
        <v>30</v>
      </c>
      <c r="P121" s="4">
        <v>3</v>
      </c>
      <c r="Q121" s="4">
        <v>0</v>
      </c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</row>
    <row r="122" spans="4:44"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>
        <v>30</v>
      </c>
      <c r="P122" s="4">
        <v>4</v>
      </c>
      <c r="Q122" s="4">
        <v>0</v>
      </c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</row>
    <row r="123" spans="4:44"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>
        <v>31</v>
      </c>
      <c r="P123" s="4">
        <v>1</v>
      </c>
      <c r="Q123" s="4">
        <v>72</v>
      </c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</row>
    <row r="124" spans="4:44"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>
        <v>31</v>
      </c>
      <c r="P124" s="4">
        <v>2</v>
      </c>
      <c r="Q124" s="4">
        <v>0</v>
      </c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</row>
    <row r="125" spans="4:44"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>
        <v>31</v>
      </c>
      <c r="P125" s="4">
        <v>3</v>
      </c>
      <c r="Q125" s="4">
        <v>0</v>
      </c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</row>
    <row r="126" spans="4:44"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>
        <v>31</v>
      </c>
      <c r="P126" s="4">
        <v>4</v>
      </c>
      <c r="Q126" s="4">
        <v>0</v>
      </c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</row>
    <row r="127" spans="4:44"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>
        <v>32</v>
      </c>
      <c r="P127" s="4">
        <v>1</v>
      </c>
      <c r="Q127" s="4">
        <v>0</v>
      </c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</row>
    <row r="128" spans="4:44"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>
        <v>32</v>
      </c>
      <c r="P128" s="4">
        <v>2</v>
      </c>
      <c r="Q128" s="4">
        <v>274</v>
      </c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</row>
    <row r="129" spans="4:44"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>
        <v>32</v>
      </c>
      <c r="P129" s="4">
        <v>3</v>
      </c>
      <c r="Q129" s="4">
        <v>0</v>
      </c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</row>
    <row r="130" spans="4:44"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>
        <v>32</v>
      </c>
      <c r="P130" s="4">
        <v>4</v>
      </c>
      <c r="Q130" s="4">
        <v>0</v>
      </c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</row>
    <row r="131" spans="4:44"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>
        <v>33</v>
      </c>
      <c r="P131" s="4">
        <v>1</v>
      </c>
      <c r="Q131" s="4">
        <v>0</v>
      </c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</row>
    <row r="132" spans="4:44"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>
        <v>33</v>
      </c>
      <c r="P132" s="4">
        <v>2</v>
      </c>
      <c r="Q132" s="4">
        <v>288</v>
      </c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</row>
    <row r="133" spans="4:44"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>
        <v>33</v>
      </c>
      <c r="P133" s="4">
        <v>3</v>
      </c>
      <c r="Q133" s="4">
        <v>0</v>
      </c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</row>
    <row r="134" spans="4:44"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>
        <v>33</v>
      </c>
      <c r="P134" s="4">
        <v>4</v>
      </c>
      <c r="Q134" s="4">
        <v>0</v>
      </c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</row>
    <row r="135" spans="4:44"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>
        <v>34</v>
      </c>
      <c r="P135" s="4">
        <v>1</v>
      </c>
      <c r="Q135" s="4">
        <v>0</v>
      </c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</row>
    <row r="136" spans="4:44"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>
        <v>34</v>
      </c>
      <c r="P136" s="4">
        <v>2</v>
      </c>
      <c r="Q136" s="4">
        <v>0</v>
      </c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</row>
    <row r="137" spans="4:44"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>
        <v>34</v>
      </c>
      <c r="P137" s="4">
        <v>3</v>
      </c>
      <c r="Q137" s="4">
        <v>76</v>
      </c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</row>
    <row r="138" spans="4:44"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>
        <v>34</v>
      </c>
      <c r="P138" s="4">
        <v>4</v>
      </c>
      <c r="Q138" s="4">
        <v>0</v>
      </c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</row>
    <row r="139" spans="4:44"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>
        <v>35</v>
      </c>
      <c r="P139" s="4">
        <v>1</v>
      </c>
      <c r="Q139" s="4">
        <v>0</v>
      </c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</row>
    <row r="140" spans="4:44"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>
        <v>35</v>
      </c>
      <c r="P140" s="4">
        <v>2</v>
      </c>
      <c r="Q140" s="4">
        <v>0</v>
      </c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</row>
    <row r="141" spans="4:44"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>
        <v>35</v>
      </c>
      <c r="P141" s="4">
        <v>3</v>
      </c>
      <c r="Q141" s="4">
        <v>48</v>
      </c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</row>
    <row r="142" spans="4:44"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>
        <v>35</v>
      </c>
      <c r="P142" s="4">
        <v>4</v>
      </c>
      <c r="Q142" s="4">
        <v>0</v>
      </c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4:44"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>
        <v>36</v>
      </c>
      <c r="P143" s="4">
        <v>1</v>
      </c>
      <c r="Q143" s="4">
        <v>0</v>
      </c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</row>
    <row r="144" spans="4:44"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>
        <v>36</v>
      </c>
      <c r="P144" s="4">
        <v>2</v>
      </c>
      <c r="Q144" s="4">
        <v>0</v>
      </c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</row>
    <row r="145" spans="4:44"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>
        <v>36</v>
      </c>
      <c r="P145" s="4">
        <v>3</v>
      </c>
      <c r="Q145" s="4">
        <v>56</v>
      </c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</row>
    <row r="146" spans="4:44"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>
        <v>36</v>
      </c>
      <c r="P146" s="4">
        <v>4</v>
      </c>
      <c r="Q146" s="4">
        <v>0</v>
      </c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</row>
    <row r="147" spans="4:44"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>
        <v>37</v>
      </c>
      <c r="P147" s="4">
        <v>1</v>
      </c>
      <c r="Q147" s="4">
        <v>0</v>
      </c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</row>
    <row r="148" spans="4:44"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>
        <v>37</v>
      </c>
      <c r="P148" s="4">
        <v>2</v>
      </c>
      <c r="Q148" s="4">
        <v>0</v>
      </c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</row>
    <row r="149" spans="4:44"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>
        <v>37</v>
      </c>
      <c r="P149" s="4">
        <v>3</v>
      </c>
      <c r="Q149" s="4">
        <v>0</v>
      </c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</row>
    <row r="150" spans="4:44"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>
        <v>37</v>
      </c>
      <c r="P150" s="4">
        <v>4</v>
      </c>
      <c r="Q150" s="4">
        <v>11</v>
      </c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</row>
    <row r="151" spans="4:44"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>
        <v>38</v>
      </c>
      <c r="P151" s="4">
        <v>1</v>
      </c>
      <c r="Q151" s="4">
        <v>129</v>
      </c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</row>
    <row r="152" spans="4:44"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>
        <v>38</v>
      </c>
      <c r="P152" s="4">
        <v>2</v>
      </c>
      <c r="Q152" s="4">
        <v>0</v>
      </c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</row>
    <row r="153" spans="4:44"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>
        <v>38</v>
      </c>
      <c r="P153" s="4">
        <v>3</v>
      </c>
      <c r="Q153" s="4">
        <v>0</v>
      </c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</row>
    <row r="154" spans="4:44"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>
        <v>38</v>
      </c>
      <c r="P154" s="4">
        <v>4</v>
      </c>
      <c r="Q154" s="4">
        <v>0</v>
      </c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</row>
    <row r="155" spans="4:44"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>
        <v>39</v>
      </c>
      <c r="P155" s="4">
        <v>1</v>
      </c>
      <c r="Q155" s="4">
        <v>0</v>
      </c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</row>
    <row r="156" spans="4:44"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>
        <v>39</v>
      </c>
      <c r="P156" s="4">
        <v>2</v>
      </c>
      <c r="Q156" s="4">
        <v>97</v>
      </c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</row>
    <row r="157" spans="4:44"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>
        <v>39</v>
      </c>
      <c r="P157" s="4">
        <v>3</v>
      </c>
      <c r="Q157" s="4">
        <v>0</v>
      </c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</row>
    <row r="158" spans="4:44"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>
        <v>39</v>
      </c>
      <c r="P158" s="4">
        <v>4</v>
      </c>
      <c r="Q158" s="4">
        <v>0</v>
      </c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</row>
    <row r="159" spans="4:44"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>
        <v>40</v>
      </c>
      <c r="P159" s="4">
        <v>1</v>
      </c>
      <c r="Q159" s="4">
        <v>0</v>
      </c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</row>
    <row r="160" spans="4:44"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>
        <v>40</v>
      </c>
      <c r="P160" s="4">
        <v>2</v>
      </c>
      <c r="Q160" s="4">
        <v>0</v>
      </c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</row>
    <row r="161" spans="4:44"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>
        <v>40</v>
      </c>
      <c r="P161" s="4">
        <v>3</v>
      </c>
      <c r="Q161" s="4">
        <v>156</v>
      </c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</row>
    <row r="162" spans="4:44"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>
        <v>40</v>
      </c>
      <c r="P162" s="4">
        <v>4</v>
      </c>
      <c r="Q162" s="4">
        <v>0</v>
      </c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</row>
    <row r="163" spans="4:44"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>
        <v>41</v>
      </c>
      <c r="P163" s="4">
        <v>1</v>
      </c>
      <c r="Q163" s="4">
        <v>30</v>
      </c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</row>
    <row r="164" spans="4:44"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>
        <v>41</v>
      </c>
      <c r="P164" s="4">
        <v>2</v>
      </c>
      <c r="Q164" s="4">
        <v>0</v>
      </c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</row>
    <row r="165" spans="4:44"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>
        <v>41</v>
      </c>
      <c r="P165" s="4">
        <v>3</v>
      </c>
      <c r="Q165" s="4">
        <v>0</v>
      </c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</row>
    <row r="166" spans="4:44"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>
        <v>41</v>
      </c>
      <c r="P166" s="4">
        <v>4</v>
      </c>
      <c r="Q166" s="4">
        <v>0</v>
      </c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</row>
    <row r="167" spans="4:44"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>
        <v>42</v>
      </c>
      <c r="P167" s="4">
        <v>1</v>
      </c>
      <c r="Q167" s="4">
        <v>0</v>
      </c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</row>
    <row r="168" spans="4:44"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>
        <v>42</v>
      </c>
      <c r="P168" s="4">
        <v>2</v>
      </c>
      <c r="Q168" s="4">
        <v>0</v>
      </c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</row>
    <row r="169" spans="4:44"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>
        <v>42</v>
      </c>
      <c r="P169" s="4">
        <v>3</v>
      </c>
      <c r="Q169" s="4">
        <v>0</v>
      </c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</row>
    <row r="170" spans="4:44"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>
        <v>42</v>
      </c>
      <c r="P170" s="4">
        <v>4</v>
      </c>
      <c r="Q170" s="4">
        <v>274</v>
      </c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</row>
    <row r="171" spans="4:44"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>
        <v>43</v>
      </c>
      <c r="P171" s="4">
        <v>1</v>
      </c>
      <c r="Q171" s="4">
        <v>125</v>
      </c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</row>
    <row r="172" spans="4:44"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>
        <v>43</v>
      </c>
      <c r="P172" s="4">
        <v>2</v>
      </c>
      <c r="Q172" s="4">
        <v>0</v>
      </c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</row>
    <row r="173" spans="4:44"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>
        <v>43</v>
      </c>
      <c r="P173" s="4">
        <v>3</v>
      </c>
      <c r="Q173" s="4">
        <v>0</v>
      </c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</row>
    <row r="174" spans="4:44"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>
        <v>43</v>
      </c>
      <c r="P174" s="4">
        <v>4</v>
      </c>
      <c r="Q174" s="4">
        <v>0</v>
      </c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</row>
    <row r="175" spans="4:44"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>
        <v>44</v>
      </c>
      <c r="P175" s="4">
        <v>1</v>
      </c>
      <c r="Q175" s="4">
        <v>0</v>
      </c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</row>
    <row r="176" spans="4:44"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>
        <v>44</v>
      </c>
      <c r="P176" s="4">
        <v>2</v>
      </c>
      <c r="Q176" s="4">
        <v>0</v>
      </c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</row>
    <row r="177" spans="4:44"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>
        <v>44</v>
      </c>
      <c r="P177" s="4">
        <v>3</v>
      </c>
      <c r="Q177" s="4">
        <v>0</v>
      </c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</row>
    <row r="178" spans="4:44"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>
        <v>44</v>
      </c>
      <c r="P178" s="4">
        <v>4</v>
      </c>
      <c r="Q178" s="4">
        <v>183</v>
      </c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</row>
    <row r="179" spans="4:44"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>
        <v>45</v>
      </c>
      <c r="P179" s="4">
        <v>1</v>
      </c>
      <c r="Q179" s="4">
        <v>0</v>
      </c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</row>
    <row r="180" spans="4:44"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>
        <v>45</v>
      </c>
      <c r="P180" s="4">
        <v>2</v>
      </c>
      <c r="Q180" s="4">
        <v>0</v>
      </c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</row>
    <row r="181" spans="4:44"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>
        <v>45</v>
      </c>
      <c r="P181" s="4">
        <v>3</v>
      </c>
      <c r="Q181" s="4">
        <v>158</v>
      </c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</row>
    <row r="182" spans="4:44"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>
        <v>45</v>
      </c>
      <c r="P182" s="4">
        <v>4</v>
      </c>
      <c r="Q182" s="4">
        <v>0</v>
      </c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</row>
    <row r="183" spans="4:44"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>
        <v>46</v>
      </c>
      <c r="P183" s="4">
        <v>1</v>
      </c>
      <c r="Q183" s="4">
        <v>131</v>
      </c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</row>
    <row r="184" spans="4:44"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>
        <v>46</v>
      </c>
      <c r="P184" s="4">
        <v>2</v>
      </c>
      <c r="Q184" s="4">
        <v>0</v>
      </c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</row>
    <row r="185" spans="4:44"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>
        <v>46</v>
      </c>
      <c r="P185" s="4">
        <v>3</v>
      </c>
      <c r="Q185" s="4">
        <v>0</v>
      </c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</row>
    <row r="186" spans="4:44"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>
        <v>46</v>
      </c>
      <c r="P186" s="4">
        <v>4</v>
      </c>
      <c r="Q186" s="4">
        <v>0</v>
      </c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</row>
    <row r="187" spans="4:44"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>
        <v>47</v>
      </c>
      <c r="P187" s="4">
        <v>1</v>
      </c>
      <c r="Q187" s="4">
        <v>0</v>
      </c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</row>
    <row r="188" spans="4:44"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>
        <v>47</v>
      </c>
      <c r="P188" s="4">
        <v>2</v>
      </c>
      <c r="Q188" s="4">
        <v>239</v>
      </c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</row>
    <row r="189" spans="4:44"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>
        <v>47</v>
      </c>
      <c r="P189" s="4">
        <v>3</v>
      </c>
      <c r="Q189" s="4">
        <v>0</v>
      </c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</row>
    <row r="190" spans="4:44"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>
        <v>47</v>
      </c>
      <c r="P190" s="4">
        <v>4</v>
      </c>
      <c r="Q190" s="4">
        <v>0</v>
      </c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</row>
    <row r="191" spans="4:44"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>
        <v>48</v>
      </c>
      <c r="P191" s="4">
        <v>1</v>
      </c>
      <c r="Q191" s="4">
        <v>0</v>
      </c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</row>
    <row r="192" spans="4:44"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>
        <v>48</v>
      </c>
      <c r="P192" s="4">
        <v>2</v>
      </c>
      <c r="Q192" s="4">
        <v>0</v>
      </c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</row>
    <row r="193" spans="4:44"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>
        <v>48</v>
      </c>
      <c r="P193" s="4">
        <v>3</v>
      </c>
      <c r="Q193" s="4">
        <v>0</v>
      </c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</row>
    <row r="194" spans="4:44"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>
        <v>48</v>
      </c>
      <c r="P194" s="4">
        <v>4</v>
      </c>
      <c r="Q194" s="4">
        <v>23</v>
      </c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</row>
    <row r="195" spans="4:44"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>
        <v>49</v>
      </c>
      <c r="P195" s="4">
        <v>1</v>
      </c>
      <c r="Q195" s="4">
        <v>0</v>
      </c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</row>
    <row r="196" spans="4:44"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>
        <v>49</v>
      </c>
      <c r="P196" s="4">
        <v>2</v>
      </c>
      <c r="Q196" s="4">
        <v>114</v>
      </c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</row>
    <row r="197" spans="4:44"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>
        <v>49</v>
      </c>
      <c r="P197" s="4">
        <v>3</v>
      </c>
      <c r="Q197" s="4">
        <v>0</v>
      </c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</row>
    <row r="198" spans="4:44"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>
        <v>49</v>
      </c>
      <c r="P198" s="4">
        <v>4</v>
      </c>
      <c r="Q198" s="4">
        <v>0</v>
      </c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</row>
    <row r="199" spans="4:44"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>
        <v>50</v>
      </c>
      <c r="P199" s="4">
        <v>1</v>
      </c>
      <c r="Q199" s="4">
        <v>0</v>
      </c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</row>
    <row r="200" spans="4:44"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>
        <v>50</v>
      </c>
      <c r="P200" s="4">
        <v>2</v>
      </c>
      <c r="Q200" s="4">
        <v>0</v>
      </c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</row>
    <row r="201" spans="4:44"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>
        <v>50</v>
      </c>
      <c r="P201" s="4">
        <v>3</v>
      </c>
      <c r="Q201" s="4">
        <v>0</v>
      </c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</row>
    <row r="202" spans="4:44"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>
        <v>50</v>
      </c>
      <c r="P202" s="4">
        <v>4</v>
      </c>
      <c r="Q202" s="4">
        <v>241</v>
      </c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</row>
    <row r="203" spans="4:44"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>
        <v>51</v>
      </c>
      <c r="P203" s="4">
        <v>1</v>
      </c>
      <c r="Q203" s="4">
        <v>0</v>
      </c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</row>
    <row r="204" spans="4:44"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>
        <v>51</v>
      </c>
      <c r="P204" s="4">
        <v>2</v>
      </c>
      <c r="Q204" s="4">
        <v>0</v>
      </c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</row>
    <row r="205" spans="4:44"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>
        <v>51</v>
      </c>
      <c r="P205" s="4">
        <v>3</v>
      </c>
      <c r="Q205" s="4">
        <v>0</v>
      </c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</row>
    <row r="206" spans="4:44"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>
        <v>51</v>
      </c>
      <c r="P206" s="4">
        <v>4</v>
      </c>
      <c r="Q206" s="4">
        <v>275</v>
      </c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</row>
    <row r="207" spans="4:44"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>
        <v>52</v>
      </c>
      <c r="P207" s="4">
        <v>1</v>
      </c>
      <c r="Q207" s="4">
        <v>0</v>
      </c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</row>
    <row r="208" spans="4:44"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>
        <v>52</v>
      </c>
      <c r="P208" s="4">
        <v>2</v>
      </c>
      <c r="Q208" s="4">
        <v>0</v>
      </c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</row>
    <row r="209" spans="4:44"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>
        <v>52</v>
      </c>
      <c r="P209" s="4">
        <v>3</v>
      </c>
      <c r="Q209" s="4">
        <v>293</v>
      </c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</row>
    <row r="210" spans="4:44"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>
        <v>52</v>
      </c>
      <c r="P210" s="4">
        <v>4</v>
      </c>
      <c r="Q210" s="4">
        <v>0</v>
      </c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</row>
    <row r="211" spans="4:44"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>
        <v>53</v>
      </c>
      <c r="P211" s="4">
        <v>1</v>
      </c>
      <c r="Q211" s="4">
        <v>0</v>
      </c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</row>
    <row r="212" spans="4:44"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>
        <v>53</v>
      </c>
      <c r="P212" s="4">
        <v>2</v>
      </c>
      <c r="Q212" s="4">
        <v>217</v>
      </c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</row>
    <row r="213" spans="4:44"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>
        <v>53</v>
      </c>
      <c r="P213" s="4">
        <v>3</v>
      </c>
      <c r="Q213" s="4">
        <v>0</v>
      </c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</row>
    <row r="214" spans="4:44"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>
        <v>53</v>
      </c>
      <c r="P214" s="4">
        <v>4</v>
      </c>
      <c r="Q214" s="4">
        <v>0</v>
      </c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</row>
    <row r="215" spans="4:44"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>
        <v>54</v>
      </c>
      <c r="P215" s="4">
        <v>1</v>
      </c>
      <c r="Q215" s="4">
        <v>0</v>
      </c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</row>
    <row r="216" spans="4:44"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>
        <v>54</v>
      </c>
      <c r="P216" s="4">
        <v>2</v>
      </c>
      <c r="Q216" s="4">
        <v>0</v>
      </c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</row>
    <row r="217" spans="4:44"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>
        <v>54</v>
      </c>
      <c r="P217" s="4">
        <v>3</v>
      </c>
      <c r="Q217" s="4">
        <v>0</v>
      </c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</row>
    <row r="218" spans="4:44"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>
        <v>54</v>
      </c>
      <c r="P218" s="4">
        <v>4</v>
      </c>
      <c r="Q218" s="4">
        <v>129</v>
      </c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</row>
    <row r="219" spans="4:44"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>
        <v>55</v>
      </c>
      <c r="P219" s="4">
        <v>1</v>
      </c>
      <c r="Q219" s="4">
        <v>0</v>
      </c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</row>
    <row r="220" spans="4:44"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>
        <v>55</v>
      </c>
      <c r="P220" s="4">
        <v>2</v>
      </c>
      <c r="Q220" s="4">
        <v>0</v>
      </c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</row>
    <row r="221" spans="4:44"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>
        <v>55</v>
      </c>
      <c r="P221" s="4">
        <v>3</v>
      </c>
      <c r="Q221" s="4">
        <v>137</v>
      </c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</row>
    <row r="222" spans="4:44"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>
        <v>55</v>
      </c>
      <c r="P222" s="4">
        <v>4</v>
      </c>
      <c r="Q222" s="4">
        <v>0</v>
      </c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</row>
    <row r="223" spans="4:44"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>
        <v>56</v>
      </c>
      <c r="P223" s="4">
        <v>1</v>
      </c>
      <c r="Q223" s="4">
        <v>0</v>
      </c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</row>
    <row r="224" spans="4:44"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>
        <v>56</v>
      </c>
      <c r="P224" s="4">
        <v>2</v>
      </c>
      <c r="Q224" s="4">
        <v>0</v>
      </c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</row>
    <row r="225" spans="4:44"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>
        <v>56</v>
      </c>
      <c r="P225" s="4">
        <v>3</v>
      </c>
      <c r="Q225" s="4">
        <v>46</v>
      </c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</row>
    <row r="226" spans="4:44"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>
        <v>56</v>
      </c>
      <c r="P226" s="4">
        <v>4</v>
      </c>
      <c r="Q226" s="4">
        <v>0</v>
      </c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</row>
    <row r="227" spans="4:44"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>
        <v>57</v>
      </c>
      <c r="P227" s="4">
        <v>1</v>
      </c>
      <c r="Q227" s="4">
        <v>0</v>
      </c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</row>
    <row r="228" spans="4:44"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>
        <v>57</v>
      </c>
      <c r="P228" s="4">
        <v>2</v>
      </c>
      <c r="Q228" s="4">
        <v>124</v>
      </c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</row>
    <row r="229" spans="4:44"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>
        <v>57</v>
      </c>
      <c r="P229" s="4">
        <v>3</v>
      </c>
      <c r="Q229" s="4">
        <v>0</v>
      </c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</row>
    <row r="230" spans="4:44"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>
        <v>57</v>
      </c>
      <c r="P230" s="4">
        <v>4</v>
      </c>
      <c r="Q230" s="4">
        <v>0</v>
      </c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</row>
    <row r="231" spans="4:44"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>
        <v>58</v>
      </c>
      <c r="P231" s="4">
        <v>1</v>
      </c>
      <c r="Q231" s="4">
        <v>0</v>
      </c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</row>
    <row r="232" spans="4:44"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>
        <v>58</v>
      </c>
      <c r="P232" s="4">
        <v>2</v>
      </c>
      <c r="Q232" s="4">
        <v>252</v>
      </c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</row>
    <row r="233" spans="4:44"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>
        <v>58</v>
      </c>
      <c r="P233" s="4">
        <v>3</v>
      </c>
      <c r="Q233" s="4">
        <v>0</v>
      </c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</row>
    <row r="234" spans="4:44"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>
        <v>58</v>
      </c>
      <c r="P234" s="4">
        <v>4</v>
      </c>
      <c r="Q234" s="4">
        <v>0</v>
      </c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</row>
    <row r="235" spans="4:44"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>
        <v>59</v>
      </c>
      <c r="P235" s="4">
        <v>1</v>
      </c>
      <c r="Q235" s="4">
        <v>0</v>
      </c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</row>
    <row r="236" spans="4:44"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>
        <v>59</v>
      </c>
      <c r="P236" s="4">
        <v>2</v>
      </c>
      <c r="Q236" s="4">
        <v>0</v>
      </c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</row>
    <row r="237" spans="4:44"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>
        <v>59</v>
      </c>
      <c r="P237" s="4">
        <v>3</v>
      </c>
      <c r="Q237" s="4">
        <v>231</v>
      </c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</row>
    <row r="238" spans="4:44"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>
        <v>59</v>
      </c>
      <c r="P238" s="4">
        <v>4</v>
      </c>
      <c r="Q238" s="4">
        <v>0</v>
      </c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</row>
    <row r="239" spans="4:44"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>
        <v>60</v>
      </c>
      <c r="P239" s="4">
        <v>1</v>
      </c>
      <c r="Q239" s="4">
        <v>0</v>
      </c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</row>
    <row r="240" spans="4:44"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>
        <v>60</v>
      </c>
      <c r="P240" s="4">
        <v>2</v>
      </c>
      <c r="Q240" s="4">
        <v>284</v>
      </c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</row>
    <row r="241" spans="4:44"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>
        <v>60</v>
      </c>
      <c r="P241" s="4">
        <v>3</v>
      </c>
      <c r="Q241" s="4">
        <v>0</v>
      </c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</row>
    <row r="242" spans="4:44"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>
        <v>60</v>
      </c>
      <c r="P242" s="4">
        <v>4</v>
      </c>
      <c r="Q242" s="4">
        <v>0</v>
      </c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</row>
    <row r="243" spans="4:44"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>
        <v>61</v>
      </c>
      <c r="P243" s="4">
        <v>1</v>
      </c>
      <c r="Q243" s="4">
        <v>286</v>
      </c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</row>
    <row r="244" spans="4:44"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>
        <v>61</v>
      </c>
      <c r="P244" s="4">
        <v>2</v>
      </c>
      <c r="Q244" s="4">
        <v>0</v>
      </c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</row>
    <row r="245" spans="4:44"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>
        <v>61</v>
      </c>
      <c r="P245" s="4">
        <v>3</v>
      </c>
      <c r="Q245" s="4">
        <v>0</v>
      </c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</row>
    <row r="246" spans="4:44"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>
        <v>61</v>
      </c>
      <c r="P246" s="4">
        <v>4</v>
      </c>
      <c r="Q246" s="4">
        <v>0</v>
      </c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</row>
    <row r="247" spans="4:44"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>
        <v>62</v>
      </c>
      <c r="P247" s="4">
        <v>1</v>
      </c>
      <c r="Q247" s="4">
        <v>0</v>
      </c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</row>
    <row r="248" spans="4:44"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>
        <v>62</v>
      </c>
      <c r="P248" s="4">
        <v>2</v>
      </c>
      <c r="Q248" s="4">
        <v>0</v>
      </c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</row>
    <row r="249" spans="4:44"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>
        <v>62</v>
      </c>
      <c r="P249" s="4">
        <v>3</v>
      </c>
      <c r="Q249" s="4">
        <v>59</v>
      </c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</row>
    <row r="250" spans="4:44"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>
        <v>62</v>
      </c>
      <c r="P250" s="4">
        <v>4</v>
      </c>
      <c r="Q250" s="4">
        <v>0</v>
      </c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</row>
    <row r="251" spans="4:44"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>
        <v>63</v>
      </c>
      <c r="P251" s="4">
        <v>1</v>
      </c>
      <c r="Q251" s="4">
        <v>237</v>
      </c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</row>
    <row r="252" spans="4:44"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>
        <v>63</v>
      </c>
      <c r="P252" s="4">
        <v>2</v>
      </c>
      <c r="Q252" s="4">
        <v>0</v>
      </c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</row>
    <row r="253" spans="4:44"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>
        <v>63</v>
      </c>
      <c r="P253" s="4">
        <v>3</v>
      </c>
      <c r="Q253" s="4">
        <v>0</v>
      </c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</row>
    <row r="254" spans="4:44"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>
        <v>63</v>
      </c>
      <c r="P254" s="4">
        <v>4</v>
      </c>
      <c r="Q254" s="4">
        <v>0</v>
      </c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</row>
    <row r="255" spans="4:44"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>
        <v>64</v>
      </c>
      <c r="P255" s="4">
        <v>1</v>
      </c>
      <c r="Q255" s="4">
        <v>0</v>
      </c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</row>
    <row r="256" spans="4:44"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>
        <v>64</v>
      </c>
      <c r="P256" s="4">
        <v>2</v>
      </c>
      <c r="Q256" s="4">
        <v>0</v>
      </c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</row>
    <row r="257" spans="4:44"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>
        <v>64</v>
      </c>
      <c r="P257" s="4">
        <v>3</v>
      </c>
      <c r="Q257" s="4">
        <v>68</v>
      </c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</row>
    <row r="258" spans="4:44"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>
        <v>64</v>
      </c>
      <c r="P258" s="4">
        <v>4</v>
      </c>
      <c r="Q258" s="4">
        <v>0</v>
      </c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</row>
    <row r="259" spans="4:44"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>
        <v>65</v>
      </c>
      <c r="P259" s="4">
        <v>1</v>
      </c>
      <c r="Q259" s="4">
        <v>0</v>
      </c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</row>
    <row r="260" spans="4:44"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>
        <v>65</v>
      </c>
      <c r="P260" s="4">
        <v>2</v>
      </c>
      <c r="Q260" s="4">
        <v>185</v>
      </c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</row>
    <row r="261" spans="4:44"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>
        <v>65</v>
      </c>
      <c r="P261" s="4">
        <v>3</v>
      </c>
      <c r="Q261" s="4">
        <v>0</v>
      </c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</row>
    <row r="262" spans="4:44"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>
        <v>65</v>
      </c>
      <c r="P262" s="4">
        <v>4</v>
      </c>
      <c r="Q262" s="4">
        <v>0</v>
      </c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</row>
    <row r="263" spans="4:44"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>
        <v>66</v>
      </c>
      <c r="P263" s="4">
        <v>1</v>
      </c>
      <c r="Q263" s="4">
        <v>0</v>
      </c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</row>
    <row r="264" spans="4:44"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>
        <v>66</v>
      </c>
      <c r="P264" s="4">
        <v>2</v>
      </c>
      <c r="Q264" s="4">
        <v>0</v>
      </c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</row>
    <row r="265" spans="4:44"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>
        <v>66</v>
      </c>
      <c r="P265" s="4">
        <v>3</v>
      </c>
      <c r="Q265" s="4">
        <v>237</v>
      </c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</row>
    <row r="266" spans="4:44"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>
        <v>66</v>
      </c>
      <c r="P266" s="4">
        <v>4</v>
      </c>
      <c r="Q266" s="4">
        <v>0</v>
      </c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</row>
    <row r="267" spans="4:44"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>
        <v>67</v>
      </c>
      <c r="P267" s="4">
        <v>1</v>
      </c>
      <c r="Q267" s="4">
        <v>0</v>
      </c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</row>
    <row r="268" spans="4:44"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>
        <v>67</v>
      </c>
      <c r="P268" s="4">
        <v>2</v>
      </c>
      <c r="Q268" s="4">
        <v>202</v>
      </c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</row>
    <row r="269" spans="4:44"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>
        <v>67</v>
      </c>
      <c r="P269" s="4">
        <v>3</v>
      </c>
      <c r="Q269" s="4">
        <v>0</v>
      </c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</row>
    <row r="270" spans="4:44"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>
        <v>67</v>
      </c>
      <c r="P270" s="4">
        <v>4</v>
      </c>
      <c r="Q270" s="4">
        <v>0</v>
      </c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</row>
    <row r="271" spans="4:44"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>
        <v>68</v>
      </c>
      <c r="P271" s="4">
        <v>1</v>
      </c>
      <c r="Q271" s="4">
        <v>0</v>
      </c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</row>
    <row r="272" spans="4:44"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>
        <v>68</v>
      </c>
      <c r="P272" s="4">
        <v>2</v>
      </c>
      <c r="Q272" s="4">
        <v>0</v>
      </c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</row>
    <row r="273" spans="4:44"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>
        <v>68</v>
      </c>
      <c r="P273" s="4">
        <v>3</v>
      </c>
      <c r="Q273" s="4">
        <v>0</v>
      </c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</row>
    <row r="274" spans="4:44"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>
        <v>68</v>
      </c>
      <c r="P274" s="4">
        <v>4</v>
      </c>
      <c r="Q274" s="4">
        <v>172</v>
      </c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</row>
    <row r="275" spans="4:44"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>
        <v>69</v>
      </c>
      <c r="P275" s="4">
        <v>1</v>
      </c>
      <c r="Q275" s="4">
        <v>0</v>
      </c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</row>
    <row r="276" spans="4:44"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>
        <v>69</v>
      </c>
      <c r="P276" s="4">
        <v>2</v>
      </c>
      <c r="Q276" s="4">
        <v>0</v>
      </c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</row>
    <row r="277" spans="4:44"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>
        <v>69</v>
      </c>
      <c r="P277" s="4">
        <v>3</v>
      </c>
      <c r="Q277" s="4">
        <v>0</v>
      </c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</row>
    <row r="278" spans="4:44"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>
        <v>69</v>
      </c>
      <c r="P278" s="4">
        <v>4</v>
      </c>
      <c r="Q278" s="4">
        <v>216</v>
      </c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</row>
    <row r="279" spans="4:44"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>
        <v>70</v>
      </c>
      <c r="P279" s="4">
        <v>1</v>
      </c>
      <c r="Q279" s="4">
        <v>0</v>
      </c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</row>
    <row r="280" spans="4:44"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>
        <v>70</v>
      </c>
      <c r="P280" s="4">
        <v>2</v>
      </c>
      <c r="Q280" s="4">
        <v>53</v>
      </c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</row>
    <row r="281" spans="4:44"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>
        <v>70</v>
      </c>
      <c r="P281" s="4">
        <v>3</v>
      </c>
      <c r="Q281" s="4">
        <v>0</v>
      </c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</row>
    <row r="282" spans="4:44"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>
        <v>70</v>
      </c>
      <c r="P282" s="4">
        <v>4</v>
      </c>
      <c r="Q282" s="4">
        <v>0</v>
      </c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</row>
  </sheetData>
  <sortState ref="AH3:AJ17">
    <sortCondition ref="AH8"/>
  </sortState>
  <mergeCells count="7">
    <mergeCell ref="D1:M1"/>
    <mergeCell ref="S1:V1"/>
    <mergeCell ref="O1:Q1"/>
    <mergeCell ref="AJ1:AN1"/>
    <mergeCell ref="AP1:AR1"/>
    <mergeCell ref="AD1:AF1"/>
    <mergeCell ref="X1:AB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8"/>
  <dimension ref="A1:FJ2706"/>
  <sheetViews>
    <sheetView showGridLines="0" tabSelected="1" zoomScale="90" zoomScaleNormal="90" workbookViewId="0">
      <pane xSplit="5" ySplit="2" topLeftCell="CF3" activePane="bottomRight" state="frozen"/>
      <selection pane="topRight" activeCell="F1" sqref="F1"/>
      <selection pane="bottomLeft" activeCell="A3" sqref="A3"/>
      <selection pane="bottomRight" activeCell="CJ3" sqref="CJ3:DQ7"/>
    </sheetView>
  </sheetViews>
  <sheetFormatPr defaultColWidth="1.5703125" defaultRowHeight="12.75"/>
  <cols>
    <col min="1" max="1" width="1.140625" style="4" customWidth="1"/>
    <col min="2" max="2" width="19.42578125" style="4" bestFit="1" customWidth="1"/>
    <col min="3" max="3" width="11.7109375" style="4" customWidth="1"/>
    <col min="4" max="4" width="8.85546875" style="4" bestFit="1" customWidth="1"/>
    <col min="5" max="5" width="1.140625" style="4" customWidth="1"/>
    <col min="6" max="6" width="6.85546875" style="4" bestFit="1" customWidth="1"/>
    <col min="7" max="7" width="4.85546875" style="4" bestFit="1" customWidth="1"/>
    <col min="8" max="8" width="8.5703125" style="4" bestFit="1" customWidth="1"/>
    <col min="9" max="9" width="5.85546875" style="4" bestFit="1" customWidth="1"/>
    <col min="10" max="10" width="4.28515625" style="4" bestFit="1" customWidth="1"/>
    <col min="11" max="14" width="3" style="4" bestFit="1" customWidth="1"/>
    <col min="15" max="18" width="4" style="4" bestFit="1" customWidth="1"/>
    <col min="19" max="19" width="2" style="4" bestFit="1" customWidth="1"/>
    <col min="20" max="20" width="3.5703125" style="4" bestFit="1" customWidth="1"/>
    <col min="21" max="21" width="5.85546875" style="4" bestFit="1" customWidth="1"/>
    <col min="22" max="22" width="0.7109375" style="4" customWidth="1"/>
    <col min="23" max="23" width="7.5703125" style="4" bestFit="1" customWidth="1"/>
    <col min="24" max="28" width="6.7109375" style="4" customWidth="1"/>
    <col min="29" max="29" width="0.85546875" style="4" customWidth="1"/>
    <col min="30" max="30" width="7" style="4" bestFit="1" customWidth="1"/>
    <col min="31" max="31" width="11.5703125" style="4" bestFit="1" customWidth="1"/>
    <col min="32" max="32" width="12.140625" style="4" bestFit="1" customWidth="1"/>
    <col min="33" max="33" width="10" style="4" bestFit="1" customWidth="1"/>
    <col min="34" max="34" width="1.28515625" style="4" customWidth="1"/>
    <col min="35" max="35" width="5.7109375" style="4" bestFit="1" customWidth="1"/>
    <col min="36" max="36" width="8.7109375" style="4" customWidth="1"/>
    <col min="37" max="37" width="11.42578125" style="4" bestFit="1" customWidth="1"/>
    <col min="38" max="38" width="13.28515625" style="4" bestFit="1" customWidth="1"/>
    <col min="39" max="39" width="10" style="4" bestFit="1" customWidth="1"/>
    <col min="40" max="40" width="1.28515625" style="4" customWidth="1"/>
    <col min="41" max="41" width="7" style="4" bestFit="1" customWidth="1"/>
    <col min="42" max="45" width="5.85546875" style="4" customWidth="1"/>
    <col min="46" max="46" width="8.28515625" style="4" bestFit="1" customWidth="1"/>
    <col min="47" max="47" width="1.28515625" style="4" customWidth="1"/>
    <col min="48" max="48" width="6.28515625" style="4" bestFit="1" customWidth="1"/>
    <col min="49" max="49" width="4.42578125" style="4" bestFit="1" customWidth="1"/>
    <col min="50" max="50" width="5.7109375" style="4" bestFit="1" customWidth="1"/>
    <col min="51" max="51" width="4.28515625" style="4" customWidth="1"/>
    <col min="52" max="52" width="4.85546875" style="4" customWidth="1"/>
    <col min="53" max="63" width="4.28515625" style="4" customWidth="1"/>
    <col min="64" max="67" width="5.28515625" style="4" customWidth="1"/>
    <col min="68" max="72" width="3.5703125" style="4" customWidth="1"/>
    <col min="73" max="73" width="1.42578125" style="4" customWidth="1"/>
    <col min="74" max="74" width="4.42578125" style="4" customWidth="1"/>
    <col min="75" max="75" width="6.140625" style="4" bestFit="1" customWidth="1"/>
    <col min="76" max="76" width="10.28515625" style="4" bestFit="1" customWidth="1"/>
    <col min="77" max="77" width="8.42578125" style="4" bestFit="1" customWidth="1"/>
    <col min="78" max="78" width="6.140625" style="4" bestFit="1" customWidth="1"/>
    <col min="79" max="79" width="16.5703125" style="4" bestFit="1" customWidth="1"/>
    <col min="80" max="80" width="8.28515625" style="4" bestFit="1" customWidth="1"/>
    <col min="81" max="81" width="1.42578125" style="4" customWidth="1"/>
    <col min="82" max="82" width="7" style="4" bestFit="1" customWidth="1"/>
    <col min="83" max="85" width="7.42578125" style="4" customWidth="1"/>
    <col min="86" max="86" width="14.140625" style="4" bestFit="1" customWidth="1"/>
    <col min="87" max="87" width="2.28515625" style="4" customWidth="1"/>
    <col min="88" max="88" width="5.85546875" style="4" bestFit="1" customWidth="1"/>
    <col min="89" max="89" width="3" style="4" bestFit="1" customWidth="1"/>
    <col min="90" max="90" width="4.85546875" style="4" bestFit="1" customWidth="1"/>
    <col min="91" max="95" width="3.85546875" style="4" bestFit="1" customWidth="1"/>
    <col min="96" max="99" width="3.5703125" style="4" customWidth="1"/>
    <col min="100" max="103" width="4" style="4" customWidth="1"/>
    <col min="104" max="107" width="3.140625" style="4" bestFit="1" customWidth="1"/>
    <col min="108" max="108" width="2.28515625" style="4" customWidth="1"/>
    <col min="109" max="109" width="3" style="4" bestFit="1" customWidth="1"/>
    <col min="110" max="110" width="6" style="4" bestFit="1" customWidth="1"/>
    <col min="111" max="111" width="9.85546875" style="4" bestFit="1" customWidth="1"/>
    <col min="112" max="112" width="7.7109375" style="4" bestFit="1" customWidth="1"/>
    <col min="113" max="113" width="5.85546875" style="4" bestFit="1" customWidth="1"/>
    <col min="114" max="114" width="14.85546875" style="4" bestFit="1" customWidth="1"/>
    <col min="115" max="115" width="8.5703125" style="4" bestFit="1" customWidth="1"/>
    <col min="116" max="116" width="2.28515625" style="4" customWidth="1"/>
    <col min="117" max="118" width="7.42578125" style="4" bestFit="1" customWidth="1"/>
    <col min="119" max="119" width="7.7109375" style="4" bestFit="1" customWidth="1"/>
    <col min="120" max="120" width="8.28515625" style="4" bestFit="1" customWidth="1"/>
    <col min="121" max="121" width="9.28515625" style="4" bestFit="1" customWidth="1"/>
    <col min="122" max="122" width="2.28515625" style="4" customWidth="1"/>
    <col min="123" max="123" width="17.85546875" style="4" bestFit="1" customWidth="1"/>
    <col min="124" max="124" width="10.85546875" style="4" customWidth="1"/>
    <col min="125" max="125" width="1.42578125" style="4" customWidth="1"/>
    <col min="126" max="126" width="8.5703125" style="4" bestFit="1" customWidth="1"/>
    <col min="127" max="127" width="10.28515625" style="4" bestFit="1" customWidth="1"/>
    <col min="128" max="128" width="9.5703125" style="4" bestFit="1" customWidth="1"/>
    <col min="129" max="129" width="7.85546875" style="4" bestFit="1" customWidth="1"/>
    <col min="130" max="130" width="9.42578125" style="4" customWidth="1"/>
    <col min="131" max="131" width="1.42578125" style="4" customWidth="1"/>
    <col min="132" max="132" width="6.85546875" style="4" bestFit="1" customWidth="1"/>
    <col min="133" max="133" width="8.28515625" style="4" bestFit="1" customWidth="1"/>
    <col min="134" max="134" width="9.28515625" style="52" bestFit="1" customWidth="1"/>
    <col min="135" max="135" width="1.42578125" style="4" customWidth="1"/>
    <col min="136" max="136" width="9.140625" style="4" customWidth="1"/>
    <col min="137" max="137" width="10" style="4" customWidth="1"/>
    <col min="138" max="138" width="7.85546875" style="4" bestFit="1" customWidth="1"/>
    <col min="139" max="139" width="9.140625" style="4" bestFit="1" customWidth="1"/>
    <col min="140" max="140" width="1.42578125" style="4" customWidth="1"/>
    <col min="141" max="141" width="11.28515625" style="4" customWidth="1"/>
    <col min="142" max="146" width="8" style="4" bestFit="1" customWidth="1"/>
    <col min="147" max="147" width="1.42578125" style="4" customWidth="1"/>
    <col min="148" max="148" width="9.42578125" style="4" customWidth="1"/>
    <col min="149" max="149" width="8.42578125" style="4" customWidth="1"/>
    <col min="150" max="150" width="6.7109375" style="4" customWidth="1"/>
    <col min="151" max="151" width="1.42578125" style="4" customWidth="1"/>
    <col min="152" max="152" width="9.42578125" style="4" customWidth="1"/>
    <col min="153" max="153" width="8.42578125" style="4" customWidth="1"/>
    <col min="154" max="154" width="6.7109375" style="4" customWidth="1"/>
    <col min="155" max="155" width="1.42578125" style="4" customWidth="1"/>
    <col min="156" max="156" width="9" style="4" bestFit="1" customWidth="1"/>
    <col min="157" max="157" width="12.140625" style="4" customWidth="1"/>
    <col min="158" max="158" width="7.28515625" style="4" bestFit="1" customWidth="1"/>
    <col min="159" max="159" width="12.140625" style="4" customWidth="1"/>
    <col min="160" max="160" width="6.140625" style="4" bestFit="1" customWidth="1"/>
    <col min="161" max="161" width="7.42578125" style="4" customWidth="1"/>
    <col min="162" max="162" width="7.28515625" style="4" bestFit="1" customWidth="1"/>
    <col min="163" max="16384" width="1.5703125" style="4"/>
  </cols>
  <sheetData>
    <row r="1" spans="1:166" ht="15" customHeight="1">
      <c r="F1" s="76" t="s">
        <v>20</v>
      </c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65" t="s">
        <v>120</v>
      </c>
      <c r="T1" s="65"/>
      <c r="U1" s="65"/>
      <c r="W1" s="65" t="s">
        <v>59</v>
      </c>
      <c r="X1" s="65"/>
      <c r="Y1" s="65"/>
      <c r="Z1" s="65"/>
      <c r="AA1" s="65"/>
      <c r="AB1" s="65"/>
      <c r="AD1" s="78" t="s">
        <v>60</v>
      </c>
      <c r="AE1" s="79"/>
      <c r="AF1" s="79"/>
      <c r="AG1" s="80"/>
      <c r="AI1" s="81" t="s">
        <v>83</v>
      </c>
      <c r="AJ1" s="81"/>
      <c r="AK1" s="81"/>
      <c r="AL1" s="81"/>
      <c r="AM1" s="81"/>
      <c r="AO1" s="81" t="s">
        <v>8</v>
      </c>
      <c r="AP1" s="81"/>
      <c r="AQ1" s="81"/>
      <c r="AR1" s="81"/>
      <c r="AS1" s="81"/>
      <c r="AT1" s="81"/>
      <c r="AY1" s="76" t="s">
        <v>21</v>
      </c>
      <c r="AZ1" s="77"/>
      <c r="BA1" s="77"/>
      <c r="BB1" s="77"/>
      <c r="BC1" s="77"/>
      <c r="BD1" s="78" t="s">
        <v>22</v>
      </c>
      <c r="BE1" s="79"/>
      <c r="BF1" s="79"/>
      <c r="BG1" s="79"/>
      <c r="BH1" s="78" t="s">
        <v>23</v>
      </c>
      <c r="BI1" s="79"/>
      <c r="BJ1" s="79"/>
      <c r="BK1" s="79"/>
      <c r="BL1" s="65" t="s">
        <v>117</v>
      </c>
      <c r="BM1" s="65"/>
      <c r="BN1" s="65"/>
      <c r="BO1" s="65"/>
      <c r="BP1" s="81" t="s">
        <v>120</v>
      </c>
      <c r="BQ1" s="81"/>
      <c r="BR1" s="81"/>
      <c r="BS1" s="81"/>
      <c r="BT1" s="81"/>
      <c r="BV1" s="78" t="s">
        <v>68</v>
      </c>
      <c r="BW1" s="79"/>
      <c r="BX1" s="79"/>
      <c r="BY1" s="79"/>
      <c r="BZ1" s="79"/>
      <c r="CA1" s="79"/>
      <c r="CB1" s="80"/>
      <c r="CD1" s="81" t="s">
        <v>69</v>
      </c>
      <c r="CE1" s="81"/>
      <c r="CF1" s="81"/>
      <c r="CG1" s="81"/>
      <c r="CH1" s="81"/>
      <c r="CM1" s="76" t="s">
        <v>114</v>
      </c>
      <c r="CN1" s="77"/>
      <c r="CO1" s="77"/>
      <c r="CP1" s="77"/>
      <c r="CQ1" s="77"/>
      <c r="CR1" s="76" t="s">
        <v>115</v>
      </c>
      <c r="CS1" s="77"/>
      <c r="CT1" s="77"/>
      <c r="CU1" s="77"/>
      <c r="CV1" s="78" t="s">
        <v>116</v>
      </c>
      <c r="CW1" s="79"/>
      <c r="CX1" s="79"/>
      <c r="CY1" s="79"/>
      <c r="CZ1" s="81" t="s">
        <v>120</v>
      </c>
      <c r="DA1" s="81"/>
      <c r="DB1" s="81"/>
      <c r="DC1" s="81"/>
      <c r="DE1" s="78" t="s">
        <v>118</v>
      </c>
      <c r="DF1" s="79"/>
      <c r="DG1" s="79"/>
      <c r="DH1" s="79"/>
      <c r="DI1" s="79"/>
      <c r="DJ1" s="79"/>
      <c r="DK1" s="80"/>
      <c r="DM1" s="81" t="s">
        <v>119</v>
      </c>
      <c r="DN1" s="81"/>
      <c r="DO1" s="81"/>
      <c r="DP1" s="81"/>
      <c r="DQ1" s="81"/>
      <c r="DS1" s="82" t="s">
        <v>77</v>
      </c>
      <c r="DT1" s="82"/>
    </row>
    <row r="2" spans="1:166">
      <c r="E2" s="7"/>
      <c r="F2" s="3" t="s">
        <v>24</v>
      </c>
      <c r="G2" s="3" t="s">
        <v>25</v>
      </c>
      <c r="H2" s="3" t="s">
        <v>58</v>
      </c>
      <c r="I2" s="3" t="s">
        <v>57</v>
      </c>
      <c r="J2" s="3" t="s">
        <v>26</v>
      </c>
      <c r="K2" s="8">
        <v>1</v>
      </c>
      <c r="L2" s="8">
        <v>2</v>
      </c>
      <c r="M2" s="8">
        <v>3</v>
      </c>
      <c r="N2" s="8">
        <v>4</v>
      </c>
      <c r="O2" s="8">
        <v>1</v>
      </c>
      <c r="P2" s="8">
        <v>2</v>
      </c>
      <c r="Q2" s="8">
        <v>3</v>
      </c>
      <c r="R2" s="8">
        <v>4</v>
      </c>
      <c r="S2" s="44" t="s">
        <v>29</v>
      </c>
      <c r="T2" s="44" t="s">
        <v>30</v>
      </c>
      <c r="U2" s="63" t="s">
        <v>135</v>
      </c>
      <c r="V2" s="9"/>
      <c r="W2" s="2" t="s">
        <v>24</v>
      </c>
      <c r="X2" s="2" t="s">
        <v>26</v>
      </c>
      <c r="Y2" s="2" t="s">
        <v>27</v>
      </c>
      <c r="Z2" s="2" t="s">
        <v>6</v>
      </c>
      <c r="AA2" s="2" t="s">
        <v>28</v>
      </c>
      <c r="AB2" s="2" t="s">
        <v>4</v>
      </c>
      <c r="AD2" s="10" t="s">
        <v>61</v>
      </c>
      <c r="AE2" s="10" t="s">
        <v>49</v>
      </c>
      <c r="AF2" s="10" t="s">
        <v>62</v>
      </c>
      <c r="AG2" s="10" t="s">
        <v>36</v>
      </c>
      <c r="AI2" s="10" t="s">
        <v>50</v>
      </c>
      <c r="AJ2" s="10" t="s">
        <v>86</v>
      </c>
      <c r="AK2" s="10" t="s">
        <v>84</v>
      </c>
      <c r="AL2" s="10" t="s">
        <v>85</v>
      </c>
      <c r="AM2" s="10" t="s">
        <v>36</v>
      </c>
      <c r="AO2" s="10" t="s">
        <v>28</v>
      </c>
      <c r="AP2" s="10" t="s">
        <v>64</v>
      </c>
      <c r="AQ2" s="10" t="s">
        <v>65</v>
      </c>
      <c r="AR2" s="10" t="s">
        <v>66</v>
      </c>
      <c r="AS2" s="10" t="s">
        <v>67</v>
      </c>
      <c r="AT2" s="10" t="s">
        <v>63</v>
      </c>
      <c r="AV2" s="10" t="s">
        <v>43</v>
      </c>
      <c r="AW2" s="51" t="s">
        <v>3</v>
      </c>
      <c r="AX2" s="11" t="s">
        <v>89</v>
      </c>
      <c r="AY2" s="2" t="s">
        <v>31</v>
      </c>
      <c r="AZ2" s="2" t="s">
        <v>32</v>
      </c>
      <c r="BA2" s="2" t="s">
        <v>33</v>
      </c>
      <c r="BB2" s="2" t="s">
        <v>34</v>
      </c>
      <c r="BC2" s="2" t="s">
        <v>35</v>
      </c>
      <c r="BD2" s="10">
        <v>1</v>
      </c>
      <c r="BE2" s="10">
        <v>2</v>
      </c>
      <c r="BF2" s="10">
        <v>3</v>
      </c>
      <c r="BG2" s="10">
        <v>4</v>
      </c>
      <c r="BH2" s="10">
        <v>1</v>
      </c>
      <c r="BI2" s="10">
        <v>2</v>
      </c>
      <c r="BJ2" s="10">
        <v>3</v>
      </c>
      <c r="BK2" s="10">
        <v>4</v>
      </c>
      <c r="BL2" s="40">
        <v>1</v>
      </c>
      <c r="BM2" s="40">
        <v>2</v>
      </c>
      <c r="BN2" s="40">
        <v>3</v>
      </c>
      <c r="BO2" s="40">
        <v>4</v>
      </c>
      <c r="BP2" s="56" t="s">
        <v>64</v>
      </c>
      <c r="BQ2" s="50" t="s">
        <v>65</v>
      </c>
      <c r="BR2" s="56" t="s">
        <v>66</v>
      </c>
      <c r="BS2" s="56" t="s">
        <v>67</v>
      </c>
      <c r="BT2" s="58" t="s">
        <v>134</v>
      </c>
      <c r="BV2" s="10" t="s">
        <v>3</v>
      </c>
      <c r="BW2" s="10" t="s">
        <v>70</v>
      </c>
      <c r="BX2" s="10" t="s">
        <v>71</v>
      </c>
      <c r="BY2" s="10" t="s">
        <v>72</v>
      </c>
      <c r="BZ2" s="10" t="s">
        <v>73</v>
      </c>
      <c r="CA2" s="10" t="s">
        <v>74</v>
      </c>
      <c r="CB2" s="10" t="s">
        <v>75</v>
      </c>
      <c r="CD2" s="10" t="s">
        <v>63</v>
      </c>
      <c r="CE2" s="10" t="s">
        <v>76</v>
      </c>
      <c r="CF2" s="10" t="s">
        <v>109</v>
      </c>
      <c r="CG2" s="10" t="s">
        <v>110</v>
      </c>
      <c r="CH2" s="10" t="s">
        <v>36</v>
      </c>
      <c r="CJ2" s="42" t="s">
        <v>43</v>
      </c>
      <c r="CK2" s="43" t="s">
        <v>29</v>
      </c>
      <c r="CL2" s="41" t="s">
        <v>89</v>
      </c>
      <c r="CM2" s="40" t="s">
        <v>31</v>
      </c>
      <c r="CN2" s="40" t="s">
        <v>32</v>
      </c>
      <c r="CO2" s="40" t="s">
        <v>33</v>
      </c>
      <c r="CP2" s="40" t="s">
        <v>34</v>
      </c>
      <c r="CQ2" s="40" t="s">
        <v>35</v>
      </c>
      <c r="CR2" s="40">
        <v>1</v>
      </c>
      <c r="CS2" s="40">
        <v>2</v>
      </c>
      <c r="CT2" s="40">
        <v>3</v>
      </c>
      <c r="CU2" s="40">
        <v>4</v>
      </c>
      <c r="CV2" s="42">
        <v>1</v>
      </c>
      <c r="CW2" s="42">
        <v>2</v>
      </c>
      <c r="CX2" s="42">
        <v>3</v>
      </c>
      <c r="CY2" s="42">
        <v>4</v>
      </c>
      <c r="CZ2" s="44" t="s">
        <v>64</v>
      </c>
      <c r="DA2" s="44" t="s">
        <v>65</v>
      </c>
      <c r="DB2" s="44" t="s">
        <v>66</v>
      </c>
      <c r="DC2" s="44" t="s">
        <v>67</v>
      </c>
      <c r="DE2" s="42" t="s">
        <v>3</v>
      </c>
      <c r="DF2" s="42" t="s">
        <v>70</v>
      </c>
      <c r="DG2" s="42" t="s">
        <v>71</v>
      </c>
      <c r="DH2" s="42" t="s">
        <v>72</v>
      </c>
      <c r="DI2" s="42" t="s">
        <v>73</v>
      </c>
      <c r="DJ2" s="42" t="s">
        <v>74</v>
      </c>
      <c r="DK2" s="42" t="s">
        <v>75</v>
      </c>
      <c r="DM2" s="42" t="s">
        <v>63</v>
      </c>
      <c r="DN2" s="42" t="s">
        <v>76</v>
      </c>
      <c r="DO2" s="42" t="s">
        <v>109</v>
      </c>
      <c r="DP2" s="42" t="s">
        <v>110</v>
      </c>
      <c r="DQ2" s="42" t="s">
        <v>36</v>
      </c>
      <c r="DS2" s="82"/>
      <c r="DT2" s="82"/>
    </row>
    <row r="3" spans="1:166" s="15" customFormat="1" ht="15" customHeight="1">
      <c r="A3" s="4"/>
      <c r="B3" s="4"/>
      <c r="C3" s="4"/>
      <c r="D3" s="4"/>
      <c r="E3" s="4"/>
      <c r="F3" s="4">
        <v>1</v>
      </c>
      <c r="G3" s="4">
        <v>1</v>
      </c>
      <c r="H3" s="4">
        <v>1</v>
      </c>
      <c r="I3" s="4">
        <v>1</v>
      </c>
      <c r="J3" s="4">
        <v>5</v>
      </c>
      <c r="K3" s="4">
        <f>SUMIFS($X:$X,$W:$W,$F3,$Z:$Z,$I3,$AA:$AA,$H3,$AB:$AB,K$2)</f>
        <v>0</v>
      </c>
      <c r="L3" s="4">
        <f t="shared" ref="K3:N22" si="0">SUMIFS($X:$X,$W:$W,$F3,$Z:$Z,$I3,$AA:$AA,$H3,$AB:$AB,L$2)</f>
        <v>0</v>
      </c>
      <c r="M3" s="4">
        <f t="shared" si="0"/>
        <v>0</v>
      </c>
      <c r="N3" s="4">
        <f t="shared" si="0"/>
        <v>0</v>
      </c>
      <c r="O3" s="4">
        <f t="shared" ref="O3:O34" si="1">$J3*K3</f>
        <v>0</v>
      </c>
      <c r="P3" s="4">
        <f t="shared" ref="P3:P34" si="2">$J3*L3</f>
        <v>0</v>
      </c>
      <c r="Q3" s="4">
        <f t="shared" ref="Q3:Q34" si="3">$J3*M3</f>
        <v>0</v>
      </c>
      <c r="R3" s="4">
        <f t="shared" ref="R3:R34" si="4">$J3*N3</f>
        <v>0</v>
      </c>
      <c r="S3" s="4">
        <f>IF(AND(VLOOKUP(G3,Dados!$D:$L,2,0)=VLOOKUP(I3,Dados!$S:$V,2,0),VLOOKUP(G3,Dados!$D:$L,3,0)=VLOOKUP(I3,Dados!$S:$V,3,0)),0,1)</f>
        <v>0</v>
      </c>
      <c r="T3" s="4">
        <f>IF(AND(VLOOKUP(G3,Dados!$D:$L,3,0)&lt;=VLOOKUP(H3,Dados!$X:$AB,2,0),VLOOKUP(G3,Dados!$D:$L,4,0)&gt;=VLOOKUP(H3,Dados!$X:$AB,3,0),VLOOKUP(G3,Dados!$D:$L,4,0)&lt;=VLOOKUP(H3,Dados!$X:$AB,4,0)),0,1)</f>
        <v>0</v>
      </c>
      <c r="U3" s="4">
        <f>IF(COUNTIFS(F:F,F3,H:H,H3)&lt;=VLOOKUP(H3,Dados!$X:$AB,5,0),0,1)</f>
        <v>0</v>
      </c>
      <c r="V3" s="4"/>
      <c r="W3" s="4">
        <v>608</v>
      </c>
      <c r="X3" s="4">
        <v>2</v>
      </c>
      <c r="Y3" s="4">
        <v>57</v>
      </c>
      <c r="Z3" s="4">
        <v>1</v>
      </c>
      <c r="AA3" s="4">
        <v>1</v>
      </c>
      <c r="AB3" s="4">
        <v>1</v>
      </c>
      <c r="AC3" s="4"/>
      <c r="AD3" s="4">
        <f>VLOOKUP(Z3,Dados!$S$3:$W$55,4,FALSE)</f>
        <v>5349</v>
      </c>
      <c r="AE3" s="4">
        <f>Y3*X3</f>
        <v>114</v>
      </c>
      <c r="AF3" s="4">
        <f>AD3*X3</f>
        <v>10698</v>
      </c>
      <c r="AG3" s="12">
        <f>SUM(AF:AF)</f>
        <v>10540557</v>
      </c>
      <c r="AH3" s="4"/>
      <c r="AI3" s="13">
        <f>VLOOKUP(Z3,Dados!$S$3:$V$55,2,FALSE)*VLOOKUP(Z3,Dados!$S$3:$V$55,3,FALSE)*VLOOKUP(Z3,Dados!$S$3:$V$55,4,FALSE)*0.00000785</f>
        <v>30.484485899999999</v>
      </c>
      <c r="AJ3" s="13">
        <f>AI3*X3</f>
        <v>60.968971799999998</v>
      </c>
      <c r="AK3" s="13">
        <f>(AI3/AD3)*Y3</f>
        <v>0.32484869999999999</v>
      </c>
      <c r="AL3" s="13">
        <f>AK3*X3</f>
        <v>0.64969739999999998</v>
      </c>
      <c r="AM3" s="14">
        <f>SUM(AJ:AJ)</f>
        <v>110791.43126554994</v>
      </c>
      <c r="AN3" s="4"/>
      <c r="AO3" s="4">
        <v>1</v>
      </c>
      <c r="AP3" s="4">
        <f t="shared" ref="AP3:AS5" si="5">SUMIFS(O:O,$H:$H,$AO3)</f>
        <v>1390</v>
      </c>
      <c r="AQ3" s="4">
        <f t="shared" si="5"/>
        <v>1403</v>
      </c>
      <c r="AR3" s="4">
        <f t="shared" si="5"/>
        <v>1247</v>
      </c>
      <c r="AS3" s="4">
        <f t="shared" si="5"/>
        <v>1068</v>
      </c>
      <c r="AT3" s="12">
        <f>SUM(AP:AS)</f>
        <v>14297</v>
      </c>
      <c r="AU3" s="4"/>
      <c r="AV3" s="4">
        <f t="shared" ref="AV3:AV66" si="6">SUM(AZ3:BC3)</f>
        <v>185</v>
      </c>
      <c r="AW3" s="15">
        <v>1</v>
      </c>
      <c r="AX3" s="15">
        <v>204</v>
      </c>
      <c r="AY3" s="4">
        <v>45</v>
      </c>
      <c r="AZ3" s="4">
        <v>45</v>
      </c>
      <c r="BA3" s="28">
        <v>49</v>
      </c>
      <c r="BB3" s="28">
        <v>46</v>
      </c>
      <c r="BC3" s="4">
        <v>45</v>
      </c>
      <c r="BD3" s="15">
        <f>SUMIFS(O:O,$G:$G,$AW3)</f>
        <v>0</v>
      </c>
      <c r="BE3" s="15">
        <f t="shared" ref="BD3:BE37" si="7">SUMIFS(P:P,$G:$G,$AW3)</f>
        <v>4</v>
      </c>
      <c r="BF3" s="15">
        <f t="shared" ref="BF3:BF37" si="8">SUMIFS(Q:Q,$G:$G,$AW3)</f>
        <v>158</v>
      </c>
      <c r="BG3" s="15">
        <f t="shared" ref="BG3:BG37" si="9">SUMIFS(R:R,$G:$G,$AW3)</f>
        <v>44</v>
      </c>
      <c r="BH3" s="15">
        <f>SUMIFS(Dados!$Q:$Q,Dados!$O:$O,$AW3,Dados!$P:$P,BH$2)</f>
        <v>0</v>
      </c>
      <c r="BI3" s="15">
        <f>SUMIFS(Dados!$Q:$Q,Dados!$O:$O,$AW3,Dados!$P:$P,BI$2)</f>
        <v>0</v>
      </c>
      <c r="BJ3" s="15">
        <f>SUMIFS(Dados!$Q:$Q,Dados!$O:$O,$AW3,Dados!$P:$P,BJ$2)</f>
        <v>161</v>
      </c>
      <c r="BK3" s="15">
        <f>SUMIFS(Dados!$Q:$Q,Dados!$O:$O,$AW3,Dados!$P:$P,BK$2)</f>
        <v>0</v>
      </c>
      <c r="BL3" s="15">
        <v>0</v>
      </c>
      <c r="BM3" s="15">
        <v>0</v>
      </c>
      <c r="BN3" s="15">
        <v>0</v>
      </c>
      <c r="BO3" s="15">
        <v>45</v>
      </c>
      <c r="BP3" s="15">
        <f>IF(AZ3=AY3+BD3-BH3-BL3,0,1)</f>
        <v>0</v>
      </c>
      <c r="BQ3" s="15">
        <f t="shared" ref="BP3:BQ37" si="10">IF(BA3=AZ3+BE3-BI3-BM3,0,1)</f>
        <v>0</v>
      </c>
      <c r="BR3" s="15">
        <f t="shared" ref="BR3:BR37" si="11">IF(BB3=BA3+BF3-BJ3-BN3,0,1)</f>
        <v>0</v>
      </c>
      <c r="BS3" s="15">
        <f>IF(BC3=BB3+BG3-BK3-BO3,0,1)</f>
        <v>0</v>
      </c>
      <c r="BT3" s="15">
        <f>IF(AY3+SUM(BD3:BG3)-SUM(BH3:BK3)-SUM(BL3:BO3)=BC3,0,1)</f>
        <v>0</v>
      </c>
      <c r="BV3" s="15">
        <v>1</v>
      </c>
      <c r="BW3" s="15">
        <f>Dados!I3</f>
        <v>45</v>
      </c>
      <c r="BX3" s="15">
        <f>Dados!J3-Dados!I3</f>
        <v>45</v>
      </c>
      <c r="BY3" s="15">
        <f t="shared" ref="BY3:BY37" si="12">AVERAGE(AZ3:BC3)</f>
        <v>46.25</v>
      </c>
      <c r="BZ3" s="15">
        <f>BY3-BW3</f>
        <v>1.25</v>
      </c>
      <c r="CA3" s="16">
        <f>BZ3/BX3</f>
        <v>2.7777777777777776E-2</v>
      </c>
      <c r="CB3" s="17">
        <f>CB5/CB4</f>
        <v>2.8979907264296754E-2</v>
      </c>
      <c r="CC3" s="18"/>
      <c r="CD3" s="15">
        <f>AX3*AV3</f>
        <v>37740</v>
      </c>
      <c r="CE3" s="15">
        <f t="shared" ref="CE3:CE34" si="13">BW3*AX3*4</f>
        <v>36720</v>
      </c>
      <c r="CF3" s="15">
        <f t="shared" ref="CF3:CF34" si="14">(BX3+BW3)*AX3*4</f>
        <v>73440</v>
      </c>
      <c r="CG3" s="16">
        <f>(CD3-CE3)/(CF3-CE3)</f>
        <v>2.7777777777777776E-2</v>
      </c>
      <c r="CH3" s="12">
        <f>SUM(CD:CD)</f>
        <v>2111011</v>
      </c>
      <c r="CJ3" s="4">
        <f>SUM(CN3:CQ3)</f>
        <v>4</v>
      </c>
      <c r="CK3" s="15">
        <v>1</v>
      </c>
      <c r="CL3" s="15">
        <v>2302</v>
      </c>
      <c r="CM3" s="4">
        <v>1</v>
      </c>
      <c r="CN3" s="4">
        <v>1</v>
      </c>
      <c r="CO3" s="4">
        <v>1</v>
      </c>
      <c r="CP3" s="4">
        <v>1</v>
      </c>
      <c r="CQ3" s="4">
        <v>1</v>
      </c>
      <c r="CR3" s="15">
        <v>0</v>
      </c>
      <c r="CS3" s="15">
        <v>16</v>
      </c>
      <c r="CT3" s="15">
        <v>0</v>
      </c>
      <c r="CU3" s="15">
        <v>0</v>
      </c>
      <c r="CV3" s="15">
        <f>SUMIFS(Dados!$AR:$AR,Dados!$AP:$AP,$CK3,Dados!$AQ:$AQ,CV$2)</f>
        <v>0</v>
      </c>
      <c r="CW3" s="15">
        <f>SUMIFS(Dados!$AR:$AR,Dados!$AP:$AP,$CK3,Dados!$AQ:$AQ,CW$2)</f>
        <v>16</v>
      </c>
      <c r="CX3" s="15">
        <f>SUMIFS(Dados!$AR:$AR,Dados!$AP:$AP,$CK3,Dados!$AQ:$AQ,CX$2)</f>
        <v>0</v>
      </c>
      <c r="CY3" s="15">
        <f>SUMIFS(Dados!$AR:$AR,Dados!$AP:$AP,$CK3,Dados!$AQ:$AQ,CY$2)</f>
        <v>0</v>
      </c>
      <c r="CZ3" s="15">
        <f>IF(CN3=CM3+CR3-CV3,0,1)</f>
        <v>0</v>
      </c>
      <c r="DA3" s="15">
        <f t="shared" ref="CZ3:DC7" si="15">IF(CO3=CN3+CS3-CW3,0,1)</f>
        <v>0</v>
      </c>
      <c r="DB3" s="15">
        <f t="shared" si="15"/>
        <v>0</v>
      </c>
      <c r="DC3" s="15">
        <f t="shared" si="15"/>
        <v>0</v>
      </c>
      <c r="DE3" s="15">
        <v>1</v>
      </c>
      <c r="DF3" s="15">
        <f>Dados!AL3</f>
        <v>1</v>
      </c>
      <c r="DG3" s="15">
        <f>Dados!AM3-Dados!AL3</f>
        <v>15</v>
      </c>
      <c r="DH3" s="15">
        <f>AVERAGE(CN3:CQ3)</f>
        <v>1</v>
      </c>
      <c r="DI3" s="15">
        <f>DH3-DF3</f>
        <v>0</v>
      </c>
      <c r="DJ3" s="16">
        <f>DI3/DG3</f>
        <v>0</v>
      </c>
      <c r="DK3" s="17">
        <f>DK5/DK4</f>
        <v>3.2786885245901641E-2</v>
      </c>
      <c r="DL3" s="18"/>
      <c r="DM3" s="15">
        <f>CL3*CJ3</f>
        <v>9208</v>
      </c>
      <c r="DN3" s="15">
        <f>DF3*CL3*4</f>
        <v>9208</v>
      </c>
      <c r="DO3" s="15">
        <f>(DG3+DF3)*CL3*4</f>
        <v>147328</v>
      </c>
      <c r="DP3" s="16">
        <f>(DM3-DN3)/(DO3-DN3)</f>
        <v>0</v>
      </c>
      <c r="DQ3" s="45">
        <f>SUM(DM:DM)</f>
        <v>551056</v>
      </c>
      <c r="DS3" s="10" t="s">
        <v>78</v>
      </c>
      <c r="DT3" s="45">
        <f>AG4</f>
        <v>126919</v>
      </c>
      <c r="DV3" s="83" t="s">
        <v>90</v>
      </c>
      <c r="DW3" s="83" t="s">
        <v>91</v>
      </c>
      <c r="DX3" s="70" t="s">
        <v>39</v>
      </c>
      <c r="DY3" s="71"/>
      <c r="DZ3" s="72"/>
      <c r="EA3" s="29"/>
      <c r="EB3" s="70" t="s">
        <v>87</v>
      </c>
      <c r="EC3" s="71"/>
      <c r="ED3" s="72"/>
      <c r="EE3" s="29"/>
      <c r="EF3" s="70" t="s">
        <v>78</v>
      </c>
      <c r="EG3" s="71"/>
      <c r="EH3" s="71"/>
      <c r="EI3" s="72"/>
      <c r="EJ3" s="5"/>
      <c r="EK3" s="66" t="s">
        <v>92</v>
      </c>
      <c r="EL3" s="75" t="s">
        <v>93</v>
      </c>
      <c r="EM3" s="75"/>
      <c r="EN3" s="75"/>
      <c r="EO3" s="75"/>
      <c r="EP3" s="75"/>
      <c r="EQ3" s="29"/>
      <c r="ER3" s="70" t="s">
        <v>79</v>
      </c>
      <c r="ES3" s="71"/>
      <c r="ET3" s="72"/>
      <c r="EU3" s="5"/>
      <c r="EV3" s="70" t="s">
        <v>124</v>
      </c>
      <c r="EW3" s="71"/>
      <c r="EX3" s="72"/>
      <c r="EY3" s="5"/>
      <c r="EZ3" s="70" t="s">
        <v>94</v>
      </c>
      <c r="FA3" s="71"/>
      <c r="FB3" s="71"/>
      <c r="FC3" s="71"/>
      <c r="FD3" s="71"/>
      <c r="FE3" s="71"/>
      <c r="FF3" s="72"/>
    </row>
    <row r="4" spans="1:166" s="15" customFormat="1" ht="15" customHeight="1">
      <c r="A4" s="4"/>
      <c r="B4" s="4"/>
      <c r="C4" s="4"/>
      <c r="D4" s="4"/>
      <c r="E4" s="19"/>
      <c r="F4" s="4">
        <v>2</v>
      </c>
      <c r="G4" s="4">
        <v>1</v>
      </c>
      <c r="H4" s="4">
        <v>2</v>
      </c>
      <c r="I4" s="4">
        <v>1</v>
      </c>
      <c r="J4" s="4">
        <v>5</v>
      </c>
      <c r="K4" s="4">
        <f t="shared" si="0"/>
        <v>0</v>
      </c>
      <c r="L4" s="4">
        <f t="shared" si="0"/>
        <v>0</v>
      </c>
      <c r="M4" s="4">
        <f t="shared" si="0"/>
        <v>0</v>
      </c>
      <c r="N4" s="4">
        <f t="shared" si="0"/>
        <v>0</v>
      </c>
      <c r="O4" s="4">
        <f t="shared" si="1"/>
        <v>0</v>
      </c>
      <c r="P4" s="4">
        <f t="shared" si="2"/>
        <v>0</v>
      </c>
      <c r="Q4" s="4">
        <f t="shared" si="3"/>
        <v>0</v>
      </c>
      <c r="R4" s="4">
        <f t="shared" si="4"/>
        <v>0</v>
      </c>
      <c r="S4" s="4">
        <f>IF(AND(VLOOKUP(G4,Dados!$D:$L,2,0)=VLOOKUP(I4,Dados!$S:$V,2,0),VLOOKUP(G4,Dados!$D:$L,3,0)=VLOOKUP(I4,Dados!$S:$V,3,0)),0,1)</f>
        <v>0</v>
      </c>
      <c r="T4" s="4">
        <f>IF(AND(VLOOKUP(G4,Dados!$D:$L,3,0)&lt;=VLOOKUP(H4,Dados!$X:$AB,2,0),VLOOKUP(G4,Dados!$D:$L,4,0)&gt;=VLOOKUP(H4,Dados!$X:$AB,3,0),VLOOKUP(G4,Dados!$D:$L,4,0)&lt;=VLOOKUP(H4,Dados!$X:$AB,4,0)),0,1)</f>
        <v>0</v>
      </c>
      <c r="U4" s="4">
        <f>IF(COUNTIFS(F:F,F4,H:H,H4)&lt;=VLOOKUP(H4,Dados!$X:$AB,5,0),0,1)</f>
        <v>0</v>
      </c>
      <c r="V4" s="4"/>
      <c r="W4" s="4">
        <v>11</v>
      </c>
      <c r="X4" s="4">
        <v>1</v>
      </c>
      <c r="Y4" s="15">
        <v>169</v>
      </c>
      <c r="Z4" s="4">
        <v>1</v>
      </c>
      <c r="AA4" s="4">
        <v>2</v>
      </c>
      <c r="AB4" s="4">
        <v>1</v>
      </c>
      <c r="AC4" s="4"/>
      <c r="AD4" s="4">
        <f>VLOOKUP(Z4,Dados!$S$3:$W$55,4,FALSE)</f>
        <v>5349</v>
      </c>
      <c r="AE4" s="4">
        <f>Y4*X4</f>
        <v>169</v>
      </c>
      <c r="AF4" s="4">
        <f>AD4*X4</f>
        <v>5349</v>
      </c>
      <c r="AG4" s="12">
        <f>SUM(AE:AE)</f>
        <v>126919</v>
      </c>
      <c r="AH4" s="4"/>
      <c r="AI4" s="13">
        <f>VLOOKUP(Z4,Dados!$S$3:$V$55,2,FALSE)*VLOOKUP(Z4,Dados!$S$3:$V$55,3,FALSE)*VLOOKUP(Z4,Dados!$S$3:$V$55,4,FALSE)*0.00000785</f>
        <v>30.484485899999999</v>
      </c>
      <c r="AJ4" s="13">
        <f t="shared" ref="AJ4:AJ9" si="16">AI4*X4</f>
        <v>30.484485899999999</v>
      </c>
      <c r="AK4" s="13">
        <f t="shared" ref="AK4:AK9" si="17">(AI4/AD4)*Y4</f>
        <v>0.96314789999999995</v>
      </c>
      <c r="AL4" s="13">
        <f t="shared" ref="AL4:AL9" si="18">AK4*X4</f>
        <v>0.96314789999999995</v>
      </c>
      <c r="AM4" s="14">
        <f>SUM(AL:AL)</f>
        <v>1519.2525445999997</v>
      </c>
      <c r="AN4" s="4"/>
      <c r="AO4" s="4">
        <v>2</v>
      </c>
      <c r="AP4" s="4">
        <f t="shared" si="5"/>
        <v>964</v>
      </c>
      <c r="AQ4" s="4">
        <f t="shared" si="5"/>
        <v>1403</v>
      </c>
      <c r="AR4" s="4">
        <f t="shared" si="5"/>
        <v>809</v>
      </c>
      <c r="AS4" s="4">
        <f t="shared" si="5"/>
        <v>1252</v>
      </c>
      <c r="AT4" s="12">
        <f>SUM(Dados!AF:AF)</f>
        <v>16836</v>
      </c>
      <c r="AU4" s="4"/>
      <c r="AV4" s="4">
        <f t="shared" si="6"/>
        <v>3</v>
      </c>
      <c r="AW4" s="15">
        <v>2</v>
      </c>
      <c r="AX4" s="15">
        <v>147</v>
      </c>
      <c r="AY4" s="4">
        <v>0</v>
      </c>
      <c r="AZ4" s="4">
        <v>2</v>
      </c>
      <c r="BA4" s="28">
        <v>0</v>
      </c>
      <c r="BB4" s="4">
        <v>0</v>
      </c>
      <c r="BC4" s="28">
        <v>1</v>
      </c>
      <c r="BD4" s="15">
        <f t="shared" si="7"/>
        <v>2</v>
      </c>
      <c r="BE4" s="15">
        <f t="shared" si="7"/>
        <v>38</v>
      </c>
      <c r="BF4" s="15">
        <f t="shared" si="8"/>
        <v>0</v>
      </c>
      <c r="BG4" s="15">
        <f t="shared" si="9"/>
        <v>14</v>
      </c>
      <c r="BH4" s="15">
        <f>SUMIFS(Dados!$Q:$Q,Dados!$O:$O,$AW4,Dados!$P:$P,BH$2)</f>
        <v>0</v>
      </c>
      <c r="BI4" s="15">
        <f>SUMIFS(Dados!$Q:$Q,Dados!$O:$O,$AW4,Dados!$P:$P,BI$2)</f>
        <v>0</v>
      </c>
      <c r="BJ4" s="15">
        <f>SUMIFS(Dados!$Q:$Q,Dados!$O:$O,$AW4,Dados!$P:$P,BJ$2)</f>
        <v>0</v>
      </c>
      <c r="BK4" s="15">
        <f>SUMIFS(Dados!$Q:$Q,Dados!$O:$O,$AW4,Dados!$P:$P,BK$2)</f>
        <v>13</v>
      </c>
      <c r="BL4" s="15">
        <v>0</v>
      </c>
      <c r="BM4" s="15">
        <v>40</v>
      </c>
      <c r="BN4" s="15">
        <v>0</v>
      </c>
      <c r="BO4" s="15">
        <v>0</v>
      </c>
      <c r="BP4" s="15">
        <f t="shared" ref="BP4:BR5" si="19">IF(AZ4=AY4+BD4-BH4-BL4,0,1)</f>
        <v>0</v>
      </c>
      <c r="BQ4" s="15">
        <f t="shared" si="19"/>
        <v>0</v>
      </c>
      <c r="BR4" s="15">
        <f t="shared" si="19"/>
        <v>0</v>
      </c>
      <c r="BS4" s="15">
        <f t="shared" ref="BS4:BS37" si="20">IF(BC4=BB4+BG4-BK4-BO4,0,1)</f>
        <v>0</v>
      </c>
      <c r="BT4" s="15">
        <f t="shared" ref="BT4:BT36" si="21">IF(AY4+SUM(BD4:BG4)-SUM(BH4:BK4)-SUM(BL4:BO4)=BC4,0,1)</f>
        <v>0</v>
      </c>
      <c r="BV4" s="15">
        <v>2</v>
      </c>
      <c r="BW4" s="15">
        <f>Dados!I4</f>
        <v>0</v>
      </c>
      <c r="BX4" s="15">
        <f>Dados!J4-Dados!I4</f>
        <v>30</v>
      </c>
      <c r="BY4" s="15">
        <f t="shared" si="12"/>
        <v>0.75</v>
      </c>
      <c r="BZ4" s="15">
        <f t="shared" ref="BZ4:BZ14" si="22">BY4-BW4</f>
        <v>0.75</v>
      </c>
      <c r="CA4" s="16">
        <f t="shared" ref="CA4:CA14" si="23">BZ4/BX4</f>
        <v>2.5000000000000001E-2</v>
      </c>
      <c r="CB4" s="15">
        <f>SUM(BX:BX)</f>
        <v>3235</v>
      </c>
      <c r="CC4" s="16"/>
      <c r="CD4" s="15">
        <f>AX4*AV4</f>
        <v>441</v>
      </c>
      <c r="CE4" s="15">
        <f t="shared" si="13"/>
        <v>0</v>
      </c>
      <c r="CF4" s="15">
        <f t="shared" si="14"/>
        <v>17640</v>
      </c>
      <c r="CG4" s="16">
        <f>(CD4-CE4)/(CF4-CE4)</f>
        <v>2.5000000000000001E-2</v>
      </c>
      <c r="CH4" s="12">
        <f>SUM(CE:CE)</f>
        <v>2051200</v>
      </c>
      <c r="CJ4" s="4">
        <f>SUM(CN4:CQ4)</f>
        <v>40</v>
      </c>
      <c r="CK4" s="15">
        <v>2</v>
      </c>
      <c r="CL4" s="15">
        <v>1912</v>
      </c>
      <c r="CM4" s="4">
        <v>10</v>
      </c>
      <c r="CN4" s="4">
        <v>10</v>
      </c>
      <c r="CO4" s="4">
        <v>10</v>
      </c>
      <c r="CP4" s="4">
        <v>10</v>
      </c>
      <c r="CQ4" s="4">
        <v>10</v>
      </c>
      <c r="CR4" s="15">
        <v>0</v>
      </c>
      <c r="CS4" s="15">
        <v>22</v>
      </c>
      <c r="CT4" s="15">
        <v>0</v>
      </c>
      <c r="CU4" s="15">
        <v>0</v>
      </c>
      <c r="CV4" s="15">
        <f>SUMIFS(Dados!$AR:$AR,Dados!$AP:$AP,$CK4,Dados!$AQ:$AQ,CV$2)</f>
        <v>0</v>
      </c>
      <c r="CW4" s="15">
        <f>SUMIFS(Dados!$AR:$AR,Dados!$AP:$AP,$CK4,Dados!$AQ:$AQ,CW$2)</f>
        <v>22</v>
      </c>
      <c r="CX4" s="15">
        <f>SUMIFS(Dados!$AR:$AR,Dados!$AP:$AP,$CK4,Dados!$AQ:$AQ,CX$2)</f>
        <v>0</v>
      </c>
      <c r="CY4" s="15">
        <f>SUMIFS(Dados!$AR:$AR,Dados!$AP:$AP,$CK4,Dados!$AQ:$AQ,CY$2)</f>
        <v>0</v>
      </c>
      <c r="CZ4" s="15">
        <f>IF(CN4=CM4+CR4-CV4,0,1)</f>
        <v>0</v>
      </c>
      <c r="DA4" s="15">
        <f>IF(CO4=CN4+CS4-CW4,0,1)</f>
        <v>0</v>
      </c>
      <c r="DB4" s="15">
        <f t="shared" si="15"/>
        <v>0</v>
      </c>
      <c r="DC4" s="15">
        <f t="shared" si="15"/>
        <v>0</v>
      </c>
      <c r="DE4" s="15">
        <v>2</v>
      </c>
      <c r="DF4" s="15">
        <f>Dados!AL4</f>
        <v>10</v>
      </c>
      <c r="DG4" s="15">
        <f>Dados!AM4-Dados!AL4</f>
        <v>10</v>
      </c>
      <c r="DH4" s="15">
        <f>AVERAGE(CN4:CQ4)</f>
        <v>10</v>
      </c>
      <c r="DI4" s="15">
        <f>DH4-DF4</f>
        <v>0</v>
      </c>
      <c r="DJ4" s="16">
        <f>DI4/DG4</f>
        <v>0</v>
      </c>
      <c r="DK4" s="15">
        <f>SUM(DG:DG)</f>
        <v>122</v>
      </c>
      <c r="DL4" s="16"/>
      <c r="DM4" s="15">
        <f t="shared" ref="DM4" si="24">CL4*CJ4</f>
        <v>76480</v>
      </c>
      <c r="DN4" s="15">
        <f>DF4*CL4*4</f>
        <v>76480</v>
      </c>
      <c r="DO4" s="15">
        <f>(DG4+DF4)*CL4*4</f>
        <v>152960</v>
      </c>
      <c r="DP4" s="16">
        <f>(DM4-DN4)/(DO4-DN4)</f>
        <v>0</v>
      </c>
      <c r="DQ4" s="45">
        <f>SUM(DN:DN)</f>
        <v>519572</v>
      </c>
      <c r="DS4" s="10" t="s">
        <v>79</v>
      </c>
      <c r="DT4" s="45">
        <f>CH3</f>
        <v>2111011</v>
      </c>
      <c r="DV4" s="84"/>
      <c r="DW4" s="84"/>
      <c r="DX4" s="66" t="s">
        <v>95</v>
      </c>
      <c r="DY4" s="66" t="s">
        <v>38</v>
      </c>
      <c r="DZ4" s="66" t="s">
        <v>96</v>
      </c>
      <c r="EA4" s="30"/>
      <c r="EB4" s="66" t="s">
        <v>97</v>
      </c>
      <c r="EC4" s="66" t="s">
        <v>98</v>
      </c>
      <c r="ED4" s="66" t="s">
        <v>99</v>
      </c>
      <c r="EE4" s="30"/>
      <c r="EF4" s="66" t="s">
        <v>100</v>
      </c>
      <c r="EG4" s="66" t="s">
        <v>101</v>
      </c>
      <c r="EH4" s="66" t="s">
        <v>78</v>
      </c>
      <c r="EI4" s="66" t="s">
        <v>102</v>
      </c>
      <c r="EJ4" s="5"/>
      <c r="EK4" s="86"/>
      <c r="EL4" s="73" t="s">
        <v>41</v>
      </c>
      <c r="EM4" s="74" t="s">
        <v>64</v>
      </c>
      <c r="EN4" s="74" t="s">
        <v>65</v>
      </c>
      <c r="EO4" s="74" t="s">
        <v>66</v>
      </c>
      <c r="EP4" s="74" t="s">
        <v>67</v>
      </c>
      <c r="EQ4" s="30"/>
      <c r="ER4" s="66" t="s">
        <v>129</v>
      </c>
      <c r="ES4" s="66" t="s">
        <v>103</v>
      </c>
      <c r="ET4" s="66" t="s">
        <v>110</v>
      </c>
      <c r="EU4" s="5"/>
      <c r="EV4" s="66" t="s">
        <v>129</v>
      </c>
      <c r="EW4" s="66" t="s">
        <v>103</v>
      </c>
      <c r="EX4" s="66" t="s">
        <v>110</v>
      </c>
      <c r="EY4" s="5"/>
      <c r="EZ4" s="66" t="s">
        <v>104</v>
      </c>
      <c r="FA4" s="68" t="s">
        <v>105</v>
      </c>
      <c r="FB4" s="69"/>
      <c r="FC4" s="68" t="s">
        <v>106</v>
      </c>
      <c r="FD4" s="69"/>
      <c r="FE4" s="66" t="s">
        <v>107</v>
      </c>
      <c r="FF4" s="66" t="s">
        <v>41</v>
      </c>
    </row>
    <row r="5" spans="1:166" s="15" customFormat="1" ht="15" customHeight="1">
      <c r="A5" s="4"/>
      <c r="B5" s="4"/>
      <c r="C5" s="4"/>
      <c r="D5" s="4"/>
      <c r="E5" s="19"/>
      <c r="F5" s="4">
        <v>3</v>
      </c>
      <c r="G5" s="4">
        <v>1</v>
      </c>
      <c r="H5" s="4">
        <v>3</v>
      </c>
      <c r="I5" s="4">
        <v>1</v>
      </c>
      <c r="J5" s="4">
        <v>5</v>
      </c>
      <c r="K5" s="4">
        <f t="shared" si="0"/>
        <v>0</v>
      </c>
      <c r="L5" s="4">
        <f t="shared" si="0"/>
        <v>0</v>
      </c>
      <c r="M5" s="4">
        <f t="shared" si="0"/>
        <v>0</v>
      </c>
      <c r="N5" s="4">
        <f t="shared" si="0"/>
        <v>0</v>
      </c>
      <c r="O5" s="4">
        <f t="shared" si="1"/>
        <v>0</v>
      </c>
      <c r="P5" s="4">
        <f t="shared" si="2"/>
        <v>0</v>
      </c>
      <c r="Q5" s="4">
        <f t="shared" si="3"/>
        <v>0</v>
      </c>
      <c r="R5" s="4">
        <f t="shared" si="4"/>
        <v>0</v>
      </c>
      <c r="S5" s="4">
        <f>IF(AND(VLOOKUP(G5,Dados!$D:$L,2,0)=VLOOKUP(I5,Dados!$S:$V,2,0),VLOOKUP(G5,Dados!$D:$L,3,0)=VLOOKUP(I5,Dados!$S:$V,3,0)),0,1)</f>
        <v>0</v>
      </c>
      <c r="T5" s="4">
        <f>IF(AND(VLOOKUP(G5,Dados!$D:$L,3,0)&lt;=VLOOKUP(H5,Dados!$X:$AB,2,0),VLOOKUP(G5,Dados!$D:$L,4,0)&gt;=VLOOKUP(H5,Dados!$X:$AB,3,0),VLOOKUP(G5,Dados!$D:$L,4,0)&lt;=VLOOKUP(H5,Dados!$X:$AB,4,0)),0,1)</f>
        <v>0</v>
      </c>
      <c r="U5" s="4">
        <f>IF(COUNTIFS(F:F,F5,H:H,H5)&lt;=VLOOKUP(H5,Dados!$X:$AB,5,0),0,1)</f>
        <v>0</v>
      </c>
      <c r="V5" s="4"/>
      <c r="W5" s="4">
        <v>176</v>
      </c>
      <c r="X5" s="4">
        <v>60</v>
      </c>
      <c r="Y5" s="4">
        <v>34</v>
      </c>
      <c r="Z5" s="4">
        <v>1</v>
      </c>
      <c r="AA5" s="4">
        <v>2</v>
      </c>
      <c r="AB5" s="4">
        <v>1</v>
      </c>
      <c r="AC5" s="4"/>
      <c r="AD5" s="4">
        <f>VLOOKUP(Z5,Dados!$S$3:$W$55,4,FALSE)</f>
        <v>5349</v>
      </c>
      <c r="AE5" s="4">
        <f>Y5*X5</f>
        <v>2040</v>
      </c>
      <c r="AF5" s="4">
        <f>AD5*X5</f>
        <v>320940</v>
      </c>
      <c r="AG5" s="20">
        <f>AG4/AG3</f>
        <v>1.2041014530826028E-2</v>
      </c>
      <c r="AH5" s="4"/>
      <c r="AI5" s="13">
        <f>VLOOKUP(Z5,Dados!$S$3:$V$55,2,FALSE)*VLOOKUP(Z5,Dados!$S$3:$V$55,3,FALSE)*VLOOKUP(Z5,Dados!$S$3:$V$55,4,FALSE)*0.00000785</f>
        <v>30.484485899999999</v>
      </c>
      <c r="AJ5" s="13">
        <f t="shared" si="16"/>
        <v>1829.069154</v>
      </c>
      <c r="AK5" s="13">
        <f t="shared" si="17"/>
        <v>0.19376939999999998</v>
      </c>
      <c r="AL5" s="13">
        <f t="shared" si="18"/>
        <v>11.626163999999999</v>
      </c>
      <c r="AM5" s="20">
        <f>AM4/AM3</f>
        <v>1.3712726040686182E-2</v>
      </c>
      <c r="AN5" s="4"/>
      <c r="AO5" s="4">
        <v>3</v>
      </c>
      <c r="AP5" s="4">
        <f t="shared" si="5"/>
        <v>894</v>
      </c>
      <c r="AQ5" s="4">
        <f t="shared" si="5"/>
        <v>1400</v>
      </c>
      <c r="AR5" s="4">
        <f t="shared" si="5"/>
        <v>1134</v>
      </c>
      <c r="AS5" s="4">
        <f t="shared" si="5"/>
        <v>1333</v>
      </c>
      <c r="AT5" s="17">
        <f>AT3/AT4</f>
        <v>0.84919220717510102</v>
      </c>
      <c r="AU5" s="4"/>
      <c r="AV5" s="4">
        <f t="shared" si="6"/>
        <v>323</v>
      </c>
      <c r="AW5" s="15">
        <v>3</v>
      </c>
      <c r="AX5" s="15">
        <v>199</v>
      </c>
      <c r="AY5" s="4">
        <v>80</v>
      </c>
      <c r="AZ5" s="28">
        <v>80</v>
      </c>
      <c r="BA5" s="4">
        <v>81</v>
      </c>
      <c r="BB5" s="28">
        <v>81</v>
      </c>
      <c r="BC5" s="4">
        <v>81</v>
      </c>
      <c r="BD5" s="15">
        <f t="shared" si="7"/>
        <v>307</v>
      </c>
      <c r="BE5" s="15">
        <f t="shared" si="7"/>
        <v>1</v>
      </c>
      <c r="BF5" s="15">
        <f t="shared" si="8"/>
        <v>0</v>
      </c>
      <c r="BG5" s="15">
        <f t="shared" si="9"/>
        <v>0</v>
      </c>
      <c r="BH5" s="15">
        <f>SUMIFS(Dados!$Q:$Q,Dados!$O:$O,$AW5,Dados!$P:$P,BH$2)</f>
        <v>208</v>
      </c>
      <c r="BI5" s="15">
        <f>SUMIFS(Dados!$Q:$Q,Dados!$O:$O,$AW5,Dados!$P:$P,BI$2)</f>
        <v>0</v>
      </c>
      <c r="BJ5" s="15">
        <f>SUMIFS(Dados!$Q:$Q,Dados!$O:$O,$AW5,Dados!$P:$P,BJ$2)</f>
        <v>0</v>
      </c>
      <c r="BK5" s="15">
        <f>SUMIFS(Dados!$Q:$Q,Dados!$O:$O,$AW5,Dados!$P:$P,BK$2)</f>
        <v>0</v>
      </c>
      <c r="BL5" s="15">
        <v>99</v>
      </c>
      <c r="BM5" s="15">
        <v>0</v>
      </c>
      <c r="BN5" s="15">
        <v>0</v>
      </c>
      <c r="BO5" s="15">
        <v>0</v>
      </c>
      <c r="BP5" s="15">
        <f t="shared" si="19"/>
        <v>0</v>
      </c>
      <c r="BQ5" s="15">
        <f t="shared" si="19"/>
        <v>0</v>
      </c>
      <c r="BR5" s="15">
        <f t="shared" si="19"/>
        <v>0</v>
      </c>
      <c r="BS5" s="15">
        <f t="shared" si="20"/>
        <v>0</v>
      </c>
      <c r="BT5" s="15">
        <f t="shared" si="21"/>
        <v>0</v>
      </c>
      <c r="BV5" s="15">
        <v>3</v>
      </c>
      <c r="BW5" s="15">
        <f>Dados!I5</f>
        <v>80</v>
      </c>
      <c r="BX5" s="15">
        <f>Dados!J5-Dados!I5</f>
        <v>60</v>
      </c>
      <c r="BY5" s="15">
        <f t="shared" si="12"/>
        <v>80.75</v>
      </c>
      <c r="BZ5" s="15">
        <f t="shared" si="22"/>
        <v>0.75</v>
      </c>
      <c r="CA5" s="16">
        <f t="shared" si="23"/>
        <v>1.2500000000000001E-2</v>
      </c>
      <c r="CB5" s="21">
        <f>SUM(BZ:BZ)</f>
        <v>93.75</v>
      </c>
      <c r="CC5" s="16"/>
      <c r="CD5" s="15">
        <f t="shared" ref="CD5:CD14" si="25">AX5*AV5</f>
        <v>64277</v>
      </c>
      <c r="CE5" s="15">
        <f t="shared" si="13"/>
        <v>63680</v>
      </c>
      <c r="CF5" s="15">
        <f t="shared" si="14"/>
        <v>111440</v>
      </c>
      <c r="CG5" s="16">
        <f t="shared" ref="CG5:CG14" si="26">(CD5-CE5)/(CF5-CE5)</f>
        <v>1.2500000000000001E-2</v>
      </c>
      <c r="CH5" s="45">
        <f>SUM(CF:CF)</f>
        <v>4162960</v>
      </c>
      <c r="CI5" s="18"/>
      <c r="CJ5" s="4">
        <f>SUM(CN5:CQ5)</f>
        <v>0</v>
      </c>
      <c r="CK5" s="15">
        <v>3</v>
      </c>
      <c r="CL5" s="15">
        <v>3845</v>
      </c>
      <c r="CM5" s="4">
        <v>0</v>
      </c>
      <c r="CN5" s="4">
        <v>0</v>
      </c>
      <c r="CO5" s="4">
        <v>0</v>
      </c>
      <c r="CP5" s="4">
        <v>0</v>
      </c>
      <c r="CQ5" s="4">
        <v>0</v>
      </c>
      <c r="CR5" s="15">
        <v>0</v>
      </c>
      <c r="CS5" s="15">
        <v>0</v>
      </c>
      <c r="CT5" s="15">
        <v>0</v>
      </c>
      <c r="CU5" s="15">
        <v>15</v>
      </c>
      <c r="CV5" s="15">
        <f>SUMIFS(Dados!$AR:$AR,Dados!$AP:$AP,$CK5,Dados!$AQ:$AQ,CV$2)</f>
        <v>0</v>
      </c>
      <c r="CW5" s="15">
        <f>SUMIFS(Dados!$AR:$AR,Dados!$AP:$AP,$CK5,Dados!$AQ:$AQ,CW$2)</f>
        <v>0</v>
      </c>
      <c r="CX5" s="15">
        <f>SUMIFS(Dados!$AR:$AR,Dados!$AP:$AP,$CK5,Dados!$AQ:$AQ,CX$2)</f>
        <v>0</v>
      </c>
      <c r="CY5" s="15">
        <f>SUMIFS(Dados!$AR:$AR,Dados!$AP:$AP,$CK5,Dados!$AQ:$AQ,CY$2)</f>
        <v>15</v>
      </c>
      <c r="CZ5" s="15">
        <f t="shared" si="15"/>
        <v>0</v>
      </c>
      <c r="DA5" s="15">
        <f t="shared" si="15"/>
        <v>0</v>
      </c>
      <c r="DB5" s="15">
        <f t="shared" si="15"/>
        <v>0</v>
      </c>
      <c r="DC5" s="15">
        <f t="shared" si="15"/>
        <v>0</v>
      </c>
      <c r="DE5" s="15">
        <v>3</v>
      </c>
      <c r="DF5" s="15">
        <f>Dados!AL5</f>
        <v>0</v>
      </c>
      <c r="DG5" s="15">
        <f>Dados!AM5-Dados!AL5</f>
        <v>18</v>
      </c>
      <c r="DH5" s="15">
        <f>AVERAGE(CN5:CQ5)</f>
        <v>0</v>
      </c>
      <c r="DI5" s="15">
        <f t="shared" ref="DI5:DI6" si="27">DH5-DF5</f>
        <v>0</v>
      </c>
      <c r="DJ5" s="16">
        <f t="shared" ref="DJ5" si="28">DI5/DG5</f>
        <v>0</v>
      </c>
      <c r="DK5" s="21">
        <f>SUM(DI:DI)</f>
        <v>4</v>
      </c>
      <c r="DL5" s="16"/>
      <c r="DM5" s="15">
        <f>CL5*CJ5</f>
        <v>0</v>
      </c>
      <c r="DN5" s="15">
        <f>DF5*CL5*4</f>
        <v>0</v>
      </c>
      <c r="DO5" s="15">
        <f>(DG5+DF5)*CL5*4</f>
        <v>276840</v>
      </c>
      <c r="DP5" s="16">
        <f t="shared" ref="DP5:DP6" si="29">(DM5-DN5)/(DO5-DN5)</f>
        <v>0</v>
      </c>
      <c r="DQ5" s="45">
        <f>SUM(DO:DO)</f>
        <v>1895904</v>
      </c>
      <c r="DS5" s="44" t="s">
        <v>124</v>
      </c>
      <c r="DT5" s="45">
        <f>DQ3</f>
        <v>551056</v>
      </c>
      <c r="DV5" s="85"/>
      <c r="DW5" s="85"/>
      <c r="DX5" s="67"/>
      <c r="DY5" s="67"/>
      <c r="DZ5" s="67"/>
      <c r="EA5" s="30"/>
      <c r="EB5" s="67"/>
      <c r="EC5" s="67"/>
      <c r="ED5" s="67"/>
      <c r="EE5" s="30"/>
      <c r="EF5" s="67"/>
      <c r="EG5" s="67"/>
      <c r="EH5" s="67"/>
      <c r="EI5" s="67"/>
      <c r="EJ5" s="5"/>
      <c r="EK5" s="67"/>
      <c r="EL5" s="73"/>
      <c r="EM5" s="74"/>
      <c r="EN5" s="74"/>
      <c r="EO5" s="74"/>
      <c r="EP5" s="74"/>
      <c r="EQ5" s="30"/>
      <c r="ER5" s="67"/>
      <c r="ES5" s="67"/>
      <c r="ET5" s="67"/>
      <c r="EU5" s="5"/>
      <c r="EV5" s="67"/>
      <c r="EW5" s="67"/>
      <c r="EX5" s="67"/>
      <c r="EY5" s="5"/>
      <c r="EZ5" s="67"/>
      <c r="FA5" s="31" t="s">
        <v>108</v>
      </c>
      <c r="FB5" s="31" t="s">
        <v>41</v>
      </c>
      <c r="FC5" s="31" t="s">
        <v>108</v>
      </c>
      <c r="FD5" s="31" t="s">
        <v>41</v>
      </c>
      <c r="FE5" s="67"/>
      <c r="FF5" s="67"/>
    </row>
    <row r="6" spans="1:166" s="15" customFormat="1" ht="15" customHeight="1">
      <c r="A6" s="4"/>
      <c r="B6" s="4"/>
      <c r="C6" s="4"/>
      <c r="D6" s="4"/>
      <c r="E6" s="4"/>
      <c r="F6" s="4">
        <v>4</v>
      </c>
      <c r="G6" s="4">
        <v>2</v>
      </c>
      <c r="H6" s="4">
        <v>1</v>
      </c>
      <c r="I6" s="4">
        <v>1</v>
      </c>
      <c r="J6" s="4">
        <v>7</v>
      </c>
      <c r="K6" s="4">
        <f t="shared" si="0"/>
        <v>0</v>
      </c>
      <c r="L6" s="4">
        <f t="shared" si="0"/>
        <v>0</v>
      </c>
      <c r="M6" s="4">
        <f t="shared" si="0"/>
        <v>0</v>
      </c>
      <c r="N6" s="4">
        <f t="shared" si="0"/>
        <v>0</v>
      </c>
      <c r="O6" s="4">
        <f t="shared" si="1"/>
        <v>0</v>
      </c>
      <c r="P6" s="4">
        <f t="shared" si="2"/>
        <v>0</v>
      </c>
      <c r="Q6" s="4">
        <f t="shared" si="3"/>
        <v>0</v>
      </c>
      <c r="R6" s="4">
        <f t="shared" si="4"/>
        <v>0</v>
      </c>
      <c r="S6" s="4">
        <f>IF(AND(VLOOKUP(G6,Dados!$D:$L,2,0)=VLOOKUP(I6,Dados!$S:$V,2,0),VLOOKUP(G6,Dados!$D:$L,3,0)=VLOOKUP(I6,Dados!$S:$V,3,0)),0,1)</f>
        <v>0</v>
      </c>
      <c r="T6" s="4">
        <f>IF(AND(VLOOKUP(G6,Dados!$D:$L,3,0)&lt;=VLOOKUP(H6,Dados!$X:$AB,2,0),VLOOKUP(G6,Dados!$D:$L,4,0)&gt;=VLOOKUP(H6,Dados!$X:$AB,3,0),VLOOKUP(G6,Dados!$D:$L,4,0)&lt;=VLOOKUP(H6,Dados!$X:$AB,4,0)),0,1)</f>
        <v>0</v>
      </c>
      <c r="U6" s="4">
        <f>IF(COUNTIFS(F:F,F6,H:H,H6)&lt;=VLOOKUP(H6,Dados!$X:$AB,5,0),0,1)</f>
        <v>0</v>
      </c>
      <c r="V6" s="4"/>
      <c r="W6" s="4">
        <v>177</v>
      </c>
      <c r="X6" s="4">
        <v>1</v>
      </c>
      <c r="Y6" s="15">
        <v>34</v>
      </c>
      <c r="Z6" s="4">
        <v>1</v>
      </c>
      <c r="AA6" s="4">
        <v>3</v>
      </c>
      <c r="AB6" s="4">
        <v>1</v>
      </c>
      <c r="AC6" s="4"/>
      <c r="AD6" s="4">
        <f>VLOOKUP(Z6,Dados!$S$3:$W$55,4,FALSE)</f>
        <v>5349</v>
      </c>
      <c r="AE6" s="4">
        <f>Y6*X6</f>
        <v>34</v>
      </c>
      <c r="AF6" s="4">
        <f>AD6*X6</f>
        <v>5349</v>
      </c>
      <c r="AG6" s="4"/>
      <c r="AH6" s="4"/>
      <c r="AI6" s="13">
        <f>VLOOKUP(Z6,Dados!$S$3:$V$55,2,FALSE)*VLOOKUP(Z6,Dados!$S$3:$V$55,3,FALSE)*VLOOKUP(Z6,Dados!$S$3:$V$55,4,FALSE)*0.00000785</f>
        <v>30.484485899999999</v>
      </c>
      <c r="AJ6" s="13">
        <f t="shared" si="16"/>
        <v>30.484485899999999</v>
      </c>
      <c r="AK6" s="13">
        <f t="shared" si="17"/>
        <v>0.19376939999999998</v>
      </c>
      <c r="AL6" s="13">
        <f t="shared" si="18"/>
        <v>0.19376939999999998</v>
      </c>
      <c r="AM6" s="4"/>
      <c r="AN6" s="4"/>
      <c r="AO6" s="4"/>
      <c r="AP6" s="4"/>
      <c r="AQ6" s="4"/>
      <c r="AR6" s="4"/>
      <c r="AS6" s="4"/>
      <c r="AT6" s="16">
        <f>SUM(AP:AP)/(AT4/4)</f>
        <v>0.77167973390354005</v>
      </c>
      <c r="AU6" s="4"/>
      <c r="AV6" s="4">
        <f t="shared" si="6"/>
        <v>21</v>
      </c>
      <c r="AW6" s="15">
        <v>4</v>
      </c>
      <c r="AX6" s="15">
        <v>165</v>
      </c>
      <c r="AY6" s="4">
        <v>0</v>
      </c>
      <c r="AZ6" s="28">
        <v>3</v>
      </c>
      <c r="BA6" s="28">
        <v>3</v>
      </c>
      <c r="BB6" s="28">
        <v>14</v>
      </c>
      <c r="BC6" s="4">
        <v>1</v>
      </c>
      <c r="BD6" s="15">
        <f t="shared" si="7"/>
        <v>78</v>
      </c>
      <c r="BE6" s="15">
        <f t="shared" si="7"/>
        <v>0</v>
      </c>
      <c r="BF6" s="15">
        <f t="shared" si="8"/>
        <v>23</v>
      </c>
      <c r="BG6" s="15">
        <f t="shared" si="9"/>
        <v>13</v>
      </c>
      <c r="BH6" s="15">
        <f>SUMIFS(Dados!$Q:$Q,Dados!$O:$O,$AW6,Dados!$P:$P,BH$2)</f>
        <v>0</v>
      </c>
      <c r="BI6" s="15">
        <f>SUMIFS(Dados!$Q:$Q,Dados!$O:$O,$AW6,Dados!$P:$P,BI$2)</f>
        <v>0</v>
      </c>
      <c r="BJ6" s="15">
        <f>SUMIFS(Dados!$Q:$Q,Dados!$O:$O,$AW6,Dados!$P:$P,BJ$2)</f>
        <v>0</v>
      </c>
      <c r="BK6" s="15">
        <f>SUMIFS(Dados!$Q:$Q,Dados!$O:$O,$AW6,Dados!$P:$P,BK$2)</f>
        <v>26</v>
      </c>
      <c r="BL6" s="15">
        <v>75</v>
      </c>
      <c r="BM6" s="15">
        <v>0</v>
      </c>
      <c r="BN6" s="15">
        <v>12</v>
      </c>
      <c r="BO6" s="15">
        <v>0</v>
      </c>
      <c r="BP6" s="15">
        <f>IF(AZ6=AY6+BD6-BH6-BL6,0,1)</f>
        <v>0</v>
      </c>
      <c r="BQ6" s="15">
        <f>IF(BA6=AZ6+BE6-BI6-BM6,0,1)</f>
        <v>0</v>
      </c>
      <c r="BR6" s="15">
        <f t="shared" si="11"/>
        <v>0</v>
      </c>
      <c r="BS6" s="15">
        <f>IF(BC6=BB6+BG6-BK6-BO6,0,1)</f>
        <v>0</v>
      </c>
      <c r="BT6" s="15">
        <f t="shared" si="21"/>
        <v>0</v>
      </c>
      <c r="BV6" s="15">
        <v>4</v>
      </c>
      <c r="BW6" s="15">
        <f>Dados!I6</f>
        <v>0</v>
      </c>
      <c r="BX6" s="15">
        <f>Dados!J6-Dados!I6</f>
        <v>30</v>
      </c>
      <c r="BY6" s="15">
        <f t="shared" si="12"/>
        <v>5.25</v>
      </c>
      <c r="BZ6" s="15">
        <f t="shared" si="22"/>
        <v>5.25</v>
      </c>
      <c r="CA6" s="16">
        <f t="shared" si="23"/>
        <v>0.17499999999999999</v>
      </c>
      <c r="CB6" s="16"/>
      <c r="CC6" s="16"/>
      <c r="CD6" s="15">
        <f>AX6*AV6</f>
        <v>3465</v>
      </c>
      <c r="CE6" s="15">
        <f t="shared" si="13"/>
        <v>0</v>
      </c>
      <c r="CF6" s="15">
        <f t="shared" si="14"/>
        <v>19800</v>
      </c>
      <c r="CG6" s="16">
        <f t="shared" si="26"/>
        <v>0.17499999999999999</v>
      </c>
      <c r="CH6" s="17">
        <f>(CH3-CH4)/(CH5-CH4)</f>
        <v>2.8322820775088079E-2</v>
      </c>
      <c r="CI6" s="46"/>
      <c r="CJ6" s="4">
        <f>SUM(CN6:CQ6)</f>
        <v>12</v>
      </c>
      <c r="CK6" s="15">
        <v>4</v>
      </c>
      <c r="CL6" s="15">
        <v>3713</v>
      </c>
      <c r="CM6" s="4">
        <v>3</v>
      </c>
      <c r="CN6" s="4">
        <v>3</v>
      </c>
      <c r="CO6" s="4">
        <v>3</v>
      </c>
      <c r="CP6" s="4">
        <v>3</v>
      </c>
      <c r="CQ6" s="4">
        <v>3</v>
      </c>
      <c r="CR6" s="15">
        <v>0</v>
      </c>
      <c r="CS6" s="15">
        <v>0</v>
      </c>
      <c r="CT6" s="15">
        <v>0</v>
      </c>
      <c r="CU6" s="15">
        <v>33</v>
      </c>
      <c r="CV6" s="15">
        <f>SUMIFS(Dados!$AR:$AR,Dados!$AP:$AP,$CK6,Dados!$AQ:$AQ,CV$2)</f>
        <v>0</v>
      </c>
      <c r="CW6" s="15">
        <f>SUMIFS(Dados!$AR:$AR,Dados!$AP:$AP,$CK6,Dados!$AQ:$AQ,CW$2)</f>
        <v>0</v>
      </c>
      <c r="CX6" s="15">
        <f>SUMIFS(Dados!$AR:$AR,Dados!$AP:$AP,$CK6,Dados!$AQ:$AQ,CX$2)</f>
        <v>0</v>
      </c>
      <c r="CY6" s="15">
        <f>SUMIFS(Dados!$AR:$AR,Dados!$AP:$AP,$CK6,Dados!$AQ:$AQ,CY$2)</f>
        <v>33</v>
      </c>
      <c r="CZ6" s="15">
        <f>IF(CN6=CM6+CR6-CV6,0,1)</f>
        <v>0</v>
      </c>
      <c r="DA6" s="15">
        <f t="shared" si="15"/>
        <v>0</v>
      </c>
      <c r="DB6" s="15">
        <f t="shared" si="15"/>
        <v>0</v>
      </c>
      <c r="DC6" s="15">
        <f t="shared" si="15"/>
        <v>0</v>
      </c>
      <c r="DE6" s="15">
        <v>4</v>
      </c>
      <c r="DF6" s="15">
        <f>Dados!AL6</f>
        <v>3</v>
      </c>
      <c r="DG6" s="15">
        <f>Dados!AM6-Dados!AL6</f>
        <v>17</v>
      </c>
      <c r="DH6" s="15">
        <f>AVERAGE(CN6:CQ6)</f>
        <v>3</v>
      </c>
      <c r="DI6" s="15">
        <f t="shared" si="27"/>
        <v>0</v>
      </c>
      <c r="DJ6" s="16">
        <f>DI6/DG6</f>
        <v>0</v>
      </c>
      <c r="DK6" s="16"/>
      <c r="DL6" s="16"/>
      <c r="DM6" s="15">
        <f>CL6*CJ6</f>
        <v>44556</v>
      </c>
      <c r="DN6" s="15">
        <f>DF6*CL6*4</f>
        <v>44556</v>
      </c>
      <c r="DO6" s="15">
        <f>(DG6+DF6)*CL6*4</f>
        <v>297040</v>
      </c>
      <c r="DP6" s="16">
        <f t="shared" si="29"/>
        <v>0</v>
      </c>
      <c r="DQ6" s="17">
        <f>(DQ3-DQ4)/(DQ5-DQ4)</f>
        <v>2.2875294623680913E-2</v>
      </c>
      <c r="DS6" s="10" t="s">
        <v>41</v>
      </c>
      <c r="DT6" s="45">
        <f>SUM(DT3:DT5)</f>
        <v>2788986</v>
      </c>
      <c r="DV6" s="32"/>
      <c r="DW6" s="23">
        <v>13</v>
      </c>
      <c r="DX6" s="38">
        <f>C10</f>
        <v>2788986</v>
      </c>
      <c r="DY6" s="35">
        <f>D12</f>
        <v>3.0382135867300285E-2</v>
      </c>
      <c r="DZ6" s="38">
        <f>EC6</f>
        <v>977</v>
      </c>
      <c r="EA6" s="29"/>
      <c r="EB6" s="23">
        <v>174</v>
      </c>
      <c r="EC6" s="38">
        <f>C23-EB6</f>
        <v>977</v>
      </c>
      <c r="ED6" s="53">
        <f>C24</f>
        <v>225</v>
      </c>
      <c r="EE6" s="29"/>
      <c r="EF6" s="33">
        <f>C25</f>
        <v>1838</v>
      </c>
      <c r="EG6" s="33">
        <f>AG3</f>
        <v>10540557</v>
      </c>
      <c r="EH6" s="33">
        <f>AG4</f>
        <v>126919</v>
      </c>
      <c r="EI6" s="35">
        <f>AG5</f>
        <v>1.2041014530826028E-2</v>
      </c>
      <c r="EJ6" s="5"/>
      <c r="EK6" s="25">
        <f>AT4</f>
        <v>16836</v>
      </c>
      <c r="EL6" s="36">
        <f>AT5</f>
        <v>0.84919220717510102</v>
      </c>
      <c r="EM6" s="36">
        <f>AT6</f>
        <v>0.77167973390354005</v>
      </c>
      <c r="EN6" s="36">
        <f>AT7</f>
        <v>0.99928724162508908</v>
      </c>
      <c r="EO6" s="36">
        <f>AT8</f>
        <v>0.7578997386552625</v>
      </c>
      <c r="EP6" s="36">
        <f>AT9</f>
        <v>0.86790211451651222</v>
      </c>
      <c r="EQ6" s="29"/>
      <c r="ER6" s="37">
        <f>CB3</f>
        <v>2.8979907264296754E-2</v>
      </c>
      <c r="ES6" s="33">
        <f>CH3</f>
        <v>2111011</v>
      </c>
      <c r="ET6" s="37">
        <f>CH6</f>
        <v>2.8322820775088079E-2</v>
      </c>
      <c r="EU6" s="5"/>
      <c r="EV6" s="37">
        <f>DK3</f>
        <v>3.2786885245901641E-2</v>
      </c>
      <c r="EW6" s="33">
        <f>DQ3</f>
        <v>551056</v>
      </c>
      <c r="EX6" s="37">
        <f>DQ6</f>
        <v>2.2875294623680913E-2</v>
      </c>
      <c r="EY6" s="5"/>
      <c r="EZ6" s="38">
        <f>MAX(B29:B113)</f>
        <v>14</v>
      </c>
      <c r="FA6" s="34">
        <f>FB6/EZ6</f>
        <v>32.497714285714288</v>
      </c>
      <c r="FB6" s="22">
        <f>D19</f>
        <v>454.96800000000002</v>
      </c>
      <c r="FC6" s="34">
        <f>FD6/EZ6</f>
        <v>22.868357142857143</v>
      </c>
      <c r="FD6" s="34">
        <f>D21</f>
        <v>320.15699999999998</v>
      </c>
      <c r="FE6" s="34">
        <f>D20</f>
        <v>1271.585</v>
      </c>
      <c r="FF6" s="39">
        <f>C18</f>
        <v>2046.7249999999999</v>
      </c>
    </row>
    <row r="7" spans="1:166" s="15" customFormat="1" ht="15" customHeight="1">
      <c r="A7" s="4"/>
      <c r="B7" s="4"/>
      <c r="C7" s="4"/>
      <c r="D7" s="4"/>
      <c r="E7" s="4"/>
      <c r="F7" s="4">
        <v>5</v>
      </c>
      <c r="G7" s="4">
        <v>2</v>
      </c>
      <c r="H7" s="4">
        <v>2</v>
      </c>
      <c r="I7" s="4">
        <v>1</v>
      </c>
      <c r="J7" s="4">
        <v>7</v>
      </c>
      <c r="K7" s="4">
        <f t="shared" si="0"/>
        <v>0</v>
      </c>
      <c r="L7" s="4">
        <f t="shared" si="0"/>
        <v>0</v>
      </c>
      <c r="M7" s="4">
        <f t="shared" si="0"/>
        <v>0</v>
      </c>
      <c r="N7" s="4">
        <f t="shared" si="0"/>
        <v>0</v>
      </c>
      <c r="O7" s="4">
        <f t="shared" si="1"/>
        <v>0</v>
      </c>
      <c r="P7" s="4">
        <f t="shared" si="2"/>
        <v>0</v>
      </c>
      <c r="Q7" s="4">
        <f t="shared" si="3"/>
        <v>0</v>
      </c>
      <c r="R7" s="4">
        <f t="shared" si="4"/>
        <v>0</v>
      </c>
      <c r="S7" s="4">
        <f>IF(AND(VLOOKUP(G7,Dados!$D:$L,2,0)=VLOOKUP(I7,Dados!$S:$V,2,0),VLOOKUP(G7,Dados!$D:$L,3,0)=VLOOKUP(I7,Dados!$S:$V,3,0)),0,1)</f>
        <v>0</v>
      </c>
      <c r="T7" s="4">
        <f>IF(AND(VLOOKUP(G7,Dados!$D:$L,3,0)&lt;=VLOOKUP(H7,Dados!$X:$AB,2,0),VLOOKUP(G7,Dados!$D:$L,4,0)&gt;=VLOOKUP(H7,Dados!$X:$AB,3,0),VLOOKUP(G7,Dados!$D:$L,4,0)&lt;=VLOOKUP(H7,Dados!$X:$AB,4,0)),0,1)</f>
        <v>0</v>
      </c>
      <c r="U7" s="4">
        <f>IF(COUNTIFS(F:F,F7,H:H,H7)&lt;=VLOOKUP(H7,Dados!$X:$AB,5,0),0,1)</f>
        <v>0</v>
      </c>
      <c r="V7" s="4"/>
      <c r="W7" s="4">
        <v>16</v>
      </c>
      <c r="X7" s="4">
        <v>8</v>
      </c>
      <c r="Y7" s="15">
        <v>318</v>
      </c>
      <c r="Z7" s="4">
        <v>2</v>
      </c>
      <c r="AA7" s="4">
        <v>1</v>
      </c>
      <c r="AB7" s="4">
        <v>1</v>
      </c>
      <c r="AC7" s="4"/>
      <c r="AD7" s="4">
        <f>VLOOKUP(Z7,Dados!$S$3:$W$55,4,FALSE)</f>
        <v>5211</v>
      </c>
      <c r="AE7" s="4">
        <f t="shared" ref="AE7:AE9" si="30">Y7*X7</f>
        <v>2544</v>
      </c>
      <c r="AF7" s="4">
        <f t="shared" ref="AF7:AF9" si="31">AD7*X7</f>
        <v>41688</v>
      </c>
      <c r="AG7" s="4"/>
      <c r="AH7" s="4"/>
      <c r="AI7" s="13">
        <f>VLOOKUP(Z7,Dados!$S$3:$V$55,2,FALSE)*VLOOKUP(Z7,Dados!$S$3:$V$55,3,FALSE)*VLOOKUP(Z7,Dados!$S$3:$V$55,4,FALSE)*0.00000785</f>
        <v>83.694392099999988</v>
      </c>
      <c r="AJ7" s="13">
        <f t="shared" si="16"/>
        <v>669.5551367999999</v>
      </c>
      <c r="AK7" s="13">
        <f t="shared" si="17"/>
        <v>5.1074297999999994</v>
      </c>
      <c r="AL7" s="13">
        <f t="shared" si="18"/>
        <v>40.859438399999995</v>
      </c>
      <c r="AM7" s="4"/>
      <c r="AN7" s="4"/>
      <c r="AO7" s="4"/>
      <c r="AP7" s="4"/>
      <c r="AQ7" s="4"/>
      <c r="AR7" s="4"/>
      <c r="AS7" s="4"/>
      <c r="AT7" s="16">
        <f>SUM(AQ:AQ)/(AT4/4)</f>
        <v>0.99928724162508908</v>
      </c>
      <c r="AU7" s="4"/>
      <c r="AV7" s="4">
        <f t="shared" si="6"/>
        <v>322</v>
      </c>
      <c r="AW7" s="15">
        <v>5</v>
      </c>
      <c r="AX7" s="15">
        <v>127</v>
      </c>
      <c r="AY7" s="4">
        <v>80</v>
      </c>
      <c r="AZ7" s="4">
        <v>80</v>
      </c>
      <c r="BA7" s="28">
        <v>81</v>
      </c>
      <c r="BB7" s="28">
        <v>80</v>
      </c>
      <c r="BC7" s="4">
        <v>81</v>
      </c>
      <c r="BD7" s="15">
        <f t="shared" si="7"/>
        <v>0</v>
      </c>
      <c r="BE7" s="15">
        <f t="shared" si="7"/>
        <v>45</v>
      </c>
      <c r="BF7" s="15">
        <f t="shared" si="8"/>
        <v>285</v>
      </c>
      <c r="BG7" s="15">
        <f t="shared" si="9"/>
        <v>1</v>
      </c>
      <c r="BH7" s="15">
        <f>SUMIFS(Dados!$Q:$Q,Dados!$O:$O,$AW7,Dados!$P:$P,BH$2)</f>
        <v>0</v>
      </c>
      <c r="BI7" s="15">
        <f>SUMIFS(Dados!$Q:$Q,Dados!$O:$O,$AW7,Dados!$P:$P,BI$2)</f>
        <v>0</v>
      </c>
      <c r="BJ7" s="15">
        <f>SUMIFS(Dados!$Q:$Q,Dados!$O:$O,$AW7,Dados!$P:$P,BJ$2)</f>
        <v>286</v>
      </c>
      <c r="BK7" s="15">
        <f>SUMIFS(Dados!$Q:$Q,Dados!$O:$O,$AW7,Dados!$P:$P,BK$2)</f>
        <v>0</v>
      </c>
      <c r="BL7" s="15">
        <v>0</v>
      </c>
      <c r="BM7" s="15">
        <v>44</v>
      </c>
      <c r="BN7" s="15">
        <v>0</v>
      </c>
      <c r="BO7" s="15">
        <v>0</v>
      </c>
      <c r="BP7" s="15">
        <f t="shared" si="10"/>
        <v>0</v>
      </c>
      <c r="BQ7" s="15">
        <f t="shared" si="10"/>
        <v>0</v>
      </c>
      <c r="BR7" s="15">
        <f t="shared" si="11"/>
        <v>0</v>
      </c>
      <c r="BS7" s="15">
        <f t="shared" si="20"/>
        <v>0</v>
      </c>
      <c r="BT7" s="15">
        <f t="shared" si="21"/>
        <v>0</v>
      </c>
      <c r="BV7" s="15">
        <v>5</v>
      </c>
      <c r="BW7" s="15">
        <f>Dados!I7</f>
        <v>80</v>
      </c>
      <c r="BX7" s="15">
        <f>Dados!J7-Dados!I7</f>
        <v>60</v>
      </c>
      <c r="BY7" s="15">
        <f t="shared" si="12"/>
        <v>80.5</v>
      </c>
      <c r="BZ7" s="15">
        <f t="shared" si="22"/>
        <v>0.5</v>
      </c>
      <c r="CA7" s="16">
        <f t="shared" si="23"/>
        <v>8.3333333333333332E-3</v>
      </c>
      <c r="CB7" s="16"/>
      <c r="CC7" s="16"/>
      <c r="CD7" s="15">
        <f t="shared" si="25"/>
        <v>40894</v>
      </c>
      <c r="CE7" s="15">
        <f t="shared" si="13"/>
        <v>40640</v>
      </c>
      <c r="CF7" s="15">
        <f t="shared" si="14"/>
        <v>71120</v>
      </c>
      <c r="CG7" s="16">
        <f t="shared" si="26"/>
        <v>8.3333333333333332E-3</v>
      </c>
      <c r="CJ7" s="4">
        <f>SUM(CN7:CQ7)</f>
        <v>36</v>
      </c>
      <c r="CK7" s="15">
        <v>5</v>
      </c>
      <c r="CL7" s="15">
        <v>2257</v>
      </c>
      <c r="CM7" s="4">
        <v>9</v>
      </c>
      <c r="CN7" s="4">
        <v>9</v>
      </c>
      <c r="CO7" s="4">
        <v>9</v>
      </c>
      <c r="CP7" s="4">
        <v>9</v>
      </c>
      <c r="CQ7" s="4">
        <v>9</v>
      </c>
      <c r="CR7" s="15">
        <v>33</v>
      </c>
      <c r="CS7" s="15">
        <v>0</v>
      </c>
      <c r="CT7" s="15">
        <v>0</v>
      </c>
      <c r="CU7" s="15">
        <v>0</v>
      </c>
      <c r="CV7" s="15">
        <f>SUMIFS(Dados!$AR:$AR,Dados!$AP:$AP,$CK7,Dados!$AQ:$AQ,CV$2)</f>
        <v>33</v>
      </c>
      <c r="CW7" s="15">
        <f>SUMIFS(Dados!$AR:$AR,Dados!$AP:$AP,$CK7,Dados!$AQ:$AQ,CW$2)</f>
        <v>0</v>
      </c>
      <c r="CX7" s="15">
        <f>SUMIFS(Dados!$AR:$AR,Dados!$AP:$AP,$CK7,Dados!$AQ:$AQ,CX$2)</f>
        <v>0</v>
      </c>
      <c r="CY7" s="15">
        <f>SUMIFS(Dados!$AR:$AR,Dados!$AP:$AP,$CK7,Dados!$AQ:$AQ,CY$2)</f>
        <v>0</v>
      </c>
      <c r="CZ7" s="15">
        <f t="shared" si="15"/>
        <v>0</v>
      </c>
      <c r="DA7" s="15">
        <f t="shared" si="15"/>
        <v>0</v>
      </c>
      <c r="DB7" s="15">
        <f t="shared" si="15"/>
        <v>0</v>
      </c>
      <c r="DC7" s="15">
        <f t="shared" si="15"/>
        <v>0</v>
      </c>
      <c r="DE7" s="15">
        <v>5</v>
      </c>
      <c r="DF7" s="15">
        <f>Dados!AL7</f>
        <v>9</v>
      </c>
      <c r="DG7" s="15">
        <f>Dados!AM7-Dados!AL7</f>
        <v>6</v>
      </c>
      <c r="DH7" s="15">
        <f>AVERAGE(CN7:CQ7)</f>
        <v>9</v>
      </c>
      <c r="DI7" s="15">
        <f t="shared" ref="DI7" si="32">DH7-DF7</f>
        <v>0</v>
      </c>
      <c r="DJ7" s="16">
        <f t="shared" ref="DJ7" si="33">DI7/DG7</f>
        <v>0</v>
      </c>
      <c r="DK7" s="16"/>
      <c r="DL7" s="16"/>
      <c r="DM7" s="15">
        <f>CL7*CJ7</f>
        <v>81252</v>
      </c>
      <c r="DN7" s="15">
        <f>DF7*CL7*4</f>
        <v>81252</v>
      </c>
      <c r="DO7" s="15">
        <f>(DG7+DF7)*CL7*4</f>
        <v>135420</v>
      </c>
      <c r="DP7" s="16">
        <f t="shared" ref="DP7" si="34">(DM7-DN7)/(DO7-DN7)</f>
        <v>0</v>
      </c>
      <c r="DS7" s="10" t="s">
        <v>80</v>
      </c>
      <c r="DT7" s="45">
        <v>0</v>
      </c>
      <c r="DX7" s="15">
        <f>EH6+ES6+EW6</f>
        <v>2788986</v>
      </c>
      <c r="ED7" s="54"/>
    </row>
    <row r="8" spans="1:166" s="15" customFormat="1">
      <c r="A8" s="4"/>
      <c r="B8" s="4"/>
      <c r="C8" s="4"/>
      <c r="D8" s="4"/>
      <c r="E8" s="4"/>
      <c r="F8" s="4">
        <v>6</v>
      </c>
      <c r="G8" s="4">
        <v>2</v>
      </c>
      <c r="H8" s="4">
        <v>3</v>
      </c>
      <c r="I8" s="4">
        <v>1</v>
      </c>
      <c r="J8" s="4">
        <v>7</v>
      </c>
      <c r="K8" s="4">
        <f t="shared" si="0"/>
        <v>0</v>
      </c>
      <c r="L8" s="4">
        <f t="shared" si="0"/>
        <v>0</v>
      </c>
      <c r="M8" s="4">
        <f t="shared" si="0"/>
        <v>0</v>
      </c>
      <c r="N8" s="4">
        <f t="shared" si="0"/>
        <v>0</v>
      </c>
      <c r="O8" s="4">
        <f t="shared" si="1"/>
        <v>0</v>
      </c>
      <c r="P8" s="4">
        <f t="shared" si="2"/>
        <v>0</v>
      </c>
      <c r="Q8" s="4">
        <f t="shared" si="3"/>
        <v>0</v>
      </c>
      <c r="R8" s="4">
        <f t="shared" si="4"/>
        <v>0</v>
      </c>
      <c r="S8" s="4">
        <f>IF(AND(VLOOKUP(G8,Dados!$D:$L,2,0)=VLOOKUP(I8,Dados!$S:$V,2,0),VLOOKUP(G8,Dados!$D:$L,3,0)=VLOOKUP(I8,Dados!$S:$V,3,0)),0,1)</f>
        <v>0</v>
      </c>
      <c r="T8" s="4">
        <f>IF(AND(VLOOKUP(G8,Dados!$D:$L,3,0)&lt;=VLOOKUP(H8,Dados!$X:$AB,2,0),VLOOKUP(G8,Dados!$D:$L,4,0)&gt;=VLOOKUP(H8,Dados!$X:$AB,3,0),VLOOKUP(G8,Dados!$D:$L,4,0)&lt;=VLOOKUP(H8,Dados!$X:$AB,4,0)),0,1)</f>
        <v>0</v>
      </c>
      <c r="U8" s="4">
        <f>IF(COUNTIFS(F:F,F8,H:H,H8)&lt;=VLOOKUP(H8,Dados!$X:$AB,5,0),0,1)</f>
        <v>0</v>
      </c>
      <c r="V8" s="4"/>
      <c r="W8" s="4">
        <v>23</v>
      </c>
      <c r="X8" s="4">
        <v>3</v>
      </c>
      <c r="Y8" s="15">
        <v>267</v>
      </c>
      <c r="Z8" s="4">
        <v>3</v>
      </c>
      <c r="AA8" s="4">
        <v>1</v>
      </c>
      <c r="AB8" s="4">
        <v>1</v>
      </c>
      <c r="AC8" s="4"/>
      <c r="AD8" s="4">
        <f>VLOOKUP(Z8,Dados!$S$3:$W$55,4,FALSE)</f>
        <v>5307</v>
      </c>
      <c r="AE8" s="4">
        <f t="shared" si="30"/>
        <v>801</v>
      </c>
      <c r="AF8" s="4">
        <f t="shared" si="31"/>
        <v>15921</v>
      </c>
      <c r="AG8" s="4"/>
      <c r="AH8" s="4"/>
      <c r="AI8" s="13">
        <f>VLOOKUP(Z8,Dados!$S$3:$V$55,2,FALSE)*VLOOKUP(Z8,Dados!$S$3:$V$55,3,FALSE)*VLOOKUP(Z8,Dados!$S$3:$V$55,4,FALSE)*0.00000785</f>
        <v>88.527393749999987</v>
      </c>
      <c r="AJ8" s="13">
        <f t="shared" si="16"/>
        <v>265.58218124999996</v>
      </c>
      <c r="AK8" s="13">
        <f t="shared" si="17"/>
        <v>4.4538937499999998</v>
      </c>
      <c r="AL8" s="13">
        <f t="shared" si="18"/>
        <v>13.36168125</v>
      </c>
      <c r="AM8" s="4"/>
      <c r="AN8" s="4"/>
      <c r="AO8" s="4"/>
      <c r="AP8" s="6"/>
      <c r="AQ8" s="4"/>
      <c r="AR8" s="4"/>
      <c r="AS8" s="4"/>
      <c r="AT8" s="16">
        <f>SUM(AR:AR)/(AT4/4)</f>
        <v>0.7578997386552625</v>
      </c>
      <c r="AU8" s="4"/>
      <c r="AV8" s="4">
        <f t="shared" si="6"/>
        <v>332</v>
      </c>
      <c r="AW8" s="15">
        <v>6</v>
      </c>
      <c r="AX8" s="15">
        <v>152</v>
      </c>
      <c r="AY8" s="4">
        <v>80</v>
      </c>
      <c r="AZ8" s="4">
        <v>86</v>
      </c>
      <c r="BA8" s="4">
        <v>86</v>
      </c>
      <c r="BB8" s="28">
        <v>80</v>
      </c>
      <c r="BC8" s="4">
        <v>80</v>
      </c>
      <c r="BD8" s="15">
        <f t="shared" si="7"/>
        <v>56</v>
      </c>
      <c r="BE8" s="15">
        <f t="shared" si="7"/>
        <v>0</v>
      </c>
      <c r="BF8" s="15">
        <f t="shared" si="8"/>
        <v>2</v>
      </c>
      <c r="BG8" s="15">
        <f t="shared" si="9"/>
        <v>201</v>
      </c>
      <c r="BH8" s="15">
        <f>SUMIFS(Dados!$Q:$Q,Dados!$O:$O,$AW8,Dados!$P:$P,BH$2)</f>
        <v>0</v>
      </c>
      <c r="BI8" s="15">
        <f>SUMIFS(Dados!$Q:$Q,Dados!$O:$O,$AW8,Dados!$P:$P,BI$2)</f>
        <v>0</v>
      </c>
      <c r="BJ8" s="15">
        <f>SUMIFS(Dados!$Q:$Q,Dados!$O:$O,$AW8,Dados!$P:$P,BJ$2)</f>
        <v>0</v>
      </c>
      <c r="BK8" s="15">
        <f>SUMIFS(Dados!$Q:$Q,Dados!$O:$O,$AW8,Dados!$P:$P,BK$2)</f>
        <v>201</v>
      </c>
      <c r="BL8" s="15">
        <v>50</v>
      </c>
      <c r="BM8" s="15">
        <v>0</v>
      </c>
      <c r="BN8" s="15">
        <v>8</v>
      </c>
      <c r="BO8" s="15">
        <v>0</v>
      </c>
      <c r="BP8" s="15">
        <f t="shared" si="10"/>
        <v>0</v>
      </c>
      <c r="BQ8" s="15">
        <f t="shared" si="10"/>
        <v>0</v>
      </c>
      <c r="BR8" s="15">
        <f t="shared" si="11"/>
        <v>0</v>
      </c>
      <c r="BS8" s="15">
        <f t="shared" si="20"/>
        <v>0</v>
      </c>
      <c r="BT8" s="15">
        <f t="shared" si="21"/>
        <v>0</v>
      </c>
      <c r="BV8" s="15">
        <v>6</v>
      </c>
      <c r="BW8" s="15">
        <f>Dados!I8</f>
        <v>80</v>
      </c>
      <c r="BX8" s="15">
        <f>Dados!J8-Dados!I8</f>
        <v>60</v>
      </c>
      <c r="BY8" s="15">
        <f t="shared" si="12"/>
        <v>83</v>
      </c>
      <c r="BZ8" s="15">
        <f t="shared" si="22"/>
        <v>3</v>
      </c>
      <c r="CA8" s="16">
        <f t="shared" si="23"/>
        <v>0.05</v>
      </c>
      <c r="CB8" s="16"/>
      <c r="CD8" s="15">
        <f t="shared" si="25"/>
        <v>50464</v>
      </c>
      <c r="CE8" s="15">
        <f t="shared" si="13"/>
        <v>48640</v>
      </c>
      <c r="CF8" s="15">
        <f t="shared" si="14"/>
        <v>85120</v>
      </c>
      <c r="CG8" s="16">
        <f t="shared" si="26"/>
        <v>0.05</v>
      </c>
      <c r="CI8" s="16"/>
      <c r="CJ8" s="4">
        <f t="shared" ref="CJ8:CJ12" si="35">SUM(CN8:CQ8)</f>
        <v>48</v>
      </c>
      <c r="CK8" s="15">
        <v>6</v>
      </c>
      <c r="CL8" s="15">
        <v>1935</v>
      </c>
      <c r="CM8" s="4">
        <v>10</v>
      </c>
      <c r="CN8" s="4">
        <v>10</v>
      </c>
      <c r="CO8" s="4">
        <v>10</v>
      </c>
      <c r="CP8" s="4">
        <v>14</v>
      </c>
      <c r="CQ8" s="4">
        <v>14</v>
      </c>
      <c r="CR8" s="15">
        <v>25</v>
      </c>
      <c r="CS8" s="15">
        <v>0</v>
      </c>
      <c r="CT8" s="15">
        <v>4</v>
      </c>
      <c r="CU8" s="15">
        <v>0</v>
      </c>
      <c r="CV8" s="15">
        <f>SUMIFS(Dados!$AR:$AR,Dados!$AP:$AP,$CK8,Dados!$AQ:$AQ,CV$2)</f>
        <v>25</v>
      </c>
      <c r="CW8" s="15">
        <f>SUMIFS(Dados!$AR:$AR,Dados!$AP:$AP,$CK8,Dados!$AQ:$AQ,CW$2)</f>
        <v>0</v>
      </c>
      <c r="CX8" s="15">
        <f>SUMIFS(Dados!$AR:$AR,Dados!$AP:$AP,$CK8,Dados!$AQ:$AQ,CX$2)</f>
        <v>0</v>
      </c>
      <c r="CY8" s="15">
        <f>SUMIFS(Dados!$AR:$AR,Dados!$AP:$AP,$CK8,Dados!$AQ:$AQ,CY$2)</f>
        <v>0</v>
      </c>
      <c r="CZ8" s="15">
        <f t="shared" ref="CZ8:CZ12" si="36">IF(CN8=CM8+CR8-CV8,0,1)</f>
        <v>0</v>
      </c>
      <c r="DA8" s="15">
        <f t="shared" ref="DA8:DA12" si="37">IF(CO8=CN8+CS8-CW8,0,1)</f>
        <v>0</v>
      </c>
      <c r="DB8" s="15">
        <f t="shared" ref="DB8:DB12" si="38">IF(CP8=CO8+CT8-CX8,0,1)</f>
        <v>0</v>
      </c>
      <c r="DC8" s="15">
        <f t="shared" ref="DC8:DC12" si="39">IF(CQ8=CP8+CU8-CY8,0,1)</f>
        <v>0</v>
      </c>
      <c r="DE8" s="15">
        <v>6</v>
      </c>
      <c r="DF8" s="15">
        <f>Dados!AL8</f>
        <v>10</v>
      </c>
      <c r="DG8" s="15">
        <f>Dados!AM8-Dados!AL8</f>
        <v>7</v>
      </c>
      <c r="DH8" s="15">
        <f t="shared" ref="DH8:DH12" si="40">AVERAGE(CN8:CQ8)</f>
        <v>12</v>
      </c>
      <c r="DI8" s="15">
        <f t="shared" ref="DI8:DI12" si="41">DH8-DF8</f>
        <v>2</v>
      </c>
      <c r="DJ8" s="16">
        <f t="shared" ref="DJ8:DJ12" si="42">DI8/DG8</f>
        <v>0.2857142857142857</v>
      </c>
      <c r="DK8" s="16"/>
      <c r="DL8" s="16"/>
      <c r="DM8" s="15">
        <f t="shared" ref="DM8:DM12" si="43">CL8*CJ8</f>
        <v>92880</v>
      </c>
      <c r="DN8" s="15">
        <f t="shared" ref="DN8:DN12" si="44">DF8*CL8*4</f>
        <v>77400</v>
      </c>
      <c r="DO8" s="15">
        <f t="shared" ref="DO8:DO12" si="45">(DG8+DF8)*CL8*4</f>
        <v>131580</v>
      </c>
      <c r="DP8" s="16">
        <f t="shared" ref="DP8:DP12" si="46">(DM8-DN8)/(DO8-DN8)</f>
        <v>0.2857142857142857</v>
      </c>
      <c r="DQ8" s="16"/>
      <c r="DR8" s="16"/>
      <c r="DS8" s="10" t="s">
        <v>81</v>
      </c>
      <c r="DT8" s="12">
        <f>CH4</f>
        <v>2051200</v>
      </c>
      <c r="ED8" s="54"/>
    </row>
    <row r="9" spans="1:166" s="15" customFormat="1">
      <c r="A9" s="4"/>
      <c r="B9" s="64" t="s">
        <v>36</v>
      </c>
      <c r="C9" s="64" t="s">
        <v>37</v>
      </c>
      <c r="D9" s="64" t="s">
        <v>38</v>
      </c>
      <c r="E9" s="4"/>
      <c r="F9" s="4">
        <v>7</v>
      </c>
      <c r="G9" s="4">
        <v>3</v>
      </c>
      <c r="H9" s="4">
        <v>1</v>
      </c>
      <c r="I9" s="4">
        <v>1</v>
      </c>
      <c r="J9" s="4">
        <v>5</v>
      </c>
      <c r="K9" s="4">
        <f t="shared" si="0"/>
        <v>0</v>
      </c>
      <c r="L9" s="4">
        <f t="shared" si="0"/>
        <v>0</v>
      </c>
      <c r="M9" s="4">
        <f t="shared" si="0"/>
        <v>0</v>
      </c>
      <c r="N9" s="4">
        <f t="shared" si="0"/>
        <v>0</v>
      </c>
      <c r="O9" s="4">
        <f t="shared" si="1"/>
        <v>0</v>
      </c>
      <c r="P9" s="4">
        <f t="shared" si="2"/>
        <v>0</v>
      </c>
      <c r="Q9" s="4">
        <f t="shared" si="3"/>
        <v>0</v>
      </c>
      <c r="R9" s="4">
        <f t="shared" si="4"/>
        <v>0</v>
      </c>
      <c r="S9" s="4">
        <f>IF(AND(VLOOKUP(G9,Dados!$D:$L,2,0)=VLOOKUP(I9,Dados!$S:$V,2,0),VLOOKUP(G9,Dados!$D:$L,3,0)=VLOOKUP(I9,Dados!$S:$V,3,0)),0,1)</f>
        <v>0</v>
      </c>
      <c r="T9" s="4">
        <f>IF(AND(VLOOKUP(G9,Dados!$D:$L,3,0)&lt;=VLOOKUP(H9,Dados!$X:$AB,2,0),VLOOKUP(G9,Dados!$D:$L,4,0)&gt;=VLOOKUP(H9,Dados!$X:$AB,3,0),VLOOKUP(G9,Dados!$D:$L,4,0)&lt;=VLOOKUP(H9,Dados!$X:$AB,4,0)),0,1)</f>
        <v>0</v>
      </c>
      <c r="U9" s="4">
        <f>IF(COUNTIFS(F:F,F9,H:H,H9)&lt;=VLOOKUP(H9,Dados!$X:$AB,5,0),0,1)</f>
        <v>0</v>
      </c>
      <c r="V9" s="4"/>
      <c r="W9" s="4">
        <v>184</v>
      </c>
      <c r="X9" s="4">
        <v>4</v>
      </c>
      <c r="Y9" s="4">
        <v>45</v>
      </c>
      <c r="Z9" s="4">
        <v>4</v>
      </c>
      <c r="AA9" s="4">
        <v>3</v>
      </c>
      <c r="AB9" s="4">
        <v>1</v>
      </c>
      <c r="AC9" s="4"/>
      <c r="AD9" s="4">
        <f>VLOOKUP(Z9,Dados!$S$3:$W$55,4,FALSE)</f>
        <v>5995</v>
      </c>
      <c r="AE9" s="4">
        <f t="shared" si="30"/>
        <v>180</v>
      </c>
      <c r="AF9" s="4">
        <f t="shared" si="31"/>
        <v>23980</v>
      </c>
      <c r="AG9" s="4"/>
      <c r="AH9" s="4"/>
      <c r="AI9" s="13">
        <f>VLOOKUP(Z9,Dados!$S$3:$V$55,2,FALSE)*VLOOKUP(Z9,Dados!$S$3:$V$55,3,FALSE)*VLOOKUP(Z9,Dados!$S$3:$V$55,4,FALSE)*0.00000785</f>
        <v>100.00409375</v>
      </c>
      <c r="AJ9" s="13">
        <f t="shared" si="16"/>
        <v>400.01637499999998</v>
      </c>
      <c r="AK9" s="13">
        <f t="shared" si="17"/>
        <v>0.75065624999999991</v>
      </c>
      <c r="AL9" s="13">
        <f t="shared" si="18"/>
        <v>3.0026249999999997</v>
      </c>
      <c r="AM9" s="4"/>
      <c r="AN9" s="4"/>
      <c r="AO9" s="4"/>
      <c r="AP9" s="4"/>
      <c r="AQ9" s="4"/>
      <c r="AR9" s="4"/>
      <c r="AS9" s="4"/>
      <c r="AT9" s="16">
        <f>SUM(AS:AS)/(AT4/4)</f>
        <v>0.86790211451651222</v>
      </c>
      <c r="AU9" s="4"/>
      <c r="AV9" s="4">
        <f t="shared" si="6"/>
        <v>0</v>
      </c>
      <c r="AW9" s="15">
        <v>7</v>
      </c>
      <c r="AX9" s="15">
        <v>158</v>
      </c>
      <c r="AY9" s="4">
        <v>0</v>
      </c>
      <c r="AZ9" s="4">
        <v>0</v>
      </c>
      <c r="BA9" s="28">
        <v>0</v>
      </c>
      <c r="BB9" s="4">
        <v>0</v>
      </c>
      <c r="BC9" s="4">
        <v>0</v>
      </c>
      <c r="BD9" s="15">
        <f t="shared" si="7"/>
        <v>0</v>
      </c>
      <c r="BE9" s="15">
        <f t="shared" si="7"/>
        <v>0</v>
      </c>
      <c r="BF9" s="15">
        <f t="shared" si="8"/>
        <v>52</v>
      </c>
      <c r="BG9" s="15">
        <f t="shared" si="9"/>
        <v>15</v>
      </c>
      <c r="BH9" s="15">
        <f>SUMIFS(Dados!$Q:$Q,Dados!$O:$O,$AW9,Dados!$P:$P,BH$2)</f>
        <v>0</v>
      </c>
      <c r="BI9" s="15">
        <f>SUMIFS(Dados!$Q:$Q,Dados!$O:$O,$AW9,Dados!$P:$P,BI$2)</f>
        <v>0</v>
      </c>
      <c r="BJ9" s="15">
        <f>SUMIFS(Dados!$Q:$Q,Dados!$O:$O,$AW9,Dados!$P:$P,BJ$2)</f>
        <v>52</v>
      </c>
      <c r="BK9" s="15">
        <f>SUMIFS(Dados!$Q:$Q,Dados!$O:$O,$AW9,Dados!$P:$P,BK$2)</f>
        <v>0</v>
      </c>
      <c r="BL9" s="15">
        <v>0</v>
      </c>
      <c r="BM9" s="15">
        <v>0</v>
      </c>
      <c r="BN9" s="15">
        <v>0</v>
      </c>
      <c r="BO9" s="15">
        <v>15</v>
      </c>
      <c r="BP9" s="15">
        <f t="shared" si="10"/>
        <v>0</v>
      </c>
      <c r="BQ9" s="15">
        <f t="shared" si="10"/>
        <v>0</v>
      </c>
      <c r="BR9" s="15">
        <f t="shared" si="11"/>
        <v>0</v>
      </c>
      <c r="BS9" s="15">
        <f>IF(BC9=BB9+BG9-BK9-BO9,0,1)</f>
        <v>0</v>
      </c>
      <c r="BT9" s="15">
        <f>IF(AY9+SUM(BD9:BG9)-SUM(BH9:BK9)-SUM(BL9:BO9)=BC9,0,1)</f>
        <v>0</v>
      </c>
      <c r="BV9" s="15">
        <v>7</v>
      </c>
      <c r="BW9" s="15">
        <f>Dados!I9</f>
        <v>0</v>
      </c>
      <c r="BX9" s="15">
        <f>Dados!J9-Dados!I9</f>
        <v>30</v>
      </c>
      <c r="BY9" s="15">
        <f t="shared" si="12"/>
        <v>0</v>
      </c>
      <c r="BZ9" s="15">
        <f t="shared" si="22"/>
        <v>0</v>
      </c>
      <c r="CA9" s="16">
        <f>BZ9/BX9</f>
        <v>0</v>
      </c>
      <c r="CD9" s="15">
        <f t="shared" si="25"/>
        <v>0</v>
      </c>
      <c r="CE9" s="15">
        <f t="shared" si="13"/>
        <v>0</v>
      </c>
      <c r="CF9" s="15">
        <f t="shared" si="14"/>
        <v>18960</v>
      </c>
      <c r="CG9" s="16">
        <f t="shared" si="26"/>
        <v>0</v>
      </c>
      <c r="CJ9" s="4">
        <f t="shared" si="35"/>
        <v>10</v>
      </c>
      <c r="CK9" s="15">
        <v>7</v>
      </c>
      <c r="CL9" s="15">
        <v>3298</v>
      </c>
      <c r="CM9" s="4">
        <v>2</v>
      </c>
      <c r="CN9" s="4">
        <v>2</v>
      </c>
      <c r="CO9" s="4">
        <v>2</v>
      </c>
      <c r="CP9" s="4">
        <v>3</v>
      </c>
      <c r="CQ9" s="4">
        <v>3</v>
      </c>
      <c r="CR9" s="15">
        <v>0</v>
      </c>
      <c r="CS9" s="15">
        <v>0</v>
      </c>
      <c r="CT9" s="15">
        <v>9</v>
      </c>
      <c r="CU9" s="15">
        <v>0</v>
      </c>
      <c r="CV9" s="15">
        <f>SUMIFS(Dados!$AR:$AR,Dados!$AP:$AP,$CK9,Dados!$AQ:$AQ,CV$2)</f>
        <v>0</v>
      </c>
      <c r="CW9" s="15">
        <f>SUMIFS(Dados!$AR:$AR,Dados!$AP:$AP,$CK9,Dados!$AQ:$AQ,CW$2)</f>
        <v>0</v>
      </c>
      <c r="CX9" s="15">
        <f>SUMIFS(Dados!$AR:$AR,Dados!$AP:$AP,$CK9,Dados!$AQ:$AQ,CX$2)</f>
        <v>8</v>
      </c>
      <c r="CY9" s="15">
        <f>SUMIFS(Dados!$AR:$AR,Dados!$AP:$AP,$CK9,Dados!$AQ:$AQ,CY$2)</f>
        <v>0</v>
      </c>
      <c r="CZ9" s="15">
        <f t="shared" si="36"/>
        <v>0</v>
      </c>
      <c r="DA9" s="15">
        <f t="shared" si="37"/>
        <v>0</v>
      </c>
      <c r="DB9" s="15">
        <f t="shared" si="38"/>
        <v>0</v>
      </c>
      <c r="DC9" s="15">
        <f t="shared" si="39"/>
        <v>0</v>
      </c>
      <c r="DE9" s="15">
        <v>7</v>
      </c>
      <c r="DF9" s="15">
        <f>Dados!AL9</f>
        <v>2</v>
      </c>
      <c r="DG9" s="15">
        <f>Dados!AM9-Dados!AL9</f>
        <v>16</v>
      </c>
      <c r="DH9" s="15">
        <f t="shared" si="40"/>
        <v>2.5</v>
      </c>
      <c r="DI9" s="15">
        <f t="shared" si="41"/>
        <v>0.5</v>
      </c>
      <c r="DJ9" s="16">
        <f t="shared" si="42"/>
        <v>3.125E-2</v>
      </c>
      <c r="DK9" s="16"/>
      <c r="DL9" s="16"/>
      <c r="DM9" s="15">
        <f t="shared" si="43"/>
        <v>32980</v>
      </c>
      <c r="DN9" s="15">
        <f t="shared" si="44"/>
        <v>26384</v>
      </c>
      <c r="DO9" s="15">
        <f t="shared" si="45"/>
        <v>237456</v>
      </c>
      <c r="DP9" s="16">
        <f t="shared" si="46"/>
        <v>3.125E-2</v>
      </c>
      <c r="DS9" s="44" t="s">
        <v>125</v>
      </c>
      <c r="DT9" s="45">
        <f>DQ4</f>
        <v>519572</v>
      </c>
      <c r="ED9" s="54"/>
    </row>
    <row r="10" spans="1:166" s="15" customFormat="1">
      <c r="A10" s="4"/>
      <c r="B10" s="64" t="s">
        <v>39</v>
      </c>
      <c r="C10" s="22">
        <v>2788986</v>
      </c>
      <c r="D10" s="23">
        <f>SUMPRODUCT(X:X,Y:Y)+SUMPRODUCT(AV:AV,AX:AX)+SUMPRODUCT(CJ:CJ,CL:CL)</f>
        <v>2788986</v>
      </c>
      <c r="E10" s="4"/>
      <c r="F10" s="4">
        <v>8</v>
      </c>
      <c r="G10" s="4">
        <v>3</v>
      </c>
      <c r="H10" s="4">
        <v>2</v>
      </c>
      <c r="I10" s="4">
        <v>1</v>
      </c>
      <c r="J10" s="4">
        <v>5</v>
      </c>
      <c r="K10" s="4">
        <f t="shared" si="0"/>
        <v>0</v>
      </c>
      <c r="L10" s="4">
        <f t="shared" si="0"/>
        <v>0</v>
      </c>
      <c r="M10" s="4">
        <f t="shared" si="0"/>
        <v>0</v>
      </c>
      <c r="N10" s="4">
        <f t="shared" si="0"/>
        <v>0</v>
      </c>
      <c r="O10" s="4">
        <f t="shared" si="1"/>
        <v>0</v>
      </c>
      <c r="P10" s="4">
        <f t="shared" si="2"/>
        <v>0</v>
      </c>
      <c r="Q10" s="4">
        <f t="shared" si="3"/>
        <v>0</v>
      </c>
      <c r="R10" s="4">
        <f t="shared" si="4"/>
        <v>0</v>
      </c>
      <c r="S10" s="4">
        <f>IF(AND(VLOOKUP(G10,Dados!$D:$L,2,0)=VLOOKUP(I10,Dados!$S:$V,2,0),VLOOKUP(G10,Dados!$D:$L,3,0)=VLOOKUP(I10,Dados!$S:$V,3,0)),0,1)</f>
        <v>0</v>
      </c>
      <c r="T10" s="4">
        <f>IF(AND(VLOOKUP(G10,Dados!$D:$L,3,0)&lt;=VLOOKUP(H10,Dados!$X:$AB,2,0),VLOOKUP(G10,Dados!$D:$L,4,0)&gt;=VLOOKUP(H10,Dados!$X:$AB,3,0),VLOOKUP(G10,Dados!$D:$L,4,0)&lt;=VLOOKUP(H10,Dados!$X:$AB,4,0)),0,1)</f>
        <v>0</v>
      </c>
      <c r="U10" s="4">
        <f>IF(COUNTIFS(F:F,F10,H:H,H10)&lt;=VLOOKUP(H10,Dados!$X:$AB,5,0),0,1)</f>
        <v>0</v>
      </c>
      <c r="V10" s="4"/>
      <c r="W10" s="4">
        <v>425</v>
      </c>
      <c r="X10" s="4">
        <v>4</v>
      </c>
      <c r="Y10" s="15">
        <v>246</v>
      </c>
      <c r="Z10" s="4">
        <v>6</v>
      </c>
      <c r="AA10" s="4">
        <v>1</v>
      </c>
      <c r="AB10" s="4">
        <v>1</v>
      </c>
      <c r="AC10" s="4"/>
      <c r="AD10" s="4">
        <f>VLOOKUP(Z10,Dados!$S$3:$W$55,4,FALSE)</f>
        <v>6798</v>
      </c>
      <c r="AE10" s="4">
        <f t="shared" ref="AE10:AE52" si="47">Y10*X10</f>
        <v>984</v>
      </c>
      <c r="AF10" s="4">
        <f t="shared" ref="AF10:AF52" si="48">AD10*X10</f>
        <v>27192</v>
      </c>
      <c r="AG10" s="4"/>
      <c r="AH10" s="4"/>
      <c r="AI10" s="13">
        <f>VLOOKUP(Z10,Dados!$S$3:$V$55,2,FALSE)*VLOOKUP(Z10,Dados!$S$3:$V$55,3,FALSE)*VLOOKUP(Z10,Dados!$S$3:$V$55,4,FALSE)*0.00000785</f>
        <v>113.39913749999999</v>
      </c>
      <c r="AJ10" s="13">
        <f t="shared" ref="AJ10:AJ52" si="49">AI10*X10</f>
        <v>453.59654999999998</v>
      </c>
      <c r="AK10" s="13">
        <f t="shared" ref="AK10:AK52" si="50">(AI10/AD10)*Y10</f>
        <v>4.1035874999999997</v>
      </c>
      <c r="AL10" s="13">
        <f t="shared" ref="AL10:AL52" si="51">AK10*X10</f>
        <v>16.414349999999999</v>
      </c>
      <c r="AM10" s="4"/>
      <c r="AN10" s="4"/>
      <c r="AO10" s="4"/>
      <c r="AP10" s="4"/>
      <c r="AQ10" s="4"/>
      <c r="AR10" s="4"/>
      <c r="AS10" s="4"/>
      <c r="AT10" s="16"/>
      <c r="AU10" s="4"/>
      <c r="AV10" s="4">
        <f t="shared" si="6"/>
        <v>3</v>
      </c>
      <c r="AW10" s="15">
        <v>8</v>
      </c>
      <c r="AX10" s="15">
        <v>174</v>
      </c>
      <c r="AY10" s="4">
        <v>0</v>
      </c>
      <c r="AZ10" s="28">
        <v>0</v>
      </c>
      <c r="BA10" s="28">
        <v>0</v>
      </c>
      <c r="BB10" s="4">
        <v>2</v>
      </c>
      <c r="BC10" s="4">
        <v>1</v>
      </c>
      <c r="BD10" s="15">
        <f t="shared" si="7"/>
        <v>0</v>
      </c>
      <c r="BE10" s="15">
        <f t="shared" si="7"/>
        <v>0</v>
      </c>
      <c r="BF10" s="15">
        <f t="shared" si="8"/>
        <v>30</v>
      </c>
      <c r="BG10" s="15">
        <f t="shared" si="9"/>
        <v>98</v>
      </c>
      <c r="BH10" s="15">
        <f>SUMIFS(Dados!$Q:$Q,Dados!$O:$O,$AW10,Dados!$P:$P,BH$2)</f>
        <v>0</v>
      </c>
      <c r="BI10" s="15">
        <f>SUMIFS(Dados!$Q:$Q,Dados!$O:$O,$AW10,Dados!$P:$P,BI$2)</f>
        <v>0</v>
      </c>
      <c r="BJ10" s="15">
        <f>SUMIFS(Dados!$Q:$Q,Dados!$O:$O,$AW10,Dados!$P:$P,BJ$2)</f>
        <v>28</v>
      </c>
      <c r="BK10" s="15">
        <f>SUMIFS(Dados!$Q:$Q,Dados!$O:$O,$AW10,Dados!$P:$P,BK$2)</f>
        <v>0</v>
      </c>
      <c r="BL10" s="15">
        <v>0</v>
      </c>
      <c r="BM10" s="15">
        <v>0</v>
      </c>
      <c r="BN10" s="15">
        <v>0</v>
      </c>
      <c r="BO10" s="15">
        <v>99</v>
      </c>
      <c r="BP10" s="15">
        <f t="shared" si="10"/>
        <v>0</v>
      </c>
      <c r="BQ10" s="15">
        <f t="shared" si="10"/>
        <v>0</v>
      </c>
      <c r="BR10" s="15">
        <f t="shared" si="11"/>
        <v>0</v>
      </c>
      <c r="BS10" s="15">
        <f t="shared" si="20"/>
        <v>0</v>
      </c>
      <c r="BT10" s="15">
        <f t="shared" si="21"/>
        <v>0</v>
      </c>
      <c r="BV10" s="15">
        <v>8</v>
      </c>
      <c r="BW10" s="15">
        <f>Dados!I10</f>
        <v>0</v>
      </c>
      <c r="BX10" s="15">
        <f>Dados!J10-Dados!I10</f>
        <v>30</v>
      </c>
      <c r="BY10" s="15">
        <f t="shared" si="12"/>
        <v>0.75</v>
      </c>
      <c r="BZ10" s="15">
        <f t="shared" si="22"/>
        <v>0.75</v>
      </c>
      <c r="CA10" s="16">
        <f t="shared" si="23"/>
        <v>2.5000000000000001E-2</v>
      </c>
      <c r="CD10" s="15">
        <f t="shared" si="25"/>
        <v>522</v>
      </c>
      <c r="CE10" s="15">
        <f t="shared" si="13"/>
        <v>0</v>
      </c>
      <c r="CF10" s="15">
        <f t="shared" si="14"/>
        <v>20880</v>
      </c>
      <c r="CG10" s="16">
        <f t="shared" si="26"/>
        <v>2.5000000000000001E-2</v>
      </c>
      <c r="CJ10" s="4">
        <f t="shared" si="35"/>
        <v>36</v>
      </c>
      <c r="CK10" s="15">
        <v>8</v>
      </c>
      <c r="CL10" s="15">
        <v>2461</v>
      </c>
      <c r="CM10" s="4">
        <v>9</v>
      </c>
      <c r="CN10" s="4">
        <v>9</v>
      </c>
      <c r="CO10" s="4">
        <v>9</v>
      </c>
      <c r="CP10" s="4">
        <v>9</v>
      </c>
      <c r="CQ10" s="4">
        <v>9</v>
      </c>
      <c r="CR10" s="15">
        <v>0</v>
      </c>
      <c r="CS10" s="15">
        <v>40</v>
      </c>
      <c r="CT10" s="15">
        <v>0</v>
      </c>
      <c r="CU10" s="15">
        <v>0</v>
      </c>
      <c r="CV10" s="15">
        <f>SUMIFS(Dados!$AR:$AR,Dados!$AP:$AP,$CK10,Dados!$AQ:$AQ,CV$2)</f>
        <v>0</v>
      </c>
      <c r="CW10" s="15">
        <f>SUMIFS(Dados!$AR:$AR,Dados!$AP:$AP,$CK10,Dados!$AQ:$AQ,CW$2)</f>
        <v>40</v>
      </c>
      <c r="CX10" s="15">
        <f>SUMIFS(Dados!$AR:$AR,Dados!$AP:$AP,$CK10,Dados!$AQ:$AQ,CX$2)</f>
        <v>0</v>
      </c>
      <c r="CY10" s="15">
        <f>SUMIFS(Dados!$AR:$AR,Dados!$AP:$AP,$CK10,Dados!$AQ:$AQ,CY$2)</f>
        <v>0</v>
      </c>
      <c r="CZ10" s="15">
        <f t="shared" si="36"/>
        <v>0</v>
      </c>
      <c r="DA10" s="15">
        <f t="shared" si="37"/>
        <v>0</v>
      </c>
      <c r="DB10" s="15">
        <f t="shared" si="38"/>
        <v>0</v>
      </c>
      <c r="DC10" s="15">
        <f t="shared" si="39"/>
        <v>0</v>
      </c>
      <c r="DE10" s="15">
        <v>8</v>
      </c>
      <c r="DF10" s="15">
        <f>Dados!AL10</f>
        <v>9</v>
      </c>
      <c r="DG10" s="15">
        <f>Dados!AM10-Dados!AL10</f>
        <v>11</v>
      </c>
      <c r="DH10" s="15">
        <f t="shared" si="40"/>
        <v>9</v>
      </c>
      <c r="DI10" s="15">
        <f t="shared" si="41"/>
        <v>0</v>
      </c>
      <c r="DJ10" s="16">
        <f t="shared" si="42"/>
        <v>0</v>
      </c>
      <c r="DK10" s="16"/>
      <c r="DL10" s="16"/>
      <c r="DM10" s="15">
        <f t="shared" si="43"/>
        <v>88596</v>
      </c>
      <c r="DN10" s="15">
        <f t="shared" si="44"/>
        <v>88596</v>
      </c>
      <c r="DO10" s="15">
        <f t="shared" si="45"/>
        <v>196880</v>
      </c>
      <c r="DP10" s="16">
        <f t="shared" si="46"/>
        <v>0</v>
      </c>
      <c r="DS10" s="10" t="s">
        <v>41</v>
      </c>
      <c r="DT10" s="45">
        <f>SUM(DT7:DT9)</f>
        <v>2570772</v>
      </c>
      <c r="ED10" s="54"/>
    </row>
    <row r="11" spans="1:166" s="15" customFormat="1">
      <c r="A11" s="4"/>
      <c r="B11" s="64" t="s">
        <v>53</v>
      </c>
      <c r="C11" s="22">
        <v>2725292.6671195258</v>
      </c>
      <c r="D11" s="24">
        <v>2.3371190055633279E-2</v>
      </c>
      <c r="E11" s="4"/>
      <c r="F11" s="4">
        <v>9</v>
      </c>
      <c r="G11" s="4">
        <v>3</v>
      </c>
      <c r="H11" s="4">
        <v>3</v>
      </c>
      <c r="I11" s="4">
        <v>1</v>
      </c>
      <c r="J11" s="4">
        <v>5</v>
      </c>
      <c r="K11" s="4">
        <f t="shared" si="0"/>
        <v>0</v>
      </c>
      <c r="L11" s="4">
        <f t="shared" si="0"/>
        <v>0</v>
      </c>
      <c r="M11" s="4">
        <f t="shared" si="0"/>
        <v>0</v>
      </c>
      <c r="N11" s="4">
        <f t="shared" si="0"/>
        <v>0</v>
      </c>
      <c r="O11" s="4">
        <f t="shared" si="1"/>
        <v>0</v>
      </c>
      <c r="P11" s="4">
        <f t="shared" si="2"/>
        <v>0</v>
      </c>
      <c r="Q11" s="4">
        <f t="shared" si="3"/>
        <v>0</v>
      </c>
      <c r="R11" s="4">
        <f t="shared" si="4"/>
        <v>0</v>
      </c>
      <c r="S11" s="4">
        <f>IF(AND(VLOOKUP(G11,Dados!$D:$L,2,0)=VLOOKUP(I11,Dados!$S:$V,2,0),VLOOKUP(G11,Dados!$D:$L,3,0)=VLOOKUP(I11,Dados!$S:$V,3,0)),0,1)</f>
        <v>0</v>
      </c>
      <c r="T11" s="4">
        <f>IF(AND(VLOOKUP(G11,Dados!$D:$L,3,0)&lt;=VLOOKUP(H11,Dados!$X:$AB,2,0),VLOOKUP(G11,Dados!$D:$L,4,0)&gt;=VLOOKUP(H11,Dados!$X:$AB,3,0),VLOOKUP(G11,Dados!$D:$L,4,0)&lt;=VLOOKUP(H11,Dados!$X:$AB,4,0)),0,1)</f>
        <v>0</v>
      </c>
      <c r="U11" s="4">
        <f>IF(COUNTIFS(F:F,F11,H:H,H11)&lt;=VLOOKUP(H11,Dados!$X:$AB,5,0),0,1)</f>
        <v>0</v>
      </c>
      <c r="V11" s="4"/>
      <c r="W11" s="4">
        <v>191</v>
      </c>
      <c r="X11" s="4">
        <v>1</v>
      </c>
      <c r="Y11" s="15">
        <v>69</v>
      </c>
      <c r="Z11" s="4">
        <v>7</v>
      </c>
      <c r="AA11" s="4">
        <v>1</v>
      </c>
      <c r="AB11" s="4">
        <v>1</v>
      </c>
      <c r="AC11" s="4"/>
      <c r="AD11" s="4">
        <f>VLOOKUP(Z11,Dados!$S$3:$W$55,4,FALSE)</f>
        <v>5515</v>
      </c>
      <c r="AE11" s="4">
        <f t="shared" si="47"/>
        <v>69</v>
      </c>
      <c r="AF11" s="4">
        <f t="shared" si="48"/>
        <v>5515</v>
      </c>
      <c r="AG11" s="4"/>
      <c r="AH11" s="4"/>
      <c r="AI11" s="13">
        <f>VLOOKUP(Z11,Dados!$S$3:$V$55,2,FALSE)*VLOOKUP(Z11,Dados!$S$3:$V$55,3,FALSE)*VLOOKUP(Z11,Dados!$S$3:$V$55,4,FALSE)*0.00000785</f>
        <v>91.997093749999991</v>
      </c>
      <c r="AJ11" s="13">
        <f t="shared" si="49"/>
        <v>91.997093749999991</v>
      </c>
      <c r="AK11" s="13">
        <f t="shared" si="50"/>
        <v>1.1510062499999998</v>
      </c>
      <c r="AL11" s="13">
        <f t="shared" si="51"/>
        <v>1.1510062499999998</v>
      </c>
      <c r="AM11" s="4"/>
      <c r="AN11" s="4"/>
      <c r="AO11" s="4"/>
      <c r="AP11" s="4"/>
      <c r="AQ11" s="4"/>
      <c r="AR11" s="4"/>
      <c r="AS11" s="4"/>
      <c r="AT11" s="4"/>
      <c r="AU11" s="4"/>
      <c r="AV11" s="4">
        <f t="shared" si="6"/>
        <v>86</v>
      </c>
      <c r="AW11" s="15">
        <v>9</v>
      </c>
      <c r="AX11" s="15">
        <v>136</v>
      </c>
      <c r="AY11" s="4">
        <v>20</v>
      </c>
      <c r="AZ11" s="4">
        <v>20</v>
      </c>
      <c r="BA11" s="4">
        <v>20</v>
      </c>
      <c r="BB11" s="4">
        <v>21</v>
      </c>
      <c r="BC11" s="4">
        <v>25</v>
      </c>
      <c r="BD11" s="15">
        <f t="shared" si="7"/>
        <v>0</v>
      </c>
      <c r="BE11" s="15">
        <f t="shared" si="7"/>
        <v>0</v>
      </c>
      <c r="BF11" s="15">
        <f t="shared" si="8"/>
        <v>82</v>
      </c>
      <c r="BG11" s="15">
        <f t="shared" si="9"/>
        <v>49</v>
      </c>
      <c r="BH11" s="15">
        <f>SUMIFS(Dados!$Q:$Q,Dados!$O:$O,$AW11,Dados!$P:$P,BH$2)</f>
        <v>0</v>
      </c>
      <c r="BI11" s="15">
        <f>SUMIFS(Dados!$Q:$Q,Dados!$O:$O,$AW11,Dados!$P:$P,BI$2)</f>
        <v>0</v>
      </c>
      <c r="BJ11" s="15">
        <f>SUMIFS(Dados!$Q:$Q,Dados!$O:$O,$AW11,Dados!$P:$P,BJ$2)</f>
        <v>81</v>
      </c>
      <c r="BK11" s="15">
        <f>SUMIFS(Dados!$Q:$Q,Dados!$O:$O,$AW11,Dados!$P:$P,BK$2)</f>
        <v>0</v>
      </c>
      <c r="BL11" s="15">
        <v>0</v>
      </c>
      <c r="BM11" s="15">
        <v>0</v>
      </c>
      <c r="BN11" s="15">
        <v>0</v>
      </c>
      <c r="BO11" s="15">
        <v>45</v>
      </c>
      <c r="BP11" s="15">
        <f t="shared" si="10"/>
        <v>0</v>
      </c>
      <c r="BQ11" s="15">
        <f t="shared" si="10"/>
        <v>0</v>
      </c>
      <c r="BR11" s="15">
        <f t="shared" si="11"/>
        <v>0</v>
      </c>
      <c r="BS11" s="15">
        <f t="shared" si="20"/>
        <v>0</v>
      </c>
      <c r="BT11" s="15">
        <f t="shared" si="21"/>
        <v>0</v>
      </c>
      <c r="BV11" s="15">
        <v>9</v>
      </c>
      <c r="BW11" s="15">
        <f>Dados!I11</f>
        <v>20</v>
      </c>
      <c r="BX11" s="15">
        <f>Dados!J11-Dados!I11</f>
        <v>35</v>
      </c>
      <c r="BY11" s="15">
        <f t="shared" si="12"/>
        <v>21.5</v>
      </c>
      <c r="BZ11" s="15">
        <f t="shared" si="22"/>
        <v>1.5</v>
      </c>
      <c r="CA11" s="16">
        <f>BZ11/BX11</f>
        <v>4.2857142857142858E-2</v>
      </c>
      <c r="CD11" s="15">
        <f t="shared" si="25"/>
        <v>11696</v>
      </c>
      <c r="CE11" s="15">
        <f t="shared" si="13"/>
        <v>10880</v>
      </c>
      <c r="CF11" s="15">
        <f t="shared" si="14"/>
        <v>29920</v>
      </c>
      <c r="CG11" s="16">
        <f t="shared" si="26"/>
        <v>4.2857142857142858E-2</v>
      </c>
      <c r="CJ11" s="4">
        <f t="shared" si="35"/>
        <v>28</v>
      </c>
      <c r="CK11" s="15">
        <v>9</v>
      </c>
      <c r="CL11" s="15">
        <v>3236</v>
      </c>
      <c r="CM11" s="4">
        <v>7</v>
      </c>
      <c r="CN11" s="4">
        <v>7</v>
      </c>
      <c r="CO11" s="28">
        <v>7</v>
      </c>
      <c r="CP11" s="4">
        <v>7</v>
      </c>
      <c r="CQ11" s="4">
        <v>7</v>
      </c>
      <c r="CR11" s="15">
        <v>16</v>
      </c>
      <c r="CS11" s="15">
        <v>0</v>
      </c>
      <c r="CT11" s="15">
        <v>0</v>
      </c>
      <c r="CU11" s="15">
        <v>0</v>
      </c>
      <c r="CV11" s="15">
        <f>SUMIFS(Dados!$AR:$AR,Dados!$AP:$AP,$CK11,Dados!$AQ:$AQ,CV$2)</f>
        <v>16</v>
      </c>
      <c r="CW11" s="15">
        <f>SUMIFS(Dados!$AR:$AR,Dados!$AP:$AP,$CK11,Dados!$AQ:$AQ,CW$2)</f>
        <v>0</v>
      </c>
      <c r="CX11" s="15">
        <f>SUMIFS(Dados!$AR:$AR,Dados!$AP:$AP,$CK11,Dados!$AQ:$AQ,CX$2)</f>
        <v>0</v>
      </c>
      <c r="CY11" s="15">
        <f>SUMIFS(Dados!$AR:$AR,Dados!$AP:$AP,$CK11,Dados!$AQ:$AQ,CY$2)</f>
        <v>0</v>
      </c>
      <c r="CZ11" s="15">
        <f t="shared" si="36"/>
        <v>0</v>
      </c>
      <c r="DA11" s="15">
        <f t="shared" si="37"/>
        <v>0</v>
      </c>
      <c r="DB11" s="15">
        <f t="shared" si="38"/>
        <v>0</v>
      </c>
      <c r="DC11" s="15">
        <f t="shared" si="39"/>
        <v>0</v>
      </c>
      <c r="DE11" s="15">
        <v>9</v>
      </c>
      <c r="DF11" s="15">
        <f>Dados!AL11</f>
        <v>7</v>
      </c>
      <c r="DG11" s="15">
        <f>Dados!AM11-Dados!AL11</f>
        <v>10</v>
      </c>
      <c r="DH11" s="15">
        <f t="shared" si="40"/>
        <v>7</v>
      </c>
      <c r="DI11" s="15">
        <f t="shared" si="41"/>
        <v>0</v>
      </c>
      <c r="DJ11" s="16">
        <f t="shared" si="42"/>
        <v>0</v>
      </c>
      <c r="DK11" s="16"/>
      <c r="DL11" s="16"/>
      <c r="DM11" s="15">
        <f t="shared" si="43"/>
        <v>90608</v>
      </c>
      <c r="DN11" s="15">
        <f t="shared" si="44"/>
        <v>90608</v>
      </c>
      <c r="DO11" s="15">
        <f t="shared" si="45"/>
        <v>220048</v>
      </c>
      <c r="DP11" s="16">
        <f t="shared" si="46"/>
        <v>0</v>
      </c>
      <c r="DS11" s="44" t="s">
        <v>126</v>
      </c>
      <c r="DT11" s="45">
        <f>AG3</f>
        <v>10540557</v>
      </c>
      <c r="ED11" s="54"/>
    </row>
    <row r="12" spans="1:166" s="15" customFormat="1">
      <c r="A12" s="4"/>
      <c r="B12" s="64" t="s">
        <v>54</v>
      </c>
      <c r="C12" s="22">
        <v>2706749.1786942091</v>
      </c>
      <c r="D12" s="87">
        <v>3.0382135867300285E-2</v>
      </c>
      <c r="E12" s="4"/>
      <c r="F12" s="4">
        <v>10</v>
      </c>
      <c r="G12" s="4">
        <v>4</v>
      </c>
      <c r="H12" s="4">
        <v>1</v>
      </c>
      <c r="I12" s="4">
        <v>1</v>
      </c>
      <c r="J12" s="4">
        <v>7</v>
      </c>
      <c r="K12" s="4">
        <f t="shared" si="0"/>
        <v>0</v>
      </c>
      <c r="L12" s="4">
        <f t="shared" si="0"/>
        <v>0</v>
      </c>
      <c r="M12" s="4">
        <f t="shared" si="0"/>
        <v>0</v>
      </c>
      <c r="N12" s="4">
        <f t="shared" si="0"/>
        <v>0</v>
      </c>
      <c r="O12" s="4">
        <f t="shared" si="1"/>
        <v>0</v>
      </c>
      <c r="P12" s="4">
        <f t="shared" si="2"/>
        <v>0</v>
      </c>
      <c r="Q12" s="4">
        <f t="shared" si="3"/>
        <v>0</v>
      </c>
      <c r="R12" s="4">
        <f t="shared" si="4"/>
        <v>0</v>
      </c>
      <c r="S12" s="4">
        <f>IF(AND(VLOOKUP(G12,Dados!$D:$L,2,0)=VLOOKUP(I12,Dados!$S:$V,2,0),VLOOKUP(G12,Dados!$D:$L,3,0)=VLOOKUP(I12,Dados!$S:$V,3,0)),0,1)</f>
        <v>0</v>
      </c>
      <c r="T12" s="4">
        <f>IF(AND(VLOOKUP(G12,Dados!$D:$L,3,0)&lt;=VLOOKUP(H12,Dados!$X:$AB,2,0),VLOOKUP(G12,Dados!$D:$L,4,0)&gt;=VLOOKUP(H12,Dados!$X:$AB,3,0),VLOOKUP(G12,Dados!$D:$L,4,0)&lt;=VLOOKUP(H12,Dados!$X:$AB,4,0)),0,1)</f>
        <v>0</v>
      </c>
      <c r="U12" s="4">
        <f>IF(COUNTIFS(F:F,F12,H:H,H12)&lt;=VLOOKUP(H12,Dados!$X:$AB,5,0),0,1)</f>
        <v>0</v>
      </c>
      <c r="V12" s="4"/>
      <c r="W12" s="4">
        <v>196</v>
      </c>
      <c r="X12" s="4">
        <v>1</v>
      </c>
      <c r="Y12" s="15">
        <v>20</v>
      </c>
      <c r="Z12" s="4">
        <v>9</v>
      </c>
      <c r="AA12" s="4">
        <v>1</v>
      </c>
      <c r="AB12" s="4">
        <v>1</v>
      </c>
      <c r="AC12" s="4"/>
      <c r="AD12" s="4">
        <f>VLOOKUP(Z12,Dados!$S$3:$W$55,4,FALSE)</f>
        <v>6388</v>
      </c>
      <c r="AE12" s="4">
        <f t="shared" si="47"/>
        <v>20</v>
      </c>
      <c r="AF12" s="4">
        <f t="shared" si="48"/>
        <v>6388</v>
      </c>
      <c r="AG12" s="4"/>
      <c r="AH12" s="4"/>
      <c r="AI12" s="13">
        <f>VLOOKUP(Z12,Dados!$S$3:$V$55,2,FALSE)*VLOOKUP(Z12,Dados!$S$3:$V$55,3,FALSE)*VLOOKUP(Z12,Dados!$S$3:$V$55,4,FALSE)*0.00000785</f>
        <v>76.723073999999997</v>
      </c>
      <c r="AJ12" s="13">
        <f t="shared" si="49"/>
        <v>76.723073999999997</v>
      </c>
      <c r="AK12" s="13">
        <f t="shared" si="50"/>
        <v>0.24021000000000001</v>
      </c>
      <c r="AL12" s="13">
        <f t="shared" si="51"/>
        <v>0.24021000000000001</v>
      </c>
      <c r="AM12" s="4"/>
      <c r="AN12" s="4"/>
      <c r="AO12" s="4"/>
      <c r="AP12" s="4"/>
      <c r="AQ12" s="4"/>
      <c r="AR12" s="4"/>
      <c r="AS12" s="4"/>
      <c r="AT12" s="4"/>
      <c r="AU12" s="4"/>
      <c r="AV12" s="4">
        <f t="shared" si="6"/>
        <v>87</v>
      </c>
      <c r="AW12" s="15">
        <v>10</v>
      </c>
      <c r="AX12" s="15">
        <v>191</v>
      </c>
      <c r="AY12" s="4">
        <v>20</v>
      </c>
      <c r="AZ12" s="28">
        <v>25</v>
      </c>
      <c r="BA12" s="28">
        <v>22</v>
      </c>
      <c r="BB12" s="28">
        <v>20</v>
      </c>
      <c r="BC12" s="28">
        <v>20</v>
      </c>
      <c r="BD12" s="15">
        <f t="shared" si="7"/>
        <v>5</v>
      </c>
      <c r="BE12" s="15">
        <f t="shared" si="7"/>
        <v>65</v>
      </c>
      <c r="BF12" s="15">
        <f t="shared" si="8"/>
        <v>7</v>
      </c>
      <c r="BG12" s="15">
        <f t="shared" si="9"/>
        <v>0</v>
      </c>
      <c r="BH12" s="15">
        <f>SUMIFS(Dados!$Q:$Q,Dados!$O:$O,$AW12,Dados!$P:$P,BH$2)</f>
        <v>0</v>
      </c>
      <c r="BI12" s="15">
        <f>SUMIFS(Dados!$Q:$Q,Dados!$O:$O,$AW12,Dados!$P:$P,BI$2)</f>
        <v>68</v>
      </c>
      <c r="BJ12" s="15">
        <f>SUMIFS(Dados!$Q:$Q,Dados!$O:$O,$AW12,Dados!$P:$P,BJ$2)</f>
        <v>0</v>
      </c>
      <c r="BK12" s="15">
        <f>SUMIFS(Dados!$Q:$Q,Dados!$O:$O,$AW12,Dados!$P:$P,BK$2)</f>
        <v>0</v>
      </c>
      <c r="BL12" s="15">
        <v>0</v>
      </c>
      <c r="BM12" s="15">
        <v>0</v>
      </c>
      <c r="BN12" s="15">
        <v>9</v>
      </c>
      <c r="BO12" s="15">
        <v>0</v>
      </c>
      <c r="BP12" s="15">
        <f t="shared" si="10"/>
        <v>0</v>
      </c>
      <c r="BQ12" s="15">
        <f t="shared" si="10"/>
        <v>0</v>
      </c>
      <c r="BR12" s="15">
        <f t="shared" si="11"/>
        <v>0</v>
      </c>
      <c r="BS12" s="15">
        <f>IF(BC12=BB12+BG12-BK12-BO12,0,1)</f>
        <v>0</v>
      </c>
      <c r="BT12" s="15">
        <f t="shared" si="21"/>
        <v>0</v>
      </c>
      <c r="BV12" s="15">
        <v>10</v>
      </c>
      <c r="BW12" s="15">
        <f>Dados!I12</f>
        <v>20</v>
      </c>
      <c r="BX12" s="15">
        <f>Dados!J12-Dados!I12</f>
        <v>35</v>
      </c>
      <c r="BY12" s="15">
        <f t="shared" si="12"/>
        <v>21.75</v>
      </c>
      <c r="BZ12" s="15">
        <f t="shared" si="22"/>
        <v>1.75</v>
      </c>
      <c r="CA12" s="16">
        <f>BZ12/BX12</f>
        <v>0.05</v>
      </c>
      <c r="CD12" s="15">
        <f t="shared" si="25"/>
        <v>16617</v>
      </c>
      <c r="CE12" s="15">
        <f t="shared" si="13"/>
        <v>15280</v>
      </c>
      <c r="CF12" s="15">
        <f t="shared" si="14"/>
        <v>42020</v>
      </c>
      <c r="CG12" s="16">
        <f t="shared" si="26"/>
        <v>0.05</v>
      </c>
      <c r="CJ12" s="4">
        <f t="shared" si="35"/>
        <v>22</v>
      </c>
      <c r="CK12" s="15">
        <v>10</v>
      </c>
      <c r="CL12" s="15">
        <v>1568</v>
      </c>
      <c r="CM12" s="4">
        <v>4</v>
      </c>
      <c r="CN12" s="4">
        <v>4</v>
      </c>
      <c r="CO12" s="4">
        <v>6</v>
      </c>
      <c r="CP12" s="4">
        <v>8</v>
      </c>
      <c r="CQ12" s="4">
        <v>4</v>
      </c>
      <c r="CR12" s="15">
        <v>0</v>
      </c>
      <c r="CS12" s="15">
        <v>2</v>
      </c>
      <c r="CT12" s="15">
        <v>2</v>
      </c>
      <c r="CU12" s="15">
        <v>27</v>
      </c>
      <c r="CV12" s="15">
        <f>SUMIFS(Dados!$AR:$AR,Dados!$AP:$AP,$CK12,Dados!$AQ:$AQ,CV$2)</f>
        <v>0</v>
      </c>
      <c r="CW12" s="15">
        <f>SUMIFS(Dados!$AR:$AR,Dados!$AP:$AP,$CK12,Dados!$AQ:$AQ,CW$2)</f>
        <v>0</v>
      </c>
      <c r="CX12" s="15">
        <f>SUMIFS(Dados!$AR:$AR,Dados!$AP:$AP,$CK12,Dados!$AQ:$AQ,CX$2)</f>
        <v>0</v>
      </c>
      <c r="CY12" s="15">
        <f>SUMIFS(Dados!$AR:$AR,Dados!$AP:$AP,$CK12,Dados!$AQ:$AQ,CY$2)</f>
        <v>31</v>
      </c>
      <c r="CZ12" s="15">
        <f t="shared" si="36"/>
        <v>0</v>
      </c>
      <c r="DA12" s="15">
        <f t="shared" si="37"/>
        <v>0</v>
      </c>
      <c r="DB12" s="15">
        <f t="shared" si="38"/>
        <v>0</v>
      </c>
      <c r="DC12" s="15">
        <f t="shared" si="39"/>
        <v>0</v>
      </c>
      <c r="DE12" s="15">
        <v>10</v>
      </c>
      <c r="DF12" s="15">
        <f>Dados!AL12</f>
        <v>4</v>
      </c>
      <c r="DG12" s="15">
        <f>Dados!AM12-Dados!AL12</f>
        <v>12</v>
      </c>
      <c r="DH12" s="15">
        <f t="shared" si="40"/>
        <v>5.5</v>
      </c>
      <c r="DI12" s="15">
        <f t="shared" si="41"/>
        <v>1.5</v>
      </c>
      <c r="DJ12" s="16">
        <f t="shared" si="42"/>
        <v>0.125</v>
      </c>
      <c r="DK12" s="16"/>
      <c r="DL12" s="16"/>
      <c r="DM12" s="15">
        <f t="shared" si="43"/>
        <v>34496</v>
      </c>
      <c r="DN12" s="15">
        <f t="shared" si="44"/>
        <v>25088</v>
      </c>
      <c r="DO12" s="15">
        <f t="shared" si="45"/>
        <v>100352</v>
      </c>
      <c r="DP12" s="16">
        <f t="shared" si="46"/>
        <v>0.125</v>
      </c>
      <c r="DS12" s="44" t="s">
        <v>127</v>
      </c>
      <c r="DT12" s="45">
        <f>CH5</f>
        <v>4162960</v>
      </c>
      <c r="DU12" s="48"/>
      <c r="DV12" s="49"/>
      <c r="DW12" s="49"/>
      <c r="DX12" s="49"/>
      <c r="DY12" s="49"/>
      <c r="DZ12" s="49"/>
      <c r="EA12" s="49"/>
      <c r="EB12" s="49"/>
      <c r="EC12" s="49"/>
      <c r="ED12" s="55"/>
      <c r="EE12" s="49"/>
      <c r="EF12" s="49"/>
      <c r="EG12" s="49"/>
      <c r="EH12" s="49"/>
      <c r="EI12" s="49"/>
      <c r="EJ12" s="49"/>
      <c r="EK12" s="49"/>
      <c r="EL12" s="49"/>
      <c r="EM12" s="49"/>
      <c r="EN12" s="49"/>
      <c r="EO12" s="49"/>
      <c r="EP12" s="49"/>
      <c r="EQ12" s="49"/>
      <c r="ER12" s="49"/>
      <c r="ES12" s="49"/>
      <c r="ET12" s="49"/>
      <c r="EU12" s="49"/>
      <c r="EV12" s="49"/>
      <c r="EW12" s="49"/>
      <c r="EX12" s="49"/>
      <c r="EY12" s="49"/>
      <c r="EZ12" s="49"/>
      <c r="FA12" s="49"/>
      <c r="FB12" s="49"/>
      <c r="FC12" s="49"/>
      <c r="FD12" s="49"/>
      <c r="FE12" s="49"/>
      <c r="FF12" s="49"/>
      <c r="FG12" s="49"/>
      <c r="FH12" s="49"/>
      <c r="FI12" s="49"/>
      <c r="FJ12" s="49"/>
    </row>
    <row r="13" spans="1:166" s="15" customFormat="1">
      <c r="A13" s="4"/>
      <c r="B13" s="64" t="s">
        <v>78</v>
      </c>
      <c r="C13" s="87">
        <f>AG5</f>
        <v>1.2041014530826028E-2</v>
      </c>
      <c r="D13" s="24"/>
      <c r="E13" s="4"/>
      <c r="F13" s="4">
        <v>11</v>
      </c>
      <c r="G13" s="4">
        <v>4</v>
      </c>
      <c r="H13" s="4">
        <v>2</v>
      </c>
      <c r="I13" s="4">
        <v>1</v>
      </c>
      <c r="J13" s="4">
        <v>7</v>
      </c>
      <c r="K13" s="4">
        <f t="shared" si="0"/>
        <v>1</v>
      </c>
      <c r="L13" s="4">
        <f t="shared" si="0"/>
        <v>0</v>
      </c>
      <c r="M13" s="4">
        <f t="shared" si="0"/>
        <v>0</v>
      </c>
      <c r="N13" s="4">
        <f t="shared" si="0"/>
        <v>0</v>
      </c>
      <c r="O13" s="4">
        <f t="shared" si="1"/>
        <v>7</v>
      </c>
      <c r="P13" s="4">
        <f t="shared" si="2"/>
        <v>0</v>
      </c>
      <c r="Q13" s="4">
        <f t="shared" si="3"/>
        <v>0</v>
      </c>
      <c r="R13" s="4">
        <f t="shared" si="4"/>
        <v>0</v>
      </c>
      <c r="S13" s="4">
        <f>IF(AND(VLOOKUP(G13,Dados!$D:$L,2,0)=VLOOKUP(I13,Dados!$S:$V,2,0),VLOOKUP(G13,Dados!$D:$L,3,0)=VLOOKUP(I13,Dados!$S:$V,3,0)),0,1)</f>
        <v>0</v>
      </c>
      <c r="T13" s="4">
        <f>IF(AND(VLOOKUP(G13,Dados!$D:$L,3,0)&lt;=VLOOKUP(H13,Dados!$X:$AB,2,0),VLOOKUP(G13,Dados!$D:$L,4,0)&gt;=VLOOKUP(H13,Dados!$X:$AB,3,0),VLOOKUP(G13,Dados!$D:$L,4,0)&lt;=VLOOKUP(H13,Dados!$X:$AB,4,0)),0,1)</f>
        <v>0</v>
      </c>
      <c r="U13" s="4">
        <f>IF(COUNTIFS(F:F,F13,H:H,H13)&lt;=VLOOKUP(H13,Dados!$X:$AB,5,0),0,1)</f>
        <v>0</v>
      </c>
      <c r="V13" s="4"/>
      <c r="W13" s="4">
        <v>670</v>
      </c>
      <c r="X13" s="4">
        <v>1</v>
      </c>
      <c r="Y13" s="15">
        <v>1</v>
      </c>
      <c r="Z13" s="4">
        <v>9</v>
      </c>
      <c r="AA13" s="4">
        <v>3</v>
      </c>
      <c r="AB13" s="4">
        <v>1</v>
      </c>
      <c r="AC13" s="4"/>
      <c r="AD13" s="4">
        <f>VLOOKUP(Z13,Dados!$S$3:$W$55,4,FALSE)</f>
        <v>6388</v>
      </c>
      <c r="AE13" s="4">
        <f t="shared" si="47"/>
        <v>1</v>
      </c>
      <c r="AF13" s="4">
        <f t="shared" si="48"/>
        <v>6388</v>
      </c>
      <c r="AG13" s="4"/>
      <c r="AH13" s="4"/>
      <c r="AI13" s="13">
        <f>VLOOKUP(Z13,Dados!$S$3:$V$55,2,FALSE)*VLOOKUP(Z13,Dados!$S$3:$V$55,3,FALSE)*VLOOKUP(Z13,Dados!$S$3:$V$55,4,FALSE)*0.00000785</f>
        <v>76.723073999999997</v>
      </c>
      <c r="AJ13" s="13">
        <f t="shared" si="49"/>
        <v>76.723073999999997</v>
      </c>
      <c r="AK13" s="13">
        <f t="shared" si="50"/>
        <v>1.20105E-2</v>
      </c>
      <c r="AL13" s="13">
        <f t="shared" si="51"/>
        <v>1.20105E-2</v>
      </c>
      <c r="AM13" s="4"/>
      <c r="AN13" s="4"/>
      <c r="AO13" s="4"/>
      <c r="AP13" s="4"/>
      <c r="AQ13" s="4"/>
      <c r="AR13" s="4"/>
      <c r="AS13" s="4"/>
      <c r="AT13" s="4"/>
      <c r="AU13" s="4"/>
      <c r="AV13" s="4">
        <f t="shared" si="6"/>
        <v>180</v>
      </c>
      <c r="AW13" s="15">
        <v>11</v>
      </c>
      <c r="AX13" s="15">
        <v>102</v>
      </c>
      <c r="AY13" s="4">
        <v>45</v>
      </c>
      <c r="AZ13" s="4">
        <v>45</v>
      </c>
      <c r="BA13" s="4">
        <v>45</v>
      </c>
      <c r="BB13" s="4">
        <v>45</v>
      </c>
      <c r="BC13" s="4">
        <v>45</v>
      </c>
      <c r="BD13" s="15">
        <f t="shared" si="7"/>
        <v>131</v>
      </c>
      <c r="BE13" s="15">
        <f t="shared" si="7"/>
        <v>120</v>
      </c>
      <c r="BF13" s="15">
        <f t="shared" si="8"/>
        <v>0</v>
      </c>
      <c r="BG13" s="15">
        <f t="shared" si="9"/>
        <v>0</v>
      </c>
      <c r="BH13" s="15">
        <f>SUMIFS(Dados!$Q:$Q,Dados!$O:$O,$AW13,Dados!$P:$P,BH$2)</f>
        <v>131</v>
      </c>
      <c r="BI13" s="15">
        <f>SUMIFS(Dados!$Q:$Q,Dados!$O:$O,$AW13,Dados!$P:$P,BI$2)</f>
        <v>0</v>
      </c>
      <c r="BJ13" s="15">
        <f>SUMIFS(Dados!$Q:$Q,Dados!$O:$O,$AW13,Dados!$P:$P,BJ$2)</f>
        <v>0</v>
      </c>
      <c r="BK13" s="15">
        <f>SUMIFS(Dados!$Q:$Q,Dados!$O:$O,$AW13,Dados!$P:$P,BK$2)</f>
        <v>0</v>
      </c>
      <c r="BL13" s="15">
        <v>0</v>
      </c>
      <c r="BM13" s="15">
        <v>120</v>
      </c>
      <c r="BN13" s="15">
        <v>0</v>
      </c>
      <c r="BO13" s="15">
        <v>0</v>
      </c>
      <c r="BP13" s="15">
        <f t="shared" si="10"/>
        <v>0</v>
      </c>
      <c r="BQ13" s="15">
        <f t="shared" si="10"/>
        <v>0</v>
      </c>
      <c r="BR13" s="15">
        <f t="shared" si="11"/>
        <v>0</v>
      </c>
      <c r="BS13" s="15">
        <f t="shared" si="20"/>
        <v>0</v>
      </c>
      <c r="BT13" s="15">
        <f t="shared" si="21"/>
        <v>0</v>
      </c>
      <c r="BV13" s="15">
        <v>11</v>
      </c>
      <c r="BW13" s="15">
        <f>Dados!I13</f>
        <v>45</v>
      </c>
      <c r="BX13" s="15">
        <f>Dados!J13-Dados!I13</f>
        <v>45</v>
      </c>
      <c r="BY13" s="15">
        <f t="shared" si="12"/>
        <v>45</v>
      </c>
      <c r="BZ13" s="15">
        <f t="shared" si="22"/>
        <v>0</v>
      </c>
      <c r="CA13" s="16">
        <f t="shared" si="23"/>
        <v>0</v>
      </c>
      <c r="CD13" s="15">
        <f t="shared" si="25"/>
        <v>18360</v>
      </c>
      <c r="CE13" s="15">
        <f t="shared" si="13"/>
        <v>18360</v>
      </c>
      <c r="CF13" s="15">
        <f t="shared" si="14"/>
        <v>36720</v>
      </c>
      <c r="CG13" s="16">
        <f t="shared" si="26"/>
        <v>0</v>
      </c>
      <c r="CJ13" s="4"/>
      <c r="CM13" s="4"/>
      <c r="CN13" s="4"/>
      <c r="CO13" s="4"/>
      <c r="CP13" s="4"/>
      <c r="CQ13" s="4"/>
      <c r="DJ13" s="16"/>
      <c r="DP13" s="16"/>
      <c r="DS13" s="44" t="s">
        <v>128</v>
      </c>
      <c r="DT13" s="45">
        <f>DQ5</f>
        <v>1895904</v>
      </c>
      <c r="DU13" s="48"/>
      <c r="DV13" s="49"/>
      <c r="DW13" s="49"/>
      <c r="DX13" s="49"/>
      <c r="DY13" s="49"/>
      <c r="DZ13" s="49"/>
      <c r="EA13" s="49"/>
      <c r="EB13" s="49"/>
      <c r="EC13" s="49"/>
      <c r="ED13" s="55"/>
      <c r="EE13" s="49"/>
      <c r="EF13" s="49"/>
      <c r="EG13" s="49"/>
      <c r="EH13" s="49"/>
      <c r="EI13" s="49"/>
      <c r="EJ13" s="49"/>
      <c r="EK13" s="49"/>
      <c r="EL13" s="49"/>
      <c r="EM13" s="49"/>
      <c r="EN13" s="49"/>
      <c r="EO13" s="49"/>
      <c r="EP13" s="49"/>
      <c r="EQ13" s="49"/>
      <c r="ER13" s="49"/>
      <c r="ES13" s="49"/>
      <c r="ET13" s="49"/>
      <c r="EU13" s="49"/>
      <c r="EV13" s="49"/>
      <c r="EW13" s="49"/>
      <c r="EX13" s="49"/>
      <c r="EY13" s="49"/>
      <c r="EZ13" s="49"/>
      <c r="FA13" s="49"/>
      <c r="FB13" s="49"/>
      <c r="FC13" s="49"/>
      <c r="FD13" s="49"/>
      <c r="FE13" s="49"/>
      <c r="FF13" s="49"/>
      <c r="FG13" s="49"/>
      <c r="FH13" s="49"/>
      <c r="FI13" s="49"/>
      <c r="FJ13" s="49"/>
    </row>
    <row r="14" spans="1:166" s="15" customFormat="1">
      <c r="A14" s="4"/>
      <c r="B14" s="64" t="s">
        <v>79</v>
      </c>
      <c r="C14" s="87">
        <f>CB3</f>
        <v>2.8979907264296754E-2</v>
      </c>
      <c r="D14" s="87">
        <f>CH6</f>
        <v>2.8322820775088079E-2</v>
      </c>
      <c r="E14" s="4"/>
      <c r="F14" s="4">
        <v>12</v>
      </c>
      <c r="G14" s="4">
        <v>4</v>
      </c>
      <c r="H14" s="4">
        <v>3</v>
      </c>
      <c r="I14" s="4">
        <v>1</v>
      </c>
      <c r="J14" s="4">
        <v>7</v>
      </c>
      <c r="K14" s="4">
        <f t="shared" si="0"/>
        <v>0</v>
      </c>
      <c r="L14" s="4">
        <f t="shared" si="0"/>
        <v>0</v>
      </c>
      <c r="M14" s="4">
        <f t="shared" si="0"/>
        <v>0</v>
      </c>
      <c r="N14" s="4">
        <f t="shared" si="0"/>
        <v>0</v>
      </c>
      <c r="O14" s="4">
        <f t="shared" si="1"/>
        <v>0</v>
      </c>
      <c r="P14" s="4">
        <f t="shared" si="2"/>
        <v>0</v>
      </c>
      <c r="Q14" s="4">
        <f t="shared" si="3"/>
        <v>0</v>
      </c>
      <c r="R14" s="4">
        <f t="shared" si="4"/>
        <v>0</v>
      </c>
      <c r="S14" s="4">
        <f>IF(AND(VLOOKUP(G14,Dados!$D:$L,2,0)=VLOOKUP(I14,Dados!$S:$V,2,0),VLOOKUP(G14,Dados!$D:$L,3,0)=VLOOKUP(I14,Dados!$S:$V,3,0)),0,1)</f>
        <v>0</v>
      </c>
      <c r="T14" s="4">
        <f>IF(AND(VLOOKUP(G14,Dados!$D:$L,3,0)&lt;=VLOOKUP(H14,Dados!$X:$AB,2,0),VLOOKUP(G14,Dados!$D:$L,4,0)&gt;=VLOOKUP(H14,Dados!$X:$AB,3,0),VLOOKUP(G14,Dados!$D:$L,4,0)&lt;=VLOOKUP(H14,Dados!$X:$AB,4,0)),0,1)</f>
        <v>0</v>
      </c>
      <c r="U14" s="4">
        <f>IF(COUNTIFS(F:F,F14,H:H,H14)&lt;=VLOOKUP(H14,Dados!$X:$AB,5,0),0,1)</f>
        <v>0</v>
      </c>
      <c r="V14" s="4"/>
      <c r="W14" s="4">
        <v>198</v>
      </c>
      <c r="X14" s="4">
        <v>2</v>
      </c>
      <c r="Y14" s="15">
        <v>0</v>
      </c>
      <c r="Z14" s="4">
        <v>10</v>
      </c>
      <c r="AA14" s="4">
        <v>1</v>
      </c>
      <c r="AB14" s="4">
        <v>1</v>
      </c>
      <c r="AC14" s="4"/>
      <c r="AD14" s="4">
        <f>VLOOKUP(Z14,Dados!$S$3:$W$55,4,FALSE)</f>
        <v>6034</v>
      </c>
      <c r="AE14" s="4">
        <f t="shared" si="47"/>
        <v>0</v>
      </c>
      <c r="AF14" s="4">
        <f t="shared" si="48"/>
        <v>12068</v>
      </c>
      <c r="AG14" s="4"/>
      <c r="AH14" s="4"/>
      <c r="AI14" s="13">
        <f>VLOOKUP(Z14,Dados!$S$3:$V$55,2,FALSE)*VLOOKUP(Z14,Dados!$S$3:$V$55,3,FALSE)*VLOOKUP(Z14,Dados!$S$3:$V$55,4,FALSE)*0.00000785</f>
        <v>72.471356999999998</v>
      </c>
      <c r="AJ14" s="13">
        <f t="shared" si="49"/>
        <v>144.942714</v>
      </c>
      <c r="AK14" s="13">
        <f t="shared" si="50"/>
        <v>0</v>
      </c>
      <c r="AL14" s="13">
        <f t="shared" si="51"/>
        <v>0</v>
      </c>
      <c r="AM14" s="4"/>
      <c r="AN14" s="4"/>
      <c r="AO14" s="4"/>
      <c r="AP14" s="4"/>
      <c r="AQ14" s="4"/>
      <c r="AR14" s="4"/>
      <c r="AS14" s="4"/>
      <c r="AT14" s="4"/>
      <c r="AU14" s="4"/>
      <c r="AV14" s="4">
        <f t="shared" si="6"/>
        <v>322</v>
      </c>
      <c r="AW14" s="15">
        <v>12</v>
      </c>
      <c r="AX14" s="15">
        <v>110</v>
      </c>
      <c r="AY14" s="4">
        <v>80</v>
      </c>
      <c r="AZ14" s="4">
        <v>82</v>
      </c>
      <c r="BA14" s="4">
        <v>80</v>
      </c>
      <c r="BB14" s="4">
        <v>80</v>
      </c>
      <c r="BC14" s="4">
        <v>80</v>
      </c>
      <c r="BD14" s="15">
        <f t="shared" si="7"/>
        <v>2</v>
      </c>
      <c r="BE14" s="15">
        <f t="shared" si="7"/>
        <v>0</v>
      </c>
      <c r="BF14" s="15">
        <f t="shared" si="8"/>
        <v>223</v>
      </c>
      <c r="BG14" s="15">
        <f t="shared" si="9"/>
        <v>27</v>
      </c>
      <c r="BH14" s="15">
        <f>SUMIFS(Dados!$Q:$Q,Dados!$O:$O,$AW14,Dados!$P:$P,BH$2)</f>
        <v>0</v>
      </c>
      <c r="BI14" s="15">
        <f>SUMIFS(Dados!$Q:$Q,Dados!$O:$O,$AW14,Dados!$P:$P,BI$2)</f>
        <v>0</v>
      </c>
      <c r="BJ14" s="15">
        <f>SUMIFS(Dados!$Q:$Q,Dados!$O:$O,$AW14,Dados!$P:$P,BJ$2)</f>
        <v>221</v>
      </c>
      <c r="BK14" s="15">
        <f>SUMIFS(Dados!$Q:$Q,Dados!$O:$O,$AW14,Dados!$P:$P,BK$2)</f>
        <v>0</v>
      </c>
      <c r="BL14" s="15">
        <v>0</v>
      </c>
      <c r="BM14" s="15">
        <v>2</v>
      </c>
      <c r="BN14" s="15">
        <v>2</v>
      </c>
      <c r="BO14" s="15">
        <v>27</v>
      </c>
      <c r="BP14" s="15">
        <f t="shared" si="10"/>
        <v>0</v>
      </c>
      <c r="BQ14" s="15">
        <f t="shared" si="10"/>
        <v>0</v>
      </c>
      <c r="BR14" s="15">
        <f t="shared" si="11"/>
        <v>0</v>
      </c>
      <c r="BS14" s="15">
        <f>IF(BC14=BB14+BG14-BK14-BO14,0,1)</f>
        <v>0</v>
      </c>
      <c r="BT14" s="15">
        <f t="shared" si="21"/>
        <v>0</v>
      </c>
      <c r="BV14" s="15">
        <v>12</v>
      </c>
      <c r="BW14" s="15">
        <f>Dados!I14</f>
        <v>80</v>
      </c>
      <c r="BX14" s="15">
        <f>Dados!J14-Dados!I14</f>
        <v>60</v>
      </c>
      <c r="BY14" s="15">
        <f t="shared" si="12"/>
        <v>80.5</v>
      </c>
      <c r="BZ14" s="15">
        <f t="shared" si="22"/>
        <v>0.5</v>
      </c>
      <c r="CA14" s="16">
        <f t="shared" si="23"/>
        <v>8.3333333333333332E-3</v>
      </c>
      <c r="CD14" s="15">
        <f t="shared" si="25"/>
        <v>35420</v>
      </c>
      <c r="CE14" s="15">
        <f t="shared" si="13"/>
        <v>35200</v>
      </c>
      <c r="CF14" s="15">
        <f t="shared" si="14"/>
        <v>61600</v>
      </c>
      <c r="CG14" s="16">
        <f t="shared" si="26"/>
        <v>8.3333333333333332E-3</v>
      </c>
      <c r="CJ14" s="4"/>
      <c r="CM14" s="4"/>
      <c r="CN14" s="4"/>
      <c r="CO14" s="4"/>
      <c r="CP14" s="4"/>
      <c r="CQ14" s="4"/>
      <c r="DJ14" s="16"/>
      <c r="DP14" s="16"/>
      <c r="DS14" s="44" t="s">
        <v>41</v>
      </c>
      <c r="DT14" s="45">
        <f>SUM(DT11:DT13)</f>
        <v>16599421</v>
      </c>
      <c r="DU14" s="48"/>
      <c r="DV14" s="49"/>
      <c r="DW14" s="49"/>
      <c r="DX14" s="49"/>
      <c r="DY14" s="49"/>
      <c r="DZ14" s="49"/>
      <c r="EA14" s="49"/>
      <c r="EB14" s="49"/>
      <c r="EC14" s="49"/>
      <c r="ED14" s="55"/>
      <c r="EE14" s="49"/>
      <c r="EF14" s="49"/>
      <c r="EG14" s="49"/>
      <c r="EH14" s="49"/>
      <c r="EI14" s="49"/>
      <c r="EJ14" s="49"/>
      <c r="EK14" s="49"/>
      <c r="EL14" s="49"/>
      <c r="EM14" s="49"/>
      <c r="EN14" s="49"/>
      <c r="EO14" s="49"/>
      <c r="EP14" s="49"/>
      <c r="EQ14" s="49"/>
      <c r="ER14" s="49"/>
      <c r="ES14" s="49"/>
      <c r="ET14" s="49"/>
      <c r="EU14" s="49"/>
      <c r="EV14" s="49"/>
      <c r="EW14" s="49"/>
      <c r="EX14" s="49"/>
      <c r="EY14" s="49"/>
      <c r="EZ14" s="49"/>
      <c r="FA14" s="49"/>
      <c r="FB14" s="49"/>
      <c r="FC14" s="49"/>
      <c r="FD14" s="49"/>
      <c r="FE14" s="49"/>
      <c r="FF14" s="49"/>
      <c r="FG14" s="49"/>
      <c r="FH14" s="49"/>
      <c r="FI14" s="49"/>
      <c r="FJ14" s="49"/>
    </row>
    <row r="15" spans="1:166" s="15" customFormat="1">
      <c r="A15" s="4"/>
      <c r="B15" s="64" t="s">
        <v>124</v>
      </c>
      <c r="C15" s="87">
        <f>DK3</f>
        <v>3.2786885245901641E-2</v>
      </c>
      <c r="D15" s="87">
        <f>DQ6</f>
        <v>2.2875294623680913E-2</v>
      </c>
      <c r="E15" s="4"/>
      <c r="F15" s="4">
        <v>13</v>
      </c>
      <c r="G15" s="4">
        <v>5</v>
      </c>
      <c r="H15" s="4">
        <v>1</v>
      </c>
      <c r="I15" s="4">
        <v>1</v>
      </c>
      <c r="J15" s="4">
        <v>8</v>
      </c>
      <c r="K15" s="4">
        <f t="shared" si="0"/>
        <v>0</v>
      </c>
      <c r="L15" s="4">
        <f t="shared" si="0"/>
        <v>0</v>
      </c>
      <c r="M15" s="4">
        <f t="shared" si="0"/>
        <v>0</v>
      </c>
      <c r="N15" s="4">
        <f t="shared" si="0"/>
        <v>0</v>
      </c>
      <c r="O15" s="4">
        <f t="shared" si="1"/>
        <v>0</v>
      </c>
      <c r="P15" s="4">
        <f t="shared" si="2"/>
        <v>0</v>
      </c>
      <c r="Q15" s="4">
        <f t="shared" si="3"/>
        <v>0</v>
      </c>
      <c r="R15" s="4">
        <f t="shared" si="4"/>
        <v>0</v>
      </c>
      <c r="S15" s="4">
        <f>IF(AND(VLOOKUP(G15,Dados!$D:$L,2,0)=VLOOKUP(I15,Dados!$S:$V,2,0),VLOOKUP(G15,Dados!$D:$L,3,0)=VLOOKUP(I15,Dados!$S:$V,3,0)),0,1)</f>
        <v>0</v>
      </c>
      <c r="T15" s="4">
        <f>IF(AND(VLOOKUP(G15,Dados!$D:$L,3,0)&lt;=VLOOKUP(H15,Dados!$X:$AB,2,0),VLOOKUP(G15,Dados!$D:$L,4,0)&gt;=VLOOKUP(H15,Dados!$X:$AB,3,0),VLOOKUP(G15,Dados!$D:$L,4,0)&lt;=VLOOKUP(H15,Dados!$X:$AB,4,0)),0,1)</f>
        <v>0</v>
      </c>
      <c r="U15" s="4">
        <f>IF(COUNTIFS(F:F,F15,H:H,H15)&lt;=VLOOKUP(H15,Dados!$X:$AB,5,0),0,1)</f>
        <v>0</v>
      </c>
      <c r="V15" s="4"/>
      <c r="W15" s="4">
        <v>328</v>
      </c>
      <c r="X15" s="4">
        <v>1</v>
      </c>
      <c r="Y15" s="15">
        <v>6</v>
      </c>
      <c r="Z15" s="4">
        <v>10</v>
      </c>
      <c r="AA15" s="4">
        <v>3</v>
      </c>
      <c r="AB15" s="4">
        <v>1</v>
      </c>
      <c r="AC15" s="4"/>
      <c r="AD15" s="4">
        <f>VLOOKUP(Z15,Dados!$S$3:$W$55,4,FALSE)</f>
        <v>6034</v>
      </c>
      <c r="AE15" s="4">
        <f t="shared" si="47"/>
        <v>6</v>
      </c>
      <c r="AF15" s="4">
        <f t="shared" si="48"/>
        <v>6034</v>
      </c>
      <c r="AG15" s="4"/>
      <c r="AH15" s="4"/>
      <c r="AI15" s="13">
        <f>VLOOKUP(Z15,Dados!$S$3:$V$55,2,FALSE)*VLOOKUP(Z15,Dados!$S$3:$V$55,3,FALSE)*VLOOKUP(Z15,Dados!$S$3:$V$55,4,FALSE)*0.00000785</f>
        <v>72.471356999999998</v>
      </c>
      <c r="AJ15" s="13">
        <f t="shared" si="49"/>
        <v>72.471356999999998</v>
      </c>
      <c r="AK15" s="13">
        <f t="shared" si="50"/>
        <v>7.2063000000000002E-2</v>
      </c>
      <c r="AL15" s="13">
        <f t="shared" si="51"/>
        <v>7.2063000000000002E-2</v>
      </c>
      <c r="AM15" s="4"/>
      <c r="AN15" s="4"/>
      <c r="AO15" s="4"/>
      <c r="AP15" s="4"/>
      <c r="AQ15" s="4"/>
      <c r="AR15" s="4"/>
      <c r="AS15" s="4"/>
      <c r="AT15" s="4"/>
      <c r="AU15" s="4"/>
      <c r="AV15" s="4">
        <f t="shared" si="6"/>
        <v>183</v>
      </c>
      <c r="AW15" s="15">
        <v>13</v>
      </c>
      <c r="AX15" s="15">
        <v>150</v>
      </c>
      <c r="AY15" s="4">
        <v>45</v>
      </c>
      <c r="AZ15" s="4">
        <v>46</v>
      </c>
      <c r="BA15" s="4">
        <v>45</v>
      </c>
      <c r="BB15" s="4">
        <v>47</v>
      </c>
      <c r="BC15" s="4">
        <v>45</v>
      </c>
      <c r="BD15" s="15">
        <f t="shared" si="7"/>
        <v>1</v>
      </c>
      <c r="BE15" s="15">
        <f t="shared" si="7"/>
        <v>173</v>
      </c>
      <c r="BF15" s="15">
        <f t="shared" si="8"/>
        <v>2</v>
      </c>
      <c r="BG15" s="15">
        <f t="shared" si="9"/>
        <v>64</v>
      </c>
      <c r="BH15" s="15">
        <f>SUMIFS(Dados!$Q:$Q,Dados!$O:$O,$AW15,Dados!$P:$P,BH$2)</f>
        <v>0</v>
      </c>
      <c r="BI15" s="15">
        <f>SUMIFS(Dados!$Q:$Q,Dados!$O:$O,$AW15,Dados!$P:$P,BI$2)</f>
        <v>174</v>
      </c>
      <c r="BJ15" s="15">
        <f>SUMIFS(Dados!$Q:$Q,Dados!$O:$O,$AW15,Dados!$P:$P,BJ$2)</f>
        <v>0</v>
      </c>
      <c r="BK15" s="15">
        <f>SUMIFS(Dados!$Q:$Q,Dados!$O:$O,$AW15,Dados!$P:$P,BK$2)</f>
        <v>0</v>
      </c>
      <c r="BL15" s="15">
        <v>0</v>
      </c>
      <c r="BM15" s="15">
        <v>0</v>
      </c>
      <c r="BN15" s="15">
        <v>0</v>
      </c>
      <c r="BO15" s="15">
        <v>66</v>
      </c>
      <c r="BP15" s="15">
        <f t="shared" si="10"/>
        <v>0</v>
      </c>
      <c r="BQ15" s="15">
        <f t="shared" si="10"/>
        <v>0</v>
      </c>
      <c r="BR15" s="15">
        <f t="shared" si="11"/>
        <v>0</v>
      </c>
      <c r="BS15" s="15">
        <f t="shared" si="20"/>
        <v>0</v>
      </c>
      <c r="BT15" s="15">
        <f t="shared" si="21"/>
        <v>0</v>
      </c>
      <c r="BV15" s="15">
        <v>13</v>
      </c>
      <c r="BW15" s="15">
        <f>Dados!I15</f>
        <v>45</v>
      </c>
      <c r="BX15" s="15">
        <f>Dados!J15-Dados!I15</f>
        <v>45</v>
      </c>
      <c r="BY15" s="15">
        <f t="shared" si="12"/>
        <v>45.75</v>
      </c>
      <c r="BZ15" s="15">
        <f t="shared" ref="BZ15:BZ37" si="52">BY15-BW15</f>
        <v>0.75</v>
      </c>
      <c r="CA15" s="16">
        <f t="shared" ref="CA15:CA37" si="53">BZ15/BX15</f>
        <v>1.6666666666666666E-2</v>
      </c>
      <c r="CD15" s="15">
        <f t="shared" ref="CD15:CD37" si="54">AX15*AV15</f>
        <v>27450</v>
      </c>
      <c r="CE15" s="15">
        <f t="shared" si="13"/>
        <v>27000</v>
      </c>
      <c r="CF15" s="15">
        <f t="shared" si="14"/>
        <v>54000</v>
      </c>
      <c r="CG15" s="16">
        <f t="shared" ref="CG15:CG37" si="55">(CD15-CE15)/(CF15-CE15)</f>
        <v>1.6666666666666666E-2</v>
      </c>
      <c r="DJ15" s="16"/>
      <c r="DP15" s="16"/>
      <c r="DS15" s="10" t="s">
        <v>82</v>
      </c>
      <c r="DT15" s="17">
        <f>(DT6-DT10)/(DT14-DT10)</f>
        <v>1.5554883438882817E-2</v>
      </c>
      <c r="DU15" s="48"/>
      <c r="DV15" s="49"/>
      <c r="DW15" s="49"/>
      <c r="DX15" s="49"/>
      <c r="DY15" s="49"/>
      <c r="DZ15" s="49"/>
      <c r="EA15" s="49"/>
      <c r="EB15" s="49"/>
      <c r="EC15" s="49"/>
      <c r="ED15" s="55"/>
      <c r="EE15" s="49"/>
      <c r="EF15" s="49"/>
      <c r="EG15" s="49"/>
      <c r="EH15" s="49"/>
      <c r="EI15" s="49"/>
      <c r="EJ15" s="49"/>
      <c r="EK15" s="49"/>
      <c r="EL15" s="49"/>
      <c r="EM15" s="49"/>
      <c r="EN15" s="49"/>
      <c r="EO15" s="49"/>
      <c r="EP15" s="49"/>
      <c r="EQ15" s="49"/>
      <c r="ER15" s="49"/>
      <c r="ES15" s="49"/>
      <c r="ET15" s="49"/>
      <c r="EU15" s="49"/>
      <c r="EV15" s="49"/>
      <c r="EW15" s="49"/>
      <c r="EX15" s="49"/>
      <c r="EY15" s="49"/>
      <c r="EZ15" s="49"/>
      <c r="FA15" s="49"/>
      <c r="FB15" s="49"/>
      <c r="FC15" s="49"/>
      <c r="FD15" s="49"/>
      <c r="FE15" s="49"/>
      <c r="FF15" s="49"/>
      <c r="FG15" s="49"/>
      <c r="FH15" s="49"/>
      <c r="FI15" s="49"/>
      <c r="FJ15" s="49"/>
    </row>
    <row r="16" spans="1:166" s="15" customFormat="1">
      <c r="A16" s="4"/>
      <c r="E16" s="4"/>
      <c r="F16" s="4">
        <v>14</v>
      </c>
      <c r="G16" s="4">
        <v>5</v>
      </c>
      <c r="H16" s="4">
        <v>2</v>
      </c>
      <c r="I16" s="4">
        <v>1</v>
      </c>
      <c r="J16" s="4">
        <v>8</v>
      </c>
      <c r="K16" s="4">
        <f t="shared" si="0"/>
        <v>0</v>
      </c>
      <c r="L16" s="4">
        <f t="shared" si="0"/>
        <v>0</v>
      </c>
      <c r="M16" s="4">
        <f t="shared" si="0"/>
        <v>1</v>
      </c>
      <c r="N16" s="4">
        <f t="shared" si="0"/>
        <v>0</v>
      </c>
      <c r="O16" s="4">
        <f t="shared" si="1"/>
        <v>0</v>
      </c>
      <c r="P16" s="4">
        <f t="shared" si="2"/>
        <v>0</v>
      </c>
      <c r="Q16" s="4">
        <f t="shared" si="3"/>
        <v>8</v>
      </c>
      <c r="R16" s="4">
        <f t="shared" si="4"/>
        <v>0</v>
      </c>
      <c r="S16" s="4">
        <f>IF(AND(VLOOKUP(G16,Dados!$D:$L,2,0)=VLOOKUP(I16,Dados!$S:$V,2,0),VLOOKUP(G16,Dados!$D:$L,3,0)=VLOOKUP(I16,Dados!$S:$V,3,0)),0,1)</f>
        <v>0</v>
      </c>
      <c r="T16" s="4">
        <f>IF(AND(VLOOKUP(G16,Dados!$D:$L,3,0)&lt;=VLOOKUP(H16,Dados!$X:$AB,2,0),VLOOKUP(G16,Dados!$D:$L,4,0)&gt;=VLOOKUP(H16,Dados!$X:$AB,3,0),VLOOKUP(G16,Dados!$D:$L,4,0)&lt;=VLOOKUP(H16,Dados!$X:$AB,4,0)),0,1)</f>
        <v>0</v>
      </c>
      <c r="U16" s="4">
        <f>IF(COUNTIFS(F:F,F16,H:H,H16)&lt;=VLOOKUP(H16,Dados!$X:$AB,5,0),0,1)</f>
        <v>0</v>
      </c>
      <c r="V16" s="4"/>
      <c r="W16" s="4">
        <v>617</v>
      </c>
      <c r="X16" s="4">
        <v>1</v>
      </c>
      <c r="Y16" s="15">
        <v>58</v>
      </c>
      <c r="Z16" s="4">
        <v>10</v>
      </c>
      <c r="AA16" s="4">
        <v>3</v>
      </c>
      <c r="AB16" s="4">
        <v>1</v>
      </c>
      <c r="AC16" s="4"/>
      <c r="AD16" s="4">
        <f>VLOOKUP(Z16,Dados!$S$3:$W$55,4,FALSE)</f>
        <v>6034</v>
      </c>
      <c r="AE16" s="4">
        <f t="shared" si="47"/>
        <v>58</v>
      </c>
      <c r="AF16" s="4">
        <f t="shared" si="48"/>
        <v>6034</v>
      </c>
      <c r="AG16" s="4"/>
      <c r="AH16" s="4"/>
      <c r="AI16" s="13">
        <f>VLOOKUP(Z16,Dados!$S$3:$V$55,2,FALSE)*VLOOKUP(Z16,Dados!$S$3:$V$55,3,FALSE)*VLOOKUP(Z16,Dados!$S$3:$V$55,4,FALSE)*0.00000785</f>
        <v>72.471356999999998</v>
      </c>
      <c r="AJ16" s="13">
        <f t="shared" si="49"/>
        <v>72.471356999999998</v>
      </c>
      <c r="AK16" s="13">
        <f t="shared" si="50"/>
        <v>0.69660900000000003</v>
      </c>
      <c r="AL16" s="13">
        <f t="shared" si="51"/>
        <v>0.69660900000000003</v>
      </c>
      <c r="AM16" s="4"/>
      <c r="AN16" s="4"/>
      <c r="AO16" s="4"/>
      <c r="AP16" s="4"/>
      <c r="AQ16" s="4"/>
      <c r="AR16" s="4"/>
      <c r="AS16" s="4"/>
      <c r="AT16" s="4"/>
      <c r="AU16" s="4"/>
      <c r="AV16" s="4">
        <f t="shared" si="6"/>
        <v>2</v>
      </c>
      <c r="AW16" s="15">
        <v>14</v>
      </c>
      <c r="AX16" s="15">
        <v>129</v>
      </c>
      <c r="AY16" s="4">
        <v>0</v>
      </c>
      <c r="AZ16" s="28">
        <v>0</v>
      </c>
      <c r="BA16" s="28">
        <v>0</v>
      </c>
      <c r="BB16" s="28">
        <v>0</v>
      </c>
      <c r="BC16" s="4">
        <v>2</v>
      </c>
      <c r="BD16" s="15">
        <f t="shared" si="7"/>
        <v>33</v>
      </c>
      <c r="BE16" s="15">
        <f t="shared" si="7"/>
        <v>0</v>
      </c>
      <c r="BF16" s="15">
        <f t="shared" si="8"/>
        <v>27</v>
      </c>
      <c r="BG16" s="15">
        <f t="shared" si="9"/>
        <v>2</v>
      </c>
      <c r="BH16" s="15">
        <f>SUMIFS(Dados!$Q:$Q,Dados!$O:$O,$AW16,Dados!$P:$P,BH$2)</f>
        <v>33</v>
      </c>
      <c r="BI16" s="15">
        <f>SUMIFS(Dados!$Q:$Q,Dados!$O:$O,$AW16,Dados!$P:$P,BI$2)</f>
        <v>0</v>
      </c>
      <c r="BJ16" s="15">
        <f>SUMIFS(Dados!$Q:$Q,Dados!$O:$O,$AW16,Dados!$P:$P,BJ$2)</f>
        <v>0</v>
      </c>
      <c r="BK16" s="15">
        <f>SUMIFS(Dados!$Q:$Q,Dados!$O:$O,$AW16,Dados!$P:$P,BK$2)</f>
        <v>0</v>
      </c>
      <c r="BL16" s="15">
        <v>0</v>
      </c>
      <c r="BM16" s="15">
        <v>0</v>
      </c>
      <c r="BN16" s="15">
        <v>27</v>
      </c>
      <c r="BO16" s="15">
        <v>0</v>
      </c>
      <c r="BP16" s="15">
        <f>IF(AZ16=AY16+BD16-BH16-BL16,0,1)</f>
        <v>0</v>
      </c>
      <c r="BQ16" s="15">
        <f>IF(BA16=AZ16+BE16-BI16-BM16,0,1)</f>
        <v>0</v>
      </c>
      <c r="BR16" s="15">
        <f>IF(BB16=BA16+BF16-BJ16-BN16,0,1)</f>
        <v>0</v>
      </c>
      <c r="BS16" s="15">
        <f>IF(BC16=BB16+BG16-BK16-BO16,0,1)</f>
        <v>0</v>
      </c>
      <c r="BT16" s="15">
        <f t="shared" si="21"/>
        <v>0</v>
      </c>
      <c r="BV16" s="15">
        <v>14</v>
      </c>
      <c r="BW16" s="15">
        <f>Dados!I16</f>
        <v>0</v>
      </c>
      <c r="BX16" s="15">
        <f>Dados!J16-Dados!I16</f>
        <v>30</v>
      </c>
      <c r="BY16" s="15">
        <f t="shared" si="12"/>
        <v>0.5</v>
      </c>
      <c r="BZ16" s="15">
        <f t="shared" si="52"/>
        <v>0.5</v>
      </c>
      <c r="CA16" s="16">
        <f t="shared" si="53"/>
        <v>1.6666666666666666E-2</v>
      </c>
      <c r="CD16" s="15">
        <f t="shared" si="54"/>
        <v>258</v>
      </c>
      <c r="CE16" s="15">
        <f t="shared" si="13"/>
        <v>0</v>
      </c>
      <c r="CF16" s="15">
        <f t="shared" si="14"/>
        <v>15480</v>
      </c>
      <c r="CG16" s="16">
        <f t="shared" si="55"/>
        <v>1.6666666666666666E-2</v>
      </c>
      <c r="DJ16" s="16"/>
      <c r="DP16" s="16"/>
      <c r="ED16" s="54"/>
    </row>
    <row r="17" spans="1:134" s="15" customFormat="1">
      <c r="A17" s="4"/>
      <c r="B17" s="64" t="s">
        <v>40</v>
      </c>
      <c r="C17" s="64" t="s">
        <v>37</v>
      </c>
      <c r="D17" s="64" t="s">
        <v>37</v>
      </c>
      <c r="E17" s="4"/>
      <c r="F17" s="4">
        <v>15</v>
      </c>
      <c r="G17" s="4">
        <v>5</v>
      </c>
      <c r="H17" s="4">
        <v>3</v>
      </c>
      <c r="I17" s="4">
        <v>1</v>
      </c>
      <c r="J17" s="4">
        <v>8</v>
      </c>
      <c r="K17" s="4">
        <f t="shared" si="0"/>
        <v>0</v>
      </c>
      <c r="L17" s="4">
        <f t="shared" si="0"/>
        <v>0</v>
      </c>
      <c r="M17" s="4">
        <f t="shared" si="0"/>
        <v>0</v>
      </c>
      <c r="N17" s="4">
        <f t="shared" si="0"/>
        <v>0</v>
      </c>
      <c r="O17" s="4">
        <f t="shared" si="1"/>
        <v>0</v>
      </c>
      <c r="P17" s="4">
        <f t="shared" si="2"/>
        <v>0</v>
      </c>
      <c r="Q17" s="4">
        <f t="shared" si="3"/>
        <v>0</v>
      </c>
      <c r="R17" s="4">
        <f t="shared" si="4"/>
        <v>0</v>
      </c>
      <c r="S17" s="4">
        <f>IF(AND(VLOOKUP(G17,Dados!$D:$L,2,0)=VLOOKUP(I17,Dados!$S:$V,2,0),VLOOKUP(G17,Dados!$D:$L,3,0)=VLOOKUP(I17,Dados!$S:$V,3,0)),0,1)</f>
        <v>0</v>
      </c>
      <c r="T17" s="4">
        <f>IF(AND(VLOOKUP(G17,Dados!$D:$L,3,0)&lt;=VLOOKUP(H17,Dados!$X:$AB,2,0),VLOOKUP(G17,Dados!$D:$L,4,0)&gt;=VLOOKUP(H17,Dados!$X:$AB,3,0),VLOOKUP(G17,Dados!$D:$L,4,0)&lt;=VLOOKUP(H17,Dados!$X:$AB,4,0)),0,1)</f>
        <v>0</v>
      </c>
      <c r="U17" s="4">
        <f>IF(COUNTIFS(F:F,F17,H:H,H17)&lt;=VLOOKUP(H17,Dados!$X:$AB,5,0),0,1)</f>
        <v>0</v>
      </c>
      <c r="V17" s="4"/>
      <c r="W17" s="4">
        <v>201</v>
      </c>
      <c r="X17" s="4">
        <v>2</v>
      </c>
      <c r="Y17" s="4">
        <v>19</v>
      </c>
      <c r="Z17" s="4">
        <v>11</v>
      </c>
      <c r="AA17" s="4">
        <v>3</v>
      </c>
      <c r="AB17" s="4">
        <v>1</v>
      </c>
      <c r="AC17" s="4"/>
      <c r="AD17" s="4">
        <f>VLOOKUP(Z17,Dados!$S$3:$W$55,4,FALSE)</f>
        <v>5743</v>
      </c>
      <c r="AE17" s="4">
        <f t="shared" si="47"/>
        <v>38</v>
      </c>
      <c r="AF17" s="4">
        <f t="shared" si="48"/>
        <v>11486</v>
      </c>
      <c r="AG17" s="4"/>
      <c r="AH17" s="4"/>
      <c r="AI17" s="13">
        <f>VLOOKUP(Z17,Dados!$S$3:$V$55,2,FALSE)*VLOOKUP(Z17,Dados!$S$3:$V$55,3,FALSE)*VLOOKUP(Z17,Dados!$S$3:$V$55,4,FALSE)*0.00000785</f>
        <v>68.976301499999991</v>
      </c>
      <c r="AJ17" s="13">
        <f t="shared" si="49"/>
        <v>137.95260299999998</v>
      </c>
      <c r="AK17" s="13">
        <f t="shared" si="50"/>
        <v>0.22819949999999997</v>
      </c>
      <c r="AL17" s="13">
        <f t="shared" si="51"/>
        <v>0.45639899999999994</v>
      </c>
      <c r="AM17" s="4"/>
      <c r="AN17" s="4"/>
      <c r="AO17" s="4"/>
      <c r="AP17" s="4"/>
      <c r="AQ17" s="4"/>
      <c r="AR17" s="4"/>
      <c r="AS17" s="4"/>
      <c r="AT17" s="4"/>
      <c r="AU17" s="4"/>
      <c r="AV17" s="4">
        <f t="shared" si="6"/>
        <v>3</v>
      </c>
      <c r="AW17" s="15">
        <v>15</v>
      </c>
      <c r="AX17" s="15">
        <v>160</v>
      </c>
      <c r="AY17" s="4">
        <v>0</v>
      </c>
      <c r="AZ17" s="28">
        <v>1</v>
      </c>
      <c r="BA17" s="28">
        <v>1</v>
      </c>
      <c r="BB17" s="4">
        <v>1</v>
      </c>
      <c r="BC17" s="4">
        <v>0</v>
      </c>
      <c r="BD17" s="15">
        <f t="shared" si="7"/>
        <v>33</v>
      </c>
      <c r="BE17" s="15">
        <f t="shared" si="7"/>
        <v>0</v>
      </c>
      <c r="BF17" s="15">
        <f t="shared" si="8"/>
        <v>0</v>
      </c>
      <c r="BG17" s="15">
        <f t="shared" si="9"/>
        <v>49</v>
      </c>
      <c r="BH17" s="15">
        <f>SUMIFS(Dados!$Q:$Q,Dados!$O:$O,$AW17,Dados!$P:$P,BH$2)</f>
        <v>0</v>
      </c>
      <c r="BI17" s="15">
        <f>SUMIFS(Dados!$Q:$Q,Dados!$O:$O,$AW17,Dados!$P:$P,BI$2)</f>
        <v>0</v>
      </c>
      <c r="BJ17" s="15">
        <f>SUMIFS(Dados!$Q:$Q,Dados!$O:$O,$AW17,Dados!$P:$P,BJ$2)</f>
        <v>0</v>
      </c>
      <c r="BK17" s="15">
        <f>SUMIFS(Dados!$Q:$Q,Dados!$O:$O,$AW17,Dados!$P:$P,BK$2)</f>
        <v>50</v>
      </c>
      <c r="BL17" s="15">
        <v>32</v>
      </c>
      <c r="BM17" s="15">
        <v>0</v>
      </c>
      <c r="BN17" s="15">
        <v>0</v>
      </c>
      <c r="BO17" s="15">
        <v>0</v>
      </c>
      <c r="BP17" s="15">
        <f t="shared" si="10"/>
        <v>0</v>
      </c>
      <c r="BQ17" s="15">
        <f t="shared" si="10"/>
        <v>0</v>
      </c>
      <c r="BR17" s="15">
        <f t="shared" si="11"/>
        <v>0</v>
      </c>
      <c r="BS17" s="15">
        <f t="shared" si="20"/>
        <v>0</v>
      </c>
      <c r="BT17" s="15">
        <f t="shared" si="21"/>
        <v>0</v>
      </c>
      <c r="BV17" s="15">
        <v>15</v>
      </c>
      <c r="BW17" s="15">
        <f>Dados!I17</f>
        <v>0</v>
      </c>
      <c r="BX17" s="15">
        <f>Dados!J17-Dados!I17</f>
        <v>30</v>
      </c>
      <c r="BY17" s="15">
        <f t="shared" si="12"/>
        <v>0.75</v>
      </c>
      <c r="BZ17" s="15">
        <f t="shared" si="52"/>
        <v>0.75</v>
      </c>
      <c r="CA17" s="16">
        <f t="shared" si="53"/>
        <v>2.5000000000000001E-2</v>
      </c>
      <c r="CD17" s="15">
        <f t="shared" si="54"/>
        <v>480</v>
      </c>
      <c r="CE17" s="15">
        <f t="shared" si="13"/>
        <v>0</v>
      </c>
      <c r="CF17" s="15">
        <f t="shared" si="14"/>
        <v>19200</v>
      </c>
      <c r="CG17" s="16">
        <f t="shared" si="55"/>
        <v>2.5000000000000001E-2</v>
      </c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J17" s="16"/>
      <c r="DP17" s="16"/>
      <c r="DQ17" s="16"/>
      <c r="DR17" s="16"/>
      <c r="ED17" s="54"/>
    </row>
    <row r="18" spans="1:134" s="15" customFormat="1">
      <c r="A18" s="4"/>
      <c r="B18" s="64" t="s">
        <v>41</v>
      </c>
      <c r="C18" s="22">
        <v>2046.7249999999999</v>
      </c>
      <c r="D18" s="25"/>
      <c r="E18" s="4"/>
      <c r="F18" s="4">
        <v>16</v>
      </c>
      <c r="G18" s="4">
        <v>6</v>
      </c>
      <c r="H18" s="4">
        <v>1</v>
      </c>
      <c r="I18" s="4">
        <v>2</v>
      </c>
      <c r="J18" s="4">
        <v>7</v>
      </c>
      <c r="K18" s="4">
        <f t="shared" si="0"/>
        <v>8</v>
      </c>
      <c r="L18" s="4">
        <f t="shared" si="0"/>
        <v>0</v>
      </c>
      <c r="M18" s="4">
        <f t="shared" si="0"/>
        <v>0</v>
      </c>
      <c r="N18" s="4">
        <f t="shared" si="0"/>
        <v>0</v>
      </c>
      <c r="O18" s="4">
        <f t="shared" si="1"/>
        <v>56</v>
      </c>
      <c r="P18" s="4">
        <f t="shared" si="2"/>
        <v>0</v>
      </c>
      <c r="Q18" s="4">
        <f t="shared" si="3"/>
        <v>0</v>
      </c>
      <c r="R18" s="4">
        <f t="shared" si="4"/>
        <v>0</v>
      </c>
      <c r="S18" s="4">
        <f>IF(AND(VLOOKUP(G18,Dados!$D:$L,2,0)=VLOOKUP(I18,Dados!$S:$V,2,0),VLOOKUP(G18,Dados!$D:$L,3,0)=VLOOKUP(I18,Dados!$S:$V,3,0)),0,1)</f>
        <v>0</v>
      </c>
      <c r="T18" s="4">
        <f>IF(AND(VLOOKUP(G18,Dados!$D:$L,3,0)&lt;=VLOOKUP(H18,Dados!$X:$AB,2,0),VLOOKUP(G18,Dados!$D:$L,4,0)&gt;=VLOOKUP(H18,Dados!$X:$AB,3,0),VLOOKUP(G18,Dados!$D:$L,4,0)&lt;=VLOOKUP(H18,Dados!$X:$AB,4,0)),0,1)</f>
        <v>0</v>
      </c>
      <c r="U18" s="4">
        <f>IF(COUNTIFS(F:F,F18,H:H,H18)&lt;=VLOOKUP(H18,Dados!$X:$AB,5,0),0,1)</f>
        <v>0</v>
      </c>
      <c r="V18" s="4"/>
      <c r="W18" s="4">
        <v>517</v>
      </c>
      <c r="X18" s="4">
        <v>1</v>
      </c>
      <c r="Y18" s="15">
        <v>0</v>
      </c>
      <c r="Z18" s="4">
        <v>11</v>
      </c>
      <c r="AA18" s="4">
        <v>3</v>
      </c>
      <c r="AB18" s="4">
        <v>1</v>
      </c>
      <c r="AC18" s="4"/>
      <c r="AD18" s="4">
        <f>VLOOKUP(Z18,Dados!$S$3:$W$55,4,FALSE)</f>
        <v>5743</v>
      </c>
      <c r="AE18" s="4">
        <f t="shared" si="47"/>
        <v>0</v>
      </c>
      <c r="AF18" s="4">
        <f t="shared" si="48"/>
        <v>5743</v>
      </c>
      <c r="AG18" s="4"/>
      <c r="AH18" s="4"/>
      <c r="AI18" s="13">
        <f>VLOOKUP(Z18,Dados!$S$3:$V$55,2,FALSE)*VLOOKUP(Z18,Dados!$S$3:$V$55,3,FALSE)*VLOOKUP(Z18,Dados!$S$3:$V$55,4,FALSE)*0.00000785</f>
        <v>68.976301499999991</v>
      </c>
      <c r="AJ18" s="13">
        <f t="shared" si="49"/>
        <v>68.976301499999991</v>
      </c>
      <c r="AK18" s="13">
        <f t="shared" si="50"/>
        <v>0</v>
      </c>
      <c r="AL18" s="13">
        <f t="shared" si="51"/>
        <v>0</v>
      </c>
      <c r="AM18" s="4"/>
      <c r="AN18" s="4"/>
      <c r="AO18" s="4"/>
      <c r="AP18" s="4"/>
      <c r="AQ18" s="4"/>
      <c r="AR18" s="4"/>
      <c r="AS18" s="4"/>
      <c r="AT18" s="4"/>
      <c r="AU18" s="4"/>
      <c r="AV18" s="4">
        <f t="shared" si="6"/>
        <v>184</v>
      </c>
      <c r="AW18" s="15">
        <v>16</v>
      </c>
      <c r="AX18" s="15">
        <v>204</v>
      </c>
      <c r="AY18" s="4">
        <v>45</v>
      </c>
      <c r="AZ18" s="4">
        <v>49</v>
      </c>
      <c r="BA18" s="28">
        <v>45</v>
      </c>
      <c r="BB18" s="28">
        <v>45</v>
      </c>
      <c r="BC18" s="4">
        <v>45</v>
      </c>
      <c r="BD18" s="15">
        <f t="shared" si="7"/>
        <v>4</v>
      </c>
      <c r="BE18" s="15">
        <f t="shared" si="7"/>
        <v>138</v>
      </c>
      <c r="BF18" s="15">
        <f t="shared" si="8"/>
        <v>0</v>
      </c>
      <c r="BG18" s="15">
        <f t="shared" si="9"/>
        <v>15</v>
      </c>
      <c r="BH18" s="15">
        <f>SUMIFS(Dados!$Q:$Q,Dados!$O:$O,$AW18,Dados!$P:$P,BH$2)</f>
        <v>0</v>
      </c>
      <c r="BI18" s="15">
        <f>SUMIFS(Dados!$Q:$Q,Dados!$O:$O,$AW18,Dados!$P:$P,BI$2)</f>
        <v>142</v>
      </c>
      <c r="BJ18" s="15">
        <f>SUMIFS(Dados!$Q:$Q,Dados!$O:$O,$AW18,Dados!$P:$P,BJ$2)</f>
        <v>0</v>
      </c>
      <c r="BK18" s="15">
        <f>SUMIFS(Dados!$Q:$Q,Dados!$O:$O,$AW18,Dados!$P:$P,BK$2)</f>
        <v>0</v>
      </c>
      <c r="BL18" s="15">
        <v>0</v>
      </c>
      <c r="BM18" s="15">
        <v>0</v>
      </c>
      <c r="BN18" s="15">
        <v>0</v>
      </c>
      <c r="BO18" s="15">
        <v>15</v>
      </c>
      <c r="BP18" s="15">
        <f t="shared" si="10"/>
        <v>0</v>
      </c>
      <c r="BQ18" s="15">
        <f t="shared" si="10"/>
        <v>0</v>
      </c>
      <c r="BR18" s="15">
        <f t="shared" si="11"/>
        <v>0</v>
      </c>
      <c r="BS18" s="15">
        <f t="shared" si="20"/>
        <v>0</v>
      </c>
      <c r="BT18" s="15">
        <f t="shared" si="21"/>
        <v>0</v>
      </c>
      <c r="BV18" s="15">
        <v>16</v>
      </c>
      <c r="BW18" s="15">
        <f>Dados!I18</f>
        <v>45</v>
      </c>
      <c r="BX18" s="15">
        <f>Dados!J18-Dados!I18</f>
        <v>45</v>
      </c>
      <c r="BY18" s="15">
        <f t="shared" si="12"/>
        <v>46</v>
      </c>
      <c r="BZ18" s="15">
        <f t="shared" si="52"/>
        <v>1</v>
      </c>
      <c r="CA18" s="16">
        <f t="shared" si="53"/>
        <v>2.2222222222222223E-2</v>
      </c>
      <c r="CD18" s="15">
        <f t="shared" si="54"/>
        <v>37536</v>
      </c>
      <c r="CE18" s="15">
        <f t="shared" si="13"/>
        <v>36720</v>
      </c>
      <c r="CF18" s="15">
        <f t="shared" si="14"/>
        <v>73440</v>
      </c>
      <c r="CG18" s="16">
        <f t="shared" si="55"/>
        <v>2.2222222222222223E-2</v>
      </c>
      <c r="ED18" s="54"/>
    </row>
    <row r="19" spans="1:134" s="15" customFormat="1">
      <c r="A19" s="4"/>
      <c r="B19" s="64" t="s">
        <v>51</v>
      </c>
      <c r="C19" s="22">
        <v>815.59999999999991</v>
      </c>
      <c r="D19" s="25">
        <v>454.96800000000002</v>
      </c>
      <c r="E19" s="4"/>
      <c r="F19" s="4">
        <v>17</v>
      </c>
      <c r="G19" s="4">
        <v>7</v>
      </c>
      <c r="H19" s="4">
        <v>1</v>
      </c>
      <c r="I19" s="4">
        <v>2</v>
      </c>
      <c r="J19" s="4">
        <v>7</v>
      </c>
      <c r="K19" s="4">
        <f t="shared" si="0"/>
        <v>0</v>
      </c>
      <c r="L19" s="4">
        <f t="shared" si="0"/>
        <v>0</v>
      </c>
      <c r="M19" s="4">
        <f t="shared" si="0"/>
        <v>0</v>
      </c>
      <c r="N19" s="4">
        <f t="shared" si="0"/>
        <v>0</v>
      </c>
      <c r="O19" s="4">
        <f t="shared" si="1"/>
        <v>0</v>
      </c>
      <c r="P19" s="4">
        <f t="shared" si="2"/>
        <v>0</v>
      </c>
      <c r="Q19" s="4">
        <f t="shared" si="3"/>
        <v>0</v>
      </c>
      <c r="R19" s="4">
        <f t="shared" si="4"/>
        <v>0</v>
      </c>
      <c r="S19" s="4">
        <f>IF(AND(VLOOKUP(G19,Dados!$D:$L,2,0)=VLOOKUP(I19,Dados!$S:$V,2,0),VLOOKUP(G19,Dados!$D:$L,3,0)=VLOOKUP(I19,Dados!$S:$V,3,0)),0,1)</f>
        <v>0</v>
      </c>
      <c r="T19" s="4">
        <f>IF(AND(VLOOKUP(G19,Dados!$D:$L,3,0)&lt;=VLOOKUP(H19,Dados!$X:$AB,2,0),VLOOKUP(G19,Dados!$D:$L,4,0)&gt;=VLOOKUP(H19,Dados!$X:$AB,3,0),VLOOKUP(G19,Dados!$D:$L,4,0)&lt;=VLOOKUP(H19,Dados!$X:$AB,4,0)),0,1)</f>
        <v>0</v>
      </c>
      <c r="U19" s="4">
        <f>IF(COUNTIFS(F:F,F19,H:H,H19)&lt;=VLOOKUP(H19,Dados!$X:$AB,5,0),0,1)</f>
        <v>0</v>
      </c>
      <c r="V19" s="4"/>
      <c r="W19" s="4">
        <v>39</v>
      </c>
      <c r="X19" s="4">
        <v>27</v>
      </c>
      <c r="Y19" s="15">
        <v>110</v>
      </c>
      <c r="Z19" s="4">
        <v>12</v>
      </c>
      <c r="AA19" s="4">
        <v>2</v>
      </c>
      <c r="AB19" s="4">
        <v>1</v>
      </c>
      <c r="AC19" s="4"/>
      <c r="AD19" s="4">
        <f>VLOOKUP(Z19,Dados!$S$3:$W$55,4,FALSE)</f>
        <v>6509</v>
      </c>
      <c r="AE19" s="4">
        <f t="shared" si="47"/>
        <v>2970</v>
      </c>
      <c r="AF19" s="4">
        <f t="shared" si="48"/>
        <v>175743</v>
      </c>
      <c r="AG19" s="4"/>
      <c r="AH19" s="4"/>
      <c r="AI19" s="13">
        <f>VLOOKUP(Z19,Dados!$S$3:$V$55,2,FALSE)*VLOOKUP(Z19,Dados!$S$3:$V$55,3,FALSE)*VLOOKUP(Z19,Dados!$S$3:$V$55,4,FALSE)*0.00000785</f>
        <v>17.985668799999999</v>
      </c>
      <c r="AJ19" s="13">
        <f t="shared" si="49"/>
        <v>485.61305759999999</v>
      </c>
      <c r="AK19" s="13">
        <f t="shared" si="50"/>
        <v>0.303952</v>
      </c>
      <c r="AL19" s="13">
        <f t="shared" si="51"/>
        <v>8.2067040000000002</v>
      </c>
      <c r="AM19" s="4"/>
      <c r="AN19" s="4"/>
      <c r="AO19" s="4"/>
      <c r="AP19" s="4"/>
      <c r="AQ19" s="4"/>
      <c r="AR19" s="4"/>
      <c r="AS19" s="4"/>
      <c r="AT19" s="4"/>
      <c r="AU19" s="4"/>
      <c r="AV19" s="4">
        <f t="shared" si="6"/>
        <v>6</v>
      </c>
      <c r="AW19" s="15">
        <v>17</v>
      </c>
      <c r="AX19" s="15">
        <v>106</v>
      </c>
      <c r="AY19" s="4">
        <v>0</v>
      </c>
      <c r="AZ19" s="4">
        <v>6</v>
      </c>
      <c r="BA19" s="4">
        <v>0</v>
      </c>
      <c r="BB19" s="4">
        <v>0</v>
      </c>
      <c r="BC19" s="4">
        <v>0</v>
      </c>
      <c r="BD19" s="15">
        <f t="shared" si="7"/>
        <v>6</v>
      </c>
      <c r="BE19" s="15">
        <f t="shared" si="7"/>
        <v>0</v>
      </c>
      <c r="BF19" s="15">
        <f t="shared" si="8"/>
        <v>22</v>
      </c>
      <c r="BG19" s="15">
        <f t="shared" si="9"/>
        <v>81</v>
      </c>
      <c r="BH19" s="15">
        <f>SUMIFS(Dados!$Q:$Q,Dados!$O:$O,$AW19,Dados!$P:$P,BH$2)</f>
        <v>0</v>
      </c>
      <c r="BI19" s="15">
        <f>SUMIFS(Dados!$Q:$Q,Dados!$O:$O,$AW19,Dados!$P:$P,BI$2)</f>
        <v>0</v>
      </c>
      <c r="BJ19" s="15">
        <f>SUMIFS(Dados!$Q:$Q,Dados!$O:$O,$AW19,Dados!$P:$P,BJ$2)</f>
        <v>16</v>
      </c>
      <c r="BK19" s="15">
        <f>SUMIFS(Dados!$Q:$Q,Dados!$O:$O,$AW19,Dados!$P:$P,BK$2)</f>
        <v>0</v>
      </c>
      <c r="BL19" s="15">
        <v>0</v>
      </c>
      <c r="BM19" s="15">
        <v>6</v>
      </c>
      <c r="BN19" s="15">
        <v>6</v>
      </c>
      <c r="BO19" s="15">
        <v>81</v>
      </c>
      <c r="BP19" s="15">
        <f t="shared" si="10"/>
        <v>0</v>
      </c>
      <c r="BQ19" s="15">
        <f t="shared" si="10"/>
        <v>0</v>
      </c>
      <c r="BR19" s="15">
        <f t="shared" si="11"/>
        <v>0</v>
      </c>
      <c r="BS19" s="15">
        <f t="shared" si="20"/>
        <v>0</v>
      </c>
      <c r="BT19" s="15">
        <f t="shared" si="21"/>
        <v>0</v>
      </c>
      <c r="BV19" s="15">
        <v>17</v>
      </c>
      <c r="BW19" s="15">
        <f>Dados!I19</f>
        <v>0</v>
      </c>
      <c r="BX19" s="15">
        <f>Dados!J19-Dados!I19</f>
        <v>30</v>
      </c>
      <c r="BY19" s="15">
        <f t="shared" si="12"/>
        <v>1.5</v>
      </c>
      <c r="BZ19" s="15">
        <f t="shared" si="52"/>
        <v>1.5</v>
      </c>
      <c r="CA19" s="16">
        <f t="shared" si="53"/>
        <v>0.05</v>
      </c>
      <c r="CD19" s="15">
        <f t="shared" si="54"/>
        <v>636</v>
      </c>
      <c r="CE19" s="15">
        <f t="shared" si="13"/>
        <v>0</v>
      </c>
      <c r="CF19" s="15">
        <f t="shared" si="14"/>
        <v>12720</v>
      </c>
      <c r="CG19" s="16">
        <f t="shared" si="55"/>
        <v>0.05</v>
      </c>
      <c r="ED19" s="54"/>
    </row>
    <row r="20" spans="1:134" s="15" customFormat="1">
      <c r="A20" s="4"/>
      <c r="B20" s="64" t="s">
        <v>52</v>
      </c>
      <c r="C20" s="22">
        <v>1231.125</v>
      </c>
      <c r="D20" s="25">
        <v>1271.585</v>
      </c>
      <c r="E20" s="4"/>
      <c r="F20" s="4">
        <v>18</v>
      </c>
      <c r="G20" s="4">
        <v>8</v>
      </c>
      <c r="H20" s="4">
        <v>1</v>
      </c>
      <c r="I20" s="4">
        <v>2</v>
      </c>
      <c r="J20" s="4">
        <v>6</v>
      </c>
      <c r="K20" s="4">
        <f t="shared" si="0"/>
        <v>0</v>
      </c>
      <c r="L20" s="4">
        <f t="shared" si="0"/>
        <v>0</v>
      </c>
      <c r="M20" s="4">
        <f t="shared" si="0"/>
        <v>0</v>
      </c>
      <c r="N20" s="4">
        <f t="shared" si="0"/>
        <v>0</v>
      </c>
      <c r="O20" s="4">
        <f t="shared" si="1"/>
        <v>0</v>
      </c>
      <c r="P20" s="4">
        <f t="shared" si="2"/>
        <v>0</v>
      </c>
      <c r="Q20" s="4">
        <f t="shared" si="3"/>
        <v>0</v>
      </c>
      <c r="R20" s="4">
        <f t="shared" si="4"/>
        <v>0</v>
      </c>
      <c r="S20" s="4">
        <f>IF(AND(VLOOKUP(G20,Dados!$D:$L,2,0)=VLOOKUP(I20,Dados!$S:$V,2,0),VLOOKUP(G20,Dados!$D:$L,3,0)=VLOOKUP(I20,Dados!$S:$V,3,0)),0,1)</f>
        <v>0</v>
      </c>
      <c r="T20" s="4">
        <f>IF(AND(VLOOKUP(G20,Dados!$D:$L,3,0)&lt;=VLOOKUP(H20,Dados!$X:$AB,2,0),VLOOKUP(G20,Dados!$D:$L,4,0)&gt;=VLOOKUP(H20,Dados!$X:$AB,3,0),VLOOKUP(G20,Dados!$D:$L,4,0)&lt;=VLOOKUP(H20,Dados!$X:$AB,4,0)),0,1)</f>
        <v>0</v>
      </c>
      <c r="U20" s="4">
        <f>IF(COUNTIFS(F:F,F20,H:H,H20)&lt;=VLOOKUP(H20,Dados!$X:$AB,5,0),0,1)</f>
        <v>0</v>
      </c>
      <c r="V20" s="4"/>
      <c r="W20" s="4">
        <v>203</v>
      </c>
      <c r="X20" s="4">
        <v>6</v>
      </c>
      <c r="Y20" s="4">
        <v>45</v>
      </c>
      <c r="Z20" s="4">
        <v>13</v>
      </c>
      <c r="AA20" s="4">
        <v>2</v>
      </c>
      <c r="AB20" s="4">
        <v>1</v>
      </c>
      <c r="AC20" s="4"/>
      <c r="AD20" s="4">
        <f>VLOOKUP(Z20,Dados!$S$3:$W$55,4,FALSE)</f>
        <v>6370</v>
      </c>
      <c r="AE20" s="4">
        <f t="shared" si="47"/>
        <v>270</v>
      </c>
      <c r="AF20" s="4">
        <f t="shared" si="48"/>
        <v>38220</v>
      </c>
      <c r="AG20" s="4"/>
      <c r="AH20" s="4"/>
      <c r="AI20" s="13">
        <f>VLOOKUP(Z20,Dados!$S$3:$V$55,2,FALSE)*VLOOKUP(Z20,Dados!$S$3:$V$55,3,FALSE)*VLOOKUP(Z20,Dados!$S$3:$V$55,4,FALSE)*0.00000785</f>
        <v>54.604913999999994</v>
      </c>
      <c r="AJ20" s="13">
        <f t="shared" si="49"/>
        <v>327.62948399999993</v>
      </c>
      <c r="AK20" s="13">
        <f t="shared" si="50"/>
        <v>0.38574899999999995</v>
      </c>
      <c r="AL20" s="13">
        <f t="shared" si="51"/>
        <v>2.3144939999999998</v>
      </c>
      <c r="AM20" s="4"/>
      <c r="AN20" s="4"/>
      <c r="AO20" s="4"/>
      <c r="AP20" s="4"/>
      <c r="AQ20" s="4"/>
      <c r="AR20" s="4"/>
      <c r="AS20" s="4"/>
      <c r="AT20" s="4"/>
      <c r="AU20" s="4"/>
      <c r="AV20" s="4">
        <f t="shared" si="6"/>
        <v>334</v>
      </c>
      <c r="AW20" s="15">
        <v>18</v>
      </c>
      <c r="AX20" s="15">
        <v>145</v>
      </c>
      <c r="AY20" s="4">
        <v>80</v>
      </c>
      <c r="AZ20" s="28">
        <v>80</v>
      </c>
      <c r="BA20" s="28">
        <v>82</v>
      </c>
      <c r="BB20" s="28">
        <v>86</v>
      </c>
      <c r="BC20" s="4">
        <v>86</v>
      </c>
      <c r="BD20" s="15">
        <f t="shared" si="7"/>
        <v>243</v>
      </c>
      <c r="BE20" s="15">
        <f t="shared" si="7"/>
        <v>18</v>
      </c>
      <c r="BF20" s="15">
        <f t="shared" si="8"/>
        <v>4</v>
      </c>
      <c r="BG20" s="15">
        <f t="shared" si="9"/>
        <v>0</v>
      </c>
      <c r="BH20" s="15">
        <f>SUMIFS(Dados!$Q:$Q,Dados!$O:$O,$AW20,Dados!$P:$P,BH$2)</f>
        <v>243</v>
      </c>
      <c r="BI20" s="15">
        <f>SUMIFS(Dados!$Q:$Q,Dados!$O:$O,$AW20,Dados!$P:$P,BI$2)</f>
        <v>0</v>
      </c>
      <c r="BJ20" s="15">
        <f>SUMIFS(Dados!$Q:$Q,Dados!$O:$O,$AW20,Dados!$P:$P,BJ$2)</f>
        <v>0</v>
      </c>
      <c r="BK20" s="15">
        <f>SUMIFS(Dados!$Q:$Q,Dados!$O:$O,$AW20,Dados!$P:$P,BK$2)</f>
        <v>0</v>
      </c>
      <c r="BL20" s="15">
        <v>0</v>
      </c>
      <c r="BM20" s="15">
        <v>16</v>
      </c>
      <c r="BN20" s="15">
        <v>0</v>
      </c>
      <c r="BO20" s="15">
        <v>0</v>
      </c>
      <c r="BP20" s="15">
        <f t="shared" si="10"/>
        <v>0</v>
      </c>
      <c r="BQ20" s="15">
        <f t="shared" si="10"/>
        <v>0</v>
      </c>
      <c r="BR20" s="15">
        <f t="shared" si="11"/>
        <v>0</v>
      </c>
      <c r="BS20" s="15">
        <f t="shared" si="20"/>
        <v>0</v>
      </c>
      <c r="BT20" s="15">
        <f t="shared" si="21"/>
        <v>0</v>
      </c>
      <c r="BV20" s="15">
        <v>18</v>
      </c>
      <c r="BW20" s="15">
        <f>Dados!I20</f>
        <v>80</v>
      </c>
      <c r="BX20" s="15">
        <f>Dados!J20-Dados!I20</f>
        <v>60</v>
      </c>
      <c r="BY20" s="15">
        <f t="shared" si="12"/>
        <v>83.5</v>
      </c>
      <c r="BZ20" s="15">
        <f t="shared" si="52"/>
        <v>3.5</v>
      </c>
      <c r="CA20" s="16">
        <f t="shared" si="53"/>
        <v>5.8333333333333334E-2</v>
      </c>
      <c r="CD20" s="15">
        <f t="shared" si="54"/>
        <v>48430</v>
      </c>
      <c r="CE20" s="15">
        <f t="shared" si="13"/>
        <v>46400</v>
      </c>
      <c r="CF20" s="15">
        <f t="shared" si="14"/>
        <v>81200</v>
      </c>
      <c r="CG20" s="16">
        <f t="shared" si="55"/>
        <v>5.8333333333333334E-2</v>
      </c>
      <c r="ED20" s="54"/>
    </row>
    <row r="21" spans="1:134" s="15" customFormat="1">
      <c r="A21" s="4"/>
      <c r="B21" s="64" t="s">
        <v>88</v>
      </c>
      <c r="C21" s="22"/>
      <c r="D21" s="25">
        <v>320.15699999999998</v>
      </c>
      <c r="E21" s="4"/>
      <c r="F21" s="4">
        <v>19</v>
      </c>
      <c r="G21" s="4">
        <v>9</v>
      </c>
      <c r="H21" s="4">
        <v>1</v>
      </c>
      <c r="I21" s="4">
        <v>2</v>
      </c>
      <c r="J21" s="4">
        <v>8</v>
      </c>
      <c r="K21" s="4">
        <f t="shared" si="0"/>
        <v>0</v>
      </c>
      <c r="L21" s="4">
        <f t="shared" si="0"/>
        <v>0</v>
      </c>
      <c r="M21" s="4">
        <f t="shared" si="0"/>
        <v>0</v>
      </c>
      <c r="N21" s="4">
        <f t="shared" si="0"/>
        <v>0</v>
      </c>
      <c r="O21" s="4">
        <f t="shared" si="1"/>
        <v>0</v>
      </c>
      <c r="P21" s="4">
        <f t="shared" si="2"/>
        <v>0</v>
      </c>
      <c r="Q21" s="4">
        <f t="shared" si="3"/>
        <v>0</v>
      </c>
      <c r="R21" s="4">
        <f t="shared" si="4"/>
        <v>0</v>
      </c>
      <c r="S21" s="4">
        <f>IF(AND(VLOOKUP(G21,Dados!$D:$L,2,0)=VLOOKUP(I21,Dados!$S:$V,2,0),VLOOKUP(G21,Dados!$D:$L,3,0)=VLOOKUP(I21,Dados!$S:$V,3,0)),0,1)</f>
        <v>0</v>
      </c>
      <c r="T21" s="4">
        <f>IF(AND(VLOOKUP(G21,Dados!$D:$L,3,0)&lt;=VLOOKUP(H21,Dados!$X:$AB,2,0),VLOOKUP(G21,Dados!$D:$L,4,0)&gt;=VLOOKUP(H21,Dados!$X:$AB,3,0),VLOOKUP(G21,Dados!$D:$L,4,0)&lt;=VLOOKUP(H21,Dados!$X:$AB,4,0)),0,1)</f>
        <v>0</v>
      </c>
      <c r="U21" s="4">
        <f>IF(COUNTIFS(F:F,F21,H:H,H21)&lt;=VLOOKUP(H21,Dados!$X:$AB,5,0),0,1)</f>
        <v>0</v>
      </c>
      <c r="V21" s="4"/>
      <c r="W21" s="4">
        <v>492</v>
      </c>
      <c r="X21" s="4">
        <v>3</v>
      </c>
      <c r="Y21" s="15">
        <v>16</v>
      </c>
      <c r="Z21" s="4">
        <v>13</v>
      </c>
      <c r="AA21" s="4">
        <v>3</v>
      </c>
      <c r="AB21" s="4">
        <v>1</v>
      </c>
      <c r="AC21" s="4"/>
      <c r="AD21" s="4">
        <f>VLOOKUP(Z21,Dados!$S$3:$W$55,4,FALSE)</f>
        <v>6370</v>
      </c>
      <c r="AE21" s="4">
        <f t="shared" si="47"/>
        <v>48</v>
      </c>
      <c r="AF21" s="4">
        <f t="shared" si="48"/>
        <v>19110</v>
      </c>
      <c r="AG21" s="4"/>
      <c r="AH21" s="4"/>
      <c r="AI21" s="13">
        <f>VLOOKUP(Z21,Dados!$S$3:$V$55,2,FALSE)*VLOOKUP(Z21,Dados!$S$3:$V$55,3,FALSE)*VLOOKUP(Z21,Dados!$S$3:$V$55,4,FALSE)*0.00000785</f>
        <v>54.604913999999994</v>
      </c>
      <c r="AJ21" s="13">
        <f t="shared" si="49"/>
        <v>163.81474199999997</v>
      </c>
      <c r="AK21" s="13">
        <f t="shared" si="50"/>
        <v>0.13715519999999998</v>
      </c>
      <c r="AL21" s="13">
        <f t="shared" si="51"/>
        <v>0.41146559999999993</v>
      </c>
      <c r="AM21" s="4"/>
      <c r="AN21" s="4"/>
      <c r="AO21" s="4"/>
      <c r="AP21" s="4"/>
      <c r="AQ21" s="4"/>
      <c r="AR21" s="4"/>
      <c r="AS21" s="4"/>
      <c r="AT21" s="4"/>
      <c r="AU21" s="4"/>
      <c r="AV21" s="4">
        <f t="shared" si="6"/>
        <v>324</v>
      </c>
      <c r="AW21" s="15">
        <v>19</v>
      </c>
      <c r="AX21" s="15">
        <v>204</v>
      </c>
      <c r="AY21" s="4">
        <v>80</v>
      </c>
      <c r="AZ21" s="4">
        <v>80</v>
      </c>
      <c r="BA21" s="4">
        <v>80</v>
      </c>
      <c r="BB21" s="28">
        <v>82</v>
      </c>
      <c r="BC21" s="4">
        <v>82</v>
      </c>
      <c r="BD21" s="15">
        <f t="shared" si="7"/>
        <v>0</v>
      </c>
      <c r="BE21" s="15">
        <f t="shared" si="7"/>
        <v>0</v>
      </c>
      <c r="BF21" s="15">
        <f t="shared" si="8"/>
        <v>242</v>
      </c>
      <c r="BG21" s="15">
        <f t="shared" si="9"/>
        <v>0</v>
      </c>
      <c r="BH21" s="15">
        <f>SUMIFS(Dados!$Q:$Q,Dados!$O:$O,$AW21,Dados!$P:$P,BH$2)</f>
        <v>0</v>
      </c>
      <c r="BI21" s="15">
        <f>SUMIFS(Dados!$Q:$Q,Dados!$O:$O,$AW21,Dados!$P:$P,BI$2)</f>
        <v>0</v>
      </c>
      <c r="BJ21" s="15">
        <f>SUMIFS(Dados!$Q:$Q,Dados!$O:$O,$AW21,Dados!$P:$P,BJ$2)</f>
        <v>213</v>
      </c>
      <c r="BK21" s="15">
        <f>SUMIFS(Dados!$Q:$Q,Dados!$O:$O,$AW21,Dados!$P:$P,BK$2)</f>
        <v>0</v>
      </c>
      <c r="BL21" s="15">
        <v>0</v>
      </c>
      <c r="BM21" s="15">
        <v>0</v>
      </c>
      <c r="BN21" s="15">
        <v>27</v>
      </c>
      <c r="BO21" s="15">
        <v>0</v>
      </c>
      <c r="BP21" s="15">
        <f t="shared" si="10"/>
        <v>0</v>
      </c>
      <c r="BQ21" s="15">
        <f t="shared" si="10"/>
        <v>0</v>
      </c>
      <c r="BR21" s="15">
        <f t="shared" si="11"/>
        <v>0</v>
      </c>
      <c r="BS21" s="15">
        <f t="shared" si="20"/>
        <v>0</v>
      </c>
      <c r="BT21" s="15">
        <f t="shared" si="21"/>
        <v>0</v>
      </c>
      <c r="BV21" s="15">
        <v>19</v>
      </c>
      <c r="BW21" s="15">
        <f>Dados!I21</f>
        <v>80</v>
      </c>
      <c r="BX21" s="15">
        <f>Dados!J21-Dados!I21</f>
        <v>60</v>
      </c>
      <c r="BY21" s="15">
        <f t="shared" si="12"/>
        <v>81</v>
      </c>
      <c r="BZ21" s="15">
        <f t="shared" si="52"/>
        <v>1</v>
      </c>
      <c r="CA21" s="16">
        <f t="shared" si="53"/>
        <v>1.6666666666666666E-2</v>
      </c>
      <c r="CD21" s="15">
        <f t="shared" si="54"/>
        <v>66096</v>
      </c>
      <c r="CE21" s="15">
        <f t="shared" si="13"/>
        <v>65280</v>
      </c>
      <c r="CF21" s="15">
        <f t="shared" si="14"/>
        <v>114240</v>
      </c>
      <c r="CG21" s="16">
        <f t="shared" si="55"/>
        <v>1.6666666666666666E-2</v>
      </c>
      <c r="ED21" s="54"/>
    </row>
    <row r="22" spans="1:134" s="15" customFormat="1">
      <c r="A22" s="4"/>
      <c r="D22" s="4"/>
      <c r="E22" s="4"/>
      <c r="F22" s="4">
        <v>20</v>
      </c>
      <c r="G22" s="4">
        <v>10</v>
      </c>
      <c r="H22" s="4">
        <v>1</v>
      </c>
      <c r="I22" s="4">
        <v>3</v>
      </c>
      <c r="J22" s="4">
        <v>5</v>
      </c>
      <c r="K22" s="4">
        <f t="shared" si="0"/>
        <v>0</v>
      </c>
      <c r="L22" s="4">
        <f t="shared" si="0"/>
        <v>0</v>
      </c>
      <c r="M22" s="4">
        <f t="shared" si="0"/>
        <v>0</v>
      </c>
      <c r="N22" s="4">
        <f t="shared" si="0"/>
        <v>0</v>
      </c>
      <c r="O22" s="4">
        <f t="shared" si="1"/>
        <v>0</v>
      </c>
      <c r="P22" s="4">
        <f t="shared" si="2"/>
        <v>0</v>
      </c>
      <c r="Q22" s="4">
        <f t="shared" si="3"/>
        <v>0</v>
      </c>
      <c r="R22" s="4">
        <f t="shared" si="4"/>
        <v>0</v>
      </c>
      <c r="S22" s="4">
        <f>IF(AND(VLOOKUP(G22,Dados!$D:$L,2,0)=VLOOKUP(I22,Dados!$S:$V,2,0),VLOOKUP(G22,Dados!$D:$L,3,0)=VLOOKUP(I22,Dados!$S:$V,3,0)),0,1)</f>
        <v>0</v>
      </c>
      <c r="T22" s="4">
        <f>IF(AND(VLOOKUP(G22,Dados!$D:$L,3,0)&lt;=VLOOKUP(H22,Dados!$X:$AB,2,0),VLOOKUP(G22,Dados!$D:$L,4,0)&gt;=VLOOKUP(H22,Dados!$X:$AB,3,0),VLOOKUP(G22,Dados!$D:$L,4,0)&lt;=VLOOKUP(H22,Dados!$X:$AB,4,0)),0,1)</f>
        <v>0</v>
      </c>
      <c r="U22" s="4">
        <f>IF(COUNTIFS(F:F,F22,H:H,H22)&lt;=VLOOKUP(H22,Dados!$X:$AB,5,0),0,1)</f>
        <v>0</v>
      </c>
      <c r="V22" s="4"/>
      <c r="W22" s="4">
        <v>622</v>
      </c>
      <c r="X22" s="4">
        <v>1</v>
      </c>
      <c r="Y22" s="15">
        <v>6</v>
      </c>
      <c r="Z22" s="4">
        <v>13</v>
      </c>
      <c r="AA22" s="4">
        <v>3</v>
      </c>
      <c r="AB22" s="4">
        <v>1</v>
      </c>
      <c r="AC22" s="4"/>
      <c r="AD22" s="4">
        <f>VLOOKUP(Z22,Dados!$S$3:$W$55,4,FALSE)</f>
        <v>6370</v>
      </c>
      <c r="AE22" s="4">
        <f t="shared" si="47"/>
        <v>6</v>
      </c>
      <c r="AF22" s="4">
        <f t="shared" si="48"/>
        <v>6370</v>
      </c>
      <c r="AG22" s="4"/>
      <c r="AH22" s="4"/>
      <c r="AI22" s="13">
        <f>VLOOKUP(Z22,Dados!$S$3:$V$55,2,FALSE)*VLOOKUP(Z22,Dados!$S$3:$V$55,3,FALSE)*VLOOKUP(Z22,Dados!$S$3:$V$55,4,FALSE)*0.00000785</f>
        <v>54.604913999999994</v>
      </c>
      <c r="AJ22" s="13">
        <f t="shared" si="49"/>
        <v>54.604913999999994</v>
      </c>
      <c r="AK22" s="13">
        <f t="shared" si="50"/>
        <v>5.1433199999999991E-2</v>
      </c>
      <c r="AL22" s="13">
        <f t="shared" si="51"/>
        <v>5.1433199999999991E-2</v>
      </c>
      <c r="AM22" s="4"/>
      <c r="AN22" s="4"/>
      <c r="AO22" s="4"/>
      <c r="AP22" s="4"/>
      <c r="AQ22" s="4"/>
      <c r="AR22" s="4"/>
      <c r="AS22" s="4"/>
      <c r="AT22" s="4"/>
      <c r="AU22" s="4"/>
      <c r="AV22" s="4">
        <f t="shared" si="6"/>
        <v>180</v>
      </c>
      <c r="AW22" s="15">
        <v>20</v>
      </c>
      <c r="AX22" s="15">
        <v>190</v>
      </c>
      <c r="AY22" s="4">
        <v>45</v>
      </c>
      <c r="AZ22" s="4">
        <v>45</v>
      </c>
      <c r="BA22" s="28">
        <v>45</v>
      </c>
      <c r="BB22" s="28">
        <v>45</v>
      </c>
      <c r="BC22" s="4">
        <v>45</v>
      </c>
      <c r="BD22" s="15">
        <f t="shared" si="7"/>
        <v>99</v>
      </c>
      <c r="BE22" s="15">
        <f t="shared" si="7"/>
        <v>0</v>
      </c>
      <c r="BF22" s="15">
        <f t="shared" si="8"/>
        <v>0</v>
      </c>
      <c r="BG22" s="15">
        <f t="shared" si="9"/>
        <v>141</v>
      </c>
      <c r="BH22" s="15">
        <f>SUMIFS(Dados!$Q:$Q,Dados!$O:$O,$AW22,Dados!$P:$P,BH$2)</f>
        <v>0</v>
      </c>
      <c r="BI22" s="15">
        <f>SUMIFS(Dados!$Q:$Q,Dados!$O:$O,$AW22,Dados!$P:$P,BI$2)</f>
        <v>0</v>
      </c>
      <c r="BJ22" s="15">
        <f>SUMIFS(Dados!$Q:$Q,Dados!$O:$O,$AW22,Dados!$P:$P,BJ$2)</f>
        <v>0</v>
      </c>
      <c r="BK22" s="15">
        <f>SUMIFS(Dados!$Q:$Q,Dados!$O:$O,$AW22,Dados!$P:$P,BK$2)</f>
        <v>141</v>
      </c>
      <c r="BL22" s="15">
        <v>99</v>
      </c>
      <c r="BM22" s="15">
        <v>0</v>
      </c>
      <c r="BN22" s="15">
        <v>0</v>
      </c>
      <c r="BO22" s="15">
        <v>0</v>
      </c>
      <c r="BP22" s="15">
        <f t="shared" si="10"/>
        <v>0</v>
      </c>
      <c r="BQ22" s="15">
        <f t="shared" si="10"/>
        <v>0</v>
      </c>
      <c r="BR22" s="15">
        <f t="shared" si="11"/>
        <v>0</v>
      </c>
      <c r="BS22" s="15">
        <f t="shared" si="20"/>
        <v>0</v>
      </c>
      <c r="BT22" s="15">
        <f t="shared" si="21"/>
        <v>0</v>
      </c>
      <c r="BV22" s="15">
        <v>20</v>
      </c>
      <c r="BW22" s="15">
        <f>Dados!I22</f>
        <v>45</v>
      </c>
      <c r="BX22" s="15">
        <f>Dados!J22-Dados!I22</f>
        <v>45</v>
      </c>
      <c r="BY22" s="15">
        <f t="shared" si="12"/>
        <v>45</v>
      </c>
      <c r="BZ22" s="15">
        <f t="shared" si="52"/>
        <v>0</v>
      </c>
      <c r="CA22" s="16">
        <f t="shared" si="53"/>
        <v>0</v>
      </c>
      <c r="CD22" s="15">
        <f t="shared" si="54"/>
        <v>34200</v>
      </c>
      <c r="CE22" s="15">
        <f t="shared" si="13"/>
        <v>34200</v>
      </c>
      <c r="CF22" s="15">
        <f t="shared" si="14"/>
        <v>68400</v>
      </c>
      <c r="CG22" s="16">
        <f t="shared" si="55"/>
        <v>0</v>
      </c>
      <c r="ED22" s="54"/>
    </row>
    <row r="23" spans="1:134" s="15" customFormat="1">
      <c r="A23" s="4"/>
      <c r="B23" s="64" t="s">
        <v>123</v>
      </c>
      <c r="C23" s="47">
        <f>MAX(F:F)</f>
        <v>1151</v>
      </c>
      <c r="D23" s="4"/>
      <c r="E23" s="4"/>
      <c r="F23" s="4">
        <v>21</v>
      </c>
      <c r="G23" s="4">
        <v>10</v>
      </c>
      <c r="H23" s="4">
        <v>2</v>
      </c>
      <c r="I23" s="4">
        <v>3</v>
      </c>
      <c r="J23" s="4">
        <v>5</v>
      </c>
      <c r="K23" s="4">
        <f t="shared" ref="K23:N42" si="56">SUMIFS($X:$X,$W:$W,$F23,$Z:$Z,$I23,$AA:$AA,$H23,$AB:$AB,K$2)</f>
        <v>0</v>
      </c>
      <c r="L23" s="4">
        <f t="shared" si="56"/>
        <v>0</v>
      </c>
      <c r="M23" s="4">
        <f t="shared" si="56"/>
        <v>0</v>
      </c>
      <c r="N23" s="4">
        <f t="shared" si="56"/>
        <v>0</v>
      </c>
      <c r="O23" s="4">
        <f t="shared" si="1"/>
        <v>0</v>
      </c>
      <c r="P23" s="4">
        <f t="shared" si="2"/>
        <v>0</v>
      </c>
      <c r="Q23" s="4">
        <f t="shared" si="3"/>
        <v>0</v>
      </c>
      <c r="R23" s="4">
        <f t="shared" si="4"/>
        <v>0</v>
      </c>
      <c r="S23" s="4">
        <f>IF(AND(VLOOKUP(G23,Dados!$D:$L,2,0)=VLOOKUP(I23,Dados!$S:$V,2,0),VLOOKUP(G23,Dados!$D:$L,3,0)=VLOOKUP(I23,Dados!$S:$V,3,0)),0,1)</f>
        <v>0</v>
      </c>
      <c r="T23" s="4">
        <f>IF(AND(VLOOKUP(G23,Dados!$D:$L,3,0)&lt;=VLOOKUP(H23,Dados!$X:$AB,2,0),VLOOKUP(G23,Dados!$D:$L,4,0)&gt;=VLOOKUP(H23,Dados!$X:$AB,3,0),VLOOKUP(G23,Dados!$D:$L,4,0)&lt;=VLOOKUP(H23,Dados!$X:$AB,4,0)),0,1)</f>
        <v>0</v>
      </c>
      <c r="U23" s="4">
        <f>IF(COUNTIFS(F:F,F23,H:H,H23)&lt;=VLOOKUP(H23,Dados!$X:$AB,5,0),0,1)</f>
        <v>0</v>
      </c>
      <c r="V23" s="4"/>
      <c r="W23" s="4">
        <v>677</v>
      </c>
      <c r="X23" s="4">
        <v>1</v>
      </c>
      <c r="Y23" s="15">
        <v>52</v>
      </c>
      <c r="Z23" s="4">
        <v>13</v>
      </c>
      <c r="AA23" s="4">
        <v>3</v>
      </c>
      <c r="AB23" s="4">
        <v>1</v>
      </c>
      <c r="AC23" s="4"/>
      <c r="AD23" s="4">
        <f>VLOOKUP(Z23,Dados!$S$3:$W$55,4,FALSE)</f>
        <v>6370</v>
      </c>
      <c r="AE23" s="4">
        <f t="shared" si="47"/>
        <v>52</v>
      </c>
      <c r="AF23" s="4">
        <f t="shared" si="48"/>
        <v>6370</v>
      </c>
      <c r="AG23" s="4"/>
      <c r="AH23" s="4"/>
      <c r="AI23" s="13">
        <f>VLOOKUP(Z23,Dados!$S$3:$V$55,2,FALSE)*VLOOKUP(Z23,Dados!$S$3:$V$55,3,FALSE)*VLOOKUP(Z23,Dados!$S$3:$V$55,4,FALSE)*0.00000785</f>
        <v>54.604913999999994</v>
      </c>
      <c r="AJ23" s="13">
        <f t="shared" si="49"/>
        <v>54.604913999999994</v>
      </c>
      <c r="AK23" s="13">
        <f t="shared" si="50"/>
        <v>0.44575439999999994</v>
      </c>
      <c r="AL23" s="13">
        <f t="shared" si="51"/>
        <v>0.44575439999999994</v>
      </c>
      <c r="AM23" s="4"/>
      <c r="AN23" s="4"/>
      <c r="AO23" s="4"/>
      <c r="AP23" s="4"/>
      <c r="AQ23" s="4"/>
      <c r="AR23" s="4"/>
      <c r="AS23" s="4"/>
      <c r="AT23" s="4"/>
      <c r="AU23" s="4"/>
      <c r="AV23" s="4">
        <f t="shared" si="6"/>
        <v>6</v>
      </c>
      <c r="AW23" s="15">
        <v>21</v>
      </c>
      <c r="AX23" s="15">
        <v>166</v>
      </c>
      <c r="AY23" s="4">
        <v>0</v>
      </c>
      <c r="AZ23" s="28">
        <v>2</v>
      </c>
      <c r="BA23" s="4">
        <v>0</v>
      </c>
      <c r="BB23" s="28">
        <v>0</v>
      </c>
      <c r="BC23" s="28">
        <v>4</v>
      </c>
      <c r="BD23" s="15">
        <f t="shared" si="7"/>
        <v>77</v>
      </c>
      <c r="BE23" s="15">
        <f t="shared" si="7"/>
        <v>30</v>
      </c>
      <c r="BF23" s="15">
        <f t="shared" si="8"/>
        <v>12</v>
      </c>
      <c r="BG23" s="15">
        <f t="shared" si="9"/>
        <v>4</v>
      </c>
      <c r="BH23" s="15">
        <f>SUMIFS(Dados!$Q:$Q,Dados!$O:$O,$AW23,Dados!$P:$P,BH$2)</f>
        <v>0</v>
      </c>
      <c r="BI23" s="15">
        <f>SUMIFS(Dados!$Q:$Q,Dados!$O:$O,$AW23,Dados!$P:$P,BI$2)</f>
        <v>32</v>
      </c>
      <c r="BJ23" s="15">
        <f>SUMIFS(Dados!$Q:$Q,Dados!$O:$O,$AW23,Dados!$P:$P,BJ$2)</f>
        <v>0</v>
      </c>
      <c r="BK23" s="15">
        <f>SUMIFS(Dados!$Q:$Q,Dados!$O:$O,$AW23,Dados!$P:$P,BK$2)</f>
        <v>0</v>
      </c>
      <c r="BL23" s="15">
        <v>75</v>
      </c>
      <c r="BM23" s="15">
        <v>0</v>
      </c>
      <c r="BN23" s="15">
        <v>12</v>
      </c>
      <c r="BO23" s="15">
        <v>0</v>
      </c>
      <c r="BP23" s="15">
        <f t="shared" si="10"/>
        <v>0</v>
      </c>
      <c r="BQ23" s="15">
        <f t="shared" si="10"/>
        <v>0</v>
      </c>
      <c r="BR23" s="15">
        <f t="shared" si="11"/>
        <v>0</v>
      </c>
      <c r="BS23" s="15">
        <f t="shared" si="20"/>
        <v>0</v>
      </c>
      <c r="BT23" s="15">
        <f t="shared" si="21"/>
        <v>0</v>
      </c>
      <c r="BV23" s="15">
        <v>21</v>
      </c>
      <c r="BW23" s="15">
        <f>Dados!I23</f>
        <v>0</v>
      </c>
      <c r="BX23" s="15">
        <f>Dados!J23-Dados!I23</f>
        <v>30</v>
      </c>
      <c r="BY23" s="15">
        <f t="shared" si="12"/>
        <v>1.5</v>
      </c>
      <c r="BZ23" s="15">
        <f t="shared" si="52"/>
        <v>1.5</v>
      </c>
      <c r="CA23" s="16">
        <f t="shared" si="53"/>
        <v>0.05</v>
      </c>
      <c r="CD23" s="15">
        <f t="shared" si="54"/>
        <v>996</v>
      </c>
      <c r="CE23" s="15">
        <f t="shared" si="13"/>
        <v>0</v>
      </c>
      <c r="CF23" s="15">
        <f t="shared" si="14"/>
        <v>19920</v>
      </c>
      <c r="CG23" s="16">
        <f t="shared" si="55"/>
        <v>0.05</v>
      </c>
      <c r="ED23" s="54"/>
    </row>
    <row r="24" spans="1:134" s="15" customFormat="1">
      <c r="A24" s="4"/>
      <c r="B24" s="64" t="s">
        <v>59</v>
      </c>
      <c r="C24" s="47">
        <f>COUNT(X:X)</f>
        <v>225</v>
      </c>
      <c r="E24" s="4"/>
      <c r="F24" s="4">
        <v>22</v>
      </c>
      <c r="G24" s="4">
        <v>10</v>
      </c>
      <c r="H24" s="4">
        <v>3</v>
      </c>
      <c r="I24" s="4">
        <v>3</v>
      </c>
      <c r="J24" s="4">
        <v>5</v>
      </c>
      <c r="K24" s="4">
        <f t="shared" si="56"/>
        <v>0</v>
      </c>
      <c r="L24" s="4">
        <f t="shared" si="56"/>
        <v>0</v>
      </c>
      <c r="M24" s="4">
        <f t="shared" si="56"/>
        <v>0</v>
      </c>
      <c r="N24" s="4">
        <f t="shared" si="56"/>
        <v>0</v>
      </c>
      <c r="O24" s="4">
        <f t="shared" si="1"/>
        <v>0</v>
      </c>
      <c r="P24" s="4">
        <f t="shared" si="2"/>
        <v>0</v>
      </c>
      <c r="Q24" s="4">
        <f t="shared" si="3"/>
        <v>0</v>
      </c>
      <c r="R24" s="4">
        <f t="shared" si="4"/>
        <v>0</v>
      </c>
      <c r="S24" s="4">
        <f>IF(AND(VLOOKUP(G24,Dados!$D:$L,2,0)=VLOOKUP(I24,Dados!$S:$V,2,0),VLOOKUP(G24,Dados!$D:$L,3,0)=VLOOKUP(I24,Dados!$S:$V,3,0)),0,1)</f>
        <v>0</v>
      </c>
      <c r="T24" s="4">
        <f>IF(AND(VLOOKUP(G24,Dados!$D:$L,3,0)&lt;=VLOOKUP(H24,Dados!$X:$AB,2,0),VLOOKUP(G24,Dados!$D:$L,4,0)&gt;=VLOOKUP(H24,Dados!$X:$AB,3,0),VLOOKUP(G24,Dados!$D:$L,4,0)&lt;=VLOOKUP(H24,Dados!$X:$AB,4,0)),0,1)</f>
        <v>0</v>
      </c>
      <c r="U24" s="4">
        <f>IF(COUNTIFS(F:F,F24,H:H,H24)&lt;=VLOOKUP(H24,Dados!$X:$AB,5,0),0,1)</f>
        <v>0</v>
      </c>
      <c r="V24" s="4"/>
      <c r="W24" s="4">
        <v>205</v>
      </c>
      <c r="X24" s="4">
        <v>10</v>
      </c>
      <c r="Y24" s="15">
        <v>2</v>
      </c>
      <c r="Z24" s="4">
        <v>14</v>
      </c>
      <c r="AA24" s="4">
        <v>1</v>
      </c>
      <c r="AB24" s="4">
        <v>1</v>
      </c>
      <c r="AC24" s="4"/>
      <c r="AD24" s="4">
        <f>VLOOKUP(Z24,Dados!$S$3:$W$55,4,FALSE)</f>
        <v>6039</v>
      </c>
      <c r="AE24" s="4">
        <f t="shared" si="47"/>
        <v>20</v>
      </c>
      <c r="AF24" s="4">
        <f t="shared" si="48"/>
        <v>60390</v>
      </c>
      <c r="AG24" s="4"/>
      <c r="AH24" s="4"/>
      <c r="AI24" s="13">
        <f>VLOOKUP(Z24,Dados!$S$3:$V$55,2,FALSE)*VLOOKUP(Z24,Dados!$S$3:$V$55,3,FALSE)*VLOOKUP(Z24,Dados!$S$3:$V$55,4,FALSE)*0.00000785</f>
        <v>51.767515799999998</v>
      </c>
      <c r="AJ24" s="13">
        <f t="shared" si="49"/>
        <v>517.67515800000001</v>
      </c>
      <c r="AK24" s="13">
        <f t="shared" si="50"/>
        <v>1.7144400000000001E-2</v>
      </c>
      <c r="AL24" s="13">
        <f t="shared" si="51"/>
        <v>0.17144400000000001</v>
      </c>
      <c r="AM24" s="4"/>
      <c r="AN24" s="4"/>
      <c r="AO24" s="4"/>
      <c r="AP24" s="4"/>
      <c r="AQ24" s="4"/>
      <c r="AR24" s="4"/>
      <c r="AS24" s="4"/>
      <c r="AT24" s="4"/>
      <c r="AU24" s="4"/>
      <c r="AV24" s="4">
        <f t="shared" si="6"/>
        <v>329</v>
      </c>
      <c r="AW24" s="15">
        <v>22</v>
      </c>
      <c r="AX24" s="15">
        <v>165</v>
      </c>
      <c r="AY24" s="4">
        <v>80</v>
      </c>
      <c r="AZ24" s="4">
        <v>84</v>
      </c>
      <c r="BA24" s="4">
        <v>80</v>
      </c>
      <c r="BB24" s="4">
        <v>85</v>
      </c>
      <c r="BC24" s="4">
        <v>80</v>
      </c>
      <c r="BD24" s="15">
        <f t="shared" si="7"/>
        <v>4</v>
      </c>
      <c r="BE24" s="15">
        <f t="shared" si="7"/>
        <v>12</v>
      </c>
      <c r="BF24" s="15">
        <f t="shared" si="8"/>
        <v>5</v>
      </c>
      <c r="BG24" s="15">
        <f t="shared" si="9"/>
        <v>202</v>
      </c>
      <c r="BH24" s="15">
        <f>SUMIFS(Dados!$Q:$Q,Dados!$O:$O,$AW24,Dados!$P:$P,BH$2)</f>
        <v>0</v>
      </c>
      <c r="BI24" s="15">
        <f>SUMIFS(Dados!$Q:$Q,Dados!$O:$O,$AW24,Dados!$P:$P,BI$2)</f>
        <v>0</v>
      </c>
      <c r="BJ24" s="15">
        <f>SUMIFS(Dados!$Q:$Q,Dados!$O:$O,$AW24,Dados!$P:$P,BJ$2)</f>
        <v>0</v>
      </c>
      <c r="BK24" s="15">
        <f>SUMIFS(Dados!$Q:$Q,Dados!$O:$O,$AW24,Dados!$P:$P,BK$2)</f>
        <v>207</v>
      </c>
      <c r="BL24" s="15">
        <v>0</v>
      </c>
      <c r="BM24" s="15">
        <v>16</v>
      </c>
      <c r="BN24" s="15">
        <v>0</v>
      </c>
      <c r="BO24" s="15">
        <v>0</v>
      </c>
      <c r="BP24" s="15">
        <f t="shared" si="10"/>
        <v>0</v>
      </c>
      <c r="BQ24" s="15">
        <f t="shared" si="10"/>
        <v>0</v>
      </c>
      <c r="BR24" s="15">
        <f t="shared" si="11"/>
        <v>0</v>
      </c>
      <c r="BS24" s="15">
        <f t="shared" si="20"/>
        <v>0</v>
      </c>
      <c r="BT24" s="15">
        <f t="shared" si="21"/>
        <v>0</v>
      </c>
      <c r="BV24" s="15">
        <v>22</v>
      </c>
      <c r="BW24" s="15">
        <f>Dados!I24</f>
        <v>80</v>
      </c>
      <c r="BX24" s="15">
        <f>Dados!J24-Dados!I24</f>
        <v>60</v>
      </c>
      <c r="BY24" s="15">
        <f t="shared" si="12"/>
        <v>82.25</v>
      </c>
      <c r="BZ24" s="15">
        <f t="shared" si="52"/>
        <v>2.25</v>
      </c>
      <c r="CA24" s="16">
        <f t="shared" si="53"/>
        <v>3.7499999999999999E-2</v>
      </c>
      <c r="CD24" s="15">
        <f t="shared" si="54"/>
        <v>54285</v>
      </c>
      <c r="CE24" s="15">
        <f t="shared" si="13"/>
        <v>52800</v>
      </c>
      <c r="CF24" s="15">
        <f t="shared" si="14"/>
        <v>92400</v>
      </c>
      <c r="CG24" s="16">
        <f t="shared" si="55"/>
        <v>3.7499999999999999E-2</v>
      </c>
      <c r="ED24" s="54"/>
    </row>
    <row r="25" spans="1:134" s="15" customFormat="1">
      <c r="A25" s="4"/>
      <c r="B25" s="64" t="s">
        <v>122</v>
      </c>
      <c r="C25" s="47">
        <f>SUM(X:X)</f>
        <v>1838</v>
      </c>
      <c r="D25" s="4"/>
      <c r="E25" s="4"/>
      <c r="F25" s="4">
        <v>23</v>
      </c>
      <c r="G25" s="4">
        <v>11</v>
      </c>
      <c r="H25" s="4">
        <v>1</v>
      </c>
      <c r="I25" s="4">
        <v>3</v>
      </c>
      <c r="J25" s="4">
        <v>10</v>
      </c>
      <c r="K25" s="4">
        <f t="shared" si="56"/>
        <v>3</v>
      </c>
      <c r="L25" s="4">
        <f t="shared" si="56"/>
        <v>0</v>
      </c>
      <c r="M25" s="4">
        <f t="shared" si="56"/>
        <v>0</v>
      </c>
      <c r="N25" s="4">
        <f t="shared" si="56"/>
        <v>0</v>
      </c>
      <c r="O25" s="4">
        <f t="shared" si="1"/>
        <v>30</v>
      </c>
      <c r="P25" s="4">
        <f t="shared" si="2"/>
        <v>0</v>
      </c>
      <c r="Q25" s="4">
        <f t="shared" si="3"/>
        <v>0</v>
      </c>
      <c r="R25" s="4">
        <f t="shared" si="4"/>
        <v>0</v>
      </c>
      <c r="S25" s="4">
        <f>IF(AND(VLOOKUP(G25,Dados!$D:$L,2,0)=VLOOKUP(I25,Dados!$S:$V,2,0),VLOOKUP(G25,Dados!$D:$L,3,0)=VLOOKUP(I25,Dados!$S:$V,3,0)),0,1)</f>
        <v>0</v>
      </c>
      <c r="T25" s="4">
        <f>IF(AND(VLOOKUP(G25,Dados!$D:$L,3,0)&lt;=VLOOKUP(H25,Dados!$X:$AB,2,0),VLOOKUP(G25,Dados!$D:$L,4,0)&gt;=VLOOKUP(H25,Dados!$X:$AB,3,0),VLOOKUP(G25,Dados!$D:$L,4,0)&lt;=VLOOKUP(H25,Dados!$X:$AB,4,0)),0,1)</f>
        <v>0</v>
      </c>
      <c r="U25" s="4">
        <f>IF(COUNTIFS(F:F,F25,H:H,H25)&lt;=VLOOKUP(H25,Dados!$X:$AB,5,0),0,1)</f>
        <v>0</v>
      </c>
      <c r="V25" s="4"/>
      <c r="W25" s="4">
        <v>439</v>
      </c>
      <c r="X25" s="4">
        <v>3</v>
      </c>
      <c r="Y25" s="15">
        <v>71</v>
      </c>
      <c r="Z25" s="4">
        <v>14</v>
      </c>
      <c r="AA25" s="4">
        <v>1</v>
      </c>
      <c r="AB25" s="4">
        <v>1</v>
      </c>
      <c r="AC25" s="4"/>
      <c r="AD25" s="4">
        <f>VLOOKUP(Z25,Dados!$S$3:$W$55,4,FALSE)</f>
        <v>6039</v>
      </c>
      <c r="AE25" s="4">
        <f t="shared" si="47"/>
        <v>213</v>
      </c>
      <c r="AF25" s="4">
        <f t="shared" si="48"/>
        <v>18117</v>
      </c>
      <c r="AG25" s="4"/>
      <c r="AH25" s="4"/>
      <c r="AI25" s="13">
        <f>VLOOKUP(Z25,Dados!$S$3:$V$55,2,FALSE)*VLOOKUP(Z25,Dados!$S$3:$V$55,3,FALSE)*VLOOKUP(Z25,Dados!$S$3:$V$55,4,FALSE)*0.00000785</f>
        <v>51.767515799999998</v>
      </c>
      <c r="AJ25" s="13">
        <f t="shared" si="49"/>
        <v>155.30254739999998</v>
      </c>
      <c r="AK25" s="13">
        <f t="shared" si="50"/>
        <v>0.60862620000000001</v>
      </c>
      <c r="AL25" s="13">
        <f t="shared" si="51"/>
        <v>1.8258786</v>
      </c>
      <c r="AM25" s="4"/>
      <c r="AN25" s="4"/>
      <c r="AO25" s="4"/>
      <c r="AP25" s="4"/>
      <c r="AQ25" s="4"/>
      <c r="AR25" s="4"/>
      <c r="AS25" s="4"/>
      <c r="AT25" s="4"/>
      <c r="AU25" s="4"/>
      <c r="AV25" s="4">
        <f t="shared" si="6"/>
        <v>324</v>
      </c>
      <c r="AW25" s="15">
        <v>23</v>
      </c>
      <c r="AX25" s="15">
        <v>159</v>
      </c>
      <c r="AY25" s="4">
        <v>80</v>
      </c>
      <c r="AZ25" s="28">
        <v>80</v>
      </c>
      <c r="BA25" s="28">
        <v>82</v>
      </c>
      <c r="BB25" s="28">
        <v>82</v>
      </c>
      <c r="BC25" s="28">
        <v>80</v>
      </c>
      <c r="BD25" s="15">
        <f t="shared" si="7"/>
        <v>16</v>
      </c>
      <c r="BE25" s="15">
        <f t="shared" si="7"/>
        <v>2</v>
      </c>
      <c r="BF25" s="15">
        <f t="shared" si="8"/>
        <v>0</v>
      </c>
      <c r="BG25" s="15">
        <f t="shared" si="9"/>
        <v>269</v>
      </c>
      <c r="BH25" s="15">
        <f>SUMIFS(Dados!$Q:$Q,Dados!$O:$O,$AW25,Dados!$P:$P,BH$2)</f>
        <v>0</v>
      </c>
      <c r="BI25" s="15">
        <f>SUMIFS(Dados!$Q:$Q,Dados!$O:$O,$AW25,Dados!$P:$P,BI$2)</f>
        <v>0</v>
      </c>
      <c r="BJ25" s="15">
        <f>SUMIFS(Dados!$Q:$Q,Dados!$O:$O,$AW25,Dados!$P:$P,BJ$2)</f>
        <v>0</v>
      </c>
      <c r="BK25" s="15">
        <f>SUMIFS(Dados!$Q:$Q,Dados!$O:$O,$AW25,Dados!$P:$P,BK$2)</f>
        <v>271</v>
      </c>
      <c r="BL25" s="15">
        <v>16</v>
      </c>
      <c r="BM25" s="15">
        <v>0</v>
      </c>
      <c r="BN25" s="15">
        <v>0</v>
      </c>
      <c r="BO25" s="15">
        <v>0</v>
      </c>
      <c r="BP25" s="15">
        <f t="shared" si="10"/>
        <v>0</v>
      </c>
      <c r="BQ25" s="15">
        <f t="shared" si="10"/>
        <v>0</v>
      </c>
      <c r="BR25" s="15">
        <f t="shared" si="11"/>
        <v>0</v>
      </c>
      <c r="BS25" s="15">
        <f t="shared" si="20"/>
        <v>0</v>
      </c>
      <c r="BT25" s="15">
        <f t="shared" si="21"/>
        <v>0</v>
      </c>
      <c r="BV25" s="15">
        <v>23</v>
      </c>
      <c r="BW25" s="15">
        <f>Dados!I25</f>
        <v>80</v>
      </c>
      <c r="BX25" s="15">
        <f>Dados!J25-Dados!I25</f>
        <v>60</v>
      </c>
      <c r="BY25" s="15">
        <f t="shared" si="12"/>
        <v>81</v>
      </c>
      <c r="BZ25" s="15">
        <f t="shared" si="52"/>
        <v>1</v>
      </c>
      <c r="CA25" s="16">
        <f t="shared" si="53"/>
        <v>1.6666666666666666E-2</v>
      </c>
      <c r="CD25" s="15">
        <f t="shared" si="54"/>
        <v>51516</v>
      </c>
      <c r="CE25" s="15">
        <f t="shared" si="13"/>
        <v>50880</v>
      </c>
      <c r="CF25" s="15">
        <f t="shared" si="14"/>
        <v>89040</v>
      </c>
      <c r="CG25" s="16">
        <f t="shared" si="55"/>
        <v>1.6666666666666666E-2</v>
      </c>
      <c r="ED25" s="54"/>
    </row>
    <row r="26" spans="1:134" s="15" customFormat="1">
      <c r="A26" s="4"/>
      <c r="B26" s="64" t="s">
        <v>121</v>
      </c>
      <c r="C26" s="47">
        <f>SUM(S:U)+SUM(BP:BT)+SUM(CZ:DC)</f>
        <v>0</v>
      </c>
      <c r="D26" s="4"/>
      <c r="E26" s="4"/>
      <c r="F26" s="4">
        <v>24</v>
      </c>
      <c r="G26" s="4">
        <v>11</v>
      </c>
      <c r="H26" s="4">
        <v>2</v>
      </c>
      <c r="I26" s="4">
        <v>3</v>
      </c>
      <c r="J26" s="4">
        <v>10</v>
      </c>
      <c r="K26" s="4">
        <f t="shared" si="56"/>
        <v>0</v>
      </c>
      <c r="L26" s="4">
        <f t="shared" si="56"/>
        <v>0</v>
      </c>
      <c r="M26" s="4">
        <f t="shared" si="56"/>
        <v>0</v>
      </c>
      <c r="N26" s="4">
        <f t="shared" si="56"/>
        <v>0</v>
      </c>
      <c r="O26" s="4">
        <f t="shared" si="1"/>
        <v>0</v>
      </c>
      <c r="P26" s="4">
        <f t="shared" si="2"/>
        <v>0</v>
      </c>
      <c r="Q26" s="4">
        <f t="shared" si="3"/>
        <v>0</v>
      </c>
      <c r="R26" s="4">
        <f t="shared" si="4"/>
        <v>0</v>
      </c>
      <c r="S26" s="4">
        <f>IF(AND(VLOOKUP(G26,Dados!$D:$L,2,0)=VLOOKUP(I26,Dados!$S:$V,2,0),VLOOKUP(G26,Dados!$D:$L,3,0)=VLOOKUP(I26,Dados!$S:$V,3,0)),0,1)</f>
        <v>0</v>
      </c>
      <c r="T26" s="4">
        <f>IF(AND(VLOOKUP(G26,Dados!$D:$L,3,0)&lt;=VLOOKUP(H26,Dados!$X:$AB,2,0),VLOOKUP(G26,Dados!$D:$L,4,0)&gt;=VLOOKUP(H26,Dados!$X:$AB,3,0),VLOOKUP(G26,Dados!$D:$L,4,0)&lt;=VLOOKUP(H26,Dados!$X:$AB,4,0)),0,1)</f>
        <v>0</v>
      </c>
      <c r="U26" s="4">
        <f>IF(COUNTIFS(F:F,F26,H:H,H26)&lt;=VLOOKUP(H26,Dados!$X:$AB,5,0),0,1)</f>
        <v>0</v>
      </c>
      <c r="V26" s="4"/>
      <c r="W26" s="4">
        <v>208</v>
      </c>
      <c r="X26" s="4">
        <v>33</v>
      </c>
      <c r="Y26" s="4">
        <v>4</v>
      </c>
      <c r="Z26" s="4">
        <v>15</v>
      </c>
      <c r="AA26" s="4">
        <v>1</v>
      </c>
      <c r="AB26" s="4">
        <v>1</v>
      </c>
      <c r="AC26" s="4"/>
      <c r="AD26" s="4">
        <f>VLOOKUP(Z26,Dados!$S$3:$W$55,4,FALSE)</f>
        <v>5248</v>
      </c>
      <c r="AE26" s="4">
        <f t="shared" si="47"/>
        <v>132</v>
      </c>
      <c r="AF26" s="4">
        <f t="shared" si="48"/>
        <v>173184</v>
      </c>
      <c r="AG26" s="4"/>
      <c r="AH26" s="4"/>
      <c r="AI26" s="13">
        <f>VLOOKUP(Z26,Dados!$S$3:$V$55,2,FALSE)*VLOOKUP(Z26,Dados!$S$3:$V$55,3,FALSE)*VLOOKUP(Z26,Dados!$S$3:$V$55,4,FALSE)*0.00000785</f>
        <v>51.495999999999995</v>
      </c>
      <c r="AJ26" s="13">
        <f t="shared" si="49"/>
        <v>1699.3679999999999</v>
      </c>
      <c r="AK26" s="13">
        <f t="shared" si="50"/>
        <v>3.9249999999999993E-2</v>
      </c>
      <c r="AL26" s="13">
        <f t="shared" si="51"/>
        <v>1.2952499999999998</v>
      </c>
      <c r="AM26" s="4"/>
      <c r="AN26" s="4"/>
      <c r="AO26" s="4"/>
      <c r="AP26" s="4"/>
      <c r="AQ26" s="4"/>
      <c r="AR26" s="4"/>
      <c r="AS26" s="4"/>
      <c r="AT26" s="4"/>
      <c r="AU26" s="4"/>
      <c r="AV26" s="4">
        <f t="shared" si="6"/>
        <v>326</v>
      </c>
      <c r="AW26" s="15">
        <v>24</v>
      </c>
      <c r="AX26" s="15">
        <v>131</v>
      </c>
      <c r="AY26" s="4">
        <v>80</v>
      </c>
      <c r="AZ26" s="28">
        <v>84</v>
      </c>
      <c r="BA26" s="4">
        <v>80</v>
      </c>
      <c r="BB26" s="28">
        <v>80</v>
      </c>
      <c r="BC26" s="4">
        <v>82</v>
      </c>
      <c r="BD26" s="15">
        <f t="shared" si="7"/>
        <v>103</v>
      </c>
      <c r="BE26" s="15">
        <f t="shared" si="7"/>
        <v>274</v>
      </c>
      <c r="BF26" s="15">
        <f t="shared" si="8"/>
        <v>0</v>
      </c>
      <c r="BG26" s="15">
        <f t="shared" si="9"/>
        <v>2</v>
      </c>
      <c r="BH26" s="15">
        <f>SUMIFS(Dados!$Q:$Q,Dados!$O:$O,$AW26,Dados!$P:$P,BH$2)</f>
        <v>0</v>
      </c>
      <c r="BI26" s="15">
        <f>SUMIFS(Dados!$Q:$Q,Dados!$O:$O,$AW26,Dados!$P:$P,BI$2)</f>
        <v>278</v>
      </c>
      <c r="BJ26" s="15">
        <f>SUMIFS(Dados!$Q:$Q,Dados!$O:$O,$AW26,Dados!$P:$P,BJ$2)</f>
        <v>0</v>
      </c>
      <c r="BK26" s="15">
        <f>SUMIFS(Dados!$Q:$Q,Dados!$O:$O,$AW26,Dados!$P:$P,BK$2)</f>
        <v>0</v>
      </c>
      <c r="BL26" s="15">
        <v>99</v>
      </c>
      <c r="BM26" s="15">
        <v>0</v>
      </c>
      <c r="BN26" s="15">
        <v>0</v>
      </c>
      <c r="BO26" s="15">
        <v>0</v>
      </c>
      <c r="BP26" s="15">
        <f t="shared" si="10"/>
        <v>0</v>
      </c>
      <c r="BQ26" s="15">
        <f t="shared" si="10"/>
        <v>0</v>
      </c>
      <c r="BR26" s="15">
        <f t="shared" si="11"/>
        <v>0</v>
      </c>
      <c r="BS26" s="15">
        <f t="shared" si="20"/>
        <v>0</v>
      </c>
      <c r="BT26" s="15">
        <f t="shared" si="21"/>
        <v>0</v>
      </c>
      <c r="BV26" s="15">
        <v>24</v>
      </c>
      <c r="BW26" s="15">
        <f>Dados!I26</f>
        <v>80</v>
      </c>
      <c r="BX26" s="15">
        <f>Dados!J26-Dados!I26</f>
        <v>60</v>
      </c>
      <c r="BY26" s="15">
        <f t="shared" si="12"/>
        <v>81.5</v>
      </c>
      <c r="BZ26" s="15">
        <f t="shared" si="52"/>
        <v>1.5</v>
      </c>
      <c r="CA26" s="16">
        <f t="shared" si="53"/>
        <v>2.5000000000000001E-2</v>
      </c>
      <c r="CD26" s="15">
        <f t="shared" si="54"/>
        <v>42706</v>
      </c>
      <c r="CE26" s="15">
        <f t="shared" si="13"/>
        <v>41920</v>
      </c>
      <c r="CF26" s="15">
        <f t="shared" si="14"/>
        <v>73360</v>
      </c>
      <c r="CG26" s="16">
        <f t="shared" si="55"/>
        <v>2.5000000000000001E-2</v>
      </c>
      <c r="ED26" s="54"/>
    </row>
    <row r="27" spans="1:134" s="15" customFormat="1">
      <c r="A27" s="4"/>
      <c r="D27" s="6"/>
      <c r="E27" s="4"/>
      <c r="F27" s="4">
        <v>25</v>
      </c>
      <c r="G27" s="4">
        <v>11</v>
      </c>
      <c r="H27" s="4">
        <v>3</v>
      </c>
      <c r="I27" s="4">
        <v>3</v>
      </c>
      <c r="J27" s="4">
        <v>10</v>
      </c>
      <c r="K27" s="4">
        <f t="shared" si="56"/>
        <v>0</v>
      </c>
      <c r="L27" s="4">
        <f t="shared" si="56"/>
        <v>0</v>
      </c>
      <c r="M27" s="4">
        <f t="shared" si="56"/>
        <v>0</v>
      </c>
      <c r="N27" s="4">
        <f t="shared" si="56"/>
        <v>0</v>
      </c>
      <c r="O27" s="4">
        <f t="shared" si="1"/>
        <v>0</v>
      </c>
      <c r="P27" s="4">
        <f t="shared" si="2"/>
        <v>0</v>
      </c>
      <c r="Q27" s="4">
        <f t="shared" si="3"/>
        <v>0</v>
      </c>
      <c r="R27" s="4">
        <f t="shared" si="4"/>
        <v>0</v>
      </c>
      <c r="S27" s="4">
        <f>IF(AND(VLOOKUP(G27,Dados!$D:$L,2,0)=VLOOKUP(I27,Dados!$S:$V,2,0),VLOOKUP(G27,Dados!$D:$L,3,0)=VLOOKUP(I27,Dados!$S:$V,3,0)),0,1)</f>
        <v>0</v>
      </c>
      <c r="T27" s="4">
        <f>IF(AND(VLOOKUP(G27,Dados!$D:$L,3,0)&lt;=VLOOKUP(H27,Dados!$X:$AB,2,0),VLOOKUP(G27,Dados!$D:$L,4,0)&gt;=VLOOKUP(H27,Dados!$X:$AB,3,0),VLOOKUP(G27,Dados!$D:$L,4,0)&lt;=VLOOKUP(H27,Dados!$X:$AB,4,0)),0,1)</f>
        <v>0</v>
      </c>
      <c r="U27" s="4">
        <f>IF(COUNTIFS(F:F,F27,H:H,H27)&lt;=VLOOKUP(H27,Dados!$X:$AB,5,0),0,1)</f>
        <v>0</v>
      </c>
      <c r="V27" s="4"/>
      <c r="W27" s="4">
        <v>442</v>
      </c>
      <c r="X27" s="4">
        <v>10</v>
      </c>
      <c r="Y27" s="4">
        <v>26</v>
      </c>
      <c r="Z27" s="4">
        <v>15</v>
      </c>
      <c r="AA27" s="4">
        <v>1</v>
      </c>
      <c r="AB27" s="4">
        <v>1</v>
      </c>
      <c r="AC27" s="4"/>
      <c r="AD27" s="4">
        <f>VLOOKUP(Z27,Dados!$S$3:$W$55,4,FALSE)</f>
        <v>5248</v>
      </c>
      <c r="AE27" s="4">
        <f t="shared" si="47"/>
        <v>260</v>
      </c>
      <c r="AF27" s="4">
        <f t="shared" si="48"/>
        <v>52480</v>
      </c>
      <c r="AG27" s="4"/>
      <c r="AH27" s="4"/>
      <c r="AI27" s="13">
        <f>VLOOKUP(Z27,Dados!$S$3:$V$55,2,FALSE)*VLOOKUP(Z27,Dados!$S$3:$V$55,3,FALSE)*VLOOKUP(Z27,Dados!$S$3:$V$55,4,FALSE)*0.00000785</f>
        <v>51.495999999999995</v>
      </c>
      <c r="AJ27" s="13">
        <f t="shared" si="49"/>
        <v>514.95999999999992</v>
      </c>
      <c r="AK27" s="13">
        <f t="shared" si="50"/>
        <v>0.25512499999999994</v>
      </c>
      <c r="AL27" s="13">
        <f t="shared" si="51"/>
        <v>2.5512499999999996</v>
      </c>
      <c r="AM27" s="4"/>
      <c r="AN27" s="4"/>
      <c r="AO27" s="4"/>
      <c r="AP27" s="4"/>
      <c r="AQ27" s="4"/>
      <c r="AR27" s="4"/>
      <c r="AS27" s="4"/>
      <c r="AT27" s="4"/>
      <c r="AU27" s="4"/>
      <c r="AV27" s="4">
        <f t="shared" si="6"/>
        <v>86</v>
      </c>
      <c r="AW27" s="15">
        <v>25</v>
      </c>
      <c r="AX27" s="15">
        <v>194</v>
      </c>
      <c r="AY27" s="4">
        <v>20</v>
      </c>
      <c r="AZ27" s="28">
        <v>20</v>
      </c>
      <c r="BA27" s="28">
        <v>26</v>
      </c>
      <c r="BB27" s="4">
        <v>20</v>
      </c>
      <c r="BC27" s="4">
        <v>20</v>
      </c>
      <c r="BD27" s="15">
        <f t="shared" si="7"/>
        <v>0</v>
      </c>
      <c r="BE27" s="15">
        <f t="shared" si="7"/>
        <v>46</v>
      </c>
      <c r="BF27" s="15">
        <f t="shared" si="8"/>
        <v>76</v>
      </c>
      <c r="BG27" s="15">
        <f t="shared" si="9"/>
        <v>0</v>
      </c>
      <c r="BH27" s="15">
        <f>SUMIFS(Dados!$Q:$Q,Dados!$O:$O,$AW27,Dados!$P:$P,BH$2)</f>
        <v>0</v>
      </c>
      <c r="BI27" s="15">
        <f>SUMIFS(Dados!$Q:$Q,Dados!$O:$O,$AW27,Dados!$P:$P,BI$2)</f>
        <v>0</v>
      </c>
      <c r="BJ27" s="15">
        <f>SUMIFS(Dados!$Q:$Q,Dados!$O:$O,$AW27,Dados!$P:$P,BJ$2)</f>
        <v>82</v>
      </c>
      <c r="BK27" s="15">
        <f>SUMIFS(Dados!$Q:$Q,Dados!$O:$O,$AW27,Dados!$P:$P,BK$2)</f>
        <v>0</v>
      </c>
      <c r="BL27" s="15">
        <v>0</v>
      </c>
      <c r="BM27" s="15">
        <v>40</v>
      </c>
      <c r="BN27" s="15">
        <v>0</v>
      </c>
      <c r="BO27" s="15">
        <v>0</v>
      </c>
      <c r="BP27" s="15">
        <f>IF(AZ27=AY27+BD27-BH27-BL27,0,1)</f>
        <v>0</v>
      </c>
      <c r="BQ27" s="15">
        <f>IF(BA27=AZ27+BE27-BI27-BM27,0,1)</f>
        <v>0</v>
      </c>
      <c r="BR27" s="15">
        <f>IF(BB27=BA27+BF27-BJ27-BN27,0,1)</f>
        <v>0</v>
      </c>
      <c r="BS27" s="15">
        <f>IF(BC27=BB27+BG27-BK27-BO27,0,1)</f>
        <v>0</v>
      </c>
      <c r="BT27" s="15">
        <f t="shared" si="21"/>
        <v>0</v>
      </c>
      <c r="BV27" s="15">
        <v>25</v>
      </c>
      <c r="BW27" s="15">
        <f>Dados!I27</f>
        <v>20</v>
      </c>
      <c r="BX27" s="15">
        <f>Dados!J27-Dados!I27</f>
        <v>35</v>
      </c>
      <c r="BY27" s="15">
        <f t="shared" si="12"/>
        <v>21.5</v>
      </c>
      <c r="BZ27" s="15">
        <f t="shared" si="52"/>
        <v>1.5</v>
      </c>
      <c r="CA27" s="16">
        <f t="shared" si="53"/>
        <v>4.2857142857142858E-2</v>
      </c>
      <c r="CD27" s="15">
        <f t="shared" si="54"/>
        <v>16684</v>
      </c>
      <c r="CE27" s="15">
        <f t="shared" si="13"/>
        <v>15520</v>
      </c>
      <c r="CF27" s="15">
        <f t="shared" si="14"/>
        <v>42680</v>
      </c>
      <c r="CG27" s="16">
        <f t="shared" si="55"/>
        <v>4.2857142857142858E-2</v>
      </c>
      <c r="ED27" s="54"/>
    </row>
    <row r="28" spans="1:134" s="15" customFormat="1">
      <c r="A28" s="4"/>
      <c r="B28" s="64" t="s">
        <v>42</v>
      </c>
      <c r="C28" s="64"/>
      <c r="D28" s="6"/>
      <c r="E28" s="4"/>
      <c r="F28" s="4">
        <v>26</v>
      </c>
      <c r="G28" s="4">
        <v>12</v>
      </c>
      <c r="H28" s="4">
        <v>1</v>
      </c>
      <c r="I28" s="4">
        <v>8</v>
      </c>
      <c r="J28" s="4">
        <v>12</v>
      </c>
      <c r="K28" s="4">
        <f t="shared" si="56"/>
        <v>0</v>
      </c>
      <c r="L28" s="4">
        <f t="shared" si="56"/>
        <v>0</v>
      </c>
      <c r="M28" s="4">
        <f t="shared" si="56"/>
        <v>12</v>
      </c>
      <c r="N28" s="4">
        <f t="shared" si="56"/>
        <v>0</v>
      </c>
      <c r="O28" s="4">
        <f t="shared" si="1"/>
        <v>0</v>
      </c>
      <c r="P28" s="4">
        <f t="shared" si="2"/>
        <v>0</v>
      </c>
      <c r="Q28" s="4">
        <f t="shared" si="3"/>
        <v>144</v>
      </c>
      <c r="R28" s="4">
        <f t="shared" si="4"/>
        <v>0</v>
      </c>
      <c r="S28" s="4">
        <f>IF(AND(VLOOKUP(G28,Dados!$D:$L,2,0)=VLOOKUP(I28,Dados!$S:$V,2,0),VLOOKUP(G28,Dados!$D:$L,3,0)=VLOOKUP(I28,Dados!$S:$V,3,0)),0,1)</f>
        <v>0</v>
      </c>
      <c r="T28" s="4">
        <f>IF(AND(VLOOKUP(G28,Dados!$D:$L,3,0)&lt;=VLOOKUP(H28,Dados!$X:$AB,2,0),VLOOKUP(G28,Dados!$D:$L,4,0)&gt;=VLOOKUP(H28,Dados!$X:$AB,3,0),VLOOKUP(G28,Dados!$D:$L,4,0)&lt;=VLOOKUP(H28,Dados!$X:$AB,4,0)),0,1)</f>
        <v>0</v>
      </c>
      <c r="U28" s="4">
        <f>IF(COUNTIFS(F:F,F28,H:H,H28)&lt;=VLOOKUP(H28,Dados!$X:$AB,5,0),0,1)</f>
        <v>0</v>
      </c>
      <c r="V28" s="4"/>
      <c r="W28" s="4">
        <v>443</v>
      </c>
      <c r="X28" s="4">
        <v>23</v>
      </c>
      <c r="Y28" s="15">
        <v>54</v>
      </c>
      <c r="Z28" s="4">
        <v>15</v>
      </c>
      <c r="AA28" s="4">
        <v>3</v>
      </c>
      <c r="AB28" s="4">
        <v>1</v>
      </c>
      <c r="AC28" s="4"/>
      <c r="AD28" s="4">
        <f>VLOOKUP(Z28,Dados!$S$3:$W$55,4,FALSE)</f>
        <v>5248</v>
      </c>
      <c r="AE28" s="4">
        <f t="shared" si="47"/>
        <v>1242</v>
      </c>
      <c r="AF28" s="4">
        <f t="shared" si="48"/>
        <v>120704</v>
      </c>
      <c r="AG28" s="4"/>
      <c r="AH28" s="4"/>
      <c r="AI28" s="13">
        <f>VLOOKUP(Z28,Dados!$S$3:$V$55,2,FALSE)*VLOOKUP(Z28,Dados!$S$3:$V$55,3,FALSE)*VLOOKUP(Z28,Dados!$S$3:$V$55,4,FALSE)*0.00000785</f>
        <v>51.495999999999995</v>
      </c>
      <c r="AJ28" s="13">
        <f t="shared" si="49"/>
        <v>1184.4079999999999</v>
      </c>
      <c r="AK28" s="13">
        <f t="shared" si="50"/>
        <v>0.52987499999999987</v>
      </c>
      <c r="AL28" s="13">
        <f t="shared" si="51"/>
        <v>12.187124999999996</v>
      </c>
      <c r="AM28" s="4"/>
      <c r="AN28" s="4"/>
      <c r="AO28" s="4"/>
      <c r="AP28" s="4"/>
      <c r="AQ28" s="4"/>
      <c r="AR28" s="4"/>
      <c r="AS28" s="4"/>
      <c r="AT28" s="4"/>
      <c r="AU28" s="4"/>
      <c r="AV28" s="4">
        <f t="shared" si="6"/>
        <v>333</v>
      </c>
      <c r="AW28" s="15">
        <v>26</v>
      </c>
      <c r="AX28" s="15">
        <v>164</v>
      </c>
      <c r="AY28" s="4">
        <v>80</v>
      </c>
      <c r="AZ28" s="28">
        <v>80</v>
      </c>
      <c r="BA28" s="28">
        <v>80</v>
      </c>
      <c r="BB28" s="28">
        <v>80</v>
      </c>
      <c r="BC28" s="28">
        <v>93</v>
      </c>
      <c r="BD28" s="15">
        <f t="shared" si="7"/>
        <v>99</v>
      </c>
      <c r="BE28" s="15">
        <f t="shared" si="7"/>
        <v>0</v>
      </c>
      <c r="BF28" s="15">
        <f t="shared" si="8"/>
        <v>266</v>
      </c>
      <c r="BG28" s="15">
        <f t="shared" si="9"/>
        <v>13</v>
      </c>
      <c r="BH28" s="15">
        <f>SUMIFS(Dados!$Q:$Q,Dados!$O:$O,$AW28,Dados!$P:$P,BH$2)</f>
        <v>0</v>
      </c>
      <c r="BI28" s="15">
        <f>SUMIFS(Dados!$Q:$Q,Dados!$O:$O,$AW28,Dados!$P:$P,BI$2)</f>
        <v>0</v>
      </c>
      <c r="BJ28" s="15">
        <f>SUMIFS(Dados!$Q:$Q,Dados!$O:$O,$AW28,Dados!$P:$P,BJ$2)</f>
        <v>266</v>
      </c>
      <c r="BK28" s="15">
        <f>SUMIFS(Dados!$Q:$Q,Dados!$O:$O,$AW28,Dados!$P:$P,BK$2)</f>
        <v>0</v>
      </c>
      <c r="BL28" s="15">
        <v>99</v>
      </c>
      <c r="BM28" s="15">
        <v>0</v>
      </c>
      <c r="BN28" s="15">
        <v>0</v>
      </c>
      <c r="BO28" s="15">
        <v>0</v>
      </c>
      <c r="BP28" s="15">
        <f>IF(AZ28=AY28+BD28-BH28-BL28,0,1)</f>
        <v>0</v>
      </c>
      <c r="BQ28" s="15">
        <f>IF(BA28=AZ28+BE28-BI28-BM28,0,1)</f>
        <v>0</v>
      </c>
      <c r="BR28" s="15">
        <f t="shared" si="11"/>
        <v>0</v>
      </c>
      <c r="BS28" s="15">
        <f t="shared" si="20"/>
        <v>0</v>
      </c>
      <c r="BT28" s="15">
        <f t="shared" si="21"/>
        <v>0</v>
      </c>
      <c r="BV28" s="15">
        <v>26</v>
      </c>
      <c r="BW28" s="15">
        <f>Dados!I28</f>
        <v>80</v>
      </c>
      <c r="BX28" s="15">
        <f>Dados!J28-Dados!I28</f>
        <v>60</v>
      </c>
      <c r="BY28" s="15">
        <f t="shared" si="12"/>
        <v>83.25</v>
      </c>
      <c r="BZ28" s="15">
        <f t="shared" si="52"/>
        <v>3.25</v>
      </c>
      <c r="CA28" s="16">
        <f t="shared" si="53"/>
        <v>5.4166666666666669E-2</v>
      </c>
      <c r="CD28" s="15">
        <f t="shared" si="54"/>
        <v>54612</v>
      </c>
      <c r="CE28" s="15">
        <f t="shared" si="13"/>
        <v>52480</v>
      </c>
      <c r="CF28" s="15">
        <f t="shared" si="14"/>
        <v>91840</v>
      </c>
      <c r="CG28" s="16">
        <f t="shared" si="55"/>
        <v>5.4166666666666669E-2</v>
      </c>
      <c r="ED28" s="54"/>
    </row>
    <row r="29" spans="1:134" s="15" customFormat="1">
      <c r="A29" s="4"/>
      <c r="B29" s="15">
        <v>1</v>
      </c>
      <c r="C29" s="26">
        <v>3271916.2707070708</v>
      </c>
      <c r="D29" s="6"/>
      <c r="E29" s="4"/>
      <c r="F29" s="4">
        <v>27</v>
      </c>
      <c r="G29" s="4">
        <v>12</v>
      </c>
      <c r="H29" s="4">
        <v>3</v>
      </c>
      <c r="I29" s="4">
        <v>8</v>
      </c>
      <c r="J29" s="4">
        <v>12</v>
      </c>
      <c r="K29" s="4">
        <f t="shared" si="56"/>
        <v>0</v>
      </c>
      <c r="L29" s="4">
        <f t="shared" si="56"/>
        <v>0</v>
      </c>
      <c r="M29" s="4">
        <f t="shared" si="56"/>
        <v>0</v>
      </c>
      <c r="N29" s="4">
        <f t="shared" si="56"/>
        <v>0</v>
      </c>
      <c r="O29" s="4">
        <f t="shared" si="1"/>
        <v>0</v>
      </c>
      <c r="P29" s="4">
        <f t="shared" si="2"/>
        <v>0</v>
      </c>
      <c r="Q29" s="4">
        <f t="shared" si="3"/>
        <v>0</v>
      </c>
      <c r="R29" s="4">
        <f t="shared" si="4"/>
        <v>0</v>
      </c>
      <c r="S29" s="4">
        <f>IF(AND(VLOOKUP(G29,Dados!$D:$L,2,0)=VLOOKUP(I29,Dados!$S:$V,2,0),VLOOKUP(G29,Dados!$D:$L,3,0)=VLOOKUP(I29,Dados!$S:$V,3,0)),0,1)</f>
        <v>0</v>
      </c>
      <c r="T29" s="4">
        <f>IF(AND(VLOOKUP(G29,Dados!$D:$L,3,0)&lt;=VLOOKUP(H29,Dados!$X:$AB,2,0),VLOOKUP(G29,Dados!$D:$L,4,0)&gt;=VLOOKUP(H29,Dados!$X:$AB,3,0),VLOOKUP(G29,Dados!$D:$L,4,0)&lt;=VLOOKUP(H29,Dados!$X:$AB,4,0)),0,1)</f>
        <v>0</v>
      </c>
      <c r="U29" s="4">
        <f>IF(COUNTIFS(F:F,F29,H:H,H29)&lt;=VLOOKUP(H29,Dados!$X:$AB,5,0),0,1)</f>
        <v>0</v>
      </c>
      <c r="V29" s="4"/>
      <c r="W29" s="4">
        <v>573</v>
      </c>
      <c r="X29" s="4">
        <v>3</v>
      </c>
      <c r="Y29" s="15">
        <v>76</v>
      </c>
      <c r="Z29" s="4">
        <v>15</v>
      </c>
      <c r="AA29" s="4">
        <v>3</v>
      </c>
      <c r="AB29" s="4">
        <v>1</v>
      </c>
      <c r="AC29" s="4"/>
      <c r="AD29" s="4">
        <f>VLOOKUP(Z29,Dados!$S$3:$W$55,4,FALSE)</f>
        <v>5248</v>
      </c>
      <c r="AE29" s="4">
        <f t="shared" si="47"/>
        <v>228</v>
      </c>
      <c r="AF29" s="4">
        <f t="shared" si="48"/>
        <v>15744</v>
      </c>
      <c r="AG29" s="4"/>
      <c r="AH29" s="4"/>
      <c r="AI29" s="13">
        <f>VLOOKUP(Z29,Dados!$S$3:$V$55,2,FALSE)*VLOOKUP(Z29,Dados!$S$3:$V$55,3,FALSE)*VLOOKUP(Z29,Dados!$S$3:$V$55,4,FALSE)*0.00000785</f>
        <v>51.495999999999995</v>
      </c>
      <c r="AJ29" s="13">
        <f t="shared" si="49"/>
        <v>154.488</v>
      </c>
      <c r="AK29" s="13">
        <f t="shared" si="50"/>
        <v>0.74574999999999991</v>
      </c>
      <c r="AL29" s="13">
        <f t="shared" si="51"/>
        <v>2.2372499999999995</v>
      </c>
      <c r="AM29" s="4"/>
      <c r="AN29" s="4"/>
      <c r="AO29" s="4"/>
      <c r="AP29" s="4"/>
      <c r="AQ29" s="4"/>
      <c r="AR29" s="4"/>
      <c r="AS29" s="4"/>
      <c r="AT29" s="4"/>
      <c r="AU29" s="4"/>
      <c r="AV29" s="4">
        <f t="shared" si="6"/>
        <v>324</v>
      </c>
      <c r="AW29" s="15">
        <v>27</v>
      </c>
      <c r="AX29" s="15">
        <v>186</v>
      </c>
      <c r="AY29" s="4">
        <v>80</v>
      </c>
      <c r="AZ29" s="4">
        <v>80</v>
      </c>
      <c r="BA29" s="4">
        <v>82</v>
      </c>
      <c r="BB29" s="4">
        <v>82</v>
      </c>
      <c r="BC29" s="4">
        <v>80</v>
      </c>
      <c r="BD29" s="15">
        <f t="shared" si="7"/>
        <v>255</v>
      </c>
      <c r="BE29" s="15">
        <f t="shared" si="7"/>
        <v>2</v>
      </c>
      <c r="BF29" s="15">
        <f t="shared" si="8"/>
        <v>0</v>
      </c>
      <c r="BG29" s="15">
        <f t="shared" si="9"/>
        <v>97</v>
      </c>
      <c r="BH29" s="15">
        <f>SUMIFS(Dados!$Q:$Q,Dados!$O:$O,$AW29,Dados!$P:$P,BH$2)</f>
        <v>255</v>
      </c>
      <c r="BI29" s="15">
        <f>SUMIFS(Dados!$Q:$Q,Dados!$O:$O,$AW29,Dados!$P:$P,BI$2)</f>
        <v>0</v>
      </c>
      <c r="BJ29" s="15">
        <f>SUMIFS(Dados!$Q:$Q,Dados!$O:$O,$AW29,Dados!$P:$P,BJ$2)</f>
        <v>0</v>
      </c>
      <c r="BK29" s="15">
        <f>SUMIFS(Dados!$Q:$Q,Dados!$O:$O,$AW29,Dados!$P:$P,BK$2)</f>
        <v>0</v>
      </c>
      <c r="BL29" s="15">
        <v>0</v>
      </c>
      <c r="BM29" s="15">
        <v>0</v>
      </c>
      <c r="BN29" s="15">
        <v>0</v>
      </c>
      <c r="BO29" s="15">
        <v>99</v>
      </c>
      <c r="BP29" s="15">
        <f t="shared" si="10"/>
        <v>0</v>
      </c>
      <c r="BQ29" s="15">
        <f t="shared" si="10"/>
        <v>0</v>
      </c>
      <c r="BR29" s="15">
        <f t="shared" si="11"/>
        <v>0</v>
      </c>
      <c r="BS29" s="15">
        <f t="shared" si="20"/>
        <v>0</v>
      </c>
      <c r="BT29" s="15">
        <f t="shared" si="21"/>
        <v>0</v>
      </c>
      <c r="BV29" s="15">
        <v>27</v>
      </c>
      <c r="BW29" s="15">
        <f>Dados!I29</f>
        <v>80</v>
      </c>
      <c r="BX29" s="15">
        <f>Dados!J29-Dados!I29</f>
        <v>60</v>
      </c>
      <c r="BY29" s="15">
        <f t="shared" si="12"/>
        <v>81</v>
      </c>
      <c r="BZ29" s="15">
        <f t="shared" si="52"/>
        <v>1</v>
      </c>
      <c r="CA29" s="16">
        <f t="shared" si="53"/>
        <v>1.6666666666666666E-2</v>
      </c>
      <c r="CD29" s="15">
        <f t="shared" si="54"/>
        <v>60264</v>
      </c>
      <c r="CE29" s="15">
        <f t="shared" si="13"/>
        <v>59520</v>
      </c>
      <c r="CF29" s="15">
        <f t="shared" si="14"/>
        <v>104160</v>
      </c>
      <c r="CG29" s="16">
        <f t="shared" si="55"/>
        <v>1.6666666666666666E-2</v>
      </c>
      <c r="ED29" s="54"/>
    </row>
    <row r="30" spans="1:134" s="15" customFormat="1">
      <c r="A30" s="4"/>
      <c r="B30" s="15">
        <v>2</v>
      </c>
      <c r="C30" s="26">
        <v>2911121.0165970931</v>
      </c>
      <c r="D30" s="6"/>
      <c r="E30" s="4"/>
      <c r="F30" s="4">
        <v>28</v>
      </c>
      <c r="G30" s="4">
        <v>13</v>
      </c>
      <c r="H30" s="4">
        <v>1</v>
      </c>
      <c r="I30" s="4">
        <v>8</v>
      </c>
      <c r="J30" s="4">
        <v>9</v>
      </c>
      <c r="K30" s="4">
        <f t="shared" si="56"/>
        <v>0</v>
      </c>
      <c r="L30" s="4">
        <f t="shared" si="56"/>
        <v>0</v>
      </c>
      <c r="M30" s="4">
        <f t="shared" si="56"/>
        <v>0</v>
      </c>
      <c r="N30" s="4">
        <f t="shared" si="56"/>
        <v>0</v>
      </c>
      <c r="O30" s="4">
        <f t="shared" si="1"/>
        <v>0</v>
      </c>
      <c r="P30" s="4">
        <f t="shared" si="2"/>
        <v>0</v>
      </c>
      <c r="Q30" s="4">
        <f t="shared" si="3"/>
        <v>0</v>
      </c>
      <c r="R30" s="4">
        <f t="shared" si="4"/>
        <v>0</v>
      </c>
      <c r="S30" s="4">
        <f>IF(AND(VLOOKUP(G30,Dados!$D:$L,2,0)=VLOOKUP(I30,Dados!$S:$V,2,0),VLOOKUP(G30,Dados!$D:$L,3,0)=VLOOKUP(I30,Dados!$S:$V,3,0)),0,1)</f>
        <v>0</v>
      </c>
      <c r="T30" s="4">
        <f>IF(AND(VLOOKUP(G30,Dados!$D:$L,3,0)&lt;=VLOOKUP(H30,Dados!$X:$AB,2,0),VLOOKUP(G30,Dados!$D:$L,4,0)&gt;=VLOOKUP(H30,Dados!$X:$AB,3,0),VLOOKUP(G30,Dados!$D:$L,4,0)&lt;=VLOOKUP(H30,Dados!$X:$AB,4,0)),0,1)</f>
        <v>0</v>
      </c>
      <c r="U30" s="4">
        <f>IF(COUNTIFS(F:F,F30,H:H,H30)&lt;=VLOOKUP(H30,Dados!$X:$AB,5,0),0,1)</f>
        <v>0</v>
      </c>
      <c r="V30" s="4"/>
      <c r="W30" s="4">
        <v>749</v>
      </c>
      <c r="X30" s="4">
        <v>18</v>
      </c>
      <c r="Y30" s="4">
        <v>169</v>
      </c>
      <c r="Z30" s="4">
        <v>15</v>
      </c>
      <c r="AA30" s="4">
        <v>3</v>
      </c>
      <c r="AB30" s="4">
        <v>1</v>
      </c>
      <c r="AC30" s="4"/>
      <c r="AD30" s="4">
        <f>VLOOKUP(Z30,Dados!$S$3:$W$55,4,FALSE)</f>
        <v>5248</v>
      </c>
      <c r="AE30" s="4">
        <f t="shared" si="47"/>
        <v>3042</v>
      </c>
      <c r="AF30" s="4">
        <f t="shared" si="48"/>
        <v>94464</v>
      </c>
      <c r="AG30" s="4"/>
      <c r="AH30" s="4"/>
      <c r="AI30" s="13">
        <f>VLOOKUP(Z30,Dados!$S$3:$V$55,2,FALSE)*VLOOKUP(Z30,Dados!$S$3:$V$55,3,FALSE)*VLOOKUP(Z30,Dados!$S$3:$V$55,4,FALSE)*0.00000785</f>
        <v>51.495999999999995</v>
      </c>
      <c r="AJ30" s="13">
        <f t="shared" si="49"/>
        <v>926.92799999999988</v>
      </c>
      <c r="AK30" s="13">
        <f t="shared" si="50"/>
        <v>1.6583124999999996</v>
      </c>
      <c r="AL30" s="13">
        <f t="shared" si="51"/>
        <v>29.849624999999993</v>
      </c>
      <c r="AM30" s="4"/>
      <c r="AN30" s="4"/>
      <c r="AO30" s="4"/>
      <c r="AP30" s="4"/>
      <c r="AQ30" s="4"/>
      <c r="AR30" s="4"/>
      <c r="AS30" s="4"/>
      <c r="AT30" s="4"/>
      <c r="AU30" s="4"/>
      <c r="AV30" s="4">
        <f t="shared" si="6"/>
        <v>324</v>
      </c>
      <c r="AW30" s="15">
        <v>28</v>
      </c>
      <c r="AX30" s="15">
        <v>121</v>
      </c>
      <c r="AY30" s="4">
        <v>80</v>
      </c>
      <c r="AZ30" s="4">
        <v>80</v>
      </c>
      <c r="BA30" s="4">
        <v>80</v>
      </c>
      <c r="BB30" s="4">
        <v>84</v>
      </c>
      <c r="BC30" s="28">
        <v>80</v>
      </c>
      <c r="BD30" s="15">
        <f t="shared" si="7"/>
        <v>237</v>
      </c>
      <c r="BE30" s="15">
        <f t="shared" si="7"/>
        <v>0</v>
      </c>
      <c r="BF30" s="15">
        <f t="shared" si="8"/>
        <v>4</v>
      </c>
      <c r="BG30" s="15">
        <f t="shared" si="9"/>
        <v>95</v>
      </c>
      <c r="BH30" s="15">
        <f>SUMIFS(Dados!$Q:$Q,Dados!$O:$O,$AW30,Dados!$P:$P,BH$2)</f>
        <v>237</v>
      </c>
      <c r="BI30" s="15">
        <f>SUMIFS(Dados!$Q:$Q,Dados!$O:$O,$AW30,Dados!$P:$P,BI$2)</f>
        <v>0</v>
      </c>
      <c r="BJ30" s="15">
        <f>SUMIFS(Dados!$Q:$Q,Dados!$O:$O,$AW30,Dados!$P:$P,BJ$2)</f>
        <v>0</v>
      </c>
      <c r="BK30" s="15">
        <f>SUMIFS(Dados!$Q:$Q,Dados!$O:$O,$AW30,Dados!$P:$P,BK$2)</f>
        <v>0</v>
      </c>
      <c r="BL30" s="15">
        <v>0</v>
      </c>
      <c r="BM30" s="15">
        <v>0</v>
      </c>
      <c r="BN30" s="15">
        <v>0</v>
      </c>
      <c r="BO30" s="15">
        <v>99</v>
      </c>
      <c r="BP30" s="15">
        <f t="shared" si="10"/>
        <v>0</v>
      </c>
      <c r="BQ30" s="15">
        <f t="shared" si="10"/>
        <v>0</v>
      </c>
      <c r="BR30" s="15">
        <f t="shared" si="11"/>
        <v>0</v>
      </c>
      <c r="BS30" s="15">
        <f t="shared" si="20"/>
        <v>0</v>
      </c>
      <c r="BT30" s="15">
        <f t="shared" si="21"/>
        <v>0</v>
      </c>
      <c r="BV30" s="15">
        <v>28</v>
      </c>
      <c r="BW30" s="15">
        <f>Dados!I30</f>
        <v>80</v>
      </c>
      <c r="BX30" s="15">
        <f>Dados!J30-Dados!I30</f>
        <v>60</v>
      </c>
      <c r="BY30" s="15">
        <f t="shared" si="12"/>
        <v>81</v>
      </c>
      <c r="BZ30" s="15">
        <f t="shared" si="52"/>
        <v>1</v>
      </c>
      <c r="CA30" s="16">
        <f t="shared" si="53"/>
        <v>1.6666666666666666E-2</v>
      </c>
      <c r="CD30" s="15">
        <f t="shared" si="54"/>
        <v>39204</v>
      </c>
      <c r="CE30" s="15">
        <f t="shared" si="13"/>
        <v>38720</v>
      </c>
      <c r="CF30" s="15">
        <f t="shared" si="14"/>
        <v>67760</v>
      </c>
      <c r="CG30" s="16">
        <f t="shared" si="55"/>
        <v>1.6666666666666666E-2</v>
      </c>
      <c r="ED30" s="54"/>
    </row>
    <row r="31" spans="1:134" s="15" customFormat="1">
      <c r="A31" s="4"/>
      <c r="B31" s="15">
        <v>3</v>
      </c>
      <c r="C31" s="26">
        <v>2794636.9436133509</v>
      </c>
      <c r="D31" s="4"/>
      <c r="E31" s="4"/>
      <c r="F31" s="4">
        <v>29</v>
      </c>
      <c r="G31" s="4">
        <v>13</v>
      </c>
      <c r="H31" s="4">
        <v>3</v>
      </c>
      <c r="I31" s="4">
        <v>8</v>
      </c>
      <c r="J31" s="4">
        <v>9</v>
      </c>
      <c r="K31" s="4">
        <f t="shared" si="56"/>
        <v>0</v>
      </c>
      <c r="L31" s="4">
        <f t="shared" si="56"/>
        <v>0</v>
      </c>
      <c r="M31" s="4">
        <f t="shared" si="56"/>
        <v>0</v>
      </c>
      <c r="N31" s="4">
        <f t="shared" si="56"/>
        <v>0</v>
      </c>
      <c r="O31" s="4">
        <f t="shared" si="1"/>
        <v>0</v>
      </c>
      <c r="P31" s="4">
        <f t="shared" si="2"/>
        <v>0</v>
      </c>
      <c r="Q31" s="4">
        <f t="shared" si="3"/>
        <v>0</v>
      </c>
      <c r="R31" s="4">
        <f t="shared" si="4"/>
        <v>0</v>
      </c>
      <c r="S31" s="4">
        <f>IF(AND(VLOOKUP(G31,Dados!$D:$L,2,0)=VLOOKUP(I31,Dados!$S:$V,2,0),VLOOKUP(G31,Dados!$D:$L,3,0)=VLOOKUP(I31,Dados!$S:$V,3,0)),0,1)</f>
        <v>0</v>
      </c>
      <c r="T31" s="4">
        <f>IF(AND(VLOOKUP(G31,Dados!$D:$L,3,0)&lt;=VLOOKUP(H31,Dados!$X:$AB,2,0),VLOOKUP(G31,Dados!$D:$L,4,0)&gt;=VLOOKUP(H31,Dados!$X:$AB,3,0),VLOOKUP(G31,Dados!$D:$L,4,0)&lt;=VLOOKUP(H31,Dados!$X:$AB,4,0)),0,1)</f>
        <v>0</v>
      </c>
      <c r="U31" s="4">
        <f>IF(COUNTIFS(F:F,F31,H:H,H31)&lt;=VLOOKUP(H31,Dados!$X:$AB,5,0),0,1)</f>
        <v>0</v>
      </c>
      <c r="V31" s="4"/>
      <c r="W31" s="4">
        <v>785</v>
      </c>
      <c r="X31" s="4">
        <v>2</v>
      </c>
      <c r="Y31" s="15">
        <v>54</v>
      </c>
      <c r="Z31" s="4">
        <v>15</v>
      </c>
      <c r="AA31" s="4">
        <v>3</v>
      </c>
      <c r="AB31" s="4">
        <v>1</v>
      </c>
      <c r="AC31" s="4"/>
      <c r="AD31" s="4">
        <f>VLOOKUP(Z31,Dados!$S$3:$W$55,4,FALSE)</f>
        <v>5248</v>
      </c>
      <c r="AE31" s="4">
        <f t="shared" si="47"/>
        <v>108</v>
      </c>
      <c r="AF31" s="4">
        <f t="shared" si="48"/>
        <v>10496</v>
      </c>
      <c r="AG31" s="4"/>
      <c r="AH31" s="4"/>
      <c r="AI31" s="13">
        <f>VLOOKUP(Z31,Dados!$S$3:$V$55,2,FALSE)*VLOOKUP(Z31,Dados!$S$3:$V$55,3,FALSE)*VLOOKUP(Z31,Dados!$S$3:$V$55,4,FALSE)*0.00000785</f>
        <v>51.495999999999995</v>
      </c>
      <c r="AJ31" s="13">
        <f t="shared" si="49"/>
        <v>102.99199999999999</v>
      </c>
      <c r="AK31" s="13">
        <f t="shared" si="50"/>
        <v>0.52987499999999987</v>
      </c>
      <c r="AL31" s="13">
        <f t="shared" si="51"/>
        <v>1.0597499999999997</v>
      </c>
      <c r="AM31" s="4"/>
      <c r="AN31" s="4"/>
      <c r="AO31" s="4"/>
      <c r="AP31" s="4"/>
      <c r="AQ31" s="4"/>
      <c r="AR31" s="4"/>
      <c r="AS31" s="4"/>
      <c r="AT31" s="4"/>
      <c r="AU31" s="4"/>
      <c r="AV31" s="4">
        <f t="shared" si="6"/>
        <v>185</v>
      </c>
      <c r="AW31" s="15">
        <v>29</v>
      </c>
      <c r="AX31" s="15">
        <v>214</v>
      </c>
      <c r="AY31" s="4">
        <v>45</v>
      </c>
      <c r="AZ31" s="28">
        <v>50</v>
      </c>
      <c r="BA31" s="28">
        <v>45</v>
      </c>
      <c r="BB31" s="28">
        <v>45</v>
      </c>
      <c r="BC31" s="4">
        <v>45</v>
      </c>
      <c r="BD31" s="15">
        <f t="shared" si="7"/>
        <v>5</v>
      </c>
      <c r="BE31" s="15">
        <f t="shared" si="7"/>
        <v>189</v>
      </c>
      <c r="BF31" s="15">
        <f t="shared" si="8"/>
        <v>0</v>
      </c>
      <c r="BG31" s="15">
        <f t="shared" si="9"/>
        <v>0</v>
      </c>
      <c r="BH31" s="15">
        <f>SUMIFS(Dados!$Q:$Q,Dados!$O:$O,$AW31,Dados!$P:$P,BH$2)</f>
        <v>0</v>
      </c>
      <c r="BI31" s="15">
        <f>SUMIFS(Dados!$Q:$Q,Dados!$O:$O,$AW31,Dados!$P:$P,BI$2)</f>
        <v>172</v>
      </c>
      <c r="BJ31" s="15">
        <f>SUMIFS(Dados!$Q:$Q,Dados!$O:$O,$AW31,Dados!$P:$P,BJ$2)</f>
        <v>0</v>
      </c>
      <c r="BK31" s="15">
        <f>SUMIFS(Dados!$Q:$Q,Dados!$O:$O,$AW31,Dados!$P:$P,BK$2)</f>
        <v>0</v>
      </c>
      <c r="BL31" s="15">
        <v>0</v>
      </c>
      <c r="BM31" s="15">
        <v>22</v>
      </c>
      <c r="BN31" s="15">
        <v>0</v>
      </c>
      <c r="BO31" s="15">
        <v>0</v>
      </c>
      <c r="BP31" s="15">
        <f t="shared" si="10"/>
        <v>0</v>
      </c>
      <c r="BQ31" s="15">
        <f t="shared" si="10"/>
        <v>0</v>
      </c>
      <c r="BR31" s="15">
        <f t="shared" si="11"/>
        <v>0</v>
      </c>
      <c r="BS31" s="15">
        <f t="shared" si="20"/>
        <v>0</v>
      </c>
      <c r="BT31" s="15">
        <f t="shared" si="21"/>
        <v>0</v>
      </c>
      <c r="BV31" s="15">
        <v>29</v>
      </c>
      <c r="BW31" s="15">
        <f>Dados!I31</f>
        <v>45</v>
      </c>
      <c r="BX31" s="15">
        <f>Dados!J31-Dados!I31</f>
        <v>45</v>
      </c>
      <c r="BY31" s="15">
        <f t="shared" si="12"/>
        <v>46.25</v>
      </c>
      <c r="BZ31" s="15">
        <f t="shared" si="52"/>
        <v>1.25</v>
      </c>
      <c r="CA31" s="16">
        <f t="shared" si="53"/>
        <v>2.7777777777777776E-2</v>
      </c>
      <c r="CD31" s="15">
        <f t="shared" si="54"/>
        <v>39590</v>
      </c>
      <c r="CE31" s="15">
        <f t="shared" si="13"/>
        <v>38520</v>
      </c>
      <c r="CF31" s="15">
        <f t="shared" si="14"/>
        <v>77040</v>
      </c>
      <c r="CG31" s="16">
        <f t="shared" si="55"/>
        <v>2.7777777777777776E-2</v>
      </c>
      <c r="ED31" s="54"/>
    </row>
    <row r="32" spans="1:134" s="15" customFormat="1">
      <c r="A32" s="4"/>
      <c r="B32" s="15">
        <v>4</v>
      </c>
      <c r="C32" s="27">
        <v>2750115.7803109922</v>
      </c>
      <c r="D32" s="4"/>
      <c r="E32" s="4"/>
      <c r="F32" s="4">
        <v>30</v>
      </c>
      <c r="G32" s="4">
        <v>14</v>
      </c>
      <c r="H32" s="4">
        <v>1</v>
      </c>
      <c r="I32" s="4">
        <v>8</v>
      </c>
      <c r="J32" s="4">
        <v>10</v>
      </c>
      <c r="K32" s="4">
        <f t="shared" si="56"/>
        <v>0</v>
      </c>
      <c r="L32" s="4">
        <f t="shared" si="56"/>
        <v>0</v>
      </c>
      <c r="M32" s="4">
        <f t="shared" si="56"/>
        <v>0</v>
      </c>
      <c r="N32" s="4">
        <f t="shared" si="56"/>
        <v>0</v>
      </c>
      <c r="O32" s="4">
        <f t="shared" si="1"/>
        <v>0</v>
      </c>
      <c r="P32" s="4">
        <f t="shared" si="2"/>
        <v>0</v>
      </c>
      <c r="Q32" s="4">
        <f t="shared" si="3"/>
        <v>0</v>
      </c>
      <c r="R32" s="4">
        <f t="shared" si="4"/>
        <v>0</v>
      </c>
      <c r="S32" s="4">
        <f>IF(AND(VLOOKUP(G32,Dados!$D:$L,2,0)=VLOOKUP(I32,Dados!$S:$V,2,0),VLOOKUP(G32,Dados!$D:$L,3,0)=VLOOKUP(I32,Dados!$S:$V,3,0)),0,1)</f>
        <v>0</v>
      </c>
      <c r="T32" s="4">
        <f>IF(AND(VLOOKUP(G32,Dados!$D:$L,3,0)&lt;=VLOOKUP(H32,Dados!$X:$AB,2,0),VLOOKUP(G32,Dados!$D:$L,4,0)&gt;=VLOOKUP(H32,Dados!$X:$AB,3,0),VLOOKUP(G32,Dados!$D:$L,4,0)&lt;=VLOOKUP(H32,Dados!$X:$AB,4,0)),0,1)</f>
        <v>0</v>
      </c>
      <c r="U32" s="4">
        <f>IF(COUNTIFS(F:F,F32,H:H,H32)&lt;=VLOOKUP(H32,Dados!$X:$AB,5,0),0,1)</f>
        <v>0</v>
      </c>
      <c r="V32" s="4"/>
      <c r="W32" s="4">
        <v>68</v>
      </c>
      <c r="X32" s="4">
        <v>1</v>
      </c>
      <c r="Y32" s="15">
        <v>125</v>
      </c>
      <c r="Z32" s="4">
        <v>16</v>
      </c>
      <c r="AA32" s="4">
        <v>1</v>
      </c>
      <c r="AB32" s="4">
        <v>1</v>
      </c>
      <c r="AC32" s="4"/>
      <c r="AD32" s="4">
        <f>VLOOKUP(Z32,Dados!$S$3:$W$55,4,FALSE)</f>
        <v>5273</v>
      </c>
      <c r="AE32" s="4">
        <f t="shared" si="47"/>
        <v>125</v>
      </c>
      <c r="AF32" s="4">
        <f t="shared" si="48"/>
        <v>5273</v>
      </c>
      <c r="AG32" s="4"/>
      <c r="AH32" s="4"/>
      <c r="AI32" s="13">
        <f>VLOOKUP(Z32,Dados!$S$3:$V$55,2,FALSE)*VLOOKUP(Z32,Dados!$S$3:$V$55,3,FALSE)*VLOOKUP(Z32,Dados!$S$3:$V$55,4,FALSE)*0.00000785</f>
        <v>22.600605299999998</v>
      </c>
      <c r="AJ32" s="13">
        <f t="shared" si="49"/>
        <v>22.600605299999998</v>
      </c>
      <c r="AK32" s="13">
        <f t="shared" si="50"/>
        <v>0.53576249999999992</v>
      </c>
      <c r="AL32" s="13">
        <f t="shared" si="51"/>
        <v>0.53576249999999992</v>
      </c>
      <c r="AM32" s="4"/>
      <c r="AN32" s="4"/>
      <c r="AO32" s="4"/>
      <c r="AP32" s="4"/>
      <c r="AQ32" s="4"/>
      <c r="AR32" s="4"/>
      <c r="AS32" s="4"/>
      <c r="AT32" s="4"/>
      <c r="AU32" s="4"/>
      <c r="AV32" s="4">
        <f t="shared" si="6"/>
        <v>2</v>
      </c>
      <c r="AW32" s="15">
        <v>30</v>
      </c>
      <c r="AX32" s="15">
        <v>183</v>
      </c>
      <c r="AY32" s="4">
        <v>0</v>
      </c>
      <c r="AZ32" s="28">
        <v>0</v>
      </c>
      <c r="BA32" s="4">
        <v>1</v>
      </c>
      <c r="BB32" s="28">
        <v>1</v>
      </c>
      <c r="BC32" s="4">
        <v>0</v>
      </c>
      <c r="BD32" s="15">
        <f t="shared" si="7"/>
        <v>52</v>
      </c>
      <c r="BE32" s="15">
        <f t="shared" si="7"/>
        <v>1</v>
      </c>
      <c r="BF32" s="15">
        <f t="shared" si="8"/>
        <v>0</v>
      </c>
      <c r="BG32" s="15">
        <f t="shared" si="9"/>
        <v>32</v>
      </c>
      <c r="BH32" s="15">
        <f>SUMIFS(Dados!$Q:$Q,Dados!$O:$O,$AW32,Dados!$P:$P,BH$2)</f>
        <v>52</v>
      </c>
      <c r="BI32" s="15">
        <f>SUMIFS(Dados!$Q:$Q,Dados!$O:$O,$AW32,Dados!$P:$P,BI$2)</f>
        <v>0</v>
      </c>
      <c r="BJ32" s="15">
        <f>SUMIFS(Dados!$Q:$Q,Dados!$O:$O,$AW32,Dados!$P:$P,BJ$2)</f>
        <v>0</v>
      </c>
      <c r="BK32" s="15">
        <f>SUMIFS(Dados!$Q:$Q,Dados!$O:$O,$AW32,Dados!$P:$P,BK$2)</f>
        <v>0</v>
      </c>
      <c r="BL32" s="15">
        <v>0</v>
      </c>
      <c r="BM32" s="15">
        <v>0</v>
      </c>
      <c r="BN32" s="15">
        <v>0</v>
      </c>
      <c r="BO32" s="15">
        <v>33</v>
      </c>
      <c r="BP32" s="15">
        <f t="shared" si="10"/>
        <v>0</v>
      </c>
      <c r="BQ32" s="15">
        <f t="shared" si="10"/>
        <v>0</v>
      </c>
      <c r="BR32" s="15">
        <f t="shared" si="11"/>
        <v>0</v>
      </c>
      <c r="BS32" s="15">
        <f t="shared" si="20"/>
        <v>0</v>
      </c>
      <c r="BT32" s="15">
        <f t="shared" si="21"/>
        <v>0</v>
      </c>
      <c r="BV32" s="15">
        <v>30</v>
      </c>
      <c r="BW32" s="15">
        <f>Dados!I32</f>
        <v>0</v>
      </c>
      <c r="BX32" s="15">
        <f>Dados!J32-Dados!I32</f>
        <v>30</v>
      </c>
      <c r="BY32" s="15">
        <f t="shared" si="12"/>
        <v>0.5</v>
      </c>
      <c r="BZ32" s="15">
        <f t="shared" si="52"/>
        <v>0.5</v>
      </c>
      <c r="CA32" s="16">
        <f t="shared" si="53"/>
        <v>1.6666666666666666E-2</v>
      </c>
      <c r="CD32" s="15">
        <f t="shared" si="54"/>
        <v>366</v>
      </c>
      <c r="CE32" s="15">
        <f t="shared" si="13"/>
        <v>0</v>
      </c>
      <c r="CF32" s="15">
        <f t="shared" si="14"/>
        <v>21960</v>
      </c>
      <c r="CG32" s="16">
        <f t="shared" si="55"/>
        <v>1.6666666666666666E-2</v>
      </c>
      <c r="ED32" s="54"/>
    </row>
    <row r="33" spans="1:85">
      <c r="B33" s="15">
        <v>5</v>
      </c>
      <c r="C33" s="27">
        <v>2737823.2435016171</v>
      </c>
      <c r="F33" s="4">
        <v>31</v>
      </c>
      <c r="G33" s="4">
        <v>14</v>
      </c>
      <c r="H33" s="4">
        <v>3</v>
      </c>
      <c r="I33" s="4">
        <v>8</v>
      </c>
      <c r="J33" s="4">
        <v>10</v>
      </c>
      <c r="K33" s="4">
        <f t="shared" si="56"/>
        <v>0</v>
      </c>
      <c r="L33" s="4">
        <f t="shared" si="56"/>
        <v>0</v>
      </c>
      <c r="M33" s="4">
        <f t="shared" si="56"/>
        <v>0</v>
      </c>
      <c r="N33" s="4">
        <f t="shared" si="56"/>
        <v>0</v>
      </c>
      <c r="O33" s="4">
        <f t="shared" si="1"/>
        <v>0</v>
      </c>
      <c r="P33" s="4">
        <f t="shared" si="2"/>
        <v>0</v>
      </c>
      <c r="Q33" s="4">
        <f t="shared" si="3"/>
        <v>0</v>
      </c>
      <c r="R33" s="4">
        <f t="shared" si="4"/>
        <v>0</v>
      </c>
      <c r="S33" s="4">
        <f>IF(AND(VLOOKUP(G33,Dados!$D:$L,2,0)=VLOOKUP(I33,Dados!$S:$V,2,0),VLOOKUP(G33,Dados!$D:$L,3,0)=VLOOKUP(I33,Dados!$S:$V,3,0)),0,1)</f>
        <v>0</v>
      </c>
      <c r="T33" s="4">
        <f>IF(AND(VLOOKUP(G33,Dados!$D:$L,3,0)&lt;=VLOOKUP(H33,Dados!$X:$AB,2,0),VLOOKUP(G33,Dados!$D:$L,4,0)&gt;=VLOOKUP(H33,Dados!$X:$AB,3,0),VLOOKUP(G33,Dados!$D:$L,4,0)&lt;=VLOOKUP(H33,Dados!$X:$AB,4,0)),0,1)</f>
        <v>0</v>
      </c>
      <c r="U33" s="4">
        <f>IF(COUNTIFS(F:F,F33,H:H,H33)&lt;=VLOOKUP(H33,Dados!$X:$AB,5,0),0,1)</f>
        <v>0</v>
      </c>
      <c r="W33" s="4">
        <v>444</v>
      </c>
      <c r="X33" s="4">
        <v>1</v>
      </c>
      <c r="Y33" s="4">
        <v>27</v>
      </c>
      <c r="Z33" s="4">
        <v>16</v>
      </c>
      <c r="AA33" s="4">
        <v>1</v>
      </c>
      <c r="AB33" s="4">
        <v>1</v>
      </c>
      <c r="AD33" s="4">
        <f>VLOOKUP(Z33,Dados!$S$3:$W$55,4,FALSE)</f>
        <v>5273</v>
      </c>
      <c r="AE33" s="4">
        <f t="shared" si="47"/>
        <v>27</v>
      </c>
      <c r="AF33" s="4">
        <f t="shared" si="48"/>
        <v>5273</v>
      </c>
      <c r="AI33" s="13">
        <f>VLOOKUP(Z33,Dados!$S$3:$V$55,2,FALSE)*VLOOKUP(Z33,Dados!$S$3:$V$55,3,FALSE)*VLOOKUP(Z33,Dados!$S$3:$V$55,4,FALSE)*0.00000785</f>
        <v>22.600605299999998</v>
      </c>
      <c r="AJ33" s="13">
        <f t="shared" si="49"/>
        <v>22.600605299999998</v>
      </c>
      <c r="AK33" s="13">
        <f t="shared" si="50"/>
        <v>0.11572469999999999</v>
      </c>
      <c r="AL33" s="13">
        <f t="shared" si="51"/>
        <v>0.11572469999999999</v>
      </c>
      <c r="AV33" s="4">
        <f t="shared" si="6"/>
        <v>86</v>
      </c>
      <c r="AW33" s="15">
        <v>31</v>
      </c>
      <c r="AX33" s="4">
        <v>119</v>
      </c>
      <c r="AY33" s="4">
        <v>20</v>
      </c>
      <c r="AZ33" s="28">
        <v>20</v>
      </c>
      <c r="BA33" s="4">
        <v>20</v>
      </c>
      <c r="BB33" s="28">
        <v>20</v>
      </c>
      <c r="BC33" s="28">
        <v>26</v>
      </c>
      <c r="BD33" s="15">
        <f t="shared" si="7"/>
        <v>122</v>
      </c>
      <c r="BE33" s="15">
        <f t="shared" si="7"/>
        <v>0</v>
      </c>
      <c r="BF33" s="15">
        <f t="shared" si="8"/>
        <v>8</v>
      </c>
      <c r="BG33" s="15">
        <f t="shared" si="9"/>
        <v>6</v>
      </c>
      <c r="BH33" s="15">
        <f>SUMIFS(Dados!$Q:$Q,Dados!$O:$O,$AW33,Dados!$P:$P,BH$2)</f>
        <v>72</v>
      </c>
      <c r="BI33" s="15">
        <f>SUMIFS(Dados!$Q:$Q,Dados!$O:$O,$AW33,Dados!$P:$P,BI$2)</f>
        <v>0</v>
      </c>
      <c r="BJ33" s="15">
        <f>SUMIFS(Dados!$Q:$Q,Dados!$O:$O,$AW33,Dados!$P:$P,BJ$2)</f>
        <v>0</v>
      </c>
      <c r="BK33" s="15">
        <f>SUMIFS(Dados!$Q:$Q,Dados!$O:$O,$AW33,Dados!$P:$P,BK$2)</f>
        <v>0</v>
      </c>
      <c r="BL33" s="15">
        <v>50</v>
      </c>
      <c r="BM33" s="15">
        <v>0</v>
      </c>
      <c r="BN33" s="15">
        <v>8</v>
      </c>
      <c r="BO33" s="15">
        <v>0</v>
      </c>
      <c r="BP33" s="15">
        <f t="shared" si="10"/>
        <v>0</v>
      </c>
      <c r="BQ33" s="15">
        <f t="shared" si="10"/>
        <v>0</v>
      </c>
      <c r="BR33" s="15">
        <f t="shared" si="11"/>
        <v>0</v>
      </c>
      <c r="BS33" s="15">
        <f t="shared" si="20"/>
        <v>0</v>
      </c>
      <c r="BT33" s="15">
        <f t="shared" si="21"/>
        <v>0</v>
      </c>
      <c r="BU33" s="15"/>
      <c r="BV33" s="15">
        <v>31</v>
      </c>
      <c r="BW33" s="15">
        <f>Dados!I33</f>
        <v>20</v>
      </c>
      <c r="BX33" s="15">
        <f>Dados!J33-Dados!I33</f>
        <v>35</v>
      </c>
      <c r="BY33" s="15">
        <f t="shared" si="12"/>
        <v>21.5</v>
      </c>
      <c r="BZ33" s="15">
        <f t="shared" si="52"/>
        <v>1.5</v>
      </c>
      <c r="CA33" s="16">
        <f t="shared" si="53"/>
        <v>4.2857142857142858E-2</v>
      </c>
      <c r="CD33" s="15">
        <f t="shared" si="54"/>
        <v>10234</v>
      </c>
      <c r="CE33" s="15">
        <f t="shared" si="13"/>
        <v>9520</v>
      </c>
      <c r="CF33" s="15">
        <f t="shared" si="14"/>
        <v>26180</v>
      </c>
      <c r="CG33" s="16">
        <f t="shared" si="55"/>
        <v>4.2857142857142858E-2</v>
      </c>
    </row>
    <row r="34" spans="1:85">
      <c r="B34" s="15">
        <v>6</v>
      </c>
      <c r="C34" s="27">
        <v>2718246.2607351029</v>
      </c>
      <c r="F34" s="4">
        <v>32</v>
      </c>
      <c r="G34" s="4">
        <v>15</v>
      </c>
      <c r="H34" s="4">
        <v>1</v>
      </c>
      <c r="I34" s="4">
        <v>8</v>
      </c>
      <c r="J34" s="4">
        <v>8</v>
      </c>
      <c r="K34" s="4">
        <f t="shared" si="56"/>
        <v>0</v>
      </c>
      <c r="L34" s="4">
        <f t="shared" si="56"/>
        <v>0</v>
      </c>
      <c r="M34" s="4">
        <f t="shared" si="56"/>
        <v>0</v>
      </c>
      <c r="N34" s="4">
        <f t="shared" si="56"/>
        <v>0</v>
      </c>
      <c r="O34" s="4">
        <f t="shared" si="1"/>
        <v>0</v>
      </c>
      <c r="P34" s="4">
        <f t="shared" si="2"/>
        <v>0</v>
      </c>
      <c r="Q34" s="4">
        <f t="shared" si="3"/>
        <v>0</v>
      </c>
      <c r="R34" s="4">
        <f t="shared" si="4"/>
        <v>0</v>
      </c>
      <c r="S34" s="4">
        <f>IF(AND(VLOOKUP(G34,Dados!$D:$L,2,0)=VLOOKUP(I34,Dados!$S:$V,2,0),VLOOKUP(G34,Dados!$D:$L,3,0)=VLOOKUP(I34,Dados!$S:$V,3,0)),0,1)</f>
        <v>0</v>
      </c>
      <c r="T34" s="4">
        <f>IF(AND(VLOOKUP(G34,Dados!$D:$L,3,0)&lt;=VLOOKUP(H34,Dados!$X:$AB,2,0),VLOOKUP(G34,Dados!$D:$L,4,0)&gt;=VLOOKUP(H34,Dados!$X:$AB,3,0),VLOOKUP(G34,Dados!$D:$L,4,0)&lt;=VLOOKUP(H34,Dados!$X:$AB,4,0)),0,1)</f>
        <v>0</v>
      </c>
      <c r="U34" s="4">
        <f>IF(COUNTIFS(F:F,F34,H:H,H34)&lt;=VLOOKUP(H34,Dados!$X:$AB,5,0),0,1)</f>
        <v>0</v>
      </c>
      <c r="W34" s="4">
        <v>1027</v>
      </c>
      <c r="X34" s="4">
        <v>1</v>
      </c>
      <c r="Y34" s="15">
        <v>41</v>
      </c>
      <c r="Z34" s="4">
        <v>16</v>
      </c>
      <c r="AA34" s="4">
        <v>1</v>
      </c>
      <c r="AB34" s="4">
        <v>1</v>
      </c>
      <c r="AD34" s="4">
        <f>VLOOKUP(Z34,Dados!$S$3:$W$55,4,FALSE)</f>
        <v>5273</v>
      </c>
      <c r="AE34" s="4">
        <f t="shared" si="47"/>
        <v>41</v>
      </c>
      <c r="AF34" s="4">
        <f t="shared" si="48"/>
        <v>5273</v>
      </c>
      <c r="AI34" s="13">
        <f>VLOOKUP(Z34,Dados!$S$3:$V$55,2,FALSE)*VLOOKUP(Z34,Dados!$S$3:$V$55,3,FALSE)*VLOOKUP(Z34,Dados!$S$3:$V$55,4,FALSE)*0.00000785</f>
        <v>22.600605299999998</v>
      </c>
      <c r="AJ34" s="13">
        <f t="shared" si="49"/>
        <v>22.600605299999998</v>
      </c>
      <c r="AK34" s="13">
        <f t="shared" si="50"/>
        <v>0.17573009999999997</v>
      </c>
      <c r="AL34" s="13">
        <f t="shared" si="51"/>
        <v>0.17573009999999997</v>
      </c>
      <c r="AV34" s="4">
        <f t="shared" si="6"/>
        <v>321</v>
      </c>
      <c r="AW34" s="15">
        <v>32</v>
      </c>
      <c r="AX34" s="4">
        <v>195</v>
      </c>
      <c r="AY34" s="4">
        <v>80</v>
      </c>
      <c r="AZ34" s="28">
        <v>81</v>
      </c>
      <c r="BA34" s="28">
        <v>80</v>
      </c>
      <c r="BB34" s="4">
        <v>80</v>
      </c>
      <c r="BC34" s="4">
        <v>80</v>
      </c>
      <c r="BD34" s="15">
        <f t="shared" si="7"/>
        <v>1</v>
      </c>
      <c r="BE34" s="15">
        <f t="shared" si="7"/>
        <v>393</v>
      </c>
      <c r="BF34" s="15">
        <f t="shared" si="8"/>
        <v>0</v>
      </c>
      <c r="BG34" s="15">
        <f t="shared" si="9"/>
        <v>0</v>
      </c>
      <c r="BH34" s="15">
        <f>SUMIFS(Dados!$Q:$Q,Dados!$O:$O,$AW34,Dados!$P:$P,BH$2)</f>
        <v>0</v>
      </c>
      <c r="BI34" s="15">
        <f>SUMIFS(Dados!$Q:$Q,Dados!$O:$O,$AW34,Dados!$P:$P,BI$2)</f>
        <v>274</v>
      </c>
      <c r="BJ34" s="15">
        <f>SUMIFS(Dados!$Q:$Q,Dados!$O:$O,$AW34,Dados!$P:$P,BJ$2)</f>
        <v>0</v>
      </c>
      <c r="BK34" s="15">
        <f>SUMIFS(Dados!$Q:$Q,Dados!$O:$O,$AW34,Dados!$P:$P,BK$2)</f>
        <v>0</v>
      </c>
      <c r="BL34" s="15">
        <v>0</v>
      </c>
      <c r="BM34" s="15">
        <v>120</v>
      </c>
      <c r="BN34" s="15">
        <v>0</v>
      </c>
      <c r="BO34" s="15">
        <v>0</v>
      </c>
      <c r="BP34" s="15">
        <f t="shared" si="10"/>
        <v>0</v>
      </c>
      <c r="BQ34" s="15">
        <f t="shared" si="10"/>
        <v>0</v>
      </c>
      <c r="BR34" s="15">
        <f t="shared" si="11"/>
        <v>0</v>
      </c>
      <c r="BS34" s="15">
        <f t="shared" si="20"/>
        <v>0</v>
      </c>
      <c r="BT34" s="15">
        <f t="shared" si="21"/>
        <v>0</v>
      </c>
      <c r="BU34" s="15"/>
      <c r="BV34" s="15">
        <v>32</v>
      </c>
      <c r="BW34" s="15">
        <f>Dados!I34</f>
        <v>80</v>
      </c>
      <c r="BX34" s="15">
        <f>Dados!J34-Dados!I34</f>
        <v>60</v>
      </c>
      <c r="BY34" s="15">
        <f t="shared" si="12"/>
        <v>80.25</v>
      </c>
      <c r="BZ34" s="15">
        <f t="shared" si="52"/>
        <v>0.25</v>
      </c>
      <c r="CA34" s="16">
        <f t="shared" si="53"/>
        <v>4.1666666666666666E-3</v>
      </c>
      <c r="CD34" s="15">
        <f t="shared" si="54"/>
        <v>62595</v>
      </c>
      <c r="CE34" s="15">
        <f t="shared" si="13"/>
        <v>62400</v>
      </c>
      <c r="CF34" s="15">
        <f t="shared" si="14"/>
        <v>109200</v>
      </c>
      <c r="CG34" s="16">
        <f t="shared" si="55"/>
        <v>4.1666666666666666E-3</v>
      </c>
    </row>
    <row r="35" spans="1:85">
      <c r="A35" s="4">
        <v>0</v>
      </c>
      <c r="B35" s="15">
        <v>7</v>
      </c>
      <c r="C35" s="27">
        <v>2712968.5006434582</v>
      </c>
      <c r="F35" s="4">
        <v>33</v>
      </c>
      <c r="G35" s="4">
        <v>15</v>
      </c>
      <c r="H35" s="4">
        <v>3</v>
      </c>
      <c r="I35" s="4">
        <v>8</v>
      </c>
      <c r="J35" s="4">
        <v>8</v>
      </c>
      <c r="K35" s="4">
        <f t="shared" si="56"/>
        <v>0</v>
      </c>
      <c r="L35" s="4">
        <f t="shared" si="56"/>
        <v>0</v>
      </c>
      <c r="M35" s="4">
        <f t="shared" si="56"/>
        <v>0</v>
      </c>
      <c r="N35" s="4">
        <f t="shared" si="56"/>
        <v>0</v>
      </c>
      <c r="O35" s="4">
        <f t="shared" ref="O35:O54" si="57">$J35*K35</f>
        <v>0</v>
      </c>
      <c r="P35" s="4">
        <f t="shared" ref="P35:P54" si="58">$J35*L35</f>
        <v>0</v>
      </c>
      <c r="Q35" s="4">
        <f t="shared" ref="Q35:Q54" si="59">$J35*M35</f>
        <v>0</v>
      </c>
      <c r="R35" s="4">
        <f t="shared" ref="R35:R54" si="60">$J35*N35</f>
        <v>0</v>
      </c>
      <c r="S35" s="4">
        <f>IF(AND(VLOOKUP(G35,Dados!$D:$L,2,0)=VLOOKUP(I35,Dados!$S:$V,2,0),VLOOKUP(G35,Dados!$D:$L,3,0)=VLOOKUP(I35,Dados!$S:$V,3,0)),0,1)</f>
        <v>0</v>
      </c>
      <c r="T35" s="4">
        <f>IF(AND(VLOOKUP(G35,Dados!$D:$L,3,0)&lt;=VLOOKUP(H35,Dados!$X:$AB,2,0),VLOOKUP(G35,Dados!$D:$L,4,0)&gt;=VLOOKUP(H35,Dados!$X:$AB,3,0),VLOOKUP(G35,Dados!$D:$L,4,0)&lt;=VLOOKUP(H35,Dados!$X:$AB,4,0)),0,1)</f>
        <v>0</v>
      </c>
      <c r="U35" s="4">
        <f>IF(COUNTIFS(F:F,F35,H:H,H35)&lt;=VLOOKUP(H35,Dados!$X:$AB,5,0),0,1)</f>
        <v>0</v>
      </c>
      <c r="W35" s="4">
        <v>1124</v>
      </c>
      <c r="X35" s="4">
        <v>1</v>
      </c>
      <c r="Y35" s="15">
        <v>5</v>
      </c>
      <c r="Z35" s="4">
        <v>16</v>
      </c>
      <c r="AA35" s="4">
        <v>1</v>
      </c>
      <c r="AB35" s="4">
        <v>1</v>
      </c>
      <c r="AD35" s="4">
        <f>VLOOKUP(Z35,Dados!$S$3:$W$55,4,FALSE)</f>
        <v>5273</v>
      </c>
      <c r="AE35" s="4">
        <f t="shared" si="47"/>
        <v>5</v>
      </c>
      <c r="AF35" s="4">
        <f t="shared" si="48"/>
        <v>5273</v>
      </c>
      <c r="AI35" s="13">
        <f>VLOOKUP(Z35,Dados!$S$3:$V$55,2,FALSE)*VLOOKUP(Z35,Dados!$S$3:$V$55,3,FALSE)*VLOOKUP(Z35,Dados!$S$3:$V$55,4,FALSE)*0.00000785</f>
        <v>22.600605299999998</v>
      </c>
      <c r="AJ35" s="13">
        <f t="shared" si="49"/>
        <v>22.600605299999998</v>
      </c>
      <c r="AK35" s="13">
        <f t="shared" si="50"/>
        <v>2.1430499999999998E-2</v>
      </c>
      <c r="AL35" s="13">
        <f t="shared" si="51"/>
        <v>2.1430499999999998E-2</v>
      </c>
      <c r="AV35" s="4">
        <f t="shared" si="6"/>
        <v>330</v>
      </c>
      <c r="AW35" s="15">
        <v>33</v>
      </c>
      <c r="AX35" s="4">
        <v>140</v>
      </c>
      <c r="AY35" s="4">
        <v>80</v>
      </c>
      <c r="AZ35" s="4">
        <v>86</v>
      </c>
      <c r="BA35" s="28">
        <v>80</v>
      </c>
      <c r="BB35" s="28">
        <v>80</v>
      </c>
      <c r="BC35" s="4">
        <v>84</v>
      </c>
      <c r="BD35" s="15">
        <f t="shared" si="7"/>
        <v>6</v>
      </c>
      <c r="BE35" s="15">
        <f t="shared" si="7"/>
        <v>304</v>
      </c>
      <c r="BF35" s="15">
        <f t="shared" si="8"/>
        <v>0</v>
      </c>
      <c r="BG35" s="15">
        <f t="shared" si="9"/>
        <v>4</v>
      </c>
      <c r="BH35" s="15">
        <f>SUMIFS(Dados!$Q:$Q,Dados!$O:$O,$AW35,Dados!$P:$P,BH$2)</f>
        <v>0</v>
      </c>
      <c r="BI35" s="15">
        <f>SUMIFS(Dados!$Q:$Q,Dados!$O:$O,$AW35,Dados!$P:$P,BI$2)</f>
        <v>288</v>
      </c>
      <c r="BJ35" s="15">
        <f>SUMIFS(Dados!$Q:$Q,Dados!$O:$O,$AW35,Dados!$P:$P,BJ$2)</f>
        <v>0</v>
      </c>
      <c r="BK35" s="15">
        <f>SUMIFS(Dados!$Q:$Q,Dados!$O:$O,$AW35,Dados!$P:$P,BK$2)</f>
        <v>0</v>
      </c>
      <c r="BL35" s="15">
        <v>0</v>
      </c>
      <c r="BM35" s="15">
        <v>22</v>
      </c>
      <c r="BN35" s="15">
        <v>0</v>
      </c>
      <c r="BO35" s="15">
        <v>0</v>
      </c>
      <c r="BP35" s="15">
        <f t="shared" si="10"/>
        <v>0</v>
      </c>
      <c r="BQ35" s="15">
        <f t="shared" si="10"/>
        <v>0</v>
      </c>
      <c r="BR35" s="15">
        <f t="shared" si="11"/>
        <v>0</v>
      </c>
      <c r="BS35" s="15">
        <f t="shared" si="20"/>
        <v>0</v>
      </c>
      <c r="BT35" s="15">
        <f t="shared" si="21"/>
        <v>0</v>
      </c>
      <c r="BU35" s="15"/>
      <c r="BV35" s="15">
        <v>33</v>
      </c>
      <c r="BW35" s="15">
        <f>Dados!I35</f>
        <v>80</v>
      </c>
      <c r="BX35" s="15">
        <f>Dados!J35-Dados!I35</f>
        <v>60</v>
      </c>
      <c r="BY35" s="15">
        <f t="shared" si="12"/>
        <v>82.5</v>
      </c>
      <c r="BZ35" s="15">
        <f t="shared" si="52"/>
        <v>2.5</v>
      </c>
      <c r="CA35" s="16">
        <f t="shared" si="53"/>
        <v>4.1666666666666664E-2</v>
      </c>
      <c r="CD35" s="15">
        <f t="shared" si="54"/>
        <v>46200</v>
      </c>
      <c r="CE35" s="15">
        <f t="shared" ref="CE35:CE37" si="61">BW35*AX35*4</f>
        <v>44800</v>
      </c>
      <c r="CF35" s="15">
        <f t="shared" ref="CF35:CF37" si="62">(BX35+BW35)*AX35*4</f>
        <v>78400</v>
      </c>
      <c r="CG35" s="16">
        <f t="shared" si="55"/>
        <v>4.1666666666666664E-2</v>
      </c>
    </row>
    <row r="36" spans="1:85">
      <c r="B36" s="15">
        <v>8</v>
      </c>
      <c r="C36" s="27">
        <v>2711362.103721668</v>
      </c>
      <c r="F36" s="4">
        <v>34</v>
      </c>
      <c r="G36" s="4">
        <v>16</v>
      </c>
      <c r="H36" s="4">
        <v>1</v>
      </c>
      <c r="I36" s="4">
        <v>8</v>
      </c>
      <c r="J36" s="4">
        <v>7</v>
      </c>
      <c r="K36" s="4">
        <f t="shared" si="56"/>
        <v>0</v>
      </c>
      <c r="L36" s="4">
        <f t="shared" si="56"/>
        <v>0</v>
      </c>
      <c r="M36" s="4">
        <f t="shared" si="56"/>
        <v>0</v>
      </c>
      <c r="N36" s="4">
        <f t="shared" si="56"/>
        <v>0</v>
      </c>
      <c r="O36" s="4">
        <f t="shared" si="57"/>
        <v>0</v>
      </c>
      <c r="P36" s="4">
        <f t="shared" si="58"/>
        <v>0</v>
      </c>
      <c r="Q36" s="4">
        <f t="shared" si="59"/>
        <v>0</v>
      </c>
      <c r="R36" s="4">
        <f t="shared" si="60"/>
        <v>0</v>
      </c>
      <c r="S36" s="4">
        <f>IF(AND(VLOOKUP(G36,Dados!$D:$L,2,0)=VLOOKUP(I36,Dados!$S:$V,2,0),VLOOKUP(G36,Dados!$D:$L,3,0)=VLOOKUP(I36,Dados!$S:$V,3,0)),0,1)</f>
        <v>0</v>
      </c>
      <c r="T36" s="4">
        <f>IF(AND(VLOOKUP(G36,Dados!$D:$L,3,0)&lt;=VLOOKUP(H36,Dados!$X:$AB,2,0),VLOOKUP(G36,Dados!$D:$L,4,0)&gt;=VLOOKUP(H36,Dados!$X:$AB,3,0),VLOOKUP(G36,Dados!$D:$L,4,0)&lt;=VLOOKUP(H36,Dados!$X:$AB,4,0)),0,1)</f>
        <v>0</v>
      </c>
      <c r="U36" s="4">
        <f>IF(COUNTIFS(F:F,F36,H:H,H36)&lt;=VLOOKUP(H36,Dados!$X:$AB,5,0),0,1)</f>
        <v>0</v>
      </c>
      <c r="W36" s="4">
        <v>69</v>
      </c>
      <c r="X36" s="4">
        <v>1</v>
      </c>
      <c r="Y36" s="15">
        <v>125</v>
      </c>
      <c r="Z36" s="4">
        <v>16</v>
      </c>
      <c r="AA36" s="4">
        <v>2</v>
      </c>
      <c r="AB36" s="4">
        <v>1</v>
      </c>
      <c r="AD36" s="4">
        <f>VLOOKUP(Z36,Dados!$S$3:$W$55,4,FALSE)</f>
        <v>5273</v>
      </c>
      <c r="AE36" s="4">
        <f t="shared" si="47"/>
        <v>125</v>
      </c>
      <c r="AF36" s="4">
        <f t="shared" si="48"/>
        <v>5273</v>
      </c>
      <c r="AI36" s="13">
        <f>VLOOKUP(Z36,Dados!$S$3:$V$55,2,FALSE)*VLOOKUP(Z36,Dados!$S$3:$V$55,3,FALSE)*VLOOKUP(Z36,Dados!$S$3:$V$55,4,FALSE)*0.00000785</f>
        <v>22.600605299999998</v>
      </c>
      <c r="AJ36" s="13">
        <f t="shared" si="49"/>
        <v>22.600605299999998</v>
      </c>
      <c r="AK36" s="13">
        <f t="shared" si="50"/>
        <v>0.53576249999999992</v>
      </c>
      <c r="AL36" s="13">
        <f t="shared" si="51"/>
        <v>0.53576249999999992</v>
      </c>
      <c r="AV36" s="4">
        <f t="shared" si="6"/>
        <v>84</v>
      </c>
      <c r="AW36" s="15">
        <v>34</v>
      </c>
      <c r="AX36" s="4">
        <v>174</v>
      </c>
      <c r="AY36" s="4">
        <v>20</v>
      </c>
      <c r="AZ36" s="28">
        <v>20</v>
      </c>
      <c r="BA36" s="28">
        <v>24</v>
      </c>
      <c r="BB36" s="28">
        <v>20</v>
      </c>
      <c r="BC36" s="4">
        <v>20</v>
      </c>
      <c r="BD36" s="15">
        <f t="shared" si="7"/>
        <v>0</v>
      </c>
      <c r="BE36" s="15">
        <f t="shared" si="7"/>
        <v>4</v>
      </c>
      <c r="BF36" s="15">
        <f t="shared" si="8"/>
        <v>90</v>
      </c>
      <c r="BG36" s="15">
        <f t="shared" si="9"/>
        <v>0</v>
      </c>
      <c r="BH36" s="15">
        <f>SUMIFS(Dados!$Q:$Q,Dados!$O:$O,$AW36,Dados!$P:$P,BH$2)</f>
        <v>0</v>
      </c>
      <c r="BI36" s="15">
        <f>SUMIFS(Dados!$Q:$Q,Dados!$O:$O,$AW36,Dados!$P:$P,BI$2)</f>
        <v>0</v>
      </c>
      <c r="BJ36" s="15">
        <f>SUMIFS(Dados!$Q:$Q,Dados!$O:$O,$AW36,Dados!$P:$P,BJ$2)</f>
        <v>76</v>
      </c>
      <c r="BK36" s="15">
        <f>SUMIFS(Dados!$Q:$Q,Dados!$O:$O,$AW36,Dados!$P:$P,BK$2)</f>
        <v>0</v>
      </c>
      <c r="BL36" s="15">
        <v>0</v>
      </c>
      <c r="BM36" s="15">
        <v>0</v>
      </c>
      <c r="BN36" s="15">
        <v>18</v>
      </c>
      <c r="BO36" s="15">
        <v>0</v>
      </c>
      <c r="BP36" s="15">
        <f t="shared" si="10"/>
        <v>0</v>
      </c>
      <c r="BQ36" s="15">
        <f t="shared" si="10"/>
        <v>0</v>
      </c>
      <c r="BR36" s="15">
        <f t="shared" si="11"/>
        <v>0</v>
      </c>
      <c r="BS36" s="15">
        <f t="shared" si="20"/>
        <v>0</v>
      </c>
      <c r="BT36" s="15">
        <f t="shared" si="21"/>
        <v>0</v>
      </c>
      <c r="BU36" s="15"/>
      <c r="BV36" s="15">
        <v>34</v>
      </c>
      <c r="BW36" s="15">
        <f>Dados!I36</f>
        <v>20</v>
      </c>
      <c r="BX36" s="15">
        <f>Dados!J36-Dados!I36</f>
        <v>35</v>
      </c>
      <c r="BY36" s="15">
        <f t="shared" si="12"/>
        <v>21</v>
      </c>
      <c r="BZ36" s="15">
        <f t="shared" si="52"/>
        <v>1</v>
      </c>
      <c r="CA36" s="16">
        <f t="shared" si="53"/>
        <v>2.8571428571428571E-2</v>
      </c>
      <c r="CD36" s="15">
        <f t="shared" si="54"/>
        <v>14616</v>
      </c>
      <c r="CE36" s="15">
        <f t="shared" si="61"/>
        <v>13920</v>
      </c>
      <c r="CF36" s="15">
        <f t="shared" si="62"/>
        <v>38280</v>
      </c>
      <c r="CG36" s="16">
        <f t="shared" si="55"/>
        <v>2.8571428571428571E-2</v>
      </c>
    </row>
    <row r="37" spans="1:85">
      <c r="B37" s="4">
        <v>9</v>
      </c>
      <c r="C37" s="4">
        <v>2707277.7789759981</v>
      </c>
      <c r="F37" s="4">
        <v>35</v>
      </c>
      <c r="G37" s="4">
        <v>16</v>
      </c>
      <c r="H37" s="4">
        <v>3</v>
      </c>
      <c r="I37" s="4">
        <v>8</v>
      </c>
      <c r="J37" s="4">
        <v>7</v>
      </c>
      <c r="K37" s="4">
        <f t="shared" si="56"/>
        <v>0</v>
      </c>
      <c r="L37" s="4">
        <f t="shared" si="56"/>
        <v>0</v>
      </c>
      <c r="M37" s="4">
        <f t="shared" si="56"/>
        <v>0</v>
      </c>
      <c r="N37" s="4">
        <f t="shared" si="56"/>
        <v>0</v>
      </c>
      <c r="O37" s="4">
        <f t="shared" si="57"/>
        <v>0</v>
      </c>
      <c r="P37" s="4">
        <f t="shared" si="58"/>
        <v>0</v>
      </c>
      <c r="Q37" s="4">
        <f t="shared" si="59"/>
        <v>0</v>
      </c>
      <c r="R37" s="4">
        <f t="shared" si="60"/>
        <v>0</v>
      </c>
      <c r="S37" s="4">
        <f>IF(AND(VLOOKUP(G37,Dados!$D:$L,2,0)=VLOOKUP(I37,Dados!$S:$V,2,0),VLOOKUP(G37,Dados!$D:$L,3,0)=VLOOKUP(I37,Dados!$S:$V,3,0)),0,1)</f>
        <v>0</v>
      </c>
      <c r="T37" s="4">
        <f>IF(AND(VLOOKUP(G37,Dados!$D:$L,3,0)&lt;=VLOOKUP(H37,Dados!$X:$AB,2,0),VLOOKUP(G37,Dados!$D:$L,4,0)&gt;=VLOOKUP(H37,Dados!$X:$AB,3,0),VLOOKUP(G37,Dados!$D:$L,4,0)&lt;=VLOOKUP(H37,Dados!$X:$AB,4,0)),0,1)</f>
        <v>0</v>
      </c>
      <c r="U37" s="4">
        <f>IF(COUNTIFS(F:F,F37,H:H,H37)&lt;=VLOOKUP(H37,Dados!$X:$AB,5,0),0,1)</f>
        <v>0</v>
      </c>
      <c r="W37" s="4">
        <v>445</v>
      </c>
      <c r="X37" s="4">
        <v>1</v>
      </c>
      <c r="Y37" s="15">
        <v>27</v>
      </c>
      <c r="Z37" s="4">
        <v>16</v>
      </c>
      <c r="AA37" s="4">
        <v>2</v>
      </c>
      <c r="AB37" s="4">
        <v>1</v>
      </c>
      <c r="AD37" s="4">
        <f>VLOOKUP(Z37,Dados!$S$3:$W$55,4,FALSE)</f>
        <v>5273</v>
      </c>
      <c r="AE37" s="4">
        <f t="shared" si="47"/>
        <v>27</v>
      </c>
      <c r="AF37" s="4">
        <f t="shared" si="48"/>
        <v>5273</v>
      </c>
      <c r="AI37" s="13">
        <f>VLOOKUP(Z37,Dados!$S$3:$V$55,2,FALSE)*VLOOKUP(Z37,Dados!$S$3:$V$55,3,FALSE)*VLOOKUP(Z37,Dados!$S$3:$V$55,4,FALSE)*0.00000785</f>
        <v>22.600605299999998</v>
      </c>
      <c r="AJ37" s="13">
        <f t="shared" si="49"/>
        <v>22.600605299999998</v>
      </c>
      <c r="AK37" s="13">
        <f t="shared" si="50"/>
        <v>0.11572469999999999</v>
      </c>
      <c r="AL37" s="13">
        <f t="shared" si="51"/>
        <v>0.11572469999999999</v>
      </c>
      <c r="AV37" s="4">
        <f t="shared" si="6"/>
        <v>3</v>
      </c>
      <c r="AW37" s="15">
        <v>35</v>
      </c>
      <c r="AX37" s="4">
        <v>182</v>
      </c>
      <c r="AY37" s="4">
        <v>0</v>
      </c>
      <c r="AZ37" s="28">
        <v>0</v>
      </c>
      <c r="BA37" s="28">
        <v>1</v>
      </c>
      <c r="BB37" s="4">
        <v>2</v>
      </c>
      <c r="BC37" s="4">
        <v>0</v>
      </c>
      <c r="BD37" s="15">
        <f t="shared" si="7"/>
        <v>0</v>
      </c>
      <c r="BE37" s="15">
        <f t="shared" si="7"/>
        <v>5</v>
      </c>
      <c r="BF37" s="15">
        <f t="shared" si="8"/>
        <v>53</v>
      </c>
      <c r="BG37" s="15">
        <f t="shared" si="9"/>
        <v>52</v>
      </c>
      <c r="BH37" s="15">
        <f>SUMIFS(Dados!$Q:$Q,Dados!$O:$O,$AW37,Dados!$P:$P,BH$2)</f>
        <v>0</v>
      </c>
      <c r="BI37" s="15">
        <f>SUMIFS(Dados!$Q:$Q,Dados!$O:$O,$AW37,Dados!$P:$P,BI$2)</f>
        <v>0</v>
      </c>
      <c r="BJ37" s="15">
        <f>SUMIFS(Dados!$Q:$Q,Dados!$O:$O,$AW37,Dados!$P:$P,BJ$2)</f>
        <v>48</v>
      </c>
      <c r="BK37" s="15">
        <f>SUMIFS(Dados!$Q:$Q,Dados!$O:$O,$AW37,Dados!$P:$P,BK$2)</f>
        <v>0</v>
      </c>
      <c r="BL37" s="15">
        <v>0</v>
      </c>
      <c r="BM37" s="15">
        <v>4</v>
      </c>
      <c r="BN37" s="15">
        <v>4</v>
      </c>
      <c r="BO37" s="15">
        <v>54</v>
      </c>
      <c r="BP37" s="15">
        <f t="shared" si="10"/>
        <v>0</v>
      </c>
      <c r="BQ37" s="15">
        <f t="shared" si="10"/>
        <v>0</v>
      </c>
      <c r="BR37" s="15">
        <f t="shared" si="11"/>
        <v>0</v>
      </c>
      <c r="BS37" s="15">
        <f t="shared" si="20"/>
        <v>0</v>
      </c>
      <c r="BT37" s="15">
        <f>IF(AY37+SUM(BD37:BG37)-SUM(BH37:BK37)-SUM(BL37:BO37)=BC37,0,1)</f>
        <v>0</v>
      </c>
      <c r="BU37" s="15"/>
      <c r="BV37" s="15">
        <v>35</v>
      </c>
      <c r="BW37" s="15">
        <f>Dados!I37</f>
        <v>0</v>
      </c>
      <c r="BX37" s="15">
        <f>Dados!J37-Dados!I37</f>
        <v>30</v>
      </c>
      <c r="BY37" s="15">
        <f t="shared" si="12"/>
        <v>0.75</v>
      </c>
      <c r="BZ37" s="15">
        <f t="shared" si="52"/>
        <v>0.75</v>
      </c>
      <c r="CA37" s="16">
        <f t="shared" si="53"/>
        <v>2.5000000000000001E-2</v>
      </c>
      <c r="CD37" s="15">
        <f t="shared" si="54"/>
        <v>546</v>
      </c>
      <c r="CE37" s="15">
        <f t="shared" si="61"/>
        <v>0</v>
      </c>
      <c r="CF37" s="15">
        <f t="shared" si="62"/>
        <v>21840</v>
      </c>
      <c r="CG37" s="16">
        <f t="shared" si="55"/>
        <v>2.5000000000000001E-2</v>
      </c>
    </row>
    <row r="38" spans="1:85">
      <c r="B38" s="4">
        <v>10</v>
      </c>
      <c r="C38" s="4">
        <v>2706749.2404397991</v>
      </c>
      <c r="F38" s="4">
        <v>36</v>
      </c>
      <c r="G38" s="4">
        <v>17</v>
      </c>
      <c r="H38" s="4">
        <v>1</v>
      </c>
      <c r="I38" s="4">
        <v>8</v>
      </c>
      <c r="J38" s="4">
        <v>12</v>
      </c>
      <c r="K38" s="4">
        <f t="shared" si="56"/>
        <v>0</v>
      </c>
      <c r="L38" s="4">
        <f t="shared" si="56"/>
        <v>0</v>
      </c>
      <c r="M38" s="4">
        <f t="shared" si="56"/>
        <v>0</v>
      </c>
      <c r="N38" s="4">
        <f t="shared" si="56"/>
        <v>0</v>
      </c>
      <c r="O38" s="4">
        <f t="shared" si="57"/>
        <v>0</v>
      </c>
      <c r="P38" s="4">
        <f t="shared" si="58"/>
        <v>0</v>
      </c>
      <c r="Q38" s="4">
        <f t="shared" si="59"/>
        <v>0</v>
      </c>
      <c r="R38" s="4">
        <f t="shared" si="60"/>
        <v>0</v>
      </c>
      <c r="S38" s="4">
        <f>IF(AND(VLOOKUP(G38,Dados!$D:$L,2,0)=VLOOKUP(I38,Dados!$S:$V,2,0),VLOOKUP(G38,Dados!$D:$L,3,0)=VLOOKUP(I38,Dados!$S:$V,3,0)),0,1)</f>
        <v>0</v>
      </c>
      <c r="T38" s="4">
        <f>IF(AND(VLOOKUP(G38,Dados!$D:$L,3,0)&lt;=VLOOKUP(H38,Dados!$X:$AB,2,0),VLOOKUP(G38,Dados!$D:$L,4,0)&gt;=VLOOKUP(H38,Dados!$X:$AB,3,0),VLOOKUP(G38,Dados!$D:$L,4,0)&lt;=VLOOKUP(H38,Dados!$X:$AB,4,0)),0,1)</f>
        <v>0</v>
      </c>
      <c r="U38" s="4">
        <f>IF(COUNTIFS(F:F,F38,H:H,H38)&lt;=VLOOKUP(H38,Dados!$X:$AB,5,0),0,1)</f>
        <v>0</v>
      </c>
      <c r="W38" s="4">
        <v>1028</v>
      </c>
      <c r="X38" s="4">
        <v>8</v>
      </c>
      <c r="Y38" s="15">
        <v>41</v>
      </c>
      <c r="Z38" s="4">
        <v>16</v>
      </c>
      <c r="AA38" s="4">
        <v>2</v>
      </c>
      <c r="AB38" s="4">
        <v>1</v>
      </c>
      <c r="AD38" s="4">
        <f>VLOOKUP(Z38,Dados!$S$3:$W$55,4,FALSE)</f>
        <v>5273</v>
      </c>
      <c r="AE38" s="4">
        <f t="shared" si="47"/>
        <v>328</v>
      </c>
      <c r="AF38" s="4">
        <f t="shared" si="48"/>
        <v>42184</v>
      </c>
      <c r="AI38" s="13">
        <f>VLOOKUP(Z38,Dados!$S$3:$V$55,2,FALSE)*VLOOKUP(Z38,Dados!$S$3:$V$55,3,FALSE)*VLOOKUP(Z38,Dados!$S$3:$V$55,4,FALSE)*0.00000785</f>
        <v>22.600605299999998</v>
      </c>
      <c r="AJ38" s="13">
        <f t="shared" si="49"/>
        <v>180.80484239999998</v>
      </c>
      <c r="AK38" s="13">
        <f t="shared" si="50"/>
        <v>0.17573009999999997</v>
      </c>
      <c r="AL38" s="13">
        <f t="shared" si="51"/>
        <v>1.4058407999999998</v>
      </c>
      <c r="AV38" s="4">
        <f t="shared" si="6"/>
        <v>15</v>
      </c>
      <c r="AW38" s="15">
        <v>36</v>
      </c>
      <c r="AX38" s="4">
        <v>149</v>
      </c>
      <c r="AY38" s="4">
        <v>0</v>
      </c>
      <c r="AZ38" s="4">
        <v>0</v>
      </c>
      <c r="BA38" s="4">
        <v>13</v>
      </c>
      <c r="BB38" s="4">
        <v>1</v>
      </c>
      <c r="BC38" s="28">
        <v>1</v>
      </c>
      <c r="BD38" s="15">
        <f t="shared" ref="BD38:BD72" si="63">SUMIFS(O:O,$G:$G,$AW38)</f>
        <v>0</v>
      </c>
      <c r="BE38" s="15">
        <f t="shared" ref="BE38:BE72" si="64">SUMIFS(P:P,$G:$G,$AW38)</f>
        <v>13</v>
      </c>
      <c r="BF38" s="15">
        <f t="shared" ref="BF38:BF72" si="65">SUMIFS(Q:Q,$G:$G,$AW38)</f>
        <v>71</v>
      </c>
      <c r="BG38" s="15">
        <f t="shared" ref="BG38:BG72" si="66">SUMIFS(R:R,$G:$G,$AW38)</f>
        <v>0</v>
      </c>
      <c r="BH38" s="15">
        <f>SUMIFS(Dados!$Q:$Q,Dados!$O:$O,$AW38,Dados!$P:$P,BH$2)</f>
        <v>0</v>
      </c>
      <c r="BI38" s="15">
        <f>SUMIFS(Dados!$Q:$Q,Dados!$O:$O,$AW38,Dados!$P:$P,BI$2)</f>
        <v>0</v>
      </c>
      <c r="BJ38" s="15">
        <f>SUMIFS(Dados!$Q:$Q,Dados!$O:$O,$AW38,Dados!$P:$P,BJ$2)</f>
        <v>56</v>
      </c>
      <c r="BK38" s="15">
        <f>SUMIFS(Dados!$Q:$Q,Dados!$O:$O,$AW38,Dados!$P:$P,BK$2)</f>
        <v>0</v>
      </c>
      <c r="BL38" s="15">
        <v>0</v>
      </c>
      <c r="BM38" s="15">
        <v>0</v>
      </c>
      <c r="BN38" s="15">
        <v>27</v>
      </c>
      <c r="BO38" s="15">
        <v>0</v>
      </c>
      <c r="BP38" s="15">
        <f t="shared" ref="BP38:BP72" si="67">IF(AZ38=AY38+BD38-BH38-BL38,0,1)</f>
        <v>0</v>
      </c>
      <c r="BQ38" s="15">
        <f t="shared" ref="BQ38:BQ72" si="68">IF(BA38=AZ38+BE38-BI38-BM38,0,1)</f>
        <v>0</v>
      </c>
      <c r="BR38" s="15">
        <f t="shared" ref="BR38:BR72" si="69">IF(BB38=BA38+BF38-BJ38-BN38,0,1)</f>
        <v>0</v>
      </c>
      <c r="BS38" s="15">
        <f t="shared" ref="BS38:BS72" si="70">IF(BC38=BB38+BG38-BK38-BO38,0,1)</f>
        <v>0</v>
      </c>
      <c r="BT38" s="15">
        <f t="shared" ref="BT38:BT72" si="71">IF(AY38+SUM(BD38:BG38)-SUM(BH38:BK38)-SUM(BL38:BO38)=BC38,0,1)</f>
        <v>0</v>
      </c>
      <c r="BU38" s="15"/>
      <c r="BV38" s="15">
        <v>36</v>
      </c>
      <c r="BW38" s="15">
        <f>Dados!I38</f>
        <v>0</v>
      </c>
      <c r="BX38" s="15">
        <f>Dados!J38-Dados!I38</f>
        <v>30</v>
      </c>
      <c r="BY38" s="15">
        <f t="shared" ref="BY38:BY72" si="72">AVERAGE(AZ38:BC38)</f>
        <v>3.75</v>
      </c>
      <c r="BZ38" s="15">
        <f t="shared" ref="BZ38:BZ72" si="73">BY38-BW38</f>
        <v>3.75</v>
      </c>
      <c r="CA38" s="16">
        <f t="shared" ref="CA38:CA72" si="74">BZ38/BX38</f>
        <v>0.125</v>
      </c>
      <c r="CD38" s="15">
        <f t="shared" ref="CD38:CD72" si="75">AX38*AV38</f>
        <v>2235</v>
      </c>
      <c r="CE38" s="15">
        <f t="shared" ref="CE38:CE72" si="76">BW38*AX38*4</f>
        <v>0</v>
      </c>
      <c r="CF38" s="15">
        <f t="shared" ref="CF38:CF72" si="77">(BX38+BW38)*AX38*4</f>
        <v>17880</v>
      </c>
      <c r="CG38" s="16">
        <f t="shared" ref="CG38:CG72" si="78">(CD38-CE38)/(CF38-CE38)</f>
        <v>0.125</v>
      </c>
    </row>
    <row r="39" spans="1:85">
      <c r="B39" s="4">
        <v>11</v>
      </c>
      <c r="C39" s="4">
        <v>2706749.1786942082</v>
      </c>
      <c r="F39" s="4">
        <v>37</v>
      </c>
      <c r="G39" s="4">
        <v>17</v>
      </c>
      <c r="H39" s="4">
        <v>3</v>
      </c>
      <c r="I39" s="4">
        <v>8</v>
      </c>
      <c r="J39" s="4">
        <v>12</v>
      </c>
      <c r="K39" s="4">
        <f t="shared" si="56"/>
        <v>0</v>
      </c>
      <c r="L39" s="4">
        <f t="shared" si="56"/>
        <v>0</v>
      </c>
      <c r="M39" s="4">
        <f t="shared" si="56"/>
        <v>0</v>
      </c>
      <c r="N39" s="4">
        <f t="shared" si="56"/>
        <v>0</v>
      </c>
      <c r="O39" s="4">
        <f t="shared" si="57"/>
        <v>0</v>
      </c>
      <c r="P39" s="4">
        <f t="shared" si="58"/>
        <v>0</v>
      </c>
      <c r="Q39" s="4">
        <f t="shared" si="59"/>
        <v>0</v>
      </c>
      <c r="R39" s="4">
        <f t="shared" si="60"/>
        <v>0</v>
      </c>
      <c r="S39" s="4">
        <f>IF(AND(VLOOKUP(G39,Dados!$D:$L,2,0)=VLOOKUP(I39,Dados!$S:$V,2,0),VLOOKUP(G39,Dados!$D:$L,3,0)=VLOOKUP(I39,Dados!$S:$V,3,0)),0,1)</f>
        <v>0</v>
      </c>
      <c r="T39" s="4">
        <f>IF(AND(VLOOKUP(G39,Dados!$D:$L,3,0)&lt;=VLOOKUP(H39,Dados!$X:$AB,2,0),VLOOKUP(G39,Dados!$D:$L,4,0)&gt;=VLOOKUP(H39,Dados!$X:$AB,3,0),VLOOKUP(G39,Dados!$D:$L,4,0)&lt;=VLOOKUP(H39,Dados!$X:$AB,4,0)),0,1)</f>
        <v>0</v>
      </c>
      <c r="U39" s="4">
        <f>IF(COUNTIFS(F:F,F39,H:H,H39)&lt;=VLOOKUP(H39,Dados!$X:$AB,5,0),0,1)</f>
        <v>0</v>
      </c>
      <c r="W39" s="4">
        <v>1078</v>
      </c>
      <c r="X39" s="4">
        <v>3</v>
      </c>
      <c r="Y39" s="15">
        <v>39</v>
      </c>
      <c r="Z39" s="4">
        <v>16</v>
      </c>
      <c r="AA39" s="4">
        <v>2</v>
      </c>
      <c r="AB39" s="4">
        <v>1</v>
      </c>
      <c r="AD39" s="4">
        <f>VLOOKUP(Z39,Dados!$S$3:$W$55,4,FALSE)</f>
        <v>5273</v>
      </c>
      <c r="AE39" s="4">
        <f t="shared" si="47"/>
        <v>117</v>
      </c>
      <c r="AF39" s="4">
        <f t="shared" si="48"/>
        <v>15819</v>
      </c>
      <c r="AI39" s="13">
        <f>VLOOKUP(Z39,Dados!$S$3:$V$55,2,FALSE)*VLOOKUP(Z39,Dados!$S$3:$V$55,3,FALSE)*VLOOKUP(Z39,Dados!$S$3:$V$55,4,FALSE)*0.00000785</f>
        <v>22.600605299999998</v>
      </c>
      <c r="AJ39" s="13">
        <f t="shared" si="49"/>
        <v>67.801815899999994</v>
      </c>
      <c r="AK39" s="13">
        <f t="shared" si="50"/>
        <v>0.16715789999999997</v>
      </c>
      <c r="AL39" s="13">
        <f t="shared" si="51"/>
        <v>0.50147369999999991</v>
      </c>
      <c r="AV39" s="4">
        <f t="shared" si="6"/>
        <v>18</v>
      </c>
      <c r="AW39" s="15">
        <v>37</v>
      </c>
      <c r="AX39" s="4">
        <v>230</v>
      </c>
      <c r="AY39" s="4">
        <v>0</v>
      </c>
      <c r="AZ39" s="4">
        <v>0</v>
      </c>
      <c r="BA39" s="4">
        <v>10</v>
      </c>
      <c r="BB39" s="4">
        <v>8</v>
      </c>
      <c r="BC39" s="4">
        <v>0</v>
      </c>
      <c r="BD39" s="15">
        <f t="shared" si="63"/>
        <v>0</v>
      </c>
      <c r="BE39" s="15">
        <f t="shared" si="64"/>
        <v>12</v>
      </c>
      <c r="BF39" s="15">
        <f t="shared" si="65"/>
        <v>0</v>
      </c>
      <c r="BG39" s="15">
        <f t="shared" si="66"/>
        <v>30</v>
      </c>
      <c r="BH39" s="15">
        <f>SUMIFS(Dados!$Q:$Q,Dados!$O:$O,$AW39,Dados!$P:$P,BH$2)</f>
        <v>0</v>
      </c>
      <c r="BI39" s="15">
        <f>SUMIFS(Dados!$Q:$Q,Dados!$O:$O,$AW39,Dados!$P:$P,BI$2)</f>
        <v>0</v>
      </c>
      <c r="BJ39" s="15">
        <f>SUMIFS(Dados!$Q:$Q,Dados!$O:$O,$AW39,Dados!$P:$P,BJ$2)</f>
        <v>0</v>
      </c>
      <c r="BK39" s="15">
        <f>SUMIFS(Dados!$Q:$Q,Dados!$O:$O,$AW39,Dados!$P:$P,BK$2)</f>
        <v>11</v>
      </c>
      <c r="BL39" s="15">
        <v>0</v>
      </c>
      <c r="BM39" s="15">
        <v>2</v>
      </c>
      <c r="BN39" s="15">
        <v>2</v>
      </c>
      <c r="BO39" s="15">
        <v>27</v>
      </c>
      <c r="BP39" s="15">
        <f t="shared" si="67"/>
        <v>0</v>
      </c>
      <c r="BQ39" s="15">
        <f t="shared" si="68"/>
        <v>0</v>
      </c>
      <c r="BR39" s="15">
        <f t="shared" si="69"/>
        <v>0</v>
      </c>
      <c r="BS39" s="15">
        <f t="shared" si="70"/>
        <v>0</v>
      </c>
      <c r="BT39" s="15">
        <f t="shared" si="71"/>
        <v>0</v>
      </c>
      <c r="BU39" s="15"/>
      <c r="BV39" s="15">
        <v>37</v>
      </c>
      <c r="BW39" s="15">
        <f>Dados!I39</f>
        <v>0</v>
      </c>
      <c r="BX39" s="15">
        <f>Dados!J39-Dados!I39</f>
        <v>30</v>
      </c>
      <c r="BY39" s="15">
        <f t="shared" si="72"/>
        <v>4.5</v>
      </c>
      <c r="BZ39" s="15">
        <f t="shared" si="73"/>
        <v>4.5</v>
      </c>
      <c r="CA39" s="16">
        <f t="shared" si="74"/>
        <v>0.15</v>
      </c>
      <c r="CD39" s="15">
        <f t="shared" si="75"/>
        <v>4140</v>
      </c>
      <c r="CE39" s="15">
        <f t="shared" si="76"/>
        <v>0</v>
      </c>
      <c r="CF39" s="15">
        <f t="shared" si="77"/>
        <v>27600</v>
      </c>
      <c r="CG39" s="16">
        <f t="shared" si="78"/>
        <v>0.15</v>
      </c>
    </row>
    <row r="40" spans="1:85">
      <c r="B40" s="4">
        <v>12</v>
      </c>
      <c r="C40" s="4">
        <v>2706749.1786942091</v>
      </c>
      <c r="F40" s="4">
        <v>38</v>
      </c>
      <c r="G40" s="4">
        <v>18</v>
      </c>
      <c r="H40" s="4">
        <v>1</v>
      </c>
      <c r="I40" s="4">
        <v>12</v>
      </c>
      <c r="J40" s="4">
        <v>9</v>
      </c>
      <c r="K40" s="4">
        <f t="shared" si="56"/>
        <v>0</v>
      </c>
      <c r="L40" s="4">
        <f t="shared" si="56"/>
        <v>0</v>
      </c>
      <c r="M40" s="4">
        <f t="shared" si="56"/>
        <v>0</v>
      </c>
      <c r="N40" s="4">
        <f t="shared" si="56"/>
        <v>0</v>
      </c>
      <c r="O40" s="4">
        <f t="shared" si="57"/>
        <v>0</v>
      </c>
      <c r="P40" s="4">
        <f t="shared" si="58"/>
        <v>0</v>
      </c>
      <c r="Q40" s="4">
        <f t="shared" si="59"/>
        <v>0</v>
      </c>
      <c r="R40" s="4">
        <f t="shared" si="60"/>
        <v>0</v>
      </c>
      <c r="S40" s="4">
        <f>IF(AND(VLOOKUP(G40,Dados!$D:$L,2,0)=VLOOKUP(I40,Dados!$S:$V,2,0),VLOOKUP(G40,Dados!$D:$L,3,0)=VLOOKUP(I40,Dados!$S:$V,3,0)),0,1)</f>
        <v>0</v>
      </c>
      <c r="T40" s="4">
        <f>IF(AND(VLOOKUP(G40,Dados!$D:$L,3,0)&lt;=VLOOKUP(H40,Dados!$X:$AB,2,0),VLOOKUP(G40,Dados!$D:$L,4,0)&gt;=VLOOKUP(H40,Dados!$X:$AB,3,0),VLOOKUP(G40,Dados!$D:$L,4,0)&lt;=VLOOKUP(H40,Dados!$X:$AB,4,0)),0,1)</f>
        <v>0</v>
      </c>
      <c r="U40" s="4">
        <f>IF(COUNTIFS(F:F,F40,H:H,H40)&lt;=VLOOKUP(H40,Dados!$X:$AB,5,0),0,1)</f>
        <v>0</v>
      </c>
      <c r="W40" s="4">
        <v>1098</v>
      </c>
      <c r="X40" s="4">
        <v>3</v>
      </c>
      <c r="Y40" s="15">
        <v>37</v>
      </c>
      <c r="Z40" s="4">
        <v>16</v>
      </c>
      <c r="AA40" s="4">
        <v>2</v>
      </c>
      <c r="AB40" s="4">
        <v>1</v>
      </c>
      <c r="AD40" s="4">
        <f>VLOOKUP(Z40,Dados!$S$3:$W$55,4,FALSE)</f>
        <v>5273</v>
      </c>
      <c r="AE40" s="4">
        <f t="shared" si="47"/>
        <v>111</v>
      </c>
      <c r="AF40" s="4">
        <f t="shared" si="48"/>
        <v>15819</v>
      </c>
      <c r="AI40" s="13">
        <f>VLOOKUP(Z40,Dados!$S$3:$V$55,2,FALSE)*VLOOKUP(Z40,Dados!$S$3:$V$55,3,FALSE)*VLOOKUP(Z40,Dados!$S$3:$V$55,4,FALSE)*0.00000785</f>
        <v>22.600605299999998</v>
      </c>
      <c r="AJ40" s="13">
        <f t="shared" si="49"/>
        <v>67.801815899999994</v>
      </c>
      <c r="AK40" s="13">
        <f t="shared" si="50"/>
        <v>0.15858569999999997</v>
      </c>
      <c r="AL40" s="13">
        <f t="shared" si="51"/>
        <v>0.47575709999999993</v>
      </c>
      <c r="AV40" s="4">
        <f t="shared" si="6"/>
        <v>189</v>
      </c>
      <c r="AW40" s="15">
        <v>38</v>
      </c>
      <c r="AX40" s="4">
        <v>114</v>
      </c>
      <c r="AY40" s="4">
        <v>45</v>
      </c>
      <c r="AZ40" s="28">
        <v>52</v>
      </c>
      <c r="BA40" s="4">
        <v>45</v>
      </c>
      <c r="BB40" s="4">
        <v>45</v>
      </c>
      <c r="BC40" s="4">
        <v>47</v>
      </c>
      <c r="BD40" s="15">
        <f t="shared" si="63"/>
        <v>136</v>
      </c>
      <c r="BE40" s="15">
        <f t="shared" si="64"/>
        <v>37</v>
      </c>
      <c r="BF40" s="15">
        <f t="shared" si="65"/>
        <v>0</v>
      </c>
      <c r="BG40" s="15">
        <f t="shared" si="66"/>
        <v>2</v>
      </c>
      <c r="BH40" s="15">
        <f>SUMIFS(Dados!$Q:$Q,Dados!$O:$O,$AW40,Dados!$P:$P,BH$2)</f>
        <v>129</v>
      </c>
      <c r="BI40" s="15">
        <f>SUMIFS(Dados!$Q:$Q,Dados!$O:$O,$AW40,Dados!$P:$P,BI$2)</f>
        <v>0</v>
      </c>
      <c r="BJ40" s="15">
        <f>SUMIFS(Dados!$Q:$Q,Dados!$O:$O,$AW40,Dados!$P:$P,BJ$2)</f>
        <v>0</v>
      </c>
      <c r="BK40" s="15">
        <f>SUMIFS(Dados!$Q:$Q,Dados!$O:$O,$AW40,Dados!$P:$P,BK$2)</f>
        <v>0</v>
      </c>
      <c r="BL40" s="15">
        <v>0</v>
      </c>
      <c r="BM40" s="15">
        <v>44</v>
      </c>
      <c r="BN40" s="15">
        <v>0</v>
      </c>
      <c r="BO40" s="15">
        <v>0</v>
      </c>
      <c r="BP40" s="15">
        <f t="shared" si="67"/>
        <v>0</v>
      </c>
      <c r="BQ40" s="15">
        <f t="shared" si="68"/>
        <v>0</v>
      </c>
      <c r="BR40" s="15">
        <f t="shared" si="69"/>
        <v>0</v>
      </c>
      <c r="BS40" s="15">
        <f t="shared" si="70"/>
        <v>0</v>
      </c>
      <c r="BT40" s="15">
        <f t="shared" si="71"/>
        <v>0</v>
      </c>
      <c r="BU40" s="15"/>
      <c r="BV40" s="15">
        <v>38</v>
      </c>
      <c r="BW40" s="15">
        <f>Dados!I40</f>
        <v>45</v>
      </c>
      <c r="BX40" s="15">
        <f>Dados!J40-Dados!I40</f>
        <v>45</v>
      </c>
      <c r="BY40" s="15">
        <f t="shared" si="72"/>
        <v>47.25</v>
      </c>
      <c r="BZ40" s="15">
        <f t="shared" si="73"/>
        <v>2.25</v>
      </c>
      <c r="CA40" s="16">
        <f t="shared" si="74"/>
        <v>0.05</v>
      </c>
      <c r="CD40" s="15">
        <f t="shared" si="75"/>
        <v>21546</v>
      </c>
      <c r="CE40" s="15">
        <f t="shared" si="76"/>
        <v>20520</v>
      </c>
      <c r="CF40" s="15">
        <f t="shared" si="77"/>
        <v>41040</v>
      </c>
      <c r="CG40" s="16">
        <f t="shared" si="78"/>
        <v>0.05</v>
      </c>
    </row>
    <row r="41" spans="1:85">
      <c r="B41" s="4">
        <v>13</v>
      </c>
      <c r="C41" s="4">
        <v>2706749.1786942091</v>
      </c>
      <c r="F41" s="4">
        <v>39</v>
      </c>
      <c r="G41" s="4">
        <v>18</v>
      </c>
      <c r="H41" s="4">
        <v>2</v>
      </c>
      <c r="I41" s="4">
        <v>12</v>
      </c>
      <c r="J41" s="4">
        <v>9</v>
      </c>
      <c r="K41" s="4">
        <f t="shared" si="56"/>
        <v>27</v>
      </c>
      <c r="L41" s="4">
        <f t="shared" si="56"/>
        <v>2</v>
      </c>
      <c r="M41" s="4">
        <f t="shared" si="56"/>
        <v>0</v>
      </c>
      <c r="N41" s="4">
        <f t="shared" si="56"/>
        <v>0</v>
      </c>
      <c r="O41" s="4">
        <f t="shared" si="57"/>
        <v>243</v>
      </c>
      <c r="P41" s="4">
        <f t="shared" si="58"/>
        <v>18</v>
      </c>
      <c r="Q41" s="4">
        <f t="shared" si="59"/>
        <v>0</v>
      </c>
      <c r="R41" s="4">
        <f t="shared" si="60"/>
        <v>0</v>
      </c>
      <c r="S41" s="4">
        <f>IF(AND(VLOOKUP(G41,Dados!$D:$L,2,0)=VLOOKUP(I41,Dados!$S:$V,2,0),VLOOKUP(G41,Dados!$D:$L,3,0)=VLOOKUP(I41,Dados!$S:$V,3,0)),0,1)</f>
        <v>0</v>
      </c>
      <c r="T41" s="4">
        <f>IF(AND(VLOOKUP(G41,Dados!$D:$L,3,0)&lt;=VLOOKUP(H41,Dados!$X:$AB,2,0),VLOOKUP(G41,Dados!$D:$L,4,0)&gt;=VLOOKUP(H41,Dados!$X:$AB,3,0),VLOOKUP(G41,Dados!$D:$L,4,0)&lt;=VLOOKUP(H41,Dados!$X:$AB,4,0)),0,1)</f>
        <v>0</v>
      </c>
      <c r="U41" s="4">
        <f>IF(COUNTIFS(F:F,F41,H:H,H41)&lt;=VLOOKUP(H41,Dados!$X:$AB,5,0),0,1)</f>
        <v>0</v>
      </c>
      <c r="W41" s="4">
        <v>446</v>
      </c>
      <c r="X41" s="4">
        <v>15</v>
      </c>
      <c r="Y41" s="15">
        <v>27</v>
      </c>
      <c r="Z41" s="4">
        <v>16</v>
      </c>
      <c r="AA41" s="4">
        <v>3</v>
      </c>
      <c r="AB41" s="4">
        <v>1</v>
      </c>
      <c r="AD41" s="4">
        <f>VLOOKUP(Z41,Dados!$S$3:$W$55,4,FALSE)</f>
        <v>5273</v>
      </c>
      <c r="AE41" s="4">
        <f t="shared" si="47"/>
        <v>405</v>
      </c>
      <c r="AF41" s="4">
        <f t="shared" si="48"/>
        <v>79095</v>
      </c>
      <c r="AI41" s="13">
        <f>VLOOKUP(Z41,Dados!$S$3:$V$55,2,FALSE)*VLOOKUP(Z41,Dados!$S$3:$V$55,3,FALSE)*VLOOKUP(Z41,Dados!$S$3:$V$55,4,FALSE)*0.00000785</f>
        <v>22.600605299999998</v>
      </c>
      <c r="AJ41" s="13">
        <f t="shared" si="49"/>
        <v>339.00907949999998</v>
      </c>
      <c r="AK41" s="13">
        <f t="shared" si="50"/>
        <v>0.11572469999999999</v>
      </c>
      <c r="AL41" s="13">
        <f t="shared" si="51"/>
        <v>1.7358704999999999</v>
      </c>
      <c r="AV41" s="4">
        <f t="shared" si="6"/>
        <v>80</v>
      </c>
      <c r="AW41" s="15">
        <v>39</v>
      </c>
      <c r="AX41" s="4">
        <v>231</v>
      </c>
      <c r="AY41" s="4">
        <v>20</v>
      </c>
      <c r="AZ41" s="4">
        <v>20</v>
      </c>
      <c r="BA41" s="4">
        <v>20</v>
      </c>
      <c r="BB41" s="4">
        <v>20</v>
      </c>
      <c r="BC41" s="4">
        <v>20</v>
      </c>
      <c r="BD41" s="15">
        <f t="shared" si="63"/>
        <v>0</v>
      </c>
      <c r="BE41" s="15">
        <f t="shared" si="64"/>
        <v>97</v>
      </c>
      <c r="BF41" s="15">
        <f t="shared" si="65"/>
        <v>0</v>
      </c>
      <c r="BG41" s="15">
        <f t="shared" si="66"/>
        <v>30</v>
      </c>
      <c r="BH41" s="15">
        <f>SUMIFS(Dados!$Q:$Q,Dados!$O:$O,$AW41,Dados!$P:$P,BH$2)</f>
        <v>0</v>
      </c>
      <c r="BI41" s="15">
        <f>SUMIFS(Dados!$Q:$Q,Dados!$O:$O,$AW41,Dados!$P:$P,BI$2)</f>
        <v>97</v>
      </c>
      <c r="BJ41" s="15">
        <f>SUMIFS(Dados!$Q:$Q,Dados!$O:$O,$AW41,Dados!$P:$P,BJ$2)</f>
        <v>0</v>
      </c>
      <c r="BK41" s="15">
        <f>SUMIFS(Dados!$Q:$Q,Dados!$O:$O,$AW41,Dados!$P:$P,BK$2)</f>
        <v>0</v>
      </c>
      <c r="BL41" s="15">
        <v>0</v>
      </c>
      <c r="BM41" s="15">
        <v>0</v>
      </c>
      <c r="BN41" s="15">
        <v>0</v>
      </c>
      <c r="BO41" s="15">
        <v>30</v>
      </c>
      <c r="BP41" s="15">
        <f t="shared" si="67"/>
        <v>0</v>
      </c>
      <c r="BQ41" s="15">
        <f t="shared" si="68"/>
        <v>0</v>
      </c>
      <c r="BR41" s="15">
        <f t="shared" si="69"/>
        <v>0</v>
      </c>
      <c r="BS41" s="15">
        <f t="shared" si="70"/>
        <v>0</v>
      </c>
      <c r="BT41" s="15">
        <f t="shared" si="71"/>
        <v>0</v>
      </c>
      <c r="BU41" s="15"/>
      <c r="BV41" s="15">
        <v>39</v>
      </c>
      <c r="BW41" s="15">
        <f>Dados!I41</f>
        <v>20</v>
      </c>
      <c r="BX41" s="15">
        <f>Dados!J41-Dados!I41</f>
        <v>35</v>
      </c>
      <c r="BY41" s="15">
        <f t="shared" si="72"/>
        <v>20</v>
      </c>
      <c r="BZ41" s="15">
        <f t="shared" si="73"/>
        <v>0</v>
      </c>
      <c r="CA41" s="16">
        <f t="shared" si="74"/>
        <v>0</v>
      </c>
      <c r="CD41" s="15">
        <f t="shared" si="75"/>
        <v>18480</v>
      </c>
      <c r="CE41" s="15">
        <f t="shared" si="76"/>
        <v>18480</v>
      </c>
      <c r="CF41" s="15">
        <f t="shared" si="77"/>
        <v>50820</v>
      </c>
      <c r="CG41" s="16">
        <f t="shared" si="78"/>
        <v>0</v>
      </c>
    </row>
    <row r="42" spans="1:85">
      <c r="B42" s="4">
        <v>14</v>
      </c>
      <c r="C42" s="4">
        <v>2706749.1786942091</v>
      </c>
      <c r="F42" s="4">
        <v>40</v>
      </c>
      <c r="G42" s="4">
        <v>18</v>
      </c>
      <c r="H42" s="4">
        <v>3</v>
      </c>
      <c r="I42" s="4">
        <v>12</v>
      </c>
      <c r="J42" s="4">
        <v>9</v>
      </c>
      <c r="K42" s="4">
        <f t="shared" si="56"/>
        <v>0</v>
      </c>
      <c r="L42" s="4">
        <f t="shared" si="56"/>
        <v>0</v>
      </c>
      <c r="M42" s="4">
        <f t="shared" si="56"/>
        <v>0</v>
      </c>
      <c r="N42" s="4">
        <f t="shared" si="56"/>
        <v>0</v>
      </c>
      <c r="O42" s="4">
        <f t="shared" si="57"/>
        <v>0</v>
      </c>
      <c r="P42" s="4">
        <f t="shared" si="58"/>
        <v>0</v>
      </c>
      <c r="Q42" s="4">
        <f t="shared" si="59"/>
        <v>0</v>
      </c>
      <c r="R42" s="4">
        <f t="shared" si="60"/>
        <v>0</v>
      </c>
      <c r="S42" s="4">
        <f>IF(AND(VLOOKUP(G42,Dados!$D:$L,2,0)=VLOOKUP(I42,Dados!$S:$V,2,0),VLOOKUP(G42,Dados!$D:$L,3,0)=VLOOKUP(I42,Dados!$S:$V,3,0)),0,1)</f>
        <v>0</v>
      </c>
      <c r="T42" s="4">
        <f>IF(AND(VLOOKUP(G42,Dados!$D:$L,3,0)&lt;=VLOOKUP(H42,Dados!$X:$AB,2,0),VLOOKUP(G42,Dados!$D:$L,4,0)&gt;=VLOOKUP(H42,Dados!$X:$AB,3,0),VLOOKUP(G42,Dados!$D:$L,4,0)&lt;=VLOOKUP(H42,Dados!$X:$AB,4,0)),0,1)</f>
        <v>0</v>
      </c>
      <c r="U42" s="4">
        <f>IF(COUNTIFS(F:F,F42,H:H,H42)&lt;=VLOOKUP(H42,Dados!$X:$AB,5,0),0,1)</f>
        <v>0</v>
      </c>
      <c r="W42" s="4">
        <v>1029</v>
      </c>
      <c r="X42" s="4">
        <v>1</v>
      </c>
      <c r="Y42" s="4">
        <v>5</v>
      </c>
      <c r="Z42" s="4">
        <v>16</v>
      </c>
      <c r="AA42" s="4">
        <v>3</v>
      </c>
      <c r="AB42" s="4">
        <v>1</v>
      </c>
      <c r="AD42" s="4">
        <f>VLOOKUP(Z42,Dados!$S$3:$W$55,4,FALSE)</f>
        <v>5273</v>
      </c>
      <c r="AE42" s="4">
        <f t="shared" si="47"/>
        <v>5</v>
      </c>
      <c r="AF42" s="4">
        <f t="shared" si="48"/>
        <v>5273</v>
      </c>
      <c r="AI42" s="13">
        <f>VLOOKUP(Z42,Dados!$S$3:$V$55,2,FALSE)*VLOOKUP(Z42,Dados!$S$3:$V$55,3,FALSE)*VLOOKUP(Z42,Dados!$S$3:$V$55,4,FALSE)*0.00000785</f>
        <v>22.600605299999998</v>
      </c>
      <c r="AJ42" s="13">
        <f t="shared" si="49"/>
        <v>22.600605299999998</v>
      </c>
      <c r="AK42" s="13">
        <f t="shared" si="50"/>
        <v>2.1430499999999998E-2</v>
      </c>
      <c r="AL42" s="13">
        <f t="shared" si="51"/>
        <v>2.1430499999999998E-2</v>
      </c>
      <c r="AV42" s="4">
        <f t="shared" si="6"/>
        <v>190</v>
      </c>
      <c r="AW42" s="15">
        <v>40</v>
      </c>
      <c r="AX42" s="4">
        <v>192</v>
      </c>
      <c r="AY42" s="4">
        <v>45</v>
      </c>
      <c r="AZ42" s="4">
        <v>55</v>
      </c>
      <c r="BA42" s="4">
        <v>45</v>
      </c>
      <c r="BB42" s="4">
        <v>45</v>
      </c>
      <c r="BC42" s="4">
        <v>45</v>
      </c>
      <c r="BD42" s="15">
        <f t="shared" si="63"/>
        <v>10</v>
      </c>
      <c r="BE42" s="15">
        <f t="shared" si="64"/>
        <v>70</v>
      </c>
      <c r="BF42" s="15">
        <f t="shared" si="65"/>
        <v>156</v>
      </c>
      <c r="BG42" s="15">
        <f t="shared" si="66"/>
        <v>0</v>
      </c>
      <c r="BH42" s="15">
        <f>SUMIFS(Dados!$Q:$Q,Dados!$O:$O,$AW42,Dados!$P:$P,BH$2)</f>
        <v>0</v>
      </c>
      <c r="BI42" s="15">
        <f>SUMIFS(Dados!$Q:$Q,Dados!$O:$O,$AW42,Dados!$P:$P,BI$2)</f>
        <v>0</v>
      </c>
      <c r="BJ42" s="15">
        <f>SUMIFS(Dados!$Q:$Q,Dados!$O:$O,$AW42,Dados!$P:$P,BJ$2)</f>
        <v>156</v>
      </c>
      <c r="BK42" s="15">
        <f>SUMIFS(Dados!$Q:$Q,Dados!$O:$O,$AW42,Dados!$P:$P,BK$2)</f>
        <v>0</v>
      </c>
      <c r="BL42" s="15">
        <v>0</v>
      </c>
      <c r="BM42" s="15">
        <v>80</v>
      </c>
      <c r="BN42" s="15">
        <v>0</v>
      </c>
      <c r="BO42" s="15">
        <v>0</v>
      </c>
      <c r="BP42" s="15">
        <f t="shared" si="67"/>
        <v>0</v>
      </c>
      <c r="BQ42" s="15">
        <f t="shared" si="68"/>
        <v>0</v>
      </c>
      <c r="BR42" s="15">
        <f t="shared" si="69"/>
        <v>0</v>
      </c>
      <c r="BS42" s="15">
        <f t="shared" si="70"/>
        <v>0</v>
      </c>
      <c r="BT42" s="15">
        <f t="shared" si="71"/>
        <v>0</v>
      </c>
      <c r="BU42" s="15"/>
      <c r="BV42" s="15">
        <v>40</v>
      </c>
      <c r="BW42" s="15">
        <f>Dados!I42</f>
        <v>45</v>
      </c>
      <c r="BX42" s="15">
        <f>Dados!J42-Dados!I42</f>
        <v>45</v>
      </c>
      <c r="BY42" s="15">
        <f t="shared" si="72"/>
        <v>47.5</v>
      </c>
      <c r="BZ42" s="15">
        <f t="shared" si="73"/>
        <v>2.5</v>
      </c>
      <c r="CA42" s="16">
        <f t="shared" si="74"/>
        <v>5.5555555555555552E-2</v>
      </c>
      <c r="CD42" s="15">
        <f t="shared" si="75"/>
        <v>36480</v>
      </c>
      <c r="CE42" s="15">
        <f t="shared" si="76"/>
        <v>34560</v>
      </c>
      <c r="CF42" s="15">
        <f t="shared" si="77"/>
        <v>69120</v>
      </c>
      <c r="CG42" s="16">
        <f t="shared" si="78"/>
        <v>5.5555555555555552E-2</v>
      </c>
    </row>
    <row r="43" spans="1:85">
      <c r="F43" s="4">
        <v>41</v>
      </c>
      <c r="G43" s="4">
        <v>19</v>
      </c>
      <c r="H43" s="4">
        <v>1</v>
      </c>
      <c r="I43" s="4">
        <v>12</v>
      </c>
      <c r="J43" s="4">
        <v>7</v>
      </c>
      <c r="K43" s="4">
        <f t="shared" ref="K43:N62" si="79">SUMIFS($X:$X,$W:$W,$F43,$Z:$Z,$I43,$AA:$AA,$H43,$AB:$AB,K$2)</f>
        <v>0</v>
      </c>
      <c r="L43" s="4">
        <f t="shared" si="79"/>
        <v>0</v>
      </c>
      <c r="M43" s="4">
        <f t="shared" si="79"/>
        <v>0</v>
      </c>
      <c r="N43" s="4">
        <f t="shared" si="79"/>
        <v>0</v>
      </c>
      <c r="O43" s="4">
        <f t="shared" si="57"/>
        <v>0</v>
      </c>
      <c r="P43" s="4">
        <f t="shared" si="58"/>
        <v>0</v>
      </c>
      <c r="Q43" s="4">
        <f t="shared" si="59"/>
        <v>0</v>
      </c>
      <c r="R43" s="4">
        <f t="shared" si="60"/>
        <v>0</v>
      </c>
      <c r="S43" s="4">
        <f>IF(AND(VLOOKUP(G43,Dados!$D:$L,2,0)=VLOOKUP(I43,Dados!$S:$V,2,0),VLOOKUP(G43,Dados!$D:$L,3,0)=VLOOKUP(I43,Dados!$S:$V,3,0)),0,1)</f>
        <v>0</v>
      </c>
      <c r="T43" s="4">
        <f>IF(AND(VLOOKUP(G43,Dados!$D:$L,3,0)&lt;=VLOOKUP(H43,Dados!$X:$AB,2,0),VLOOKUP(G43,Dados!$D:$L,4,0)&gt;=VLOOKUP(H43,Dados!$X:$AB,3,0),VLOOKUP(G43,Dados!$D:$L,4,0)&lt;=VLOOKUP(H43,Dados!$X:$AB,4,0)),0,1)</f>
        <v>0</v>
      </c>
      <c r="U43" s="4">
        <f>IF(COUNTIFS(F:F,F43,H:H,H43)&lt;=VLOOKUP(H43,Dados!$X:$AB,5,0),0,1)</f>
        <v>0</v>
      </c>
      <c r="W43" s="4">
        <v>113</v>
      </c>
      <c r="X43" s="4">
        <v>1</v>
      </c>
      <c r="Y43" s="4">
        <v>56</v>
      </c>
      <c r="Z43" s="4">
        <v>17</v>
      </c>
      <c r="AA43" s="4">
        <v>1</v>
      </c>
      <c r="AB43" s="4">
        <v>1</v>
      </c>
      <c r="AD43" s="4">
        <f>VLOOKUP(Z43,Dados!$S$3:$W$55,4,FALSE)</f>
        <v>6041</v>
      </c>
      <c r="AE43" s="4">
        <f t="shared" si="47"/>
        <v>56</v>
      </c>
      <c r="AF43" s="4">
        <f t="shared" si="48"/>
        <v>6041</v>
      </c>
      <c r="AI43" s="13">
        <f>VLOOKUP(Z43,Dados!$S$3:$V$55,2,FALSE)*VLOOKUP(Z43,Dados!$S$3:$V$55,3,FALSE)*VLOOKUP(Z43,Dados!$S$3:$V$55,4,FALSE)*0.00000785</f>
        <v>24.754205699999996</v>
      </c>
      <c r="AJ43" s="13">
        <f t="shared" si="49"/>
        <v>24.754205699999996</v>
      </c>
      <c r="AK43" s="13">
        <f t="shared" si="50"/>
        <v>0.22947119999999996</v>
      </c>
      <c r="AL43" s="13">
        <f t="shared" si="51"/>
        <v>0.22947119999999996</v>
      </c>
      <c r="AV43" s="4">
        <f t="shared" si="6"/>
        <v>0</v>
      </c>
      <c r="AW43" s="15">
        <v>41</v>
      </c>
      <c r="AX43" s="4">
        <v>166</v>
      </c>
      <c r="AY43" s="4">
        <v>0</v>
      </c>
      <c r="AZ43" s="4">
        <v>0</v>
      </c>
      <c r="BA43" s="4">
        <v>0</v>
      </c>
      <c r="BB43" s="28">
        <v>0</v>
      </c>
      <c r="BC43" s="28">
        <v>0</v>
      </c>
      <c r="BD43" s="15">
        <f t="shared" si="63"/>
        <v>30</v>
      </c>
      <c r="BE43" s="15">
        <f t="shared" si="64"/>
        <v>16</v>
      </c>
      <c r="BF43" s="15">
        <f t="shared" si="65"/>
        <v>0</v>
      </c>
      <c r="BG43" s="15">
        <f t="shared" si="66"/>
        <v>0</v>
      </c>
      <c r="BH43" s="15">
        <f>SUMIFS(Dados!$Q:$Q,Dados!$O:$O,$AW43,Dados!$P:$P,BH$2)</f>
        <v>30</v>
      </c>
      <c r="BI43" s="15">
        <f>SUMIFS(Dados!$Q:$Q,Dados!$O:$O,$AW43,Dados!$P:$P,BI$2)</f>
        <v>0</v>
      </c>
      <c r="BJ43" s="15">
        <f>SUMIFS(Dados!$Q:$Q,Dados!$O:$O,$AW43,Dados!$P:$P,BJ$2)</f>
        <v>0</v>
      </c>
      <c r="BK43" s="15">
        <f>SUMIFS(Dados!$Q:$Q,Dados!$O:$O,$AW43,Dados!$P:$P,BK$2)</f>
        <v>0</v>
      </c>
      <c r="BL43" s="15">
        <v>0</v>
      </c>
      <c r="BM43" s="15">
        <v>16</v>
      </c>
      <c r="BN43" s="15">
        <v>0</v>
      </c>
      <c r="BO43" s="15">
        <v>0</v>
      </c>
      <c r="BP43" s="15">
        <f t="shared" si="67"/>
        <v>0</v>
      </c>
      <c r="BQ43" s="15">
        <f t="shared" si="68"/>
        <v>0</v>
      </c>
      <c r="BR43" s="15">
        <f t="shared" si="69"/>
        <v>0</v>
      </c>
      <c r="BS43" s="15">
        <f t="shared" si="70"/>
        <v>0</v>
      </c>
      <c r="BT43" s="15">
        <f t="shared" si="71"/>
        <v>0</v>
      </c>
      <c r="BU43" s="15"/>
      <c r="BV43" s="15">
        <v>41</v>
      </c>
      <c r="BW43" s="15">
        <f>Dados!I43</f>
        <v>0</v>
      </c>
      <c r="BX43" s="15">
        <f>Dados!J43-Dados!I43</f>
        <v>30</v>
      </c>
      <c r="BY43" s="15">
        <f t="shared" si="72"/>
        <v>0</v>
      </c>
      <c r="BZ43" s="15">
        <f t="shared" si="73"/>
        <v>0</v>
      </c>
      <c r="CA43" s="16">
        <f t="shared" si="74"/>
        <v>0</v>
      </c>
      <c r="CD43" s="15">
        <f t="shared" si="75"/>
        <v>0</v>
      </c>
      <c r="CE43" s="15">
        <f t="shared" si="76"/>
        <v>0</v>
      </c>
      <c r="CF43" s="15">
        <f t="shared" si="77"/>
        <v>19920</v>
      </c>
      <c r="CG43" s="16">
        <f t="shared" si="78"/>
        <v>0</v>
      </c>
    </row>
    <row r="44" spans="1:85">
      <c r="F44" s="4">
        <v>42</v>
      </c>
      <c r="G44" s="4">
        <v>19</v>
      </c>
      <c r="H44" s="4">
        <v>2</v>
      </c>
      <c r="I44" s="4">
        <v>12</v>
      </c>
      <c r="J44" s="4">
        <v>7</v>
      </c>
      <c r="K44" s="4">
        <f t="shared" si="79"/>
        <v>0</v>
      </c>
      <c r="L44" s="4">
        <f t="shared" si="79"/>
        <v>0</v>
      </c>
      <c r="M44" s="4">
        <f t="shared" si="79"/>
        <v>34</v>
      </c>
      <c r="N44" s="4">
        <f t="shared" si="79"/>
        <v>0</v>
      </c>
      <c r="O44" s="4">
        <f t="shared" si="57"/>
        <v>0</v>
      </c>
      <c r="P44" s="4">
        <f t="shared" si="58"/>
        <v>0</v>
      </c>
      <c r="Q44" s="4">
        <f t="shared" si="59"/>
        <v>238</v>
      </c>
      <c r="R44" s="4">
        <f t="shared" si="60"/>
        <v>0</v>
      </c>
      <c r="S44" s="4">
        <f>IF(AND(VLOOKUP(G44,Dados!$D:$L,2,0)=VLOOKUP(I44,Dados!$S:$V,2,0),VLOOKUP(G44,Dados!$D:$L,3,0)=VLOOKUP(I44,Dados!$S:$V,3,0)),0,1)</f>
        <v>0</v>
      </c>
      <c r="T44" s="4">
        <f>IF(AND(VLOOKUP(G44,Dados!$D:$L,3,0)&lt;=VLOOKUP(H44,Dados!$X:$AB,2,0),VLOOKUP(G44,Dados!$D:$L,4,0)&gt;=VLOOKUP(H44,Dados!$X:$AB,3,0),VLOOKUP(G44,Dados!$D:$L,4,0)&lt;=VLOOKUP(H44,Dados!$X:$AB,4,0)),0,1)</f>
        <v>0</v>
      </c>
      <c r="U44" s="4">
        <f>IF(COUNTIFS(F:F,F44,H:H,H44)&lt;=VLOOKUP(H44,Dados!$X:$AB,5,0),0,1)</f>
        <v>0</v>
      </c>
      <c r="W44" s="4">
        <v>339</v>
      </c>
      <c r="X44" s="4">
        <v>2</v>
      </c>
      <c r="Y44" s="4">
        <v>34</v>
      </c>
      <c r="Z44" s="4">
        <v>17</v>
      </c>
      <c r="AA44" s="4">
        <v>1</v>
      </c>
      <c r="AB44" s="4">
        <v>1</v>
      </c>
      <c r="AD44" s="4">
        <f>VLOOKUP(Z44,Dados!$S$3:$W$55,4,FALSE)</f>
        <v>6041</v>
      </c>
      <c r="AE44" s="4">
        <f t="shared" si="47"/>
        <v>68</v>
      </c>
      <c r="AF44" s="4">
        <f t="shared" si="48"/>
        <v>12082</v>
      </c>
      <c r="AI44" s="13">
        <f>VLOOKUP(Z44,Dados!$S$3:$V$55,2,FALSE)*VLOOKUP(Z44,Dados!$S$3:$V$55,3,FALSE)*VLOOKUP(Z44,Dados!$S$3:$V$55,4,FALSE)*0.00000785</f>
        <v>24.754205699999996</v>
      </c>
      <c r="AJ44" s="13">
        <f t="shared" si="49"/>
        <v>49.508411399999993</v>
      </c>
      <c r="AK44" s="13">
        <f t="shared" si="50"/>
        <v>0.13932179999999997</v>
      </c>
      <c r="AL44" s="13">
        <f t="shared" si="51"/>
        <v>0.27864359999999994</v>
      </c>
      <c r="AV44" s="4">
        <f t="shared" si="6"/>
        <v>340</v>
      </c>
      <c r="AW44" s="15">
        <v>42</v>
      </c>
      <c r="AX44" s="4">
        <v>170</v>
      </c>
      <c r="AY44" s="4">
        <v>80</v>
      </c>
      <c r="AZ44" s="4">
        <v>86</v>
      </c>
      <c r="BA44" s="4">
        <v>87</v>
      </c>
      <c r="BB44" s="4">
        <v>87</v>
      </c>
      <c r="BC44" s="4">
        <v>80</v>
      </c>
      <c r="BD44" s="15">
        <f t="shared" si="63"/>
        <v>22</v>
      </c>
      <c r="BE44" s="15">
        <f t="shared" si="64"/>
        <v>1</v>
      </c>
      <c r="BF44" s="15">
        <f t="shared" si="65"/>
        <v>0</v>
      </c>
      <c r="BG44" s="15">
        <f t="shared" si="66"/>
        <v>267</v>
      </c>
      <c r="BH44" s="15">
        <f>SUMIFS(Dados!$Q:$Q,Dados!$O:$O,$AW44,Dados!$P:$P,BH$2)</f>
        <v>0</v>
      </c>
      <c r="BI44" s="15">
        <f>SUMIFS(Dados!$Q:$Q,Dados!$O:$O,$AW44,Dados!$P:$P,BI$2)</f>
        <v>0</v>
      </c>
      <c r="BJ44" s="15">
        <f>SUMIFS(Dados!$Q:$Q,Dados!$O:$O,$AW44,Dados!$P:$P,BJ$2)</f>
        <v>0</v>
      </c>
      <c r="BK44" s="15">
        <f>SUMIFS(Dados!$Q:$Q,Dados!$O:$O,$AW44,Dados!$P:$P,BK$2)</f>
        <v>274</v>
      </c>
      <c r="BL44" s="15">
        <v>16</v>
      </c>
      <c r="BM44" s="15">
        <v>0</v>
      </c>
      <c r="BN44" s="15">
        <v>0</v>
      </c>
      <c r="BO44" s="15">
        <v>0</v>
      </c>
      <c r="BP44" s="15">
        <f t="shared" si="67"/>
        <v>0</v>
      </c>
      <c r="BQ44" s="15">
        <f t="shared" si="68"/>
        <v>0</v>
      </c>
      <c r="BR44" s="15">
        <f t="shared" si="69"/>
        <v>0</v>
      </c>
      <c r="BS44" s="15">
        <f t="shared" si="70"/>
        <v>0</v>
      </c>
      <c r="BT44" s="15">
        <f t="shared" si="71"/>
        <v>0</v>
      </c>
      <c r="BU44" s="15"/>
      <c r="BV44" s="15">
        <v>42</v>
      </c>
      <c r="BW44" s="15">
        <f>Dados!I44</f>
        <v>80</v>
      </c>
      <c r="BX44" s="15">
        <f>Dados!J44-Dados!I44</f>
        <v>60</v>
      </c>
      <c r="BY44" s="15">
        <f t="shared" si="72"/>
        <v>85</v>
      </c>
      <c r="BZ44" s="15">
        <f t="shared" si="73"/>
        <v>5</v>
      </c>
      <c r="CA44" s="16">
        <f t="shared" si="74"/>
        <v>8.3333333333333329E-2</v>
      </c>
      <c r="CD44" s="15">
        <f t="shared" si="75"/>
        <v>57800</v>
      </c>
      <c r="CE44" s="15">
        <f t="shared" si="76"/>
        <v>54400</v>
      </c>
      <c r="CF44" s="15">
        <f t="shared" si="77"/>
        <v>95200</v>
      </c>
      <c r="CG44" s="16">
        <f t="shared" si="78"/>
        <v>8.3333333333333329E-2</v>
      </c>
    </row>
    <row r="45" spans="1:85">
      <c r="F45" s="4">
        <v>43</v>
      </c>
      <c r="G45" s="4">
        <v>19</v>
      </c>
      <c r="H45" s="4">
        <v>3</v>
      </c>
      <c r="I45" s="4">
        <v>12</v>
      </c>
      <c r="J45" s="4">
        <v>7</v>
      </c>
      <c r="K45" s="4">
        <f t="shared" si="79"/>
        <v>0</v>
      </c>
      <c r="L45" s="4">
        <f t="shared" si="79"/>
        <v>0</v>
      </c>
      <c r="M45" s="4">
        <f t="shared" si="79"/>
        <v>0</v>
      </c>
      <c r="N45" s="4">
        <f t="shared" si="79"/>
        <v>0</v>
      </c>
      <c r="O45" s="4">
        <f t="shared" si="57"/>
        <v>0</v>
      </c>
      <c r="P45" s="4">
        <f t="shared" si="58"/>
        <v>0</v>
      </c>
      <c r="Q45" s="4">
        <f t="shared" si="59"/>
        <v>0</v>
      </c>
      <c r="R45" s="4">
        <f t="shared" si="60"/>
        <v>0</v>
      </c>
      <c r="S45" s="4">
        <f>IF(AND(VLOOKUP(G45,Dados!$D:$L,2,0)=VLOOKUP(I45,Dados!$S:$V,2,0),VLOOKUP(G45,Dados!$D:$L,3,0)=VLOOKUP(I45,Dados!$S:$V,3,0)),0,1)</f>
        <v>0</v>
      </c>
      <c r="T45" s="4">
        <f>IF(AND(VLOOKUP(G45,Dados!$D:$L,3,0)&lt;=VLOOKUP(H45,Dados!$X:$AB,2,0),VLOOKUP(G45,Dados!$D:$L,4,0)&gt;=VLOOKUP(H45,Dados!$X:$AB,3,0),VLOOKUP(G45,Dados!$D:$L,4,0)&lt;=VLOOKUP(H45,Dados!$X:$AB,4,0)),0,1)</f>
        <v>0</v>
      </c>
      <c r="U45" s="4">
        <f>IF(COUNTIFS(F:F,F45,H:H,H45)&lt;=VLOOKUP(H45,Dados!$X:$AB,5,0),0,1)</f>
        <v>0</v>
      </c>
      <c r="W45" s="4">
        <v>447</v>
      </c>
      <c r="X45" s="4">
        <v>10</v>
      </c>
      <c r="Y45" s="4">
        <v>12</v>
      </c>
      <c r="Z45" s="4">
        <v>17</v>
      </c>
      <c r="AA45" s="4">
        <v>1</v>
      </c>
      <c r="AB45" s="4">
        <v>1</v>
      </c>
      <c r="AD45" s="4">
        <f>VLOOKUP(Z45,Dados!$S$3:$W$55,4,FALSE)</f>
        <v>6041</v>
      </c>
      <c r="AE45" s="4">
        <f t="shared" si="47"/>
        <v>120</v>
      </c>
      <c r="AF45" s="4">
        <f t="shared" si="48"/>
        <v>60410</v>
      </c>
      <c r="AI45" s="13">
        <f>VLOOKUP(Z45,Dados!$S$3:$V$55,2,FALSE)*VLOOKUP(Z45,Dados!$S$3:$V$55,3,FALSE)*VLOOKUP(Z45,Dados!$S$3:$V$55,4,FALSE)*0.00000785</f>
        <v>24.754205699999996</v>
      </c>
      <c r="AJ45" s="13">
        <f t="shared" si="49"/>
        <v>247.54205699999997</v>
      </c>
      <c r="AK45" s="13">
        <f t="shared" si="50"/>
        <v>4.9172399999999991E-2</v>
      </c>
      <c r="AL45" s="13">
        <f t="shared" si="51"/>
        <v>0.49172399999999994</v>
      </c>
      <c r="AV45" s="4">
        <f t="shared" si="6"/>
        <v>182</v>
      </c>
      <c r="AW45" s="15">
        <v>43</v>
      </c>
      <c r="AX45" s="4">
        <v>153</v>
      </c>
      <c r="AY45" s="4">
        <v>45</v>
      </c>
      <c r="AZ45" s="4">
        <v>45</v>
      </c>
      <c r="BA45" s="4">
        <v>46</v>
      </c>
      <c r="BB45" s="4">
        <v>46</v>
      </c>
      <c r="BC45" s="4">
        <v>45</v>
      </c>
      <c r="BD45" s="15">
        <f t="shared" si="63"/>
        <v>125</v>
      </c>
      <c r="BE45" s="15">
        <f t="shared" si="64"/>
        <v>1</v>
      </c>
      <c r="BF45" s="15">
        <f t="shared" si="65"/>
        <v>0</v>
      </c>
      <c r="BG45" s="15">
        <f t="shared" si="66"/>
        <v>98</v>
      </c>
      <c r="BH45" s="15">
        <f>SUMIFS(Dados!$Q:$Q,Dados!$O:$O,$AW45,Dados!$P:$P,BH$2)</f>
        <v>125</v>
      </c>
      <c r="BI45" s="15">
        <f>SUMIFS(Dados!$Q:$Q,Dados!$O:$O,$AW45,Dados!$P:$P,BI$2)</f>
        <v>0</v>
      </c>
      <c r="BJ45" s="15">
        <f>SUMIFS(Dados!$Q:$Q,Dados!$O:$O,$AW45,Dados!$P:$P,BJ$2)</f>
        <v>0</v>
      </c>
      <c r="BK45" s="15">
        <f>SUMIFS(Dados!$Q:$Q,Dados!$O:$O,$AW45,Dados!$P:$P,BK$2)</f>
        <v>0</v>
      </c>
      <c r="BL45" s="15">
        <v>0</v>
      </c>
      <c r="BM45" s="15">
        <v>0</v>
      </c>
      <c r="BN45" s="15">
        <v>0</v>
      </c>
      <c r="BO45" s="15">
        <v>99</v>
      </c>
      <c r="BP45" s="15">
        <f t="shared" si="67"/>
        <v>0</v>
      </c>
      <c r="BQ45" s="15">
        <f t="shared" si="68"/>
        <v>0</v>
      </c>
      <c r="BR45" s="15">
        <f t="shared" si="69"/>
        <v>0</v>
      </c>
      <c r="BS45" s="15">
        <f t="shared" si="70"/>
        <v>0</v>
      </c>
      <c r="BT45" s="15">
        <f t="shared" si="71"/>
        <v>0</v>
      </c>
      <c r="BU45" s="15"/>
      <c r="BV45" s="15">
        <v>43</v>
      </c>
      <c r="BW45" s="15">
        <f>Dados!I45</f>
        <v>45</v>
      </c>
      <c r="BX45" s="15">
        <f>Dados!J45-Dados!I45</f>
        <v>45</v>
      </c>
      <c r="BY45" s="15">
        <f t="shared" si="72"/>
        <v>45.5</v>
      </c>
      <c r="BZ45" s="15">
        <f t="shared" si="73"/>
        <v>0.5</v>
      </c>
      <c r="CA45" s="16">
        <f t="shared" si="74"/>
        <v>1.1111111111111112E-2</v>
      </c>
      <c r="CD45" s="15">
        <f t="shared" si="75"/>
        <v>27846</v>
      </c>
      <c r="CE45" s="15">
        <f t="shared" si="76"/>
        <v>27540</v>
      </c>
      <c r="CF45" s="15">
        <f t="shared" si="77"/>
        <v>55080</v>
      </c>
      <c r="CG45" s="16">
        <f t="shared" si="78"/>
        <v>1.1111111111111112E-2</v>
      </c>
    </row>
    <row r="46" spans="1:85">
      <c r="F46" s="4">
        <v>44</v>
      </c>
      <c r="G46" s="4">
        <v>20</v>
      </c>
      <c r="H46" s="4">
        <v>1</v>
      </c>
      <c r="I46" s="4">
        <v>13</v>
      </c>
      <c r="J46" s="4">
        <v>7</v>
      </c>
      <c r="K46" s="4">
        <f t="shared" si="79"/>
        <v>0</v>
      </c>
      <c r="L46" s="4">
        <f t="shared" si="79"/>
        <v>0</v>
      </c>
      <c r="M46" s="4">
        <f t="shared" si="79"/>
        <v>0</v>
      </c>
      <c r="N46" s="4">
        <f t="shared" si="79"/>
        <v>0</v>
      </c>
      <c r="O46" s="4">
        <f t="shared" si="57"/>
        <v>0</v>
      </c>
      <c r="P46" s="4">
        <f t="shared" si="58"/>
        <v>0</v>
      </c>
      <c r="Q46" s="4">
        <f t="shared" si="59"/>
        <v>0</v>
      </c>
      <c r="R46" s="4">
        <f t="shared" si="60"/>
        <v>0</v>
      </c>
      <c r="S46" s="4">
        <f>IF(AND(VLOOKUP(G46,Dados!$D:$L,2,0)=VLOOKUP(I46,Dados!$S:$V,2,0),VLOOKUP(G46,Dados!$D:$L,3,0)=VLOOKUP(I46,Dados!$S:$V,3,0)),0,1)</f>
        <v>0</v>
      </c>
      <c r="T46" s="4">
        <f>IF(AND(VLOOKUP(G46,Dados!$D:$L,3,0)&lt;=VLOOKUP(H46,Dados!$X:$AB,2,0),VLOOKUP(G46,Dados!$D:$L,4,0)&gt;=VLOOKUP(H46,Dados!$X:$AB,3,0),VLOOKUP(G46,Dados!$D:$L,4,0)&lt;=VLOOKUP(H46,Dados!$X:$AB,4,0)),0,1)</f>
        <v>0</v>
      </c>
      <c r="U46" s="4">
        <f>IF(COUNTIFS(F:F,F46,H:H,H46)&lt;=VLOOKUP(H46,Dados!$X:$AB,5,0),0,1)</f>
        <v>0</v>
      </c>
      <c r="W46" s="4">
        <v>628</v>
      </c>
      <c r="X46" s="4">
        <v>3</v>
      </c>
      <c r="Y46" s="4">
        <v>1</v>
      </c>
      <c r="Z46" s="4">
        <v>17</v>
      </c>
      <c r="AA46" s="4">
        <v>1</v>
      </c>
      <c r="AB46" s="4">
        <v>1</v>
      </c>
      <c r="AD46" s="4">
        <f>VLOOKUP(Z46,Dados!$S$3:$W$55,4,FALSE)</f>
        <v>6041</v>
      </c>
      <c r="AE46" s="4">
        <f t="shared" si="47"/>
        <v>3</v>
      </c>
      <c r="AF46" s="4">
        <f t="shared" si="48"/>
        <v>18123</v>
      </c>
      <c r="AI46" s="13">
        <f>VLOOKUP(Z46,Dados!$S$3:$V$55,2,FALSE)*VLOOKUP(Z46,Dados!$S$3:$V$55,3,FALSE)*VLOOKUP(Z46,Dados!$S$3:$V$55,4,FALSE)*0.00000785</f>
        <v>24.754205699999996</v>
      </c>
      <c r="AJ46" s="13">
        <f t="shared" si="49"/>
        <v>74.262617099999986</v>
      </c>
      <c r="AK46" s="13">
        <f t="shared" si="50"/>
        <v>4.0976999999999993E-3</v>
      </c>
      <c r="AL46" s="13">
        <f t="shared" si="51"/>
        <v>1.2293099999999998E-2</v>
      </c>
      <c r="AV46" s="4">
        <f t="shared" si="6"/>
        <v>202</v>
      </c>
      <c r="AW46" s="15">
        <v>44</v>
      </c>
      <c r="AX46" s="4">
        <v>131</v>
      </c>
      <c r="AY46" s="4">
        <v>45</v>
      </c>
      <c r="AZ46" s="28">
        <v>50</v>
      </c>
      <c r="BA46" s="28">
        <v>56</v>
      </c>
      <c r="BB46" s="4">
        <v>51</v>
      </c>
      <c r="BC46" s="4">
        <v>45</v>
      </c>
      <c r="BD46" s="15">
        <f t="shared" si="63"/>
        <v>5</v>
      </c>
      <c r="BE46" s="15">
        <f t="shared" si="64"/>
        <v>6</v>
      </c>
      <c r="BF46" s="15">
        <f t="shared" si="65"/>
        <v>22</v>
      </c>
      <c r="BG46" s="15">
        <f t="shared" si="66"/>
        <v>177</v>
      </c>
      <c r="BH46" s="15">
        <f>SUMIFS(Dados!$Q:$Q,Dados!$O:$O,$AW46,Dados!$P:$P,BH$2)</f>
        <v>0</v>
      </c>
      <c r="BI46" s="15">
        <f>SUMIFS(Dados!$Q:$Q,Dados!$O:$O,$AW46,Dados!$P:$P,BI$2)</f>
        <v>0</v>
      </c>
      <c r="BJ46" s="15">
        <f>SUMIFS(Dados!$Q:$Q,Dados!$O:$O,$AW46,Dados!$P:$P,BJ$2)</f>
        <v>0</v>
      </c>
      <c r="BK46" s="15">
        <f>SUMIFS(Dados!$Q:$Q,Dados!$O:$O,$AW46,Dados!$P:$P,BK$2)</f>
        <v>183</v>
      </c>
      <c r="BL46" s="15">
        <v>0</v>
      </c>
      <c r="BM46" s="15">
        <v>0</v>
      </c>
      <c r="BN46" s="15">
        <v>27</v>
      </c>
      <c r="BO46" s="15">
        <v>0</v>
      </c>
      <c r="BP46" s="15">
        <f t="shared" si="67"/>
        <v>0</v>
      </c>
      <c r="BQ46" s="15">
        <f t="shared" si="68"/>
        <v>0</v>
      </c>
      <c r="BR46" s="15">
        <f t="shared" si="69"/>
        <v>0</v>
      </c>
      <c r="BS46" s="15">
        <f t="shared" si="70"/>
        <v>0</v>
      </c>
      <c r="BT46" s="15">
        <f t="shared" si="71"/>
        <v>0</v>
      </c>
      <c r="BU46" s="15"/>
      <c r="BV46" s="15">
        <v>44</v>
      </c>
      <c r="BW46" s="15">
        <f>Dados!I46</f>
        <v>45</v>
      </c>
      <c r="BX46" s="15">
        <f>Dados!J46-Dados!I46</f>
        <v>45</v>
      </c>
      <c r="BY46" s="15">
        <f t="shared" si="72"/>
        <v>50.5</v>
      </c>
      <c r="BZ46" s="15">
        <f t="shared" si="73"/>
        <v>5.5</v>
      </c>
      <c r="CA46" s="16">
        <f t="shared" si="74"/>
        <v>0.12222222222222222</v>
      </c>
      <c r="CD46" s="15">
        <f t="shared" si="75"/>
        <v>26462</v>
      </c>
      <c r="CE46" s="15">
        <f t="shared" si="76"/>
        <v>23580</v>
      </c>
      <c r="CF46" s="15">
        <f t="shared" si="77"/>
        <v>47160</v>
      </c>
      <c r="CG46" s="16">
        <f t="shared" si="78"/>
        <v>0.12222222222222222</v>
      </c>
    </row>
    <row r="47" spans="1:85">
      <c r="F47" s="4">
        <v>45</v>
      </c>
      <c r="G47" s="4">
        <v>20</v>
      </c>
      <c r="H47" s="4">
        <v>2</v>
      </c>
      <c r="I47" s="4">
        <v>13</v>
      </c>
      <c r="J47" s="4">
        <v>7</v>
      </c>
      <c r="K47" s="4">
        <f t="shared" si="79"/>
        <v>0</v>
      </c>
      <c r="L47" s="4">
        <f t="shared" si="79"/>
        <v>0</v>
      </c>
      <c r="M47" s="4">
        <f t="shared" si="79"/>
        <v>0</v>
      </c>
      <c r="N47" s="4">
        <f t="shared" si="79"/>
        <v>0</v>
      </c>
      <c r="O47" s="4">
        <f t="shared" si="57"/>
        <v>0</v>
      </c>
      <c r="P47" s="4">
        <f t="shared" si="58"/>
        <v>0</v>
      </c>
      <c r="Q47" s="4">
        <f t="shared" si="59"/>
        <v>0</v>
      </c>
      <c r="R47" s="4">
        <f t="shared" si="60"/>
        <v>0</v>
      </c>
      <c r="S47" s="4">
        <f>IF(AND(VLOOKUP(G47,Dados!$D:$L,2,0)=VLOOKUP(I47,Dados!$S:$V,2,0),VLOOKUP(G47,Dados!$D:$L,3,0)=VLOOKUP(I47,Dados!$S:$V,3,0)),0,1)</f>
        <v>0</v>
      </c>
      <c r="T47" s="4">
        <f>IF(AND(VLOOKUP(G47,Dados!$D:$L,3,0)&lt;=VLOOKUP(H47,Dados!$X:$AB,2,0),VLOOKUP(G47,Dados!$D:$L,4,0)&gt;=VLOOKUP(H47,Dados!$X:$AB,3,0),VLOOKUP(G47,Dados!$D:$L,4,0)&lt;=VLOOKUP(H47,Dados!$X:$AB,4,0)),0,1)</f>
        <v>0</v>
      </c>
      <c r="U47" s="4">
        <f>IF(COUNTIFS(F:F,F47,H:H,H47)&lt;=VLOOKUP(H47,Dados!$X:$AB,5,0),0,1)</f>
        <v>0</v>
      </c>
      <c r="W47" s="4">
        <v>789</v>
      </c>
      <c r="X47" s="4">
        <v>1</v>
      </c>
      <c r="Y47" s="4">
        <v>5</v>
      </c>
      <c r="Z47" s="4">
        <v>17</v>
      </c>
      <c r="AA47" s="4">
        <v>1</v>
      </c>
      <c r="AB47" s="4">
        <v>1</v>
      </c>
      <c r="AD47" s="4">
        <f>VLOOKUP(Z47,Dados!$S$3:$W$55,4,FALSE)</f>
        <v>6041</v>
      </c>
      <c r="AE47" s="4">
        <f t="shared" si="47"/>
        <v>5</v>
      </c>
      <c r="AF47" s="4">
        <f t="shared" si="48"/>
        <v>6041</v>
      </c>
      <c r="AI47" s="13">
        <f>VLOOKUP(Z47,Dados!$S$3:$V$55,2,FALSE)*VLOOKUP(Z47,Dados!$S$3:$V$55,3,FALSE)*VLOOKUP(Z47,Dados!$S$3:$V$55,4,FALSE)*0.00000785</f>
        <v>24.754205699999996</v>
      </c>
      <c r="AJ47" s="13">
        <f t="shared" si="49"/>
        <v>24.754205699999996</v>
      </c>
      <c r="AK47" s="13">
        <f t="shared" si="50"/>
        <v>2.0488499999999996E-2</v>
      </c>
      <c r="AL47" s="13">
        <f t="shared" si="51"/>
        <v>2.0488499999999996E-2</v>
      </c>
      <c r="AV47" s="4">
        <f t="shared" si="6"/>
        <v>188</v>
      </c>
      <c r="AW47" s="15">
        <v>45</v>
      </c>
      <c r="AX47" s="4">
        <v>156</v>
      </c>
      <c r="AY47" s="4">
        <v>45</v>
      </c>
      <c r="AZ47" s="4">
        <v>45</v>
      </c>
      <c r="BA47" s="4">
        <v>52</v>
      </c>
      <c r="BB47" s="4">
        <v>45</v>
      </c>
      <c r="BC47" s="4">
        <v>46</v>
      </c>
      <c r="BD47" s="15">
        <f t="shared" si="63"/>
        <v>32</v>
      </c>
      <c r="BE47" s="15">
        <f t="shared" si="64"/>
        <v>7</v>
      </c>
      <c r="BF47" s="15">
        <f t="shared" si="65"/>
        <v>151</v>
      </c>
      <c r="BG47" s="15">
        <f t="shared" si="66"/>
        <v>1</v>
      </c>
      <c r="BH47" s="15">
        <f>SUMIFS(Dados!$Q:$Q,Dados!$O:$O,$AW47,Dados!$P:$P,BH$2)</f>
        <v>0</v>
      </c>
      <c r="BI47" s="15">
        <f>SUMIFS(Dados!$Q:$Q,Dados!$O:$O,$AW47,Dados!$P:$P,BI$2)</f>
        <v>0</v>
      </c>
      <c r="BJ47" s="15">
        <f>SUMIFS(Dados!$Q:$Q,Dados!$O:$O,$AW47,Dados!$P:$P,BJ$2)</f>
        <v>158</v>
      </c>
      <c r="BK47" s="15">
        <f>SUMIFS(Dados!$Q:$Q,Dados!$O:$O,$AW47,Dados!$P:$P,BK$2)</f>
        <v>0</v>
      </c>
      <c r="BL47" s="15">
        <v>32</v>
      </c>
      <c r="BM47" s="15">
        <v>0</v>
      </c>
      <c r="BN47" s="15">
        <v>0</v>
      </c>
      <c r="BO47" s="15">
        <v>0</v>
      </c>
      <c r="BP47" s="15">
        <f t="shared" si="67"/>
        <v>0</v>
      </c>
      <c r="BQ47" s="15">
        <f t="shared" si="68"/>
        <v>0</v>
      </c>
      <c r="BR47" s="15">
        <f t="shared" si="69"/>
        <v>0</v>
      </c>
      <c r="BS47" s="15">
        <f t="shared" si="70"/>
        <v>0</v>
      </c>
      <c r="BT47" s="15">
        <f t="shared" si="71"/>
        <v>0</v>
      </c>
      <c r="BU47" s="15"/>
      <c r="BV47" s="15">
        <v>45</v>
      </c>
      <c r="BW47" s="15">
        <f>Dados!I47</f>
        <v>45</v>
      </c>
      <c r="BX47" s="15">
        <f>Dados!J47-Dados!I47</f>
        <v>45</v>
      </c>
      <c r="BY47" s="15">
        <f t="shared" si="72"/>
        <v>47</v>
      </c>
      <c r="BZ47" s="15">
        <f t="shared" si="73"/>
        <v>2</v>
      </c>
      <c r="CA47" s="16">
        <f t="shared" si="74"/>
        <v>4.4444444444444446E-2</v>
      </c>
      <c r="CD47" s="15">
        <f t="shared" si="75"/>
        <v>29328</v>
      </c>
      <c r="CE47" s="15">
        <f t="shared" si="76"/>
        <v>28080</v>
      </c>
      <c r="CF47" s="15">
        <f t="shared" si="77"/>
        <v>56160</v>
      </c>
      <c r="CG47" s="16">
        <f t="shared" si="78"/>
        <v>4.4444444444444446E-2</v>
      </c>
    </row>
    <row r="48" spans="1:85">
      <c r="F48" s="4">
        <v>46</v>
      </c>
      <c r="G48" s="4">
        <v>20</v>
      </c>
      <c r="H48" s="4">
        <v>3</v>
      </c>
      <c r="I48" s="4">
        <v>13</v>
      </c>
      <c r="J48" s="4">
        <v>7</v>
      </c>
      <c r="K48" s="4">
        <f t="shared" si="79"/>
        <v>0</v>
      </c>
      <c r="L48" s="4">
        <f t="shared" si="79"/>
        <v>0</v>
      </c>
      <c r="M48" s="4">
        <f t="shared" si="79"/>
        <v>0</v>
      </c>
      <c r="N48" s="4">
        <f t="shared" si="79"/>
        <v>0</v>
      </c>
      <c r="O48" s="4">
        <f t="shared" si="57"/>
        <v>0</v>
      </c>
      <c r="P48" s="4">
        <f t="shared" si="58"/>
        <v>0</v>
      </c>
      <c r="Q48" s="4">
        <f t="shared" si="59"/>
        <v>0</v>
      </c>
      <c r="R48" s="4">
        <f t="shared" si="60"/>
        <v>0</v>
      </c>
      <c r="S48" s="4">
        <f>IF(AND(VLOOKUP(G48,Dados!$D:$L,2,0)=VLOOKUP(I48,Dados!$S:$V,2,0),VLOOKUP(G48,Dados!$D:$L,3,0)=VLOOKUP(I48,Dados!$S:$V,3,0)),0,1)</f>
        <v>0</v>
      </c>
      <c r="T48" s="4">
        <f>IF(AND(VLOOKUP(G48,Dados!$D:$L,3,0)&lt;=VLOOKUP(H48,Dados!$X:$AB,2,0),VLOOKUP(G48,Dados!$D:$L,4,0)&gt;=VLOOKUP(H48,Dados!$X:$AB,3,0),VLOOKUP(G48,Dados!$D:$L,4,0)&lt;=VLOOKUP(H48,Dados!$X:$AB,4,0)),0,1)</f>
        <v>0</v>
      </c>
      <c r="U48" s="4">
        <f>IF(COUNTIFS(F:F,F48,H:H,H48)&lt;=VLOOKUP(H48,Dados!$X:$AB,5,0),0,1)</f>
        <v>0</v>
      </c>
      <c r="W48" s="4">
        <v>109</v>
      </c>
      <c r="X48" s="4">
        <v>3</v>
      </c>
      <c r="Y48" s="4">
        <v>209</v>
      </c>
      <c r="Z48" s="4">
        <v>17</v>
      </c>
      <c r="AA48" s="4">
        <v>3</v>
      </c>
      <c r="AB48" s="4">
        <v>1</v>
      </c>
      <c r="AD48" s="4">
        <f>VLOOKUP(Z48,Dados!$S$3:$W$55,4,FALSE)</f>
        <v>6041</v>
      </c>
      <c r="AE48" s="4">
        <f t="shared" si="47"/>
        <v>627</v>
      </c>
      <c r="AF48" s="4">
        <f t="shared" si="48"/>
        <v>18123</v>
      </c>
      <c r="AI48" s="13">
        <f>VLOOKUP(Z48,Dados!$S$3:$V$55,2,FALSE)*VLOOKUP(Z48,Dados!$S$3:$V$55,3,FALSE)*VLOOKUP(Z48,Dados!$S$3:$V$55,4,FALSE)*0.00000785</f>
        <v>24.754205699999996</v>
      </c>
      <c r="AJ48" s="13">
        <f t="shared" si="49"/>
        <v>74.262617099999986</v>
      </c>
      <c r="AK48" s="13">
        <f t="shared" si="50"/>
        <v>0.85641929999999988</v>
      </c>
      <c r="AL48" s="13">
        <f t="shared" si="51"/>
        <v>2.5692578999999998</v>
      </c>
      <c r="AV48" s="4">
        <f t="shared" si="6"/>
        <v>182</v>
      </c>
      <c r="AW48" s="15">
        <v>46</v>
      </c>
      <c r="AX48" s="4">
        <v>207</v>
      </c>
      <c r="AY48" s="4">
        <v>45</v>
      </c>
      <c r="AZ48" s="28">
        <v>45</v>
      </c>
      <c r="BA48" s="28">
        <v>45</v>
      </c>
      <c r="BB48" s="4">
        <v>46</v>
      </c>
      <c r="BC48" s="4">
        <v>46</v>
      </c>
      <c r="BD48" s="15">
        <f t="shared" si="63"/>
        <v>131</v>
      </c>
      <c r="BE48" s="15">
        <f t="shared" si="64"/>
        <v>120</v>
      </c>
      <c r="BF48" s="15">
        <f t="shared" si="65"/>
        <v>1</v>
      </c>
      <c r="BG48" s="15">
        <f t="shared" si="66"/>
        <v>0</v>
      </c>
      <c r="BH48" s="15">
        <f>SUMIFS(Dados!$Q:$Q,Dados!$O:$O,$AW48,Dados!$P:$P,BH$2)</f>
        <v>131</v>
      </c>
      <c r="BI48" s="15">
        <f>SUMIFS(Dados!$Q:$Q,Dados!$O:$O,$AW48,Dados!$P:$P,BI$2)</f>
        <v>0</v>
      </c>
      <c r="BJ48" s="15">
        <f>SUMIFS(Dados!$Q:$Q,Dados!$O:$O,$AW48,Dados!$P:$P,BJ$2)</f>
        <v>0</v>
      </c>
      <c r="BK48" s="15">
        <f>SUMIFS(Dados!$Q:$Q,Dados!$O:$O,$AW48,Dados!$P:$P,BK$2)</f>
        <v>0</v>
      </c>
      <c r="BL48" s="15">
        <v>0</v>
      </c>
      <c r="BM48" s="15">
        <v>120</v>
      </c>
      <c r="BN48" s="15">
        <v>0</v>
      </c>
      <c r="BO48" s="15">
        <v>0</v>
      </c>
      <c r="BP48" s="15">
        <f t="shared" si="67"/>
        <v>0</v>
      </c>
      <c r="BQ48" s="15">
        <f t="shared" si="68"/>
        <v>0</v>
      </c>
      <c r="BR48" s="15">
        <f t="shared" si="69"/>
        <v>0</v>
      </c>
      <c r="BS48" s="15">
        <f t="shared" si="70"/>
        <v>0</v>
      </c>
      <c r="BT48" s="15">
        <f t="shared" si="71"/>
        <v>0</v>
      </c>
      <c r="BU48" s="15"/>
      <c r="BV48" s="15">
        <v>46</v>
      </c>
      <c r="BW48" s="15">
        <f>Dados!I48</f>
        <v>45</v>
      </c>
      <c r="BX48" s="15">
        <f>Dados!J48-Dados!I48</f>
        <v>45</v>
      </c>
      <c r="BY48" s="15">
        <f t="shared" si="72"/>
        <v>45.5</v>
      </c>
      <c r="BZ48" s="15">
        <f t="shared" si="73"/>
        <v>0.5</v>
      </c>
      <c r="CA48" s="16">
        <f t="shared" si="74"/>
        <v>1.1111111111111112E-2</v>
      </c>
      <c r="CD48" s="15">
        <f t="shared" si="75"/>
        <v>37674</v>
      </c>
      <c r="CE48" s="15">
        <f t="shared" si="76"/>
        <v>37260</v>
      </c>
      <c r="CF48" s="15">
        <f t="shared" si="77"/>
        <v>74520</v>
      </c>
      <c r="CG48" s="16">
        <f t="shared" si="78"/>
        <v>1.1111111111111112E-2</v>
      </c>
    </row>
    <row r="49" spans="6:85">
      <c r="F49" s="4">
        <v>47</v>
      </c>
      <c r="G49" s="4">
        <v>21</v>
      </c>
      <c r="H49" s="4">
        <v>1</v>
      </c>
      <c r="I49" s="4">
        <v>13</v>
      </c>
      <c r="J49" s="4">
        <v>9</v>
      </c>
      <c r="K49" s="4">
        <f t="shared" si="79"/>
        <v>0</v>
      </c>
      <c r="L49" s="4">
        <f t="shared" si="79"/>
        <v>0</v>
      </c>
      <c r="M49" s="4">
        <f t="shared" si="79"/>
        <v>1</v>
      </c>
      <c r="N49" s="4">
        <f t="shared" si="79"/>
        <v>0</v>
      </c>
      <c r="O49" s="4">
        <f t="shared" si="57"/>
        <v>0</v>
      </c>
      <c r="P49" s="4">
        <f t="shared" si="58"/>
        <v>0</v>
      </c>
      <c r="Q49" s="4">
        <f t="shared" si="59"/>
        <v>9</v>
      </c>
      <c r="R49" s="4">
        <f t="shared" si="60"/>
        <v>0</v>
      </c>
      <c r="S49" s="4">
        <f>IF(AND(VLOOKUP(G49,Dados!$D:$L,2,0)=VLOOKUP(I49,Dados!$S:$V,2,0),VLOOKUP(G49,Dados!$D:$L,3,0)=VLOOKUP(I49,Dados!$S:$V,3,0)),0,1)</f>
        <v>0</v>
      </c>
      <c r="T49" s="4">
        <f>IF(AND(VLOOKUP(G49,Dados!$D:$L,3,0)&lt;=VLOOKUP(H49,Dados!$X:$AB,2,0),VLOOKUP(G49,Dados!$D:$L,4,0)&gt;=VLOOKUP(H49,Dados!$X:$AB,3,0),VLOOKUP(G49,Dados!$D:$L,4,0)&lt;=VLOOKUP(H49,Dados!$X:$AB,4,0)),0,1)</f>
        <v>0</v>
      </c>
      <c r="U49" s="4">
        <f>IF(COUNTIFS(F:F,F49,H:H,H49)&lt;=VLOOKUP(H49,Dados!$X:$AB,5,0),0,1)</f>
        <v>0</v>
      </c>
      <c r="W49" s="4">
        <v>215</v>
      </c>
      <c r="X49" s="4">
        <v>3</v>
      </c>
      <c r="Y49" s="4">
        <v>24</v>
      </c>
      <c r="Z49" s="4">
        <v>17</v>
      </c>
      <c r="AA49" s="4">
        <v>3</v>
      </c>
      <c r="AB49" s="4">
        <v>1</v>
      </c>
      <c r="AD49" s="4">
        <f>VLOOKUP(Z49,Dados!$S$3:$W$55,4,FALSE)</f>
        <v>6041</v>
      </c>
      <c r="AE49" s="4">
        <f t="shared" si="47"/>
        <v>72</v>
      </c>
      <c r="AF49" s="4">
        <f t="shared" si="48"/>
        <v>18123</v>
      </c>
      <c r="AI49" s="13">
        <f>VLOOKUP(Z49,Dados!$S$3:$V$55,2,FALSE)*VLOOKUP(Z49,Dados!$S$3:$V$55,3,FALSE)*VLOOKUP(Z49,Dados!$S$3:$V$55,4,FALSE)*0.00000785</f>
        <v>24.754205699999996</v>
      </c>
      <c r="AJ49" s="13">
        <f t="shared" si="49"/>
        <v>74.262617099999986</v>
      </c>
      <c r="AK49" s="13">
        <f t="shared" si="50"/>
        <v>9.8344799999999982E-2</v>
      </c>
      <c r="AL49" s="13">
        <f t="shared" si="51"/>
        <v>0.29503439999999992</v>
      </c>
      <c r="AV49" s="4">
        <f t="shared" si="6"/>
        <v>322</v>
      </c>
      <c r="AW49" s="15">
        <v>47</v>
      </c>
      <c r="AX49" s="4">
        <v>118</v>
      </c>
      <c r="AY49" s="4">
        <v>80</v>
      </c>
      <c r="AZ49" s="4">
        <v>80</v>
      </c>
      <c r="BA49" s="28">
        <v>81</v>
      </c>
      <c r="BB49" s="4">
        <v>81</v>
      </c>
      <c r="BC49" s="4">
        <v>80</v>
      </c>
      <c r="BD49" s="15">
        <f t="shared" si="63"/>
        <v>0</v>
      </c>
      <c r="BE49" s="15">
        <f t="shared" si="64"/>
        <v>240</v>
      </c>
      <c r="BF49" s="15">
        <f t="shared" si="65"/>
        <v>0</v>
      </c>
      <c r="BG49" s="15">
        <f t="shared" si="66"/>
        <v>65</v>
      </c>
      <c r="BH49" s="15">
        <f>SUMIFS(Dados!$Q:$Q,Dados!$O:$O,$AW49,Dados!$P:$P,BH$2)</f>
        <v>0</v>
      </c>
      <c r="BI49" s="15">
        <f>SUMIFS(Dados!$Q:$Q,Dados!$O:$O,$AW49,Dados!$P:$P,BI$2)</f>
        <v>239</v>
      </c>
      <c r="BJ49" s="15">
        <f>SUMIFS(Dados!$Q:$Q,Dados!$O:$O,$AW49,Dados!$P:$P,BJ$2)</f>
        <v>0</v>
      </c>
      <c r="BK49" s="15">
        <f>SUMIFS(Dados!$Q:$Q,Dados!$O:$O,$AW49,Dados!$P:$P,BK$2)</f>
        <v>0</v>
      </c>
      <c r="BL49" s="15">
        <v>0</v>
      </c>
      <c r="BM49" s="15">
        <v>0</v>
      </c>
      <c r="BN49" s="15">
        <v>0</v>
      </c>
      <c r="BO49" s="15">
        <v>66</v>
      </c>
      <c r="BP49" s="15">
        <f t="shared" si="67"/>
        <v>0</v>
      </c>
      <c r="BQ49" s="15">
        <f t="shared" si="68"/>
        <v>0</v>
      </c>
      <c r="BR49" s="15">
        <f t="shared" si="69"/>
        <v>0</v>
      </c>
      <c r="BS49" s="15">
        <f t="shared" si="70"/>
        <v>0</v>
      </c>
      <c r="BT49" s="15">
        <f t="shared" si="71"/>
        <v>0</v>
      </c>
      <c r="BU49" s="15"/>
      <c r="BV49" s="15">
        <v>47</v>
      </c>
      <c r="BW49" s="15">
        <f>Dados!I49</f>
        <v>80</v>
      </c>
      <c r="BX49" s="15">
        <f>Dados!J49-Dados!I49</f>
        <v>60</v>
      </c>
      <c r="BY49" s="15">
        <f t="shared" si="72"/>
        <v>80.5</v>
      </c>
      <c r="BZ49" s="15">
        <f t="shared" si="73"/>
        <v>0.5</v>
      </c>
      <c r="CA49" s="16">
        <f t="shared" si="74"/>
        <v>8.3333333333333332E-3</v>
      </c>
      <c r="CD49" s="15">
        <f t="shared" si="75"/>
        <v>37996</v>
      </c>
      <c r="CE49" s="15">
        <f t="shared" si="76"/>
        <v>37760</v>
      </c>
      <c r="CF49" s="15">
        <f t="shared" si="77"/>
        <v>66080</v>
      </c>
      <c r="CG49" s="16">
        <f t="shared" si="78"/>
        <v>8.3333333333333332E-3</v>
      </c>
    </row>
    <row r="50" spans="6:85">
      <c r="F50" s="4">
        <v>48</v>
      </c>
      <c r="G50" s="4">
        <v>21</v>
      </c>
      <c r="H50" s="4">
        <v>2</v>
      </c>
      <c r="I50" s="4">
        <v>13</v>
      </c>
      <c r="J50" s="4">
        <v>9</v>
      </c>
      <c r="K50" s="4">
        <f t="shared" si="79"/>
        <v>0</v>
      </c>
      <c r="L50" s="4">
        <f t="shared" si="79"/>
        <v>0</v>
      </c>
      <c r="M50" s="4">
        <f t="shared" si="79"/>
        <v>0</v>
      </c>
      <c r="N50" s="4">
        <f t="shared" si="79"/>
        <v>0</v>
      </c>
      <c r="O50" s="4">
        <f t="shared" si="57"/>
        <v>0</v>
      </c>
      <c r="P50" s="4">
        <f t="shared" si="58"/>
        <v>0</v>
      </c>
      <c r="Q50" s="4">
        <f t="shared" si="59"/>
        <v>0</v>
      </c>
      <c r="R50" s="4">
        <f t="shared" si="60"/>
        <v>0</v>
      </c>
      <c r="S50" s="4">
        <f>IF(AND(VLOOKUP(G50,Dados!$D:$L,2,0)=VLOOKUP(I50,Dados!$S:$V,2,0),VLOOKUP(G50,Dados!$D:$L,3,0)=VLOOKUP(I50,Dados!$S:$V,3,0)),0,1)</f>
        <v>0</v>
      </c>
      <c r="T50" s="4">
        <f>IF(AND(VLOOKUP(G50,Dados!$D:$L,3,0)&lt;=VLOOKUP(H50,Dados!$X:$AB,2,0),VLOOKUP(G50,Dados!$D:$L,4,0)&gt;=VLOOKUP(H50,Dados!$X:$AB,3,0),VLOOKUP(G50,Dados!$D:$L,4,0)&lt;=VLOOKUP(H50,Dados!$X:$AB,4,0)),0,1)</f>
        <v>0</v>
      </c>
      <c r="U50" s="4">
        <f>IF(COUNTIFS(F:F,F50,H:H,H50)&lt;=VLOOKUP(H50,Dados!$X:$AB,5,0),0,1)</f>
        <v>0</v>
      </c>
      <c r="W50" s="4">
        <v>1150</v>
      </c>
      <c r="X50" s="4">
        <v>3</v>
      </c>
      <c r="Y50" s="4">
        <v>5</v>
      </c>
      <c r="Z50" s="4">
        <v>17</v>
      </c>
      <c r="AA50" s="4">
        <v>3</v>
      </c>
      <c r="AB50" s="4">
        <v>1</v>
      </c>
      <c r="AD50" s="4">
        <f>VLOOKUP(Z50,Dados!$S$3:$W$55,4,FALSE)</f>
        <v>6041</v>
      </c>
      <c r="AE50" s="4">
        <f t="shared" si="47"/>
        <v>15</v>
      </c>
      <c r="AF50" s="4">
        <f t="shared" si="48"/>
        <v>18123</v>
      </c>
      <c r="AI50" s="13">
        <f>VLOOKUP(Z50,Dados!$S$3:$V$55,2,FALSE)*VLOOKUP(Z50,Dados!$S$3:$V$55,3,FALSE)*VLOOKUP(Z50,Dados!$S$3:$V$55,4,FALSE)*0.00000785</f>
        <v>24.754205699999996</v>
      </c>
      <c r="AJ50" s="13">
        <f t="shared" si="49"/>
        <v>74.262617099999986</v>
      </c>
      <c r="AK50" s="13">
        <f t="shared" si="50"/>
        <v>2.0488499999999996E-2</v>
      </c>
      <c r="AL50" s="13">
        <f t="shared" si="51"/>
        <v>6.1465499999999992E-2</v>
      </c>
      <c r="AV50" s="4">
        <f t="shared" si="6"/>
        <v>0</v>
      </c>
      <c r="AW50" s="15">
        <v>48</v>
      </c>
      <c r="AX50" s="4">
        <v>185</v>
      </c>
      <c r="AY50" s="4">
        <v>0</v>
      </c>
      <c r="AZ50" s="4">
        <v>0</v>
      </c>
      <c r="BA50" s="4">
        <v>0</v>
      </c>
      <c r="BB50" s="4">
        <v>0</v>
      </c>
      <c r="BC50" s="4">
        <v>0</v>
      </c>
      <c r="BD50" s="15">
        <f t="shared" si="63"/>
        <v>0</v>
      </c>
      <c r="BE50" s="15">
        <f t="shared" si="64"/>
        <v>0</v>
      </c>
      <c r="BF50" s="15">
        <f t="shared" si="65"/>
        <v>0</v>
      </c>
      <c r="BG50" s="15">
        <f t="shared" si="66"/>
        <v>122</v>
      </c>
      <c r="BH50" s="15">
        <f>SUMIFS(Dados!$Q:$Q,Dados!$O:$O,$AW50,Dados!$P:$P,BH$2)</f>
        <v>0</v>
      </c>
      <c r="BI50" s="15">
        <f>SUMIFS(Dados!$Q:$Q,Dados!$O:$O,$AW50,Dados!$P:$P,BI$2)</f>
        <v>0</v>
      </c>
      <c r="BJ50" s="15">
        <f>SUMIFS(Dados!$Q:$Q,Dados!$O:$O,$AW50,Dados!$P:$P,BJ$2)</f>
        <v>0</v>
      </c>
      <c r="BK50" s="15">
        <f>SUMIFS(Dados!$Q:$Q,Dados!$O:$O,$AW50,Dados!$P:$P,BK$2)</f>
        <v>23</v>
      </c>
      <c r="BL50" s="15">
        <v>0</v>
      </c>
      <c r="BM50" s="15">
        <v>0</v>
      </c>
      <c r="BN50" s="15">
        <v>0</v>
      </c>
      <c r="BO50" s="15">
        <v>99</v>
      </c>
      <c r="BP50" s="15">
        <f t="shared" si="67"/>
        <v>0</v>
      </c>
      <c r="BQ50" s="15">
        <f t="shared" si="68"/>
        <v>0</v>
      </c>
      <c r="BR50" s="15">
        <f t="shared" si="69"/>
        <v>0</v>
      </c>
      <c r="BS50" s="15">
        <f t="shared" si="70"/>
        <v>0</v>
      </c>
      <c r="BT50" s="15">
        <f t="shared" si="71"/>
        <v>0</v>
      </c>
      <c r="BU50" s="15"/>
      <c r="BV50" s="15">
        <v>48</v>
      </c>
      <c r="BW50" s="15">
        <f>Dados!I50</f>
        <v>0</v>
      </c>
      <c r="BX50" s="15">
        <f>Dados!J50-Dados!I50</f>
        <v>30</v>
      </c>
      <c r="BY50" s="15">
        <f t="shared" si="72"/>
        <v>0</v>
      </c>
      <c r="BZ50" s="15">
        <f t="shared" si="73"/>
        <v>0</v>
      </c>
      <c r="CA50" s="16">
        <f t="shared" si="74"/>
        <v>0</v>
      </c>
      <c r="CD50" s="15">
        <f t="shared" si="75"/>
        <v>0</v>
      </c>
      <c r="CE50" s="15">
        <f t="shared" si="76"/>
        <v>0</v>
      </c>
      <c r="CF50" s="15">
        <f t="shared" si="77"/>
        <v>22200</v>
      </c>
      <c r="CG50" s="16">
        <f t="shared" si="78"/>
        <v>0</v>
      </c>
    </row>
    <row r="51" spans="6:85">
      <c r="F51" s="4">
        <v>49</v>
      </c>
      <c r="G51" s="4">
        <v>21</v>
      </c>
      <c r="H51" s="4">
        <v>3</v>
      </c>
      <c r="I51" s="4">
        <v>13</v>
      </c>
      <c r="J51" s="4">
        <v>9</v>
      </c>
      <c r="K51" s="4">
        <f t="shared" si="79"/>
        <v>0</v>
      </c>
      <c r="L51" s="4">
        <f t="shared" si="79"/>
        <v>0</v>
      </c>
      <c r="M51" s="4">
        <f t="shared" si="79"/>
        <v>0</v>
      </c>
      <c r="N51" s="4">
        <f t="shared" si="79"/>
        <v>0</v>
      </c>
      <c r="O51" s="4">
        <f t="shared" si="57"/>
        <v>0</v>
      </c>
      <c r="P51" s="4">
        <f t="shared" si="58"/>
        <v>0</v>
      </c>
      <c r="Q51" s="4">
        <f t="shared" si="59"/>
        <v>0</v>
      </c>
      <c r="R51" s="4">
        <f t="shared" si="60"/>
        <v>0</v>
      </c>
      <c r="S51" s="4">
        <f>IF(AND(VLOOKUP(G51,Dados!$D:$L,2,0)=VLOOKUP(I51,Dados!$S:$V,2,0),VLOOKUP(G51,Dados!$D:$L,3,0)=VLOOKUP(I51,Dados!$S:$V,3,0)),0,1)</f>
        <v>0</v>
      </c>
      <c r="T51" s="4">
        <f>IF(AND(VLOOKUP(G51,Dados!$D:$L,3,0)&lt;=VLOOKUP(H51,Dados!$X:$AB,2,0),VLOOKUP(G51,Dados!$D:$L,4,0)&gt;=VLOOKUP(H51,Dados!$X:$AB,3,0),VLOOKUP(G51,Dados!$D:$L,4,0)&lt;=VLOOKUP(H51,Dados!$X:$AB,4,0)),0,1)</f>
        <v>0</v>
      </c>
      <c r="U51" s="4">
        <f>IF(COUNTIFS(F:F,F51,H:H,H51)&lt;=VLOOKUP(H51,Dados!$X:$AB,5,0),0,1)</f>
        <v>0</v>
      </c>
      <c r="W51" s="4">
        <v>217</v>
      </c>
      <c r="X51" s="4">
        <v>6</v>
      </c>
      <c r="Y51" s="4">
        <v>60</v>
      </c>
      <c r="Z51" s="4">
        <v>18</v>
      </c>
      <c r="AA51" s="4">
        <v>3</v>
      </c>
      <c r="AB51" s="4">
        <v>1</v>
      </c>
      <c r="AD51" s="4">
        <f>VLOOKUP(Z51,Dados!$S$3:$W$55,4,FALSE)</f>
        <v>5206</v>
      </c>
      <c r="AE51" s="4">
        <f t="shared" si="47"/>
        <v>360</v>
      </c>
      <c r="AF51" s="4">
        <f t="shared" si="48"/>
        <v>31236</v>
      </c>
      <c r="AI51" s="13">
        <f>VLOOKUP(Z51,Dados!$S$3:$V$55,2,FALSE)*VLOOKUP(Z51,Dados!$S$3:$V$55,3,FALSE)*VLOOKUP(Z51,Dados!$S$3:$V$55,4,FALSE)*0.00000785</f>
        <v>61.096314499999998</v>
      </c>
      <c r="AJ51" s="13">
        <f t="shared" si="49"/>
        <v>366.57788699999998</v>
      </c>
      <c r="AK51" s="13">
        <f t="shared" si="50"/>
        <v>0.70414500000000002</v>
      </c>
      <c r="AL51" s="13">
        <f t="shared" si="51"/>
        <v>4.2248700000000001</v>
      </c>
      <c r="AV51" s="4">
        <f t="shared" si="6"/>
        <v>94</v>
      </c>
      <c r="AW51" s="15">
        <v>49</v>
      </c>
      <c r="AX51" s="4">
        <v>112</v>
      </c>
      <c r="AY51" s="4">
        <v>20</v>
      </c>
      <c r="AZ51" s="4">
        <v>28</v>
      </c>
      <c r="BA51" s="28">
        <v>26</v>
      </c>
      <c r="BB51" s="4">
        <v>20</v>
      </c>
      <c r="BC51" s="28">
        <v>20</v>
      </c>
      <c r="BD51" s="15">
        <f t="shared" si="63"/>
        <v>58</v>
      </c>
      <c r="BE51" s="15">
        <f t="shared" si="64"/>
        <v>112</v>
      </c>
      <c r="BF51" s="15">
        <f t="shared" si="65"/>
        <v>2</v>
      </c>
      <c r="BG51" s="15">
        <f t="shared" si="66"/>
        <v>0</v>
      </c>
      <c r="BH51" s="15">
        <f>SUMIFS(Dados!$Q:$Q,Dados!$O:$O,$AW51,Dados!$P:$P,BH$2)</f>
        <v>0</v>
      </c>
      <c r="BI51" s="15">
        <f>SUMIFS(Dados!$Q:$Q,Dados!$O:$O,$AW51,Dados!$P:$P,BI$2)</f>
        <v>114</v>
      </c>
      <c r="BJ51" s="15">
        <f>SUMIFS(Dados!$Q:$Q,Dados!$O:$O,$AW51,Dados!$P:$P,BJ$2)</f>
        <v>0</v>
      </c>
      <c r="BK51" s="15">
        <f>SUMIFS(Dados!$Q:$Q,Dados!$O:$O,$AW51,Dados!$P:$P,BK$2)</f>
        <v>0</v>
      </c>
      <c r="BL51" s="15">
        <v>50</v>
      </c>
      <c r="BM51" s="15">
        <v>0</v>
      </c>
      <c r="BN51" s="15">
        <v>8</v>
      </c>
      <c r="BO51" s="15">
        <v>0</v>
      </c>
      <c r="BP51" s="15">
        <f t="shared" si="67"/>
        <v>0</v>
      </c>
      <c r="BQ51" s="15">
        <f t="shared" si="68"/>
        <v>0</v>
      </c>
      <c r="BR51" s="15">
        <f t="shared" si="69"/>
        <v>0</v>
      </c>
      <c r="BS51" s="15">
        <f t="shared" si="70"/>
        <v>0</v>
      </c>
      <c r="BT51" s="15">
        <f t="shared" si="71"/>
        <v>0</v>
      </c>
      <c r="BU51" s="15"/>
      <c r="BV51" s="15">
        <v>49</v>
      </c>
      <c r="BW51" s="15">
        <f>Dados!I51</f>
        <v>20</v>
      </c>
      <c r="BX51" s="15">
        <f>Dados!J51-Dados!I51</f>
        <v>35</v>
      </c>
      <c r="BY51" s="15">
        <f t="shared" si="72"/>
        <v>23.5</v>
      </c>
      <c r="BZ51" s="15">
        <f t="shared" si="73"/>
        <v>3.5</v>
      </c>
      <c r="CA51" s="16">
        <f t="shared" si="74"/>
        <v>0.1</v>
      </c>
      <c r="CD51" s="15">
        <f t="shared" si="75"/>
        <v>10528</v>
      </c>
      <c r="CE51" s="15">
        <f t="shared" si="76"/>
        <v>8960</v>
      </c>
      <c r="CF51" s="15">
        <f t="shared" si="77"/>
        <v>24640</v>
      </c>
      <c r="CG51" s="16">
        <f t="shared" si="78"/>
        <v>0.1</v>
      </c>
    </row>
    <row r="52" spans="6:85">
      <c r="F52" s="4">
        <v>50</v>
      </c>
      <c r="G52" s="4">
        <v>22</v>
      </c>
      <c r="H52" s="4">
        <v>1</v>
      </c>
      <c r="I52" s="4">
        <v>13</v>
      </c>
      <c r="J52" s="4">
        <v>7</v>
      </c>
      <c r="K52" s="4">
        <f t="shared" si="79"/>
        <v>0</v>
      </c>
      <c r="L52" s="4">
        <f t="shared" si="79"/>
        <v>0</v>
      </c>
      <c r="M52" s="4">
        <f t="shared" si="79"/>
        <v>0</v>
      </c>
      <c r="N52" s="4">
        <f t="shared" si="79"/>
        <v>0</v>
      </c>
      <c r="O52" s="4">
        <f t="shared" si="57"/>
        <v>0</v>
      </c>
      <c r="P52" s="4">
        <f t="shared" si="58"/>
        <v>0</v>
      </c>
      <c r="Q52" s="4">
        <f t="shared" si="59"/>
        <v>0</v>
      </c>
      <c r="R52" s="4">
        <f t="shared" si="60"/>
        <v>0</v>
      </c>
      <c r="S52" s="4">
        <f>IF(AND(VLOOKUP(G52,Dados!$D:$L,2,0)=VLOOKUP(I52,Dados!$S:$V,2,0),VLOOKUP(G52,Dados!$D:$L,3,0)=VLOOKUP(I52,Dados!$S:$V,3,0)),0,1)</f>
        <v>0</v>
      </c>
      <c r="T52" s="4">
        <f>IF(AND(VLOOKUP(G52,Dados!$D:$L,3,0)&lt;=VLOOKUP(H52,Dados!$X:$AB,2,0),VLOOKUP(G52,Dados!$D:$L,4,0)&gt;=VLOOKUP(H52,Dados!$X:$AB,3,0),VLOOKUP(G52,Dados!$D:$L,4,0)&lt;=VLOOKUP(H52,Dados!$X:$AB,4,0)),0,1)</f>
        <v>0</v>
      </c>
      <c r="U52" s="4">
        <f>IF(COUNTIFS(F:F,F52,H:H,H52)&lt;=VLOOKUP(H52,Dados!$X:$AB,5,0),0,1)</f>
        <v>0</v>
      </c>
      <c r="W52" s="4">
        <v>968</v>
      </c>
      <c r="X52" s="4">
        <v>7</v>
      </c>
      <c r="Y52" s="4">
        <v>127</v>
      </c>
      <c r="Z52" s="4">
        <v>19</v>
      </c>
      <c r="AA52" s="4">
        <v>1</v>
      </c>
      <c r="AB52" s="4">
        <v>1</v>
      </c>
      <c r="AD52" s="4">
        <f>VLOOKUP(Z52,Dados!$S$3:$W$55,4,FALSE)</f>
        <v>6032</v>
      </c>
      <c r="AE52" s="4">
        <f t="shared" si="47"/>
        <v>889</v>
      </c>
      <c r="AF52" s="4">
        <f t="shared" si="48"/>
        <v>42224</v>
      </c>
      <c r="AI52" s="13">
        <f>VLOOKUP(Z52,Dados!$S$3:$V$55,2,FALSE)*VLOOKUP(Z52,Dados!$S$3:$V$55,3,FALSE)*VLOOKUP(Z52,Dados!$S$3:$V$55,4,FALSE)*0.00000785</f>
        <v>70.790043999999995</v>
      </c>
      <c r="AJ52" s="13">
        <f t="shared" si="49"/>
        <v>495.53030799999999</v>
      </c>
      <c r="AK52" s="13">
        <f t="shared" si="50"/>
        <v>1.49044025</v>
      </c>
      <c r="AL52" s="13">
        <f t="shared" si="51"/>
        <v>10.433081749999999</v>
      </c>
      <c r="AV52" s="4">
        <f t="shared" si="6"/>
        <v>322</v>
      </c>
      <c r="AW52" s="15">
        <v>50</v>
      </c>
      <c r="AX52" s="4">
        <v>241</v>
      </c>
      <c r="AY52" s="4">
        <v>80</v>
      </c>
      <c r="AZ52" s="4">
        <v>80</v>
      </c>
      <c r="BA52" s="4">
        <v>80</v>
      </c>
      <c r="BB52" s="4">
        <v>82</v>
      </c>
      <c r="BC52" s="4">
        <v>80</v>
      </c>
      <c r="BD52" s="15">
        <f t="shared" si="63"/>
        <v>0</v>
      </c>
      <c r="BE52" s="15">
        <f t="shared" si="64"/>
        <v>0</v>
      </c>
      <c r="BF52" s="15">
        <f t="shared" si="65"/>
        <v>2</v>
      </c>
      <c r="BG52" s="15">
        <f t="shared" si="66"/>
        <v>269</v>
      </c>
      <c r="BH52" s="15">
        <f>SUMIFS(Dados!$Q:$Q,Dados!$O:$O,$AW52,Dados!$P:$P,BH$2)</f>
        <v>0</v>
      </c>
      <c r="BI52" s="15">
        <f>SUMIFS(Dados!$Q:$Q,Dados!$O:$O,$AW52,Dados!$P:$P,BI$2)</f>
        <v>0</v>
      </c>
      <c r="BJ52" s="15">
        <f>SUMIFS(Dados!$Q:$Q,Dados!$O:$O,$AW52,Dados!$P:$P,BJ$2)</f>
        <v>0</v>
      </c>
      <c r="BK52" s="15">
        <f>SUMIFS(Dados!$Q:$Q,Dados!$O:$O,$AW52,Dados!$P:$P,BK$2)</f>
        <v>241</v>
      </c>
      <c r="BL52" s="15">
        <v>0</v>
      </c>
      <c r="BM52" s="15">
        <v>0</v>
      </c>
      <c r="BN52" s="15">
        <v>0</v>
      </c>
      <c r="BO52" s="15">
        <v>30</v>
      </c>
      <c r="BP52" s="15">
        <f t="shared" si="67"/>
        <v>0</v>
      </c>
      <c r="BQ52" s="15">
        <f t="shared" si="68"/>
        <v>0</v>
      </c>
      <c r="BR52" s="15">
        <f t="shared" si="69"/>
        <v>0</v>
      </c>
      <c r="BS52" s="15">
        <f t="shared" si="70"/>
        <v>0</v>
      </c>
      <c r="BT52" s="15">
        <f t="shared" si="71"/>
        <v>0</v>
      </c>
      <c r="BU52" s="15"/>
      <c r="BV52" s="15">
        <v>50</v>
      </c>
      <c r="BW52" s="15">
        <f>Dados!I52</f>
        <v>80</v>
      </c>
      <c r="BX52" s="15">
        <f>Dados!J52-Dados!I52</f>
        <v>60</v>
      </c>
      <c r="BY52" s="15">
        <f t="shared" si="72"/>
        <v>80.5</v>
      </c>
      <c r="BZ52" s="15">
        <f t="shared" si="73"/>
        <v>0.5</v>
      </c>
      <c r="CA52" s="16">
        <f t="shared" si="74"/>
        <v>8.3333333333333332E-3</v>
      </c>
      <c r="CD52" s="15">
        <f t="shared" si="75"/>
        <v>77602</v>
      </c>
      <c r="CE52" s="15">
        <f t="shared" si="76"/>
        <v>77120</v>
      </c>
      <c r="CF52" s="15">
        <f t="shared" si="77"/>
        <v>134960</v>
      </c>
      <c r="CG52" s="16">
        <f t="shared" si="78"/>
        <v>8.3333333333333332E-3</v>
      </c>
    </row>
    <row r="53" spans="6:85">
      <c r="F53" s="4">
        <v>51</v>
      </c>
      <c r="G53" s="4">
        <v>22</v>
      </c>
      <c r="H53" s="4">
        <v>2</v>
      </c>
      <c r="I53" s="4">
        <v>13</v>
      </c>
      <c r="J53" s="4">
        <v>7</v>
      </c>
      <c r="K53" s="4">
        <f t="shared" si="79"/>
        <v>0</v>
      </c>
      <c r="L53" s="4">
        <f t="shared" si="79"/>
        <v>0</v>
      </c>
      <c r="M53" s="4">
        <f t="shared" si="79"/>
        <v>0</v>
      </c>
      <c r="N53" s="4">
        <f t="shared" si="79"/>
        <v>0</v>
      </c>
      <c r="O53" s="4">
        <f t="shared" si="57"/>
        <v>0</v>
      </c>
      <c r="P53" s="4">
        <f t="shared" si="58"/>
        <v>0</v>
      </c>
      <c r="Q53" s="4">
        <f t="shared" si="59"/>
        <v>0</v>
      </c>
      <c r="R53" s="4">
        <f t="shared" si="60"/>
        <v>0</v>
      </c>
      <c r="S53" s="4">
        <f>IF(AND(VLOOKUP(G53,Dados!$D:$L,2,0)=VLOOKUP(I53,Dados!$S:$V,2,0),VLOOKUP(G53,Dados!$D:$L,3,0)=VLOOKUP(I53,Dados!$S:$V,3,0)),0,1)</f>
        <v>0</v>
      </c>
      <c r="T53" s="4">
        <f>IF(AND(VLOOKUP(G53,Dados!$D:$L,3,0)&lt;=VLOOKUP(H53,Dados!$X:$AB,2,0),VLOOKUP(G53,Dados!$D:$L,4,0)&gt;=VLOOKUP(H53,Dados!$X:$AB,3,0),VLOOKUP(G53,Dados!$D:$L,4,0)&lt;=VLOOKUP(H53,Dados!$X:$AB,4,0)),0,1)</f>
        <v>0</v>
      </c>
      <c r="U53" s="4">
        <f>IF(COUNTIFS(F:F,F53,H:H,H53)&lt;=VLOOKUP(H53,Dados!$X:$AB,5,0),0,1)</f>
        <v>0</v>
      </c>
      <c r="W53" s="4">
        <v>1033</v>
      </c>
      <c r="X53" s="4">
        <v>9</v>
      </c>
      <c r="Y53" s="4">
        <v>57</v>
      </c>
      <c r="Z53" s="4">
        <v>19</v>
      </c>
      <c r="AA53" s="4">
        <v>1</v>
      </c>
      <c r="AB53" s="4">
        <v>1</v>
      </c>
      <c r="AD53" s="4">
        <f>VLOOKUP(Z53,Dados!$S$3:$W$55,4,FALSE)</f>
        <v>6032</v>
      </c>
      <c r="AE53" s="4">
        <f t="shared" ref="AE53:AE67" si="80">Y53*X53</f>
        <v>513</v>
      </c>
      <c r="AF53" s="4">
        <f t="shared" ref="AF53:AF67" si="81">AD53*X53</f>
        <v>54288</v>
      </c>
      <c r="AI53" s="13">
        <f>VLOOKUP(Z53,Dados!$S$3:$V$55,2,FALSE)*VLOOKUP(Z53,Dados!$S$3:$V$55,3,FALSE)*VLOOKUP(Z53,Dados!$S$3:$V$55,4,FALSE)*0.00000785</f>
        <v>70.790043999999995</v>
      </c>
      <c r="AJ53" s="13">
        <f t="shared" ref="AJ53:AJ67" si="82">AI53*X53</f>
        <v>637.11039599999992</v>
      </c>
      <c r="AK53" s="13">
        <f t="shared" ref="AK53:AK67" si="83">(AI53/AD53)*Y53</f>
        <v>0.66893775</v>
      </c>
      <c r="AL53" s="13">
        <f t="shared" ref="AL53:AL67" si="84">AK53*X53</f>
        <v>6.0204397499999995</v>
      </c>
      <c r="AV53" s="4">
        <f t="shared" si="6"/>
        <v>320</v>
      </c>
      <c r="AW53" s="15">
        <v>51</v>
      </c>
      <c r="AX53" s="4">
        <v>147</v>
      </c>
      <c r="AY53" s="4">
        <v>80</v>
      </c>
      <c r="AZ53" s="4">
        <v>80</v>
      </c>
      <c r="BA53" s="4">
        <v>80</v>
      </c>
      <c r="BB53" s="4">
        <v>80</v>
      </c>
      <c r="BC53" s="4">
        <v>80</v>
      </c>
      <c r="BD53" s="15">
        <f t="shared" si="63"/>
        <v>48</v>
      </c>
      <c r="BE53" s="15">
        <f t="shared" si="64"/>
        <v>0</v>
      </c>
      <c r="BF53" s="15">
        <f t="shared" si="65"/>
        <v>0</v>
      </c>
      <c r="BG53" s="15">
        <f t="shared" si="66"/>
        <v>275</v>
      </c>
      <c r="BH53" s="15">
        <f>SUMIFS(Dados!$Q:$Q,Dados!$O:$O,$AW53,Dados!$P:$P,BH$2)</f>
        <v>0</v>
      </c>
      <c r="BI53" s="15">
        <f>SUMIFS(Dados!$Q:$Q,Dados!$O:$O,$AW53,Dados!$P:$P,BI$2)</f>
        <v>0</v>
      </c>
      <c r="BJ53" s="15">
        <f>SUMIFS(Dados!$Q:$Q,Dados!$O:$O,$AW53,Dados!$P:$P,BJ$2)</f>
        <v>0</v>
      </c>
      <c r="BK53" s="15">
        <f>SUMIFS(Dados!$Q:$Q,Dados!$O:$O,$AW53,Dados!$P:$P,BK$2)</f>
        <v>275</v>
      </c>
      <c r="BL53" s="15">
        <v>48</v>
      </c>
      <c r="BM53" s="15">
        <v>0</v>
      </c>
      <c r="BN53" s="15">
        <v>0</v>
      </c>
      <c r="BO53" s="15">
        <v>0</v>
      </c>
      <c r="BP53" s="15">
        <f t="shared" si="67"/>
        <v>0</v>
      </c>
      <c r="BQ53" s="15">
        <f t="shared" si="68"/>
        <v>0</v>
      </c>
      <c r="BR53" s="15">
        <f t="shared" si="69"/>
        <v>0</v>
      </c>
      <c r="BS53" s="15">
        <f t="shared" si="70"/>
        <v>0</v>
      </c>
      <c r="BT53" s="15">
        <f t="shared" si="71"/>
        <v>0</v>
      </c>
      <c r="BU53" s="15"/>
      <c r="BV53" s="15">
        <v>51</v>
      </c>
      <c r="BW53" s="15">
        <f>Dados!I53</f>
        <v>80</v>
      </c>
      <c r="BX53" s="15">
        <f>Dados!J53-Dados!I53</f>
        <v>60</v>
      </c>
      <c r="BY53" s="15">
        <f t="shared" si="72"/>
        <v>80</v>
      </c>
      <c r="BZ53" s="15">
        <f t="shared" si="73"/>
        <v>0</v>
      </c>
      <c r="CA53" s="16">
        <f t="shared" si="74"/>
        <v>0</v>
      </c>
      <c r="CD53" s="15">
        <f t="shared" si="75"/>
        <v>47040</v>
      </c>
      <c r="CE53" s="15">
        <f t="shared" si="76"/>
        <v>47040</v>
      </c>
      <c r="CF53" s="15">
        <f t="shared" si="77"/>
        <v>82320</v>
      </c>
      <c r="CG53" s="16">
        <f t="shared" si="78"/>
        <v>0</v>
      </c>
    </row>
    <row r="54" spans="6:85">
      <c r="F54" s="4">
        <v>52</v>
      </c>
      <c r="G54" s="4">
        <v>22</v>
      </c>
      <c r="H54" s="4">
        <v>3</v>
      </c>
      <c r="I54" s="4">
        <v>13</v>
      </c>
      <c r="J54" s="4">
        <v>7</v>
      </c>
      <c r="K54" s="4">
        <f t="shared" si="79"/>
        <v>0</v>
      </c>
      <c r="L54" s="4">
        <f t="shared" si="79"/>
        <v>0</v>
      </c>
      <c r="M54" s="4">
        <f t="shared" si="79"/>
        <v>0</v>
      </c>
      <c r="N54" s="4">
        <f t="shared" si="79"/>
        <v>0</v>
      </c>
      <c r="O54" s="4">
        <f t="shared" si="57"/>
        <v>0</v>
      </c>
      <c r="P54" s="4">
        <f t="shared" si="58"/>
        <v>0</v>
      </c>
      <c r="Q54" s="4">
        <f t="shared" si="59"/>
        <v>0</v>
      </c>
      <c r="R54" s="4">
        <f t="shared" si="60"/>
        <v>0</v>
      </c>
      <c r="S54" s="4">
        <f>IF(AND(VLOOKUP(G54,Dados!$D:$L,2,0)=VLOOKUP(I54,Dados!$S:$V,2,0),VLOOKUP(G54,Dados!$D:$L,3,0)=VLOOKUP(I54,Dados!$S:$V,3,0)),0,1)</f>
        <v>0</v>
      </c>
      <c r="T54" s="4">
        <f>IF(AND(VLOOKUP(G54,Dados!$D:$L,3,0)&lt;=VLOOKUP(H54,Dados!$X:$AB,2,0),VLOOKUP(G54,Dados!$D:$L,4,0)&gt;=VLOOKUP(H54,Dados!$X:$AB,3,0),VLOOKUP(G54,Dados!$D:$L,4,0)&lt;=VLOOKUP(H54,Dados!$X:$AB,4,0)),0,1)</f>
        <v>0</v>
      </c>
      <c r="U54" s="4">
        <f>IF(COUNTIFS(F:F,F54,H:H,H54)&lt;=VLOOKUP(H54,Dados!$X:$AB,5,0),0,1)</f>
        <v>0</v>
      </c>
      <c r="W54" s="4">
        <v>219</v>
      </c>
      <c r="X54" s="4">
        <v>2</v>
      </c>
      <c r="Y54" s="4">
        <v>14</v>
      </c>
      <c r="Z54" s="4">
        <v>19</v>
      </c>
      <c r="AA54" s="4">
        <v>3</v>
      </c>
      <c r="AB54" s="4">
        <v>1</v>
      </c>
      <c r="AD54" s="4">
        <f>VLOOKUP(Z54,Dados!$S$3:$W$55,4,FALSE)</f>
        <v>6032</v>
      </c>
      <c r="AE54" s="4">
        <f t="shared" si="80"/>
        <v>28</v>
      </c>
      <c r="AF54" s="4">
        <f t="shared" si="81"/>
        <v>12064</v>
      </c>
      <c r="AI54" s="13">
        <f>VLOOKUP(Z54,Dados!$S$3:$V$55,2,FALSE)*VLOOKUP(Z54,Dados!$S$3:$V$55,3,FALSE)*VLOOKUP(Z54,Dados!$S$3:$V$55,4,FALSE)*0.00000785</f>
        <v>70.790043999999995</v>
      </c>
      <c r="AJ54" s="13">
        <f t="shared" si="82"/>
        <v>141.58008799999999</v>
      </c>
      <c r="AK54" s="13">
        <f t="shared" si="83"/>
        <v>0.16430049999999999</v>
      </c>
      <c r="AL54" s="13">
        <f t="shared" si="84"/>
        <v>0.32860099999999998</v>
      </c>
      <c r="AV54" s="4">
        <f t="shared" si="6"/>
        <v>325</v>
      </c>
      <c r="AW54" s="15">
        <v>52</v>
      </c>
      <c r="AX54" s="4">
        <v>127</v>
      </c>
      <c r="AY54" s="4">
        <v>80</v>
      </c>
      <c r="AZ54" s="4">
        <v>80</v>
      </c>
      <c r="BA54" s="4">
        <v>82</v>
      </c>
      <c r="BB54" s="4">
        <v>83</v>
      </c>
      <c r="BC54" s="4">
        <v>80</v>
      </c>
      <c r="BD54" s="15">
        <f t="shared" si="63"/>
        <v>0</v>
      </c>
      <c r="BE54" s="15">
        <f t="shared" si="64"/>
        <v>6</v>
      </c>
      <c r="BF54" s="15">
        <f t="shared" si="65"/>
        <v>298</v>
      </c>
      <c r="BG54" s="15">
        <f t="shared" si="66"/>
        <v>51</v>
      </c>
      <c r="BH54" s="15">
        <f>SUMIFS(Dados!$Q:$Q,Dados!$O:$O,$AW54,Dados!$P:$P,BH$2)</f>
        <v>0</v>
      </c>
      <c r="BI54" s="15">
        <f>SUMIFS(Dados!$Q:$Q,Dados!$O:$O,$AW54,Dados!$P:$P,BI$2)</f>
        <v>0</v>
      </c>
      <c r="BJ54" s="15">
        <f>SUMIFS(Dados!$Q:$Q,Dados!$O:$O,$AW54,Dados!$P:$P,BJ$2)</f>
        <v>293</v>
      </c>
      <c r="BK54" s="15">
        <f>SUMIFS(Dados!$Q:$Q,Dados!$O:$O,$AW54,Dados!$P:$P,BK$2)</f>
        <v>0</v>
      </c>
      <c r="BL54" s="15">
        <v>0</v>
      </c>
      <c r="BM54" s="15">
        <v>4</v>
      </c>
      <c r="BN54" s="15">
        <v>4</v>
      </c>
      <c r="BO54" s="15">
        <v>54</v>
      </c>
      <c r="BP54" s="15">
        <f t="shared" si="67"/>
        <v>0</v>
      </c>
      <c r="BQ54" s="15">
        <f t="shared" si="68"/>
        <v>0</v>
      </c>
      <c r="BR54" s="15">
        <f t="shared" si="69"/>
        <v>0</v>
      </c>
      <c r="BS54" s="15">
        <f t="shared" si="70"/>
        <v>0</v>
      </c>
      <c r="BT54" s="15">
        <f t="shared" si="71"/>
        <v>0</v>
      </c>
      <c r="BU54" s="15"/>
      <c r="BV54" s="15">
        <v>52</v>
      </c>
      <c r="BW54" s="15">
        <f>Dados!I54</f>
        <v>80</v>
      </c>
      <c r="BX54" s="15">
        <f>Dados!J54-Dados!I54</f>
        <v>60</v>
      </c>
      <c r="BY54" s="15">
        <f t="shared" si="72"/>
        <v>81.25</v>
      </c>
      <c r="BZ54" s="15">
        <f t="shared" si="73"/>
        <v>1.25</v>
      </c>
      <c r="CA54" s="16">
        <f t="shared" si="74"/>
        <v>2.0833333333333332E-2</v>
      </c>
      <c r="CD54" s="15">
        <f t="shared" si="75"/>
        <v>41275</v>
      </c>
      <c r="CE54" s="15">
        <f t="shared" si="76"/>
        <v>40640</v>
      </c>
      <c r="CF54" s="15">
        <f t="shared" si="77"/>
        <v>71120</v>
      </c>
      <c r="CG54" s="16">
        <f t="shared" si="78"/>
        <v>2.0833333333333332E-2</v>
      </c>
    </row>
    <row r="55" spans="6:85">
      <c r="F55" s="4">
        <v>53</v>
      </c>
      <c r="G55" s="4">
        <v>23</v>
      </c>
      <c r="H55" s="4">
        <v>1</v>
      </c>
      <c r="I55" s="4">
        <v>13</v>
      </c>
      <c r="J55" s="4">
        <v>8</v>
      </c>
      <c r="K55" s="4">
        <f t="shared" si="79"/>
        <v>0</v>
      </c>
      <c r="L55" s="4">
        <f t="shared" si="79"/>
        <v>0</v>
      </c>
      <c r="M55" s="4">
        <f t="shared" si="79"/>
        <v>0</v>
      </c>
      <c r="N55" s="4">
        <f t="shared" si="79"/>
        <v>0</v>
      </c>
      <c r="O55" s="4">
        <f t="shared" ref="O55:O86" si="85">$J55*K55</f>
        <v>0</v>
      </c>
      <c r="P55" s="4">
        <f t="shared" ref="P55:P99" si="86">$J55*L55</f>
        <v>0</v>
      </c>
      <c r="Q55" s="4">
        <f t="shared" ref="Q55:Q99" si="87">$J55*M55</f>
        <v>0</v>
      </c>
      <c r="R55" s="4">
        <f t="shared" ref="R55:R99" si="88">$J55*N55</f>
        <v>0</v>
      </c>
      <c r="S55" s="4">
        <f>IF(AND(VLOOKUP(G55,Dados!$D:$L,2,0)=VLOOKUP(I55,Dados!$S:$V,2,0),VLOOKUP(G55,Dados!$D:$L,3,0)=VLOOKUP(I55,Dados!$S:$V,3,0)),0,1)</f>
        <v>0</v>
      </c>
      <c r="T55" s="4">
        <f>IF(AND(VLOOKUP(G55,Dados!$D:$L,3,0)&lt;=VLOOKUP(H55,Dados!$X:$AB,2,0),VLOOKUP(G55,Dados!$D:$L,4,0)&gt;=VLOOKUP(H55,Dados!$X:$AB,3,0),VLOOKUP(G55,Dados!$D:$L,4,0)&lt;=VLOOKUP(H55,Dados!$X:$AB,4,0)),0,1)</f>
        <v>0</v>
      </c>
      <c r="U55" s="4">
        <f>IF(COUNTIFS(F:F,F55,H:H,H55)&lt;=VLOOKUP(H55,Dados!$X:$AB,5,0),0,1)</f>
        <v>0</v>
      </c>
      <c r="W55" s="4">
        <v>1034</v>
      </c>
      <c r="X55" s="4">
        <v>8</v>
      </c>
      <c r="Y55" s="4">
        <v>57</v>
      </c>
      <c r="Z55" s="4">
        <v>19</v>
      </c>
      <c r="AA55" s="4">
        <v>3</v>
      </c>
      <c r="AB55" s="4">
        <v>1</v>
      </c>
      <c r="AD55" s="4">
        <f>VLOOKUP(Z55,Dados!$S$3:$W$55,4,FALSE)</f>
        <v>6032</v>
      </c>
      <c r="AE55" s="4">
        <f t="shared" si="80"/>
        <v>456</v>
      </c>
      <c r="AF55" s="4">
        <f t="shared" si="81"/>
        <v>48256</v>
      </c>
      <c r="AI55" s="13">
        <f>VLOOKUP(Z55,Dados!$S$3:$V$55,2,FALSE)*VLOOKUP(Z55,Dados!$S$3:$V$55,3,FALSE)*VLOOKUP(Z55,Dados!$S$3:$V$55,4,FALSE)*0.00000785</f>
        <v>70.790043999999995</v>
      </c>
      <c r="AJ55" s="13">
        <f t="shared" si="82"/>
        <v>566.32035199999996</v>
      </c>
      <c r="AK55" s="13">
        <f t="shared" si="83"/>
        <v>0.66893775</v>
      </c>
      <c r="AL55" s="13">
        <f t="shared" si="84"/>
        <v>5.351502</v>
      </c>
      <c r="AV55" s="4">
        <f t="shared" si="6"/>
        <v>326</v>
      </c>
      <c r="AW55" s="15">
        <v>53</v>
      </c>
      <c r="AX55" s="4">
        <v>137</v>
      </c>
      <c r="AY55" s="4">
        <v>80</v>
      </c>
      <c r="AZ55" s="4">
        <v>86</v>
      </c>
      <c r="BA55" s="4">
        <v>80</v>
      </c>
      <c r="BB55" s="4">
        <v>80</v>
      </c>
      <c r="BC55" s="4">
        <v>80</v>
      </c>
      <c r="BD55" s="15">
        <f t="shared" si="63"/>
        <v>38</v>
      </c>
      <c r="BE55" s="15">
        <f t="shared" si="64"/>
        <v>211</v>
      </c>
      <c r="BF55" s="15">
        <f t="shared" si="65"/>
        <v>0</v>
      </c>
      <c r="BG55" s="15">
        <f t="shared" si="66"/>
        <v>0</v>
      </c>
      <c r="BH55" s="15">
        <f>SUMIFS(Dados!$Q:$Q,Dados!$O:$O,$AW55,Dados!$P:$P,BH$2)</f>
        <v>0</v>
      </c>
      <c r="BI55" s="15">
        <f>SUMIFS(Dados!$Q:$Q,Dados!$O:$O,$AW55,Dados!$P:$P,BI$2)</f>
        <v>217</v>
      </c>
      <c r="BJ55" s="15">
        <f>SUMIFS(Dados!$Q:$Q,Dados!$O:$O,$AW55,Dados!$P:$P,BJ$2)</f>
        <v>0</v>
      </c>
      <c r="BK55" s="15">
        <f>SUMIFS(Dados!$Q:$Q,Dados!$O:$O,$AW55,Dados!$P:$P,BK$2)</f>
        <v>0</v>
      </c>
      <c r="BL55" s="15">
        <v>32</v>
      </c>
      <c r="BM55" s="15">
        <v>0</v>
      </c>
      <c r="BN55" s="15">
        <v>0</v>
      </c>
      <c r="BO55" s="15">
        <v>0</v>
      </c>
      <c r="BP55" s="15">
        <f t="shared" si="67"/>
        <v>0</v>
      </c>
      <c r="BQ55" s="15">
        <f t="shared" si="68"/>
        <v>0</v>
      </c>
      <c r="BR55" s="15">
        <f t="shared" si="69"/>
        <v>0</v>
      </c>
      <c r="BS55" s="15">
        <f t="shared" si="70"/>
        <v>0</v>
      </c>
      <c r="BT55" s="15">
        <f t="shared" si="71"/>
        <v>0</v>
      </c>
      <c r="BU55" s="15"/>
      <c r="BV55" s="15">
        <v>53</v>
      </c>
      <c r="BW55" s="15">
        <f>Dados!I55</f>
        <v>80</v>
      </c>
      <c r="BX55" s="15">
        <f>Dados!J55-Dados!I55</f>
        <v>60</v>
      </c>
      <c r="BY55" s="15">
        <f t="shared" si="72"/>
        <v>81.5</v>
      </c>
      <c r="BZ55" s="15">
        <f t="shared" si="73"/>
        <v>1.5</v>
      </c>
      <c r="CA55" s="16">
        <f t="shared" si="74"/>
        <v>2.5000000000000001E-2</v>
      </c>
      <c r="CD55" s="15">
        <f t="shared" si="75"/>
        <v>44662</v>
      </c>
      <c r="CE55" s="15">
        <f t="shared" si="76"/>
        <v>43840</v>
      </c>
      <c r="CF55" s="15">
        <f t="shared" si="77"/>
        <v>76720</v>
      </c>
      <c r="CG55" s="16">
        <f t="shared" si="78"/>
        <v>2.5000000000000001E-2</v>
      </c>
    </row>
    <row r="56" spans="6:85">
      <c r="F56" s="4">
        <v>54</v>
      </c>
      <c r="G56" s="4">
        <v>23</v>
      </c>
      <c r="H56" s="4">
        <v>2</v>
      </c>
      <c r="I56" s="4">
        <v>13</v>
      </c>
      <c r="J56" s="4">
        <v>8</v>
      </c>
      <c r="K56" s="4">
        <f t="shared" si="79"/>
        <v>0</v>
      </c>
      <c r="L56" s="4">
        <f t="shared" si="79"/>
        <v>0</v>
      </c>
      <c r="M56" s="4">
        <f t="shared" si="79"/>
        <v>0</v>
      </c>
      <c r="N56" s="4">
        <f t="shared" si="79"/>
        <v>0</v>
      </c>
      <c r="O56" s="4">
        <f t="shared" si="85"/>
        <v>0</v>
      </c>
      <c r="P56" s="4">
        <f t="shared" si="86"/>
        <v>0</v>
      </c>
      <c r="Q56" s="4">
        <f t="shared" si="87"/>
        <v>0</v>
      </c>
      <c r="R56" s="4">
        <f t="shared" si="88"/>
        <v>0</v>
      </c>
      <c r="S56" s="4">
        <f>IF(AND(VLOOKUP(G56,Dados!$D:$L,2,0)=VLOOKUP(I56,Dados!$S:$V,2,0),VLOOKUP(G56,Dados!$D:$L,3,0)=VLOOKUP(I56,Dados!$S:$V,3,0)),0,1)</f>
        <v>0</v>
      </c>
      <c r="T56" s="4">
        <f>IF(AND(VLOOKUP(G56,Dados!$D:$L,3,0)&lt;=VLOOKUP(H56,Dados!$X:$AB,2,0),VLOOKUP(G56,Dados!$D:$L,4,0)&gt;=VLOOKUP(H56,Dados!$X:$AB,3,0),VLOOKUP(G56,Dados!$D:$L,4,0)&lt;=VLOOKUP(H56,Dados!$X:$AB,4,0)),0,1)</f>
        <v>0</v>
      </c>
      <c r="U56" s="4">
        <f>IF(COUNTIFS(F:F,F56,H:H,H56)&lt;=VLOOKUP(H56,Dados!$X:$AB,5,0),0,1)</f>
        <v>0</v>
      </c>
      <c r="W56" s="4">
        <v>140</v>
      </c>
      <c r="X56" s="4">
        <v>2</v>
      </c>
      <c r="Y56" s="4">
        <v>161</v>
      </c>
      <c r="Z56" s="4">
        <v>20</v>
      </c>
      <c r="AA56" s="4">
        <v>1</v>
      </c>
      <c r="AB56" s="4">
        <v>1</v>
      </c>
      <c r="AD56" s="4">
        <f>VLOOKUP(Z56,Dados!$S$3:$W$55,4,FALSE)</f>
        <v>5418</v>
      </c>
      <c r="AE56" s="4">
        <f t="shared" si="80"/>
        <v>322</v>
      </c>
      <c r="AF56" s="4">
        <f t="shared" si="81"/>
        <v>10836</v>
      </c>
      <c r="AI56" s="13">
        <f>VLOOKUP(Z56,Dados!$S$3:$V$55,2,FALSE)*VLOOKUP(Z56,Dados!$S$3:$V$55,3,FALSE)*VLOOKUP(Z56,Dados!$S$3:$V$55,4,FALSE)*0.00000785</f>
        <v>82.93603499999999</v>
      </c>
      <c r="AJ56" s="13">
        <f t="shared" si="82"/>
        <v>165.87206999999998</v>
      </c>
      <c r="AK56" s="13">
        <f t="shared" si="83"/>
        <v>2.4645074999999999</v>
      </c>
      <c r="AL56" s="13">
        <f t="shared" si="84"/>
        <v>4.9290149999999997</v>
      </c>
      <c r="AV56" s="4">
        <f t="shared" si="6"/>
        <v>193</v>
      </c>
      <c r="AW56" s="15">
        <v>54</v>
      </c>
      <c r="AX56" s="4">
        <v>149</v>
      </c>
      <c r="AY56" s="4">
        <v>45</v>
      </c>
      <c r="AZ56" s="4">
        <v>45</v>
      </c>
      <c r="BA56" s="4">
        <v>46</v>
      </c>
      <c r="BB56" s="4">
        <v>57</v>
      </c>
      <c r="BC56" s="4">
        <v>45</v>
      </c>
      <c r="BD56" s="15">
        <f t="shared" si="63"/>
        <v>0</v>
      </c>
      <c r="BE56" s="15">
        <f t="shared" si="64"/>
        <v>3</v>
      </c>
      <c r="BF56" s="15">
        <f t="shared" si="65"/>
        <v>13</v>
      </c>
      <c r="BG56" s="15">
        <f t="shared" si="66"/>
        <v>144</v>
      </c>
      <c r="BH56" s="15">
        <f>SUMIFS(Dados!$Q:$Q,Dados!$O:$O,$AW56,Dados!$P:$P,BH$2)</f>
        <v>0</v>
      </c>
      <c r="BI56" s="15">
        <f>SUMIFS(Dados!$Q:$Q,Dados!$O:$O,$AW56,Dados!$P:$P,BI$2)</f>
        <v>0</v>
      </c>
      <c r="BJ56" s="15">
        <f>SUMIFS(Dados!$Q:$Q,Dados!$O:$O,$AW56,Dados!$P:$P,BJ$2)</f>
        <v>0</v>
      </c>
      <c r="BK56" s="15">
        <f>SUMIFS(Dados!$Q:$Q,Dados!$O:$O,$AW56,Dados!$P:$P,BK$2)</f>
        <v>129</v>
      </c>
      <c r="BL56" s="15">
        <v>0</v>
      </c>
      <c r="BM56" s="15">
        <v>2</v>
      </c>
      <c r="BN56" s="15">
        <v>2</v>
      </c>
      <c r="BO56" s="15">
        <v>27</v>
      </c>
      <c r="BP56" s="15">
        <f t="shared" si="67"/>
        <v>0</v>
      </c>
      <c r="BQ56" s="15">
        <f t="shared" si="68"/>
        <v>0</v>
      </c>
      <c r="BR56" s="15">
        <f t="shared" si="69"/>
        <v>0</v>
      </c>
      <c r="BS56" s="15">
        <f t="shared" si="70"/>
        <v>0</v>
      </c>
      <c r="BT56" s="15">
        <f t="shared" si="71"/>
        <v>0</v>
      </c>
      <c r="BU56" s="15"/>
      <c r="BV56" s="15">
        <v>54</v>
      </c>
      <c r="BW56" s="15">
        <f>Dados!I56</f>
        <v>45</v>
      </c>
      <c r="BX56" s="15">
        <f>Dados!J56-Dados!I56</f>
        <v>45</v>
      </c>
      <c r="BY56" s="15">
        <f t="shared" si="72"/>
        <v>48.25</v>
      </c>
      <c r="BZ56" s="15">
        <f t="shared" si="73"/>
        <v>3.25</v>
      </c>
      <c r="CA56" s="16">
        <f t="shared" si="74"/>
        <v>7.2222222222222215E-2</v>
      </c>
      <c r="CD56" s="15">
        <f t="shared" si="75"/>
        <v>28757</v>
      </c>
      <c r="CE56" s="15">
        <f t="shared" si="76"/>
        <v>26820</v>
      </c>
      <c r="CF56" s="15">
        <f t="shared" si="77"/>
        <v>53640</v>
      </c>
      <c r="CG56" s="16">
        <f t="shared" si="78"/>
        <v>7.2222222222222215E-2</v>
      </c>
    </row>
    <row r="57" spans="6:85">
      <c r="F57" s="4">
        <v>55</v>
      </c>
      <c r="G57" s="4">
        <v>23</v>
      </c>
      <c r="H57" s="4">
        <v>3</v>
      </c>
      <c r="I57" s="4">
        <v>13</v>
      </c>
      <c r="J57" s="4">
        <v>8</v>
      </c>
      <c r="K57" s="4">
        <f t="shared" si="79"/>
        <v>0</v>
      </c>
      <c r="L57" s="4">
        <f t="shared" si="79"/>
        <v>0</v>
      </c>
      <c r="M57" s="4">
        <f t="shared" si="79"/>
        <v>0</v>
      </c>
      <c r="N57" s="4">
        <f t="shared" si="79"/>
        <v>0</v>
      </c>
      <c r="O57" s="4">
        <f t="shared" si="85"/>
        <v>0</v>
      </c>
      <c r="P57" s="4">
        <f t="shared" si="86"/>
        <v>0</v>
      </c>
      <c r="Q57" s="4">
        <f t="shared" si="87"/>
        <v>0</v>
      </c>
      <c r="R57" s="4">
        <f t="shared" si="88"/>
        <v>0</v>
      </c>
      <c r="S57" s="4">
        <f>IF(AND(VLOOKUP(G57,Dados!$D:$L,2,0)=VLOOKUP(I57,Dados!$S:$V,2,0),VLOOKUP(G57,Dados!$D:$L,3,0)=VLOOKUP(I57,Dados!$S:$V,3,0)),0,1)</f>
        <v>0</v>
      </c>
      <c r="T57" s="4">
        <f>IF(AND(VLOOKUP(G57,Dados!$D:$L,3,0)&lt;=VLOOKUP(H57,Dados!$X:$AB,2,0),VLOOKUP(G57,Dados!$D:$L,4,0)&gt;=VLOOKUP(H57,Dados!$X:$AB,3,0),VLOOKUP(G57,Dados!$D:$L,4,0)&lt;=VLOOKUP(H57,Dados!$X:$AB,4,0)),0,1)</f>
        <v>0</v>
      </c>
      <c r="U57" s="4">
        <f>IF(COUNTIFS(F:F,F57,H:H,H57)&lt;=VLOOKUP(H57,Dados!$X:$AB,5,0),0,1)</f>
        <v>0</v>
      </c>
      <c r="W57" s="4">
        <v>131</v>
      </c>
      <c r="X57" s="4">
        <v>3</v>
      </c>
      <c r="Y57" s="4">
        <v>186</v>
      </c>
      <c r="Z57" s="4">
        <v>20</v>
      </c>
      <c r="AA57" s="4">
        <v>3</v>
      </c>
      <c r="AB57" s="4">
        <v>1</v>
      </c>
      <c r="AD57" s="4">
        <f>VLOOKUP(Z57,Dados!$S$3:$W$55,4,FALSE)</f>
        <v>5418</v>
      </c>
      <c r="AE57" s="4">
        <f t="shared" si="80"/>
        <v>558</v>
      </c>
      <c r="AF57" s="4">
        <f t="shared" si="81"/>
        <v>16254</v>
      </c>
      <c r="AI57" s="13">
        <f>VLOOKUP(Z57,Dados!$S$3:$V$55,2,FALSE)*VLOOKUP(Z57,Dados!$S$3:$V$55,3,FALSE)*VLOOKUP(Z57,Dados!$S$3:$V$55,4,FALSE)*0.00000785</f>
        <v>82.93603499999999</v>
      </c>
      <c r="AJ57" s="13">
        <f t="shared" si="82"/>
        <v>248.80810499999995</v>
      </c>
      <c r="AK57" s="13">
        <f t="shared" si="83"/>
        <v>2.8471949999999997</v>
      </c>
      <c r="AL57" s="13">
        <f t="shared" si="84"/>
        <v>8.5415849999999995</v>
      </c>
      <c r="AV57" s="4">
        <f t="shared" si="6"/>
        <v>186</v>
      </c>
      <c r="AW57" s="15">
        <v>55</v>
      </c>
      <c r="AX57" s="4">
        <v>138</v>
      </c>
      <c r="AY57" s="4">
        <v>45</v>
      </c>
      <c r="AZ57" s="4">
        <v>45</v>
      </c>
      <c r="BA57" s="4">
        <v>51</v>
      </c>
      <c r="BB57" s="4">
        <v>45</v>
      </c>
      <c r="BC57" s="28">
        <v>45</v>
      </c>
      <c r="BD57" s="15">
        <f t="shared" si="63"/>
        <v>0</v>
      </c>
      <c r="BE57" s="15">
        <f t="shared" si="64"/>
        <v>38</v>
      </c>
      <c r="BF57" s="15">
        <f t="shared" si="65"/>
        <v>131</v>
      </c>
      <c r="BG57" s="15">
        <f t="shared" si="66"/>
        <v>0</v>
      </c>
      <c r="BH57" s="15">
        <f>SUMIFS(Dados!$Q:$Q,Dados!$O:$O,$AW57,Dados!$P:$P,BH$2)</f>
        <v>0</v>
      </c>
      <c r="BI57" s="15">
        <f>SUMIFS(Dados!$Q:$Q,Dados!$O:$O,$AW57,Dados!$P:$P,BI$2)</f>
        <v>0</v>
      </c>
      <c r="BJ57" s="15">
        <f>SUMIFS(Dados!$Q:$Q,Dados!$O:$O,$AW57,Dados!$P:$P,BJ$2)</f>
        <v>137</v>
      </c>
      <c r="BK57" s="15">
        <f>SUMIFS(Dados!$Q:$Q,Dados!$O:$O,$AW57,Dados!$P:$P,BK$2)</f>
        <v>0</v>
      </c>
      <c r="BL57" s="15">
        <v>0</v>
      </c>
      <c r="BM57" s="15">
        <v>32</v>
      </c>
      <c r="BN57" s="15">
        <v>0</v>
      </c>
      <c r="BO57" s="15">
        <v>0</v>
      </c>
      <c r="BP57" s="15">
        <f t="shared" si="67"/>
        <v>0</v>
      </c>
      <c r="BQ57" s="15">
        <f t="shared" si="68"/>
        <v>0</v>
      </c>
      <c r="BR57" s="15">
        <f t="shared" si="69"/>
        <v>0</v>
      </c>
      <c r="BS57" s="15">
        <f t="shared" si="70"/>
        <v>0</v>
      </c>
      <c r="BT57" s="15">
        <f t="shared" si="71"/>
        <v>0</v>
      </c>
      <c r="BU57" s="15"/>
      <c r="BV57" s="15">
        <v>55</v>
      </c>
      <c r="BW57" s="15">
        <f>Dados!I57</f>
        <v>45</v>
      </c>
      <c r="BX57" s="15">
        <f>Dados!J57-Dados!I57</f>
        <v>45</v>
      </c>
      <c r="BY57" s="15">
        <f t="shared" si="72"/>
        <v>46.5</v>
      </c>
      <c r="BZ57" s="15">
        <f t="shared" si="73"/>
        <v>1.5</v>
      </c>
      <c r="CA57" s="16">
        <f t="shared" si="74"/>
        <v>3.3333333333333333E-2</v>
      </c>
      <c r="CD57" s="15">
        <f t="shared" si="75"/>
        <v>25668</v>
      </c>
      <c r="CE57" s="15">
        <f t="shared" si="76"/>
        <v>24840</v>
      </c>
      <c r="CF57" s="15">
        <f t="shared" si="77"/>
        <v>49680</v>
      </c>
      <c r="CG57" s="16">
        <f t="shared" si="78"/>
        <v>3.3333333333333333E-2</v>
      </c>
    </row>
    <row r="58" spans="6:85">
      <c r="F58" s="4">
        <v>56</v>
      </c>
      <c r="G58" s="4">
        <v>24</v>
      </c>
      <c r="H58" s="4">
        <v>1</v>
      </c>
      <c r="I58" s="4">
        <v>15</v>
      </c>
      <c r="J58" s="4">
        <v>9</v>
      </c>
      <c r="K58" s="4">
        <f t="shared" si="79"/>
        <v>0</v>
      </c>
      <c r="L58" s="4">
        <f t="shared" si="79"/>
        <v>1</v>
      </c>
      <c r="M58" s="4">
        <f t="shared" si="79"/>
        <v>0</v>
      </c>
      <c r="N58" s="4">
        <f t="shared" si="79"/>
        <v>0</v>
      </c>
      <c r="O58" s="4">
        <f t="shared" si="85"/>
        <v>0</v>
      </c>
      <c r="P58" s="4">
        <f t="shared" si="86"/>
        <v>9</v>
      </c>
      <c r="Q58" s="4">
        <f t="shared" si="87"/>
        <v>0</v>
      </c>
      <c r="R58" s="4">
        <f t="shared" si="88"/>
        <v>0</v>
      </c>
      <c r="S58" s="4">
        <f>IF(AND(VLOOKUP(G58,Dados!$D:$L,2,0)=VLOOKUP(I58,Dados!$S:$V,2,0),VLOOKUP(G58,Dados!$D:$L,3,0)=VLOOKUP(I58,Dados!$S:$V,3,0)),0,1)</f>
        <v>0</v>
      </c>
      <c r="T58" s="4">
        <f>IF(AND(VLOOKUP(G58,Dados!$D:$L,3,0)&lt;=VLOOKUP(H58,Dados!$X:$AB,2,0),VLOOKUP(G58,Dados!$D:$L,4,0)&gt;=VLOOKUP(H58,Dados!$X:$AB,3,0),VLOOKUP(G58,Dados!$D:$L,4,0)&lt;=VLOOKUP(H58,Dados!$X:$AB,4,0)),0,1)</f>
        <v>0</v>
      </c>
      <c r="U58" s="4">
        <f>IF(COUNTIFS(F:F,F58,H:H,H58)&lt;=VLOOKUP(H58,Dados!$X:$AB,5,0),0,1)</f>
        <v>0</v>
      </c>
      <c r="W58" s="4">
        <v>221</v>
      </c>
      <c r="X58" s="4">
        <v>2</v>
      </c>
      <c r="Y58" s="4">
        <v>89</v>
      </c>
      <c r="Z58" s="4">
        <v>20</v>
      </c>
      <c r="AA58" s="4">
        <v>3</v>
      </c>
      <c r="AB58" s="4">
        <v>1</v>
      </c>
      <c r="AD58" s="4">
        <f>VLOOKUP(Z58,Dados!$S$3:$W$55,4,FALSE)</f>
        <v>5418</v>
      </c>
      <c r="AE58" s="4">
        <f t="shared" si="80"/>
        <v>178</v>
      </c>
      <c r="AF58" s="4">
        <f t="shared" si="81"/>
        <v>10836</v>
      </c>
      <c r="AI58" s="13">
        <f>VLOOKUP(Z58,Dados!$S$3:$V$55,2,FALSE)*VLOOKUP(Z58,Dados!$S$3:$V$55,3,FALSE)*VLOOKUP(Z58,Dados!$S$3:$V$55,4,FALSE)*0.00000785</f>
        <v>82.93603499999999</v>
      </c>
      <c r="AJ58" s="13">
        <f t="shared" si="82"/>
        <v>165.87206999999998</v>
      </c>
      <c r="AK58" s="13">
        <f t="shared" si="83"/>
        <v>1.3623674999999997</v>
      </c>
      <c r="AL58" s="13">
        <f t="shared" si="84"/>
        <v>2.7247349999999995</v>
      </c>
      <c r="AV58" s="4">
        <f t="shared" si="6"/>
        <v>2</v>
      </c>
      <c r="AW58" s="15">
        <v>56</v>
      </c>
      <c r="AX58" s="4">
        <v>186</v>
      </c>
      <c r="AY58" s="4">
        <v>0</v>
      </c>
      <c r="AZ58" s="28">
        <v>0</v>
      </c>
      <c r="BA58" s="28">
        <v>2</v>
      </c>
      <c r="BB58" s="4">
        <v>0</v>
      </c>
      <c r="BC58" s="4">
        <v>0</v>
      </c>
      <c r="BD58" s="15">
        <f t="shared" si="63"/>
        <v>0</v>
      </c>
      <c r="BE58" s="15">
        <f t="shared" si="64"/>
        <v>2</v>
      </c>
      <c r="BF58" s="15">
        <f t="shared" si="65"/>
        <v>53</v>
      </c>
      <c r="BG58" s="15">
        <f t="shared" si="66"/>
        <v>0</v>
      </c>
      <c r="BH58" s="15">
        <f>SUMIFS(Dados!$Q:$Q,Dados!$O:$O,$AW58,Dados!$P:$P,BH$2)</f>
        <v>0</v>
      </c>
      <c r="BI58" s="15">
        <f>SUMIFS(Dados!$Q:$Q,Dados!$O:$O,$AW58,Dados!$P:$P,BI$2)</f>
        <v>0</v>
      </c>
      <c r="BJ58" s="15">
        <f>SUMIFS(Dados!$Q:$Q,Dados!$O:$O,$AW58,Dados!$P:$P,BJ$2)</f>
        <v>46</v>
      </c>
      <c r="BK58" s="15">
        <f>SUMIFS(Dados!$Q:$Q,Dados!$O:$O,$AW58,Dados!$P:$P,BK$2)</f>
        <v>0</v>
      </c>
      <c r="BL58" s="15">
        <v>0</v>
      </c>
      <c r="BM58" s="15">
        <v>0</v>
      </c>
      <c r="BN58" s="15">
        <v>9</v>
      </c>
      <c r="BO58" s="15">
        <v>0</v>
      </c>
      <c r="BP58" s="15">
        <f t="shared" si="67"/>
        <v>0</v>
      </c>
      <c r="BQ58" s="15">
        <f t="shared" si="68"/>
        <v>0</v>
      </c>
      <c r="BR58" s="15">
        <f t="shared" si="69"/>
        <v>0</v>
      </c>
      <c r="BS58" s="15">
        <f t="shared" si="70"/>
        <v>0</v>
      </c>
      <c r="BT58" s="15">
        <f t="shared" si="71"/>
        <v>0</v>
      </c>
      <c r="BU58" s="15"/>
      <c r="BV58" s="15">
        <v>56</v>
      </c>
      <c r="BW58" s="15">
        <f>Dados!I58</f>
        <v>0</v>
      </c>
      <c r="BX58" s="15">
        <f>Dados!J58-Dados!I58</f>
        <v>30</v>
      </c>
      <c r="BY58" s="15">
        <f t="shared" si="72"/>
        <v>0.5</v>
      </c>
      <c r="BZ58" s="15">
        <f t="shared" si="73"/>
        <v>0.5</v>
      </c>
      <c r="CA58" s="16">
        <f t="shared" si="74"/>
        <v>1.6666666666666666E-2</v>
      </c>
      <c r="CD58" s="15">
        <f t="shared" si="75"/>
        <v>372</v>
      </c>
      <c r="CE58" s="15">
        <f t="shared" si="76"/>
        <v>0</v>
      </c>
      <c r="CF58" s="15">
        <f t="shared" si="77"/>
        <v>22320</v>
      </c>
      <c r="CG58" s="16">
        <f t="shared" si="78"/>
        <v>1.6666666666666666E-2</v>
      </c>
    </row>
    <row r="59" spans="6:85">
      <c r="F59" s="4">
        <v>57</v>
      </c>
      <c r="G59" s="4">
        <v>24</v>
      </c>
      <c r="H59" s="4">
        <v>3</v>
      </c>
      <c r="I59" s="4">
        <v>15</v>
      </c>
      <c r="J59" s="4">
        <v>9</v>
      </c>
      <c r="K59" s="4">
        <f t="shared" si="79"/>
        <v>0</v>
      </c>
      <c r="L59" s="4">
        <f t="shared" si="79"/>
        <v>0</v>
      </c>
      <c r="M59" s="4">
        <f t="shared" si="79"/>
        <v>0</v>
      </c>
      <c r="N59" s="4">
        <f t="shared" si="79"/>
        <v>0</v>
      </c>
      <c r="O59" s="4">
        <f t="shared" si="85"/>
        <v>0</v>
      </c>
      <c r="P59" s="4">
        <f t="shared" si="86"/>
        <v>0</v>
      </c>
      <c r="Q59" s="4">
        <f t="shared" si="87"/>
        <v>0</v>
      </c>
      <c r="R59" s="4">
        <f t="shared" si="88"/>
        <v>0</v>
      </c>
      <c r="S59" s="4">
        <f>IF(AND(VLOOKUP(G59,Dados!$D:$L,2,0)=VLOOKUP(I59,Dados!$S:$V,2,0),VLOOKUP(G59,Dados!$D:$L,3,0)=VLOOKUP(I59,Dados!$S:$V,3,0)),0,1)</f>
        <v>0</v>
      </c>
      <c r="T59" s="4">
        <f>IF(AND(VLOOKUP(G59,Dados!$D:$L,3,0)&lt;=VLOOKUP(H59,Dados!$X:$AB,2,0),VLOOKUP(G59,Dados!$D:$L,4,0)&gt;=VLOOKUP(H59,Dados!$X:$AB,3,0),VLOOKUP(G59,Dados!$D:$L,4,0)&lt;=VLOOKUP(H59,Dados!$X:$AB,4,0)),0,1)</f>
        <v>0</v>
      </c>
      <c r="U59" s="4">
        <f>IF(COUNTIFS(F:F,F59,H:H,H59)&lt;=VLOOKUP(H59,Dados!$X:$AB,5,0),0,1)</f>
        <v>0</v>
      </c>
      <c r="W59" s="4">
        <v>223</v>
      </c>
      <c r="X59" s="4">
        <v>3</v>
      </c>
      <c r="Y59" s="4">
        <v>30</v>
      </c>
      <c r="Z59" s="4">
        <v>21</v>
      </c>
      <c r="AA59" s="4">
        <v>2</v>
      </c>
      <c r="AB59" s="4">
        <v>1</v>
      </c>
      <c r="AD59" s="4">
        <f>VLOOKUP(Z59,Dados!$S$3:$W$55,4,FALSE)</f>
        <v>6464</v>
      </c>
      <c r="AE59" s="4">
        <f t="shared" si="80"/>
        <v>90</v>
      </c>
      <c r="AF59" s="4">
        <f t="shared" si="81"/>
        <v>19392</v>
      </c>
      <c r="AI59" s="13">
        <f>VLOOKUP(Z59,Dados!$S$3:$V$55,2,FALSE)*VLOOKUP(Z59,Dados!$S$3:$V$55,3,FALSE)*VLOOKUP(Z59,Dados!$S$3:$V$55,4,FALSE)*0.00000785</f>
        <v>96.613529599999993</v>
      </c>
      <c r="AJ59" s="13">
        <f t="shared" si="82"/>
        <v>289.84058879999998</v>
      </c>
      <c r="AK59" s="13">
        <f t="shared" si="83"/>
        <v>0.44839199999999996</v>
      </c>
      <c r="AL59" s="13">
        <f t="shared" si="84"/>
        <v>1.3451759999999999</v>
      </c>
      <c r="AV59" s="4">
        <f t="shared" si="6"/>
        <v>180</v>
      </c>
      <c r="AW59" s="15">
        <v>57</v>
      </c>
      <c r="AX59" s="4">
        <v>131</v>
      </c>
      <c r="AY59" s="4">
        <v>45</v>
      </c>
      <c r="AZ59" s="4">
        <v>45</v>
      </c>
      <c r="BA59" s="4">
        <v>45</v>
      </c>
      <c r="BB59" s="28">
        <v>45</v>
      </c>
      <c r="BC59" s="4">
        <v>45</v>
      </c>
      <c r="BD59" s="15">
        <f t="shared" si="63"/>
        <v>0</v>
      </c>
      <c r="BE59" s="15">
        <f t="shared" si="64"/>
        <v>172</v>
      </c>
      <c r="BF59" s="15">
        <f t="shared" si="65"/>
        <v>0</v>
      </c>
      <c r="BG59" s="15">
        <f t="shared" si="66"/>
        <v>0</v>
      </c>
      <c r="BH59" s="15">
        <f>SUMIFS(Dados!$Q:$Q,Dados!$O:$O,$AW59,Dados!$P:$P,BH$2)</f>
        <v>0</v>
      </c>
      <c r="BI59" s="15">
        <f>SUMIFS(Dados!$Q:$Q,Dados!$O:$O,$AW59,Dados!$P:$P,BI$2)</f>
        <v>124</v>
      </c>
      <c r="BJ59" s="15">
        <f>SUMIFS(Dados!$Q:$Q,Dados!$O:$O,$AW59,Dados!$P:$P,BJ$2)</f>
        <v>0</v>
      </c>
      <c r="BK59" s="15">
        <f>SUMIFS(Dados!$Q:$Q,Dados!$O:$O,$AW59,Dados!$P:$P,BK$2)</f>
        <v>0</v>
      </c>
      <c r="BL59" s="15">
        <v>0</v>
      </c>
      <c r="BM59" s="15">
        <v>48</v>
      </c>
      <c r="BN59" s="15">
        <v>0</v>
      </c>
      <c r="BO59" s="15">
        <v>0</v>
      </c>
      <c r="BP59" s="15">
        <f t="shared" si="67"/>
        <v>0</v>
      </c>
      <c r="BQ59" s="15">
        <f t="shared" si="68"/>
        <v>0</v>
      </c>
      <c r="BR59" s="15">
        <f t="shared" si="69"/>
        <v>0</v>
      </c>
      <c r="BS59" s="15">
        <f t="shared" si="70"/>
        <v>0</v>
      </c>
      <c r="BT59" s="15">
        <f t="shared" si="71"/>
        <v>0</v>
      </c>
      <c r="BU59" s="15"/>
      <c r="BV59" s="15">
        <v>57</v>
      </c>
      <c r="BW59" s="15">
        <f>Dados!I59</f>
        <v>45</v>
      </c>
      <c r="BX59" s="15">
        <f>Dados!J59-Dados!I59</f>
        <v>45</v>
      </c>
      <c r="BY59" s="15">
        <f t="shared" si="72"/>
        <v>45</v>
      </c>
      <c r="BZ59" s="15">
        <f t="shared" si="73"/>
        <v>0</v>
      </c>
      <c r="CA59" s="16">
        <f t="shared" si="74"/>
        <v>0</v>
      </c>
      <c r="CD59" s="15">
        <f t="shared" si="75"/>
        <v>23580</v>
      </c>
      <c r="CE59" s="15">
        <f t="shared" si="76"/>
        <v>23580</v>
      </c>
      <c r="CF59" s="15">
        <f t="shared" si="77"/>
        <v>47160</v>
      </c>
      <c r="CG59" s="16">
        <f t="shared" si="78"/>
        <v>0</v>
      </c>
    </row>
    <row r="60" spans="6:85">
      <c r="F60" s="4">
        <v>58</v>
      </c>
      <c r="G60" s="4">
        <v>25</v>
      </c>
      <c r="H60" s="4">
        <v>1</v>
      </c>
      <c r="I60" s="4">
        <v>15</v>
      </c>
      <c r="J60" s="4">
        <v>6</v>
      </c>
      <c r="K60" s="4">
        <f t="shared" si="79"/>
        <v>0</v>
      </c>
      <c r="L60" s="4">
        <f t="shared" si="79"/>
        <v>0</v>
      </c>
      <c r="M60" s="4">
        <f t="shared" si="79"/>
        <v>4</v>
      </c>
      <c r="N60" s="4">
        <f t="shared" si="79"/>
        <v>0</v>
      </c>
      <c r="O60" s="4">
        <f t="shared" si="85"/>
        <v>0</v>
      </c>
      <c r="P60" s="4">
        <f t="shared" si="86"/>
        <v>0</v>
      </c>
      <c r="Q60" s="4">
        <f t="shared" si="87"/>
        <v>24</v>
      </c>
      <c r="R60" s="4">
        <f t="shared" si="88"/>
        <v>0</v>
      </c>
      <c r="S60" s="4">
        <f>IF(AND(VLOOKUP(G60,Dados!$D:$L,2,0)=VLOOKUP(I60,Dados!$S:$V,2,0),VLOOKUP(G60,Dados!$D:$L,3,0)=VLOOKUP(I60,Dados!$S:$V,3,0)),0,1)</f>
        <v>0</v>
      </c>
      <c r="T60" s="4">
        <f>IF(AND(VLOOKUP(G60,Dados!$D:$L,3,0)&lt;=VLOOKUP(H60,Dados!$X:$AB,2,0),VLOOKUP(G60,Dados!$D:$L,4,0)&gt;=VLOOKUP(H60,Dados!$X:$AB,3,0),VLOOKUP(G60,Dados!$D:$L,4,0)&lt;=VLOOKUP(H60,Dados!$X:$AB,4,0)),0,1)</f>
        <v>0</v>
      </c>
      <c r="U60" s="4">
        <f>IF(COUNTIFS(F:F,F60,H:H,H60)&lt;=VLOOKUP(H60,Dados!$X:$AB,5,0),0,1)</f>
        <v>0</v>
      </c>
      <c r="W60" s="4">
        <v>457</v>
      </c>
      <c r="X60" s="4">
        <v>1</v>
      </c>
      <c r="Y60" s="4">
        <v>35</v>
      </c>
      <c r="Z60" s="4">
        <v>21</v>
      </c>
      <c r="AA60" s="4">
        <v>2</v>
      </c>
      <c r="AB60" s="4">
        <v>1</v>
      </c>
      <c r="AD60" s="4">
        <f>VLOOKUP(Z60,Dados!$S$3:$W$55,4,FALSE)</f>
        <v>6464</v>
      </c>
      <c r="AE60" s="4">
        <f t="shared" si="80"/>
        <v>35</v>
      </c>
      <c r="AF60" s="4">
        <f t="shared" si="81"/>
        <v>6464</v>
      </c>
      <c r="AI60" s="13">
        <f>VLOOKUP(Z60,Dados!$S$3:$V$55,2,FALSE)*VLOOKUP(Z60,Dados!$S$3:$V$55,3,FALSE)*VLOOKUP(Z60,Dados!$S$3:$V$55,4,FALSE)*0.00000785</f>
        <v>96.613529599999993</v>
      </c>
      <c r="AJ60" s="13">
        <f t="shared" si="82"/>
        <v>96.613529599999993</v>
      </c>
      <c r="AK60" s="13">
        <f t="shared" si="83"/>
        <v>0.52312399999999992</v>
      </c>
      <c r="AL60" s="13">
        <f t="shared" si="84"/>
        <v>0.52312399999999992</v>
      </c>
      <c r="AV60" s="4">
        <f t="shared" si="6"/>
        <v>320</v>
      </c>
      <c r="AW60" s="15">
        <v>58</v>
      </c>
      <c r="AX60" s="4">
        <v>171</v>
      </c>
      <c r="AY60" s="4">
        <v>80</v>
      </c>
      <c r="AZ60" s="28">
        <v>80</v>
      </c>
      <c r="BA60" s="28">
        <v>80</v>
      </c>
      <c r="BB60" s="4">
        <v>80</v>
      </c>
      <c r="BC60" s="4">
        <v>80</v>
      </c>
      <c r="BD60" s="15">
        <f t="shared" si="63"/>
        <v>16</v>
      </c>
      <c r="BE60" s="15">
        <f t="shared" si="64"/>
        <v>252</v>
      </c>
      <c r="BF60" s="15">
        <f t="shared" si="65"/>
        <v>0</v>
      </c>
      <c r="BG60" s="15">
        <f t="shared" si="66"/>
        <v>0</v>
      </c>
      <c r="BH60" s="15">
        <f>SUMIFS(Dados!$Q:$Q,Dados!$O:$O,$AW60,Dados!$P:$P,BH$2)</f>
        <v>0</v>
      </c>
      <c r="BI60" s="15">
        <f>SUMIFS(Dados!$Q:$Q,Dados!$O:$O,$AW60,Dados!$P:$P,BI$2)</f>
        <v>252</v>
      </c>
      <c r="BJ60" s="15">
        <f>SUMIFS(Dados!$Q:$Q,Dados!$O:$O,$AW60,Dados!$P:$P,BJ$2)</f>
        <v>0</v>
      </c>
      <c r="BK60" s="15">
        <f>SUMIFS(Dados!$Q:$Q,Dados!$O:$O,$AW60,Dados!$P:$P,BK$2)</f>
        <v>0</v>
      </c>
      <c r="BL60" s="15">
        <v>16</v>
      </c>
      <c r="BM60" s="15">
        <v>0</v>
      </c>
      <c r="BN60" s="15">
        <v>0</v>
      </c>
      <c r="BO60" s="15">
        <v>0</v>
      </c>
      <c r="BP60" s="15">
        <f t="shared" si="67"/>
        <v>0</v>
      </c>
      <c r="BQ60" s="15">
        <f t="shared" si="68"/>
        <v>0</v>
      </c>
      <c r="BR60" s="15">
        <f t="shared" si="69"/>
        <v>0</v>
      </c>
      <c r="BS60" s="15">
        <f t="shared" si="70"/>
        <v>0</v>
      </c>
      <c r="BT60" s="15">
        <f t="shared" si="71"/>
        <v>0</v>
      </c>
      <c r="BU60" s="15"/>
      <c r="BV60" s="15">
        <v>58</v>
      </c>
      <c r="BW60" s="15">
        <f>Dados!I60</f>
        <v>80</v>
      </c>
      <c r="BX60" s="15">
        <f>Dados!J60-Dados!I60</f>
        <v>60</v>
      </c>
      <c r="BY60" s="15">
        <f t="shared" si="72"/>
        <v>80</v>
      </c>
      <c r="BZ60" s="15">
        <f t="shared" si="73"/>
        <v>0</v>
      </c>
      <c r="CA60" s="16">
        <f t="shared" si="74"/>
        <v>0</v>
      </c>
      <c r="CD60" s="15">
        <f t="shared" si="75"/>
        <v>54720</v>
      </c>
      <c r="CE60" s="15">
        <f t="shared" si="76"/>
        <v>54720</v>
      </c>
      <c r="CF60" s="15">
        <f t="shared" si="77"/>
        <v>95760</v>
      </c>
      <c r="CG60" s="16">
        <f t="shared" si="78"/>
        <v>0</v>
      </c>
    </row>
    <row r="61" spans="6:85">
      <c r="F61" s="4">
        <v>59</v>
      </c>
      <c r="G61" s="4">
        <v>25</v>
      </c>
      <c r="H61" s="4">
        <v>3</v>
      </c>
      <c r="I61" s="4">
        <v>15</v>
      </c>
      <c r="J61" s="4">
        <v>6</v>
      </c>
      <c r="K61" s="4">
        <f t="shared" si="79"/>
        <v>0</v>
      </c>
      <c r="L61" s="4">
        <f t="shared" si="79"/>
        <v>0</v>
      </c>
      <c r="M61" s="4">
        <f t="shared" si="79"/>
        <v>0</v>
      </c>
      <c r="N61" s="4">
        <f t="shared" si="79"/>
        <v>0</v>
      </c>
      <c r="O61" s="4">
        <f t="shared" si="85"/>
        <v>0</v>
      </c>
      <c r="P61" s="4">
        <f t="shared" si="86"/>
        <v>0</v>
      </c>
      <c r="Q61" s="4">
        <f t="shared" si="87"/>
        <v>0</v>
      </c>
      <c r="R61" s="4">
        <f t="shared" si="88"/>
        <v>0</v>
      </c>
      <c r="S61" s="4">
        <f>IF(AND(VLOOKUP(G61,Dados!$D:$L,2,0)=VLOOKUP(I61,Dados!$S:$V,2,0),VLOOKUP(G61,Dados!$D:$L,3,0)=VLOOKUP(I61,Dados!$S:$V,3,0)),0,1)</f>
        <v>0</v>
      </c>
      <c r="T61" s="4">
        <f>IF(AND(VLOOKUP(G61,Dados!$D:$L,3,0)&lt;=VLOOKUP(H61,Dados!$X:$AB,2,0),VLOOKUP(G61,Dados!$D:$L,4,0)&gt;=VLOOKUP(H61,Dados!$X:$AB,3,0),VLOOKUP(G61,Dados!$D:$L,4,0)&lt;=VLOOKUP(H61,Dados!$X:$AB,4,0)),0,1)</f>
        <v>0</v>
      </c>
      <c r="U61" s="4">
        <f>IF(COUNTIFS(F:F,F61,H:H,H61)&lt;=VLOOKUP(H61,Dados!$X:$AB,5,0),0,1)</f>
        <v>0</v>
      </c>
      <c r="W61" s="4">
        <v>229</v>
      </c>
      <c r="X61" s="4">
        <v>5</v>
      </c>
      <c r="Y61" s="4">
        <v>0</v>
      </c>
      <c r="Z61" s="4">
        <v>23</v>
      </c>
      <c r="AA61" s="4">
        <v>2</v>
      </c>
      <c r="AB61" s="4">
        <v>1</v>
      </c>
      <c r="AD61" s="4">
        <f>VLOOKUP(Z61,Dados!$S$3:$W$55,4,FALSE)</f>
        <v>5580</v>
      </c>
      <c r="AE61" s="4">
        <f t="shared" si="80"/>
        <v>0</v>
      </c>
      <c r="AF61" s="4">
        <f t="shared" si="81"/>
        <v>27900</v>
      </c>
      <c r="AI61" s="13">
        <f>VLOOKUP(Z61,Dados!$S$3:$V$55,2,FALSE)*VLOOKUP(Z61,Dados!$S$3:$V$55,3,FALSE)*VLOOKUP(Z61,Dados!$S$3:$V$55,4,FALSE)*0.00000785</f>
        <v>83.400911999999991</v>
      </c>
      <c r="AJ61" s="13">
        <f t="shared" si="82"/>
        <v>417.00455999999997</v>
      </c>
      <c r="AK61" s="13">
        <f t="shared" si="83"/>
        <v>0</v>
      </c>
      <c r="AL61" s="13">
        <f t="shared" si="84"/>
        <v>0</v>
      </c>
      <c r="AV61" s="4">
        <f t="shared" si="6"/>
        <v>323</v>
      </c>
      <c r="AW61" s="15">
        <v>59</v>
      </c>
      <c r="AX61" s="4">
        <v>121</v>
      </c>
      <c r="AY61" s="4">
        <v>80</v>
      </c>
      <c r="AZ61" s="4">
        <v>80</v>
      </c>
      <c r="BA61" s="4">
        <v>83</v>
      </c>
      <c r="BB61" s="4">
        <v>80</v>
      </c>
      <c r="BC61" s="4">
        <v>80</v>
      </c>
      <c r="BD61" s="15">
        <f t="shared" si="63"/>
        <v>0</v>
      </c>
      <c r="BE61" s="15">
        <f t="shared" si="64"/>
        <v>3</v>
      </c>
      <c r="BF61" s="15">
        <f t="shared" si="65"/>
        <v>246</v>
      </c>
      <c r="BG61" s="15">
        <f t="shared" si="66"/>
        <v>0</v>
      </c>
      <c r="BH61" s="15">
        <f>SUMIFS(Dados!$Q:$Q,Dados!$O:$O,$AW61,Dados!$P:$P,BH$2)</f>
        <v>0</v>
      </c>
      <c r="BI61" s="15">
        <f>SUMIFS(Dados!$Q:$Q,Dados!$O:$O,$AW61,Dados!$P:$P,BI$2)</f>
        <v>0</v>
      </c>
      <c r="BJ61" s="15">
        <f>SUMIFS(Dados!$Q:$Q,Dados!$O:$O,$AW61,Dados!$P:$P,BJ$2)</f>
        <v>231</v>
      </c>
      <c r="BK61" s="15">
        <f>SUMIFS(Dados!$Q:$Q,Dados!$O:$O,$AW61,Dados!$P:$P,BK$2)</f>
        <v>0</v>
      </c>
      <c r="BL61" s="15">
        <v>0</v>
      </c>
      <c r="BM61" s="15">
        <v>0</v>
      </c>
      <c r="BN61" s="15">
        <v>18</v>
      </c>
      <c r="BO61" s="15">
        <v>0</v>
      </c>
      <c r="BP61" s="15">
        <f t="shared" si="67"/>
        <v>0</v>
      </c>
      <c r="BQ61" s="15">
        <f t="shared" si="68"/>
        <v>0</v>
      </c>
      <c r="BR61" s="15">
        <f t="shared" si="69"/>
        <v>0</v>
      </c>
      <c r="BS61" s="15">
        <f t="shared" si="70"/>
        <v>0</v>
      </c>
      <c r="BT61" s="15">
        <f t="shared" si="71"/>
        <v>0</v>
      </c>
      <c r="BU61" s="15"/>
      <c r="BV61" s="15">
        <v>59</v>
      </c>
      <c r="BW61" s="15">
        <f>Dados!I61</f>
        <v>80</v>
      </c>
      <c r="BX61" s="15">
        <f>Dados!J61-Dados!I61</f>
        <v>60</v>
      </c>
      <c r="BY61" s="15">
        <f t="shared" si="72"/>
        <v>80.75</v>
      </c>
      <c r="BZ61" s="15">
        <f t="shared" si="73"/>
        <v>0.75</v>
      </c>
      <c r="CA61" s="16">
        <f t="shared" si="74"/>
        <v>1.2500000000000001E-2</v>
      </c>
      <c r="CD61" s="15">
        <f t="shared" si="75"/>
        <v>39083</v>
      </c>
      <c r="CE61" s="15">
        <f t="shared" si="76"/>
        <v>38720</v>
      </c>
      <c r="CF61" s="15">
        <f t="shared" si="77"/>
        <v>67760</v>
      </c>
      <c r="CG61" s="16">
        <f t="shared" si="78"/>
        <v>1.2500000000000001E-2</v>
      </c>
    </row>
    <row r="62" spans="6:85">
      <c r="F62" s="4">
        <v>60</v>
      </c>
      <c r="G62" s="4">
        <v>26</v>
      </c>
      <c r="H62" s="4">
        <v>1</v>
      </c>
      <c r="I62" s="4">
        <v>15</v>
      </c>
      <c r="J62" s="4">
        <v>7</v>
      </c>
      <c r="K62" s="4">
        <f t="shared" si="79"/>
        <v>0</v>
      </c>
      <c r="L62" s="4">
        <f t="shared" si="79"/>
        <v>0</v>
      </c>
      <c r="M62" s="4">
        <f t="shared" si="79"/>
        <v>0</v>
      </c>
      <c r="N62" s="4">
        <f t="shared" si="79"/>
        <v>0</v>
      </c>
      <c r="O62" s="4">
        <f t="shared" si="85"/>
        <v>0</v>
      </c>
      <c r="P62" s="4">
        <f t="shared" si="86"/>
        <v>0</v>
      </c>
      <c r="Q62" s="4">
        <f t="shared" si="87"/>
        <v>0</v>
      </c>
      <c r="R62" s="4">
        <f t="shared" si="88"/>
        <v>0</v>
      </c>
      <c r="S62" s="4">
        <f>IF(AND(VLOOKUP(G62,Dados!$D:$L,2,0)=VLOOKUP(I62,Dados!$S:$V,2,0),VLOOKUP(G62,Dados!$D:$L,3,0)=VLOOKUP(I62,Dados!$S:$V,3,0)),0,1)</f>
        <v>0</v>
      </c>
      <c r="T62" s="4">
        <f>IF(AND(VLOOKUP(G62,Dados!$D:$L,3,0)&lt;=VLOOKUP(H62,Dados!$X:$AB,2,0),VLOOKUP(G62,Dados!$D:$L,4,0)&gt;=VLOOKUP(H62,Dados!$X:$AB,3,0),VLOOKUP(G62,Dados!$D:$L,4,0)&lt;=VLOOKUP(H62,Dados!$X:$AB,4,0)),0,1)</f>
        <v>0</v>
      </c>
      <c r="U62" s="4">
        <f>IF(COUNTIFS(F:F,F62,H:H,H62)&lt;=VLOOKUP(H62,Dados!$X:$AB,5,0),0,1)</f>
        <v>0</v>
      </c>
      <c r="W62" s="4">
        <v>232</v>
      </c>
      <c r="X62" s="4">
        <v>1</v>
      </c>
      <c r="Y62" s="4">
        <v>16</v>
      </c>
      <c r="Z62" s="4">
        <v>24</v>
      </c>
      <c r="AA62" s="4">
        <v>2</v>
      </c>
      <c r="AB62" s="4">
        <v>1</v>
      </c>
      <c r="AD62" s="4">
        <f>VLOOKUP(Z62,Dados!$S$3:$W$55,4,FALSE)</f>
        <v>5245</v>
      </c>
      <c r="AE62" s="4">
        <f t="shared" si="80"/>
        <v>16</v>
      </c>
      <c r="AF62" s="4">
        <f t="shared" si="81"/>
        <v>5245</v>
      </c>
      <c r="AI62" s="13">
        <f>VLOOKUP(Z62,Dados!$S$3:$V$55,2,FALSE)*VLOOKUP(Z62,Dados!$S$3:$V$55,3,FALSE)*VLOOKUP(Z62,Dados!$S$3:$V$55,4,FALSE)*0.00000785</f>
        <v>78.393867999999998</v>
      </c>
      <c r="AJ62" s="13">
        <f t="shared" si="82"/>
        <v>78.393867999999998</v>
      </c>
      <c r="AK62" s="13">
        <f t="shared" si="83"/>
        <v>0.2391424</v>
      </c>
      <c r="AL62" s="13">
        <f t="shared" si="84"/>
        <v>0.2391424</v>
      </c>
      <c r="AV62" s="4">
        <f t="shared" si="6"/>
        <v>320</v>
      </c>
      <c r="AW62" s="15">
        <v>60</v>
      </c>
      <c r="AX62" s="4">
        <v>165</v>
      </c>
      <c r="AY62" s="4">
        <v>80</v>
      </c>
      <c r="AZ62" s="28">
        <v>80</v>
      </c>
      <c r="BA62" s="28">
        <v>80</v>
      </c>
      <c r="BB62" s="4">
        <v>80</v>
      </c>
      <c r="BC62" s="28">
        <v>80</v>
      </c>
      <c r="BD62" s="15">
        <f t="shared" si="63"/>
        <v>0</v>
      </c>
      <c r="BE62" s="15">
        <f t="shared" si="64"/>
        <v>316</v>
      </c>
      <c r="BF62" s="15">
        <f t="shared" si="65"/>
        <v>0</v>
      </c>
      <c r="BG62" s="15">
        <f t="shared" si="66"/>
        <v>0</v>
      </c>
      <c r="BH62" s="15">
        <f>SUMIFS(Dados!$Q:$Q,Dados!$O:$O,$AW62,Dados!$P:$P,BH$2)</f>
        <v>0</v>
      </c>
      <c r="BI62" s="15">
        <f>SUMIFS(Dados!$Q:$Q,Dados!$O:$O,$AW62,Dados!$P:$P,BI$2)</f>
        <v>284</v>
      </c>
      <c r="BJ62" s="15">
        <f>SUMIFS(Dados!$Q:$Q,Dados!$O:$O,$AW62,Dados!$P:$P,BJ$2)</f>
        <v>0</v>
      </c>
      <c r="BK62" s="15">
        <f>SUMIFS(Dados!$Q:$Q,Dados!$O:$O,$AW62,Dados!$P:$P,BK$2)</f>
        <v>0</v>
      </c>
      <c r="BL62" s="15">
        <v>0</v>
      </c>
      <c r="BM62" s="15">
        <v>32</v>
      </c>
      <c r="BN62" s="15">
        <v>0</v>
      </c>
      <c r="BO62" s="15">
        <v>0</v>
      </c>
      <c r="BP62" s="15">
        <f t="shared" si="67"/>
        <v>0</v>
      </c>
      <c r="BQ62" s="15">
        <f t="shared" si="68"/>
        <v>0</v>
      </c>
      <c r="BR62" s="15">
        <f t="shared" si="69"/>
        <v>0</v>
      </c>
      <c r="BS62" s="15">
        <f t="shared" si="70"/>
        <v>0</v>
      </c>
      <c r="BT62" s="15">
        <f t="shared" si="71"/>
        <v>0</v>
      </c>
      <c r="BU62" s="15"/>
      <c r="BV62" s="15">
        <v>60</v>
      </c>
      <c r="BW62" s="15">
        <f>Dados!I62</f>
        <v>80</v>
      </c>
      <c r="BX62" s="15">
        <f>Dados!J62-Dados!I62</f>
        <v>60</v>
      </c>
      <c r="BY62" s="15">
        <f t="shared" si="72"/>
        <v>80</v>
      </c>
      <c r="BZ62" s="15">
        <f t="shared" si="73"/>
        <v>0</v>
      </c>
      <c r="CA62" s="16">
        <f t="shared" si="74"/>
        <v>0</v>
      </c>
      <c r="CD62" s="15">
        <f t="shared" si="75"/>
        <v>52800</v>
      </c>
      <c r="CE62" s="15">
        <f t="shared" si="76"/>
        <v>52800</v>
      </c>
      <c r="CF62" s="15">
        <f t="shared" si="77"/>
        <v>92400</v>
      </c>
      <c r="CG62" s="16">
        <f t="shared" si="78"/>
        <v>0</v>
      </c>
    </row>
    <row r="63" spans="6:85">
      <c r="F63" s="4">
        <v>61</v>
      </c>
      <c r="G63" s="4">
        <v>26</v>
      </c>
      <c r="H63" s="4">
        <v>3</v>
      </c>
      <c r="I63" s="4">
        <v>15</v>
      </c>
      <c r="J63" s="4">
        <v>7</v>
      </c>
      <c r="K63" s="4">
        <f t="shared" ref="K63:N82" si="89">SUMIFS($X:$X,$W:$W,$F63,$Z:$Z,$I63,$AA:$AA,$H63,$AB:$AB,K$2)</f>
        <v>0</v>
      </c>
      <c r="L63" s="4">
        <f t="shared" si="89"/>
        <v>0</v>
      </c>
      <c r="M63" s="4">
        <f t="shared" si="89"/>
        <v>0</v>
      </c>
      <c r="N63" s="4">
        <f t="shared" si="89"/>
        <v>0</v>
      </c>
      <c r="O63" s="4">
        <f t="shared" si="85"/>
        <v>0</v>
      </c>
      <c r="P63" s="4">
        <f t="shared" si="86"/>
        <v>0</v>
      </c>
      <c r="Q63" s="4">
        <f t="shared" si="87"/>
        <v>0</v>
      </c>
      <c r="R63" s="4">
        <f t="shared" si="88"/>
        <v>0</v>
      </c>
      <c r="S63" s="4">
        <f>IF(AND(VLOOKUP(G63,Dados!$D:$L,2,0)=VLOOKUP(I63,Dados!$S:$V,2,0),VLOOKUP(G63,Dados!$D:$L,3,0)=VLOOKUP(I63,Dados!$S:$V,3,0)),0,1)</f>
        <v>0</v>
      </c>
      <c r="T63" s="4">
        <f>IF(AND(VLOOKUP(G63,Dados!$D:$L,3,0)&lt;=VLOOKUP(H63,Dados!$X:$AB,2,0),VLOOKUP(G63,Dados!$D:$L,4,0)&gt;=VLOOKUP(H63,Dados!$X:$AB,3,0),VLOOKUP(G63,Dados!$D:$L,4,0)&lt;=VLOOKUP(H63,Dados!$X:$AB,4,0)),0,1)</f>
        <v>0</v>
      </c>
      <c r="U63" s="4">
        <f>IF(COUNTIFS(F:F,F63,H:H,H63)&lt;=VLOOKUP(H63,Dados!$X:$AB,5,0),0,1)</f>
        <v>0</v>
      </c>
      <c r="W63" s="4">
        <v>656</v>
      </c>
      <c r="X63" s="4">
        <v>28</v>
      </c>
      <c r="Y63" s="4">
        <v>8</v>
      </c>
      <c r="Z63" s="4">
        <v>28</v>
      </c>
      <c r="AA63" s="4">
        <v>1</v>
      </c>
      <c r="AB63" s="4">
        <v>1</v>
      </c>
      <c r="AD63" s="4">
        <f>VLOOKUP(Z63,Dados!$S$3:$W$55,4,FALSE)</f>
        <v>6280</v>
      </c>
      <c r="AE63" s="4">
        <f t="shared" si="80"/>
        <v>224</v>
      </c>
      <c r="AF63" s="4">
        <f t="shared" si="81"/>
        <v>175840</v>
      </c>
      <c r="AI63" s="13">
        <f>VLOOKUP(Z63,Dados!$S$3:$V$55,2,FALSE)*VLOOKUP(Z63,Dados!$S$3:$V$55,3,FALSE)*VLOOKUP(Z63,Dados!$S$3:$V$55,4,FALSE)*0.00000785</f>
        <v>93.86339199999999</v>
      </c>
      <c r="AJ63" s="13">
        <f t="shared" si="82"/>
        <v>2628.1749759999998</v>
      </c>
      <c r="AK63" s="13">
        <f t="shared" si="83"/>
        <v>0.11957119999999999</v>
      </c>
      <c r="AL63" s="13">
        <f t="shared" si="84"/>
        <v>3.3479935999999997</v>
      </c>
      <c r="AV63" s="4">
        <f t="shared" si="6"/>
        <v>320</v>
      </c>
      <c r="AW63" s="15">
        <v>61</v>
      </c>
      <c r="AX63" s="4">
        <v>192</v>
      </c>
      <c r="AY63" s="4">
        <v>80</v>
      </c>
      <c r="AZ63" s="28">
        <v>80</v>
      </c>
      <c r="BA63" s="28">
        <v>80</v>
      </c>
      <c r="BB63" s="4">
        <v>80</v>
      </c>
      <c r="BC63" s="4">
        <v>80</v>
      </c>
      <c r="BD63" s="15">
        <f t="shared" si="63"/>
        <v>286</v>
      </c>
      <c r="BE63" s="15">
        <f t="shared" si="64"/>
        <v>0</v>
      </c>
      <c r="BF63" s="15">
        <f t="shared" si="65"/>
        <v>9</v>
      </c>
      <c r="BG63" s="15">
        <f t="shared" si="66"/>
        <v>0</v>
      </c>
      <c r="BH63" s="15">
        <f>SUMIFS(Dados!$Q:$Q,Dados!$O:$O,$AW63,Dados!$P:$P,BH$2)</f>
        <v>286</v>
      </c>
      <c r="BI63" s="15">
        <f>SUMIFS(Dados!$Q:$Q,Dados!$O:$O,$AW63,Dados!$P:$P,BI$2)</f>
        <v>0</v>
      </c>
      <c r="BJ63" s="15">
        <f>SUMIFS(Dados!$Q:$Q,Dados!$O:$O,$AW63,Dados!$P:$P,BJ$2)</f>
        <v>0</v>
      </c>
      <c r="BK63" s="15">
        <f>SUMIFS(Dados!$Q:$Q,Dados!$O:$O,$AW63,Dados!$P:$P,BK$2)</f>
        <v>0</v>
      </c>
      <c r="BL63" s="15">
        <v>0</v>
      </c>
      <c r="BM63" s="15">
        <v>0</v>
      </c>
      <c r="BN63" s="15">
        <v>9</v>
      </c>
      <c r="BO63" s="15">
        <v>0</v>
      </c>
      <c r="BP63" s="15">
        <f t="shared" si="67"/>
        <v>0</v>
      </c>
      <c r="BQ63" s="15">
        <f t="shared" si="68"/>
        <v>0</v>
      </c>
      <c r="BR63" s="15">
        <f t="shared" si="69"/>
        <v>0</v>
      </c>
      <c r="BS63" s="15">
        <f t="shared" si="70"/>
        <v>0</v>
      </c>
      <c r="BT63" s="15">
        <f t="shared" si="71"/>
        <v>0</v>
      </c>
      <c r="BU63" s="15"/>
      <c r="BV63" s="15">
        <v>61</v>
      </c>
      <c r="BW63" s="15">
        <f>Dados!I63</f>
        <v>80</v>
      </c>
      <c r="BX63" s="15">
        <f>Dados!J63-Dados!I63</f>
        <v>60</v>
      </c>
      <c r="BY63" s="15">
        <f t="shared" si="72"/>
        <v>80</v>
      </c>
      <c r="BZ63" s="15">
        <f t="shared" si="73"/>
        <v>0</v>
      </c>
      <c r="CA63" s="16">
        <f t="shared" si="74"/>
        <v>0</v>
      </c>
      <c r="CD63" s="15">
        <f t="shared" si="75"/>
        <v>61440</v>
      </c>
      <c r="CE63" s="15">
        <f t="shared" si="76"/>
        <v>61440</v>
      </c>
      <c r="CF63" s="15">
        <f t="shared" si="77"/>
        <v>107520</v>
      </c>
      <c r="CG63" s="16">
        <f t="shared" si="78"/>
        <v>0</v>
      </c>
    </row>
    <row r="64" spans="6:85">
      <c r="F64" s="4">
        <v>62</v>
      </c>
      <c r="G64" s="4">
        <v>27</v>
      </c>
      <c r="H64" s="4">
        <v>1</v>
      </c>
      <c r="I64" s="4">
        <v>15</v>
      </c>
      <c r="J64" s="4">
        <v>6</v>
      </c>
      <c r="K64" s="4">
        <f t="shared" si="89"/>
        <v>0</v>
      </c>
      <c r="L64" s="4">
        <f t="shared" si="89"/>
        <v>0</v>
      </c>
      <c r="M64" s="4">
        <f t="shared" si="89"/>
        <v>0</v>
      </c>
      <c r="N64" s="4">
        <f t="shared" si="89"/>
        <v>0</v>
      </c>
      <c r="O64" s="4">
        <f t="shared" si="85"/>
        <v>0</v>
      </c>
      <c r="P64" s="4">
        <f t="shared" si="86"/>
        <v>0</v>
      </c>
      <c r="Q64" s="4">
        <f t="shared" si="87"/>
        <v>0</v>
      </c>
      <c r="R64" s="4">
        <f t="shared" si="88"/>
        <v>0</v>
      </c>
      <c r="S64" s="4">
        <f>IF(AND(VLOOKUP(G64,Dados!$D:$L,2,0)=VLOOKUP(I64,Dados!$S:$V,2,0),VLOOKUP(G64,Dados!$D:$L,3,0)=VLOOKUP(I64,Dados!$S:$V,3,0)),0,1)</f>
        <v>0</v>
      </c>
      <c r="T64" s="4">
        <f>IF(AND(VLOOKUP(G64,Dados!$D:$L,3,0)&lt;=VLOOKUP(H64,Dados!$X:$AB,2,0),VLOOKUP(G64,Dados!$D:$L,4,0)&gt;=VLOOKUP(H64,Dados!$X:$AB,3,0),VLOOKUP(G64,Dados!$D:$L,4,0)&lt;=VLOOKUP(H64,Dados!$X:$AB,4,0)),0,1)</f>
        <v>0</v>
      </c>
      <c r="U64" s="4">
        <f>IF(COUNTIFS(F:F,F64,H:H,H64)&lt;=VLOOKUP(H64,Dados!$X:$AB,5,0),0,1)</f>
        <v>0</v>
      </c>
      <c r="W64" s="4">
        <v>905</v>
      </c>
      <c r="X64" s="4">
        <v>19</v>
      </c>
      <c r="Y64" s="4">
        <v>3</v>
      </c>
      <c r="Z64" s="4">
        <v>28</v>
      </c>
      <c r="AA64" s="4">
        <v>1</v>
      </c>
      <c r="AB64" s="4">
        <v>1</v>
      </c>
      <c r="AD64" s="4">
        <f>VLOOKUP(Z64,Dados!$S$3:$W$55,4,FALSE)</f>
        <v>6280</v>
      </c>
      <c r="AE64" s="4">
        <f t="shared" si="80"/>
        <v>57</v>
      </c>
      <c r="AF64" s="4">
        <f t="shared" si="81"/>
        <v>119320</v>
      </c>
      <c r="AI64" s="13">
        <f>VLOOKUP(Z64,Dados!$S$3:$V$55,2,FALSE)*VLOOKUP(Z64,Dados!$S$3:$V$55,3,FALSE)*VLOOKUP(Z64,Dados!$S$3:$V$55,4,FALSE)*0.00000785</f>
        <v>93.86339199999999</v>
      </c>
      <c r="AJ64" s="13">
        <f t="shared" si="82"/>
        <v>1783.4044479999998</v>
      </c>
      <c r="AK64" s="13">
        <f t="shared" si="83"/>
        <v>4.4839199999999996E-2</v>
      </c>
      <c r="AL64" s="13">
        <f t="shared" si="84"/>
        <v>0.85194479999999995</v>
      </c>
      <c r="AV64" s="4">
        <f t="shared" si="6"/>
        <v>2</v>
      </c>
      <c r="AW64" s="15">
        <v>62</v>
      </c>
      <c r="AX64" s="4">
        <v>159</v>
      </c>
      <c r="AY64" s="4">
        <v>0</v>
      </c>
      <c r="AZ64" s="4">
        <v>0</v>
      </c>
      <c r="BA64" s="4">
        <v>2</v>
      </c>
      <c r="BB64" s="4">
        <v>0</v>
      </c>
      <c r="BC64" s="4">
        <v>0</v>
      </c>
      <c r="BD64" s="15">
        <f t="shared" si="63"/>
        <v>0</v>
      </c>
      <c r="BE64" s="15">
        <f t="shared" si="64"/>
        <v>2</v>
      </c>
      <c r="BF64" s="15">
        <f t="shared" si="65"/>
        <v>57</v>
      </c>
      <c r="BG64" s="15">
        <f t="shared" si="66"/>
        <v>30</v>
      </c>
      <c r="BH64" s="15">
        <f>SUMIFS(Dados!$Q:$Q,Dados!$O:$O,$AW64,Dados!$P:$P,BH$2)</f>
        <v>0</v>
      </c>
      <c r="BI64" s="15">
        <f>SUMIFS(Dados!$Q:$Q,Dados!$O:$O,$AW64,Dados!$P:$P,BI$2)</f>
        <v>0</v>
      </c>
      <c r="BJ64" s="15">
        <f>SUMIFS(Dados!$Q:$Q,Dados!$O:$O,$AW64,Dados!$P:$P,BJ$2)</f>
        <v>59</v>
      </c>
      <c r="BK64" s="15">
        <f>SUMIFS(Dados!$Q:$Q,Dados!$O:$O,$AW64,Dados!$P:$P,BK$2)</f>
        <v>0</v>
      </c>
      <c r="BL64" s="15">
        <v>0</v>
      </c>
      <c r="BM64" s="15">
        <v>0</v>
      </c>
      <c r="BN64" s="15">
        <v>0</v>
      </c>
      <c r="BO64" s="15">
        <v>30</v>
      </c>
      <c r="BP64" s="15">
        <f t="shared" si="67"/>
        <v>0</v>
      </c>
      <c r="BQ64" s="15">
        <f t="shared" si="68"/>
        <v>0</v>
      </c>
      <c r="BR64" s="15">
        <f t="shared" si="69"/>
        <v>0</v>
      </c>
      <c r="BS64" s="15">
        <f t="shared" si="70"/>
        <v>0</v>
      </c>
      <c r="BT64" s="15">
        <f t="shared" si="71"/>
        <v>0</v>
      </c>
      <c r="BU64" s="15"/>
      <c r="BV64" s="15">
        <v>62</v>
      </c>
      <c r="BW64" s="15">
        <f>Dados!I64</f>
        <v>0</v>
      </c>
      <c r="BX64" s="15">
        <f>Dados!J64-Dados!I64</f>
        <v>30</v>
      </c>
      <c r="BY64" s="15">
        <f t="shared" si="72"/>
        <v>0.5</v>
      </c>
      <c r="BZ64" s="15">
        <f t="shared" si="73"/>
        <v>0.5</v>
      </c>
      <c r="CA64" s="16">
        <f t="shared" si="74"/>
        <v>1.6666666666666666E-2</v>
      </c>
      <c r="CD64" s="15">
        <f t="shared" si="75"/>
        <v>318</v>
      </c>
      <c r="CE64" s="15">
        <f t="shared" si="76"/>
        <v>0</v>
      </c>
      <c r="CF64" s="15">
        <f t="shared" si="77"/>
        <v>19080</v>
      </c>
      <c r="CG64" s="16">
        <f t="shared" si="78"/>
        <v>1.6666666666666666E-2</v>
      </c>
    </row>
    <row r="65" spans="6:85">
      <c r="F65" s="4">
        <v>63</v>
      </c>
      <c r="G65" s="4">
        <v>27</v>
      </c>
      <c r="H65" s="4">
        <v>3</v>
      </c>
      <c r="I65" s="4">
        <v>15</v>
      </c>
      <c r="J65" s="4">
        <v>6</v>
      </c>
      <c r="K65" s="4">
        <f t="shared" si="89"/>
        <v>0</v>
      </c>
      <c r="L65" s="4">
        <f t="shared" si="89"/>
        <v>0</v>
      </c>
      <c r="M65" s="4">
        <f t="shared" si="89"/>
        <v>0</v>
      </c>
      <c r="N65" s="4">
        <f t="shared" si="89"/>
        <v>0</v>
      </c>
      <c r="O65" s="4">
        <f t="shared" si="85"/>
        <v>0</v>
      </c>
      <c r="P65" s="4">
        <f t="shared" si="86"/>
        <v>0</v>
      </c>
      <c r="Q65" s="4">
        <f t="shared" si="87"/>
        <v>0</v>
      </c>
      <c r="R65" s="4">
        <f t="shared" si="88"/>
        <v>0</v>
      </c>
      <c r="S65" s="4">
        <f>IF(AND(VLOOKUP(G65,Dados!$D:$L,2,0)=VLOOKUP(I65,Dados!$S:$V,2,0),VLOOKUP(G65,Dados!$D:$L,3,0)=VLOOKUP(I65,Dados!$S:$V,3,0)),0,1)</f>
        <v>0</v>
      </c>
      <c r="T65" s="4">
        <f>IF(AND(VLOOKUP(G65,Dados!$D:$L,3,0)&lt;=VLOOKUP(H65,Dados!$X:$AB,2,0),VLOOKUP(G65,Dados!$D:$L,4,0)&gt;=VLOOKUP(H65,Dados!$X:$AB,3,0),VLOOKUP(G65,Dados!$D:$L,4,0)&lt;=VLOOKUP(H65,Dados!$X:$AB,4,0)),0,1)</f>
        <v>0</v>
      </c>
      <c r="U65" s="4">
        <f>IF(COUNTIFS(F:F,F65,H:H,H65)&lt;=VLOOKUP(H65,Dados!$X:$AB,5,0),0,1)</f>
        <v>0</v>
      </c>
      <c r="W65" s="4">
        <v>657</v>
      </c>
      <c r="X65" s="4">
        <v>10</v>
      </c>
      <c r="Y65" s="4">
        <v>8</v>
      </c>
      <c r="Z65" s="4">
        <v>28</v>
      </c>
      <c r="AA65" s="4">
        <v>2</v>
      </c>
      <c r="AB65" s="4">
        <v>1</v>
      </c>
      <c r="AD65" s="4">
        <f>VLOOKUP(Z65,Dados!$S$3:$W$55,4,FALSE)</f>
        <v>6280</v>
      </c>
      <c r="AE65" s="4">
        <f t="shared" si="80"/>
        <v>80</v>
      </c>
      <c r="AF65" s="4">
        <f t="shared" si="81"/>
        <v>62800</v>
      </c>
      <c r="AI65" s="13">
        <f>VLOOKUP(Z65,Dados!$S$3:$V$55,2,FALSE)*VLOOKUP(Z65,Dados!$S$3:$V$55,3,FALSE)*VLOOKUP(Z65,Dados!$S$3:$V$55,4,FALSE)*0.00000785</f>
        <v>93.86339199999999</v>
      </c>
      <c r="AJ65" s="13">
        <f t="shared" si="82"/>
        <v>938.63391999999988</v>
      </c>
      <c r="AK65" s="13">
        <f t="shared" si="83"/>
        <v>0.11957119999999999</v>
      </c>
      <c r="AL65" s="13">
        <f t="shared" si="84"/>
        <v>1.1957119999999999</v>
      </c>
      <c r="AV65" s="4">
        <f t="shared" si="6"/>
        <v>320</v>
      </c>
      <c r="AW65" s="15">
        <v>63</v>
      </c>
      <c r="AX65" s="4">
        <v>115</v>
      </c>
      <c r="AY65" s="4">
        <v>80</v>
      </c>
      <c r="AZ65" s="4">
        <v>80</v>
      </c>
      <c r="BA65" s="4">
        <v>80</v>
      </c>
      <c r="BB65" s="4">
        <v>80</v>
      </c>
      <c r="BC65" s="4">
        <v>80</v>
      </c>
      <c r="BD65" s="15">
        <f t="shared" si="63"/>
        <v>237</v>
      </c>
      <c r="BE65" s="15">
        <f t="shared" si="64"/>
        <v>0</v>
      </c>
      <c r="BF65" s="15">
        <f t="shared" si="65"/>
        <v>0</v>
      </c>
      <c r="BG65" s="15">
        <f t="shared" si="66"/>
        <v>30</v>
      </c>
      <c r="BH65" s="15">
        <f>SUMIFS(Dados!$Q:$Q,Dados!$O:$O,$AW65,Dados!$P:$P,BH$2)</f>
        <v>237</v>
      </c>
      <c r="BI65" s="15">
        <f>SUMIFS(Dados!$Q:$Q,Dados!$O:$O,$AW65,Dados!$P:$P,BI$2)</f>
        <v>0</v>
      </c>
      <c r="BJ65" s="15">
        <f>SUMIFS(Dados!$Q:$Q,Dados!$O:$O,$AW65,Dados!$P:$P,BJ$2)</f>
        <v>0</v>
      </c>
      <c r="BK65" s="15">
        <f>SUMIFS(Dados!$Q:$Q,Dados!$O:$O,$AW65,Dados!$P:$P,BK$2)</f>
        <v>0</v>
      </c>
      <c r="BL65" s="15">
        <v>0</v>
      </c>
      <c r="BM65" s="15">
        <v>0</v>
      </c>
      <c r="BN65" s="15">
        <v>0</v>
      </c>
      <c r="BO65" s="15">
        <v>30</v>
      </c>
      <c r="BP65" s="15">
        <f t="shared" si="67"/>
        <v>0</v>
      </c>
      <c r="BQ65" s="15">
        <f t="shared" si="68"/>
        <v>0</v>
      </c>
      <c r="BR65" s="15">
        <f t="shared" si="69"/>
        <v>0</v>
      </c>
      <c r="BS65" s="15">
        <f t="shared" si="70"/>
        <v>0</v>
      </c>
      <c r="BT65" s="15">
        <f t="shared" si="71"/>
        <v>0</v>
      </c>
      <c r="BU65" s="15"/>
      <c r="BV65" s="15">
        <v>63</v>
      </c>
      <c r="BW65" s="15">
        <f>Dados!I65</f>
        <v>80</v>
      </c>
      <c r="BX65" s="15">
        <f>Dados!J65-Dados!I65</f>
        <v>60</v>
      </c>
      <c r="BY65" s="15">
        <f t="shared" si="72"/>
        <v>80</v>
      </c>
      <c r="BZ65" s="15">
        <f t="shared" si="73"/>
        <v>0</v>
      </c>
      <c r="CA65" s="16">
        <f t="shared" si="74"/>
        <v>0</v>
      </c>
      <c r="CD65" s="15">
        <f t="shared" si="75"/>
        <v>36800</v>
      </c>
      <c r="CE65" s="15">
        <f t="shared" si="76"/>
        <v>36800</v>
      </c>
      <c r="CF65" s="15">
        <f t="shared" si="77"/>
        <v>64400</v>
      </c>
      <c r="CG65" s="16">
        <f t="shared" si="78"/>
        <v>0</v>
      </c>
    </row>
    <row r="66" spans="6:85">
      <c r="F66" s="4">
        <v>64</v>
      </c>
      <c r="G66" s="4">
        <v>28</v>
      </c>
      <c r="H66" s="4">
        <v>1</v>
      </c>
      <c r="I66" s="4">
        <v>15</v>
      </c>
      <c r="J66" s="4">
        <v>9</v>
      </c>
      <c r="K66" s="4">
        <f t="shared" si="89"/>
        <v>0</v>
      </c>
      <c r="L66" s="4">
        <f t="shared" si="89"/>
        <v>0</v>
      </c>
      <c r="M66" s="4">
        <f t="shared" si="89"/>
        <v>0</v>
      </c>
      <c r="N66" s="4">
        <f t="shared" si="89"/>
        <v>0</v>
      </c>
      <c r="O66" s="4">
        <f t="shared" si="85"/>
        <v>0</v>
      </c>
      <c r="P66" s="4">
        <f t="shared" si="86"/>
        <v>0</v>
      </c>
      <c r="Q66" s="4">
        <f t="shared" si="87"/>
        <v>0</v>
      </c>
      <c r="R66" s="4">
        <f t="shared" si="88"/>
        <v>0</v>
      </c>
      <c r="S66" s="4">
        <f>IF(AND(VLOOKUP(G66,Dados!$D:$L,2,0)=VLOOKUP(I66,Dados!$S:$V,2,0),VLOOKUP(G66,Dados!$D:$L,3,0)=VLOOKUP(I66,Dados!$S:$V,3,0)),0,1)</f>
        <v>0</v>
      </c>
      <c r="T66" s="4">
        <f>IF(AND(VLOOKUP(G66,Dados!$D:$L,3,0)&lt;=VLOOKUP(H66,Dados!$X:$AB,2,0),VLOOKUP(G66,Dados!$D:$L,4,0)&gt;=VLOOKUP(H66,Dados!$X:$AB,3,0),VLOOKUP(G66,Dados!$D:$L,4,0)&lt;=VLOOKUP(H66,Dados!$X:$AB,4,0)),0,1)</f>
        <v>0</v>
      </c>
      <c r="U66" s="4">
        <f>IF(COUNTIFS(F:F,F66,H:H,H66)&lt;=VLOOKUP(H66,Dados!$X:$AB,5,0),0,1)</f>
        <v>0</v>
      </c>
      <c r="W66" s="4">
        <v>174</v>
      </c>
      <c r="X66" s="4">
        <v>7</v>
      </c>
      <c r="Y66" s="4">
        <v>361</v>
      </c>
      <c r="Z66" s="4">
        <v>30</v>
      </c>
      <c r="AA66" s="4">
        <v>3</v>
      </c>
      <c r="AB66" s="4">
        <v>1</v>
      </c>
      <c r="AD66" s="4">
        <f>VLOOKUP(Z66,Dados!$S$3:$W$55,4,FALSE)</f>
        <v>5646</v>
      </c>
      <c r="AE66" s="4">
        <f t="shared" si="80"/>
        <v>2527</v>
      </c>
      <c r="AF66" s="4">
        <f t="shared" si="81"/>
        <v>39522</v>
      </c>
      <c r="AI66" s="13">
        <f>VLOOKUP(Z66,Dados!$S$3:$V$55,2,FALSE)*VLOOKUP(Z66,Dados!$S$3:$V$55,3,FALSE)*VLOOKUP(Z66,Dados!$S$3:$V$55,4,FALSE)*0.00000785</f>
        <v>132.8303367</v>
      </c>
      <c r="AJ66" s="13">
        <f t="shared" si="82"/>
        <v>929.81235690000005</v>
      </c>
      <c r="AK66" s="13">
        <f t="shared" si="83"/>
        <v>8.4930484499999999</v>
      </c>
      <c r="AL66" s="13">
        <f t="shared" si="84"/>
        <v>59.451339149999995</v>
      </c>
      <c r="AV66" s="4">
        <f t="shared" si="6"/>
        <v>80</v>
      </c>
      <c r="AW66" s="15">
        <v>64</v>
      </c>
      <c r="AX66" s="4">
        <v>205</v>
      </c>
      <c r="AY66" s="4">
        <v>20</v>
      </c>
      <c r="AZ66" s="4">
        <v>20</v>
      </c>
      <c r="BA66" s="4">
        <v>20</v>
      </c>
      <c r="BB66" s="28">
        <v>20</v>
      </c>
      <c r="BC66" s="4">
        <v>20</v>
      </c>
      <c r="BD66" s="15">
        <f t="shared" si="63"/>
        <v>48</v>
      </c>
      <c r="BE66" s="15">
        <f t="shared" si="64"/>
        <v>0</v>
      </c>
      <c r="BF66" s="15">
        <f t="shared" si="65"/>
        <v>68</v>
      </c>
      <c r="BG66" s="15">
        <f t="shared" si="66"/>
        <v>0</v>
      </c>
      <c r="BH66" s="15">
        <f>SUMIFS(Dados!$Q:$Q,Dados!$O:$O,$AW66,Dados!$P:$P,BH$2)</f>
        <v>0</v>
      </c>
      <c r="BI66" s="15">
        <f>SUMIFS(Dados!$Q:$Q,Dados!$O:$O,$AW66,Dados!$P:$P,BI$2)</f>
        <v>0</v>
      </c>
      <c r="BJ66" s="15">
        <f>SUMIFS(Dados!$Q:$Q,Dados!$O:$O,$AW66,Dados!$P:$P,BJ$2)</f>
        <v>68</v>
      </c>
      <c r="BK66" s="15">
        <f>SUMIFS(Dados!$Q:$Q,Dados!$O:$O,$AW66,Dados!$P:$P,BK$2)</f>
        <v>0</v>
      </c>
      <c r="BL66" s="15">
        <v>48</v>
      </c>
      <c r="BM66" s="15">
        <v>0</v>
      </c>
      <c r="BN66" s="15">
        <v>0</v>
      </c>
      <c r="BO66" s="15">
        <v>0</v>
      </c>
      <c r="BP66" s="15">
        <f t="shared" si="67"/>
        <v>0</v>
      </c>
      <c r="BQ66" s="15">
        <f t="shared" si="68"/>
        <v>0</v>
      </c>
      <c r="BR66" s="15">
        <f t="shared" si="69"/>
        <v>0</v>
      </c>
      <c r="BS66" s="15">
        <f t="shared" si="70"/>
        <v>0</v>
      </c>
      <c r="BT66" s="15">
        <f t="shared" si="71"/>
        <v>0</v>
      </c>
      <c r="BU66" s="15"/>
      <c r="BV66" s="15">
        <v>64</v>
      </c>
      <c r="BW66" s="15">
        <f>Dados!I66</f>
        <v>20</v>
      </c>
      <c r="BX66" s="15">
        <f>Dados!J66-Dados!I66</f>
        <v>35</v>
      </c>
      <c r="BY66" s="15">
        <f t="shared" si="72"/>
        <v>20</v>
      </c>
      <c r="BZ66" s="15">
        <f t="shared" si="73"/>
        <v>0</v>
      </c>
      <c r="CA66" s="16">
        <f t="shared" si="74"/>
        <v>0</v>
      </c>
      <c r="CD66" s="15">
        <f t="shared" si="75"/>
        <v>16400</v>
      </c>
      <c r="CE66" s="15">
        <f t="shared" si="76"/>
        <v>16400</v>
      </c>
      <c r="CF66" s="15">
        <f t="shared" si="77"/>
        <v>45100</v>
      </c>
      <c r="CG66" s="16">
        <f t="shared" si="78"/>
        <v>0</v>
      </c>
    </row>
    <row r="67" spans="6:85">
      <c r="F67" s="4">
        <v>65</v>
      </c>
      <c r="G67" s="4">
        <v>28</v>
      </c>
      <c r="H67" s="4">
        <v>3</v>
      </c>
      <c r="I67" s="4">
        <v>15</v>
      </c>
      <c r="J67" s="4">
        <v>9</v>
      </c>
      <c r="K67" s="4">
        <f t="shared" si="89"/>
        <v>0</v>
      </c>
      <c r="L67" s="4">
        <f t="shared" si="89"/>
        <v>0</v>
      </c>
      <c r="M67" s="4">
        <f t="shared" si="89"/>
        <v>0</v>
      </c>
      <c r="N67" s="4">
        <f t="shared" si="89"/>
        <v>0</v>
      </c>
      <c r="O67" s="4">
        <f t="shared" si="85"/>
        <v>0</v>
      </c>
      <c r="P67" s="4">
        <f t="shared" si="86"/>
        <v>0</v>
      </c>
      <c r="Q67" s="4">
        <f t="shared" si="87"/>
        <v>0</v>
      </c>
      <c r="R67" s="4">
        <f t="shared" si="88"/>
        <v>0</v>
      </c>
      <c r="S67" s="4">
        <f>IF(AND(VLOOKUP(G67,Dados!$D:$L,2,0)=VLOOKUP(I67,Dados!$S:$V,2,0),VLOOKUP(G67,Dados!$D:$L,3,0)=VLOOKUP(I67,Dados!$S:$V,3,0)),0,1)</f>
        <v>0</v>
      </c>
      <c r="T67" s="4">
        <f>IF(AND(VLOOKUP(G67,Dados!$D:$L,3,0)&lt;=VLOOKUP(H67,Dados!$X:$AB,2,0),VLOOKUP(G67,Dados!$D:$L,4,0)&gt;=VLOOKUP(H67,Dados!$X:$AB,3,0),VLOOKUP(G67,Dados!$D:$L,4,0)&lt;=VLOOKUP(H67,Dados!$X:$AB,4,0)),0,1)</f>
        <v>0</v>
      </c>
      <c r="U67" s="4">
        <f>IF(COUNTIFS(F:F,F67,H:H,H67)&lt;=VLOOKUP(H67,Dados!$X:$AB,5,0),0,1)</f>
        <v>0</v>
      </c>
      <c r="W67" s="4">
        <v>250</v>
      </c>
      <c r="X67" s="4">
        <v>6</v>
      </c>
      <c r="Y67" s="4">
        <v>59</v>
      </c>
      <c r="Z67" s="4">
        <v>1</v>
      </c>
      <c r="AA67" s="4">
        <v>2</v>
      </c>
      <c r="AB67" s="4">
        <v>2</v>
      </c>
      <c r="AD67" s="4">
        <f>VLOOKUP(Z67,Dados!$S$3:$W$55,4,FALSE)</f>
        <v>5349</v>
      </c>
      <c r="AE67" s="4">
        <f t="shared" si="80"/>
        <v>354</v>
      </c>
      <c r="AF67" s="4">
        <f t="shared" si="81"/>
        <v>32094</v>
      </c>
      <c r="AI67" s="13">
        <f>VLOOKUP(Z67,Dados!$S$3:$V$55,2,FALSE)*VLOOKUP(Z67,Dados!$S$3:$V$55,3,FALSE)*VLOOKUP(Z67,Dados!$S$3:$V$55,4,FALSE)*0.00000785</f>
        <v>30.484485899999999</v>
      </c>
      <c r="AJ67" s="13">
        <f t="shared" si="82"/>
        <v>182.9069154</v>
      </c>
      <c r="AK67" s="13">
        <f t="shared" si="83"/>
        <v>0.33624689999999996</v>
      </c>
      <c r="AL67" s="13">
        <f t="shared" si="84"/>
        <v>2.0174813999999999</v>
      </c>
      <c r="AV67" s="4">
        <f t="shared" ref="AV67:AV72" si="90">SUM(AZ67:BC67)</f>
        <v>180</v>
      </c>
      <c r="AW67" s="15">
        <v>65</v>
      </c>
      <c r="AX67" s="4">
        <v>206</v>
      </c>
      <c r="AY67" s="4">
        <v>45</v>
      </c>
      <c r="AZ67" s="4">
        <v>45</v>
      </c>
      <c r="BA67" s="28">
        <v>45</v>
      </c>
      <c r="BB67" s="28">
        <v>45</v>
      </c>
      <c r="BC67" s="4">
        <v>45</v>
      </c>
      <c r="BD67" s="15">
        <f t="shared" si="63"/>
        <v>0</v>
      </c>
      <c r="BE67" s="15">
        <f t="shared" si="64"/>
        <v>233</v>
      </c>
      <c r="BF67" s="15">
        <f t="shared" si="65"/>
        <v>0</v>
      </c>
      <c r="BG67" s="15">
        <f t="shared" si="66"/>
        <v>0</v>
      </c>
      <c r="BH67" s="15">
        <f>SUMIFS(Dados!$Q:$Q,Dados!$O:$O,$AW67,Dados!$P:$P,BH$2)</f>
        <v>0</v>
      </c>
      <c r="BI67" s="15">
        <f>SUMIFS(Dados!$Q:$Q,Dados!$O:$O,$AW67,Dados!$P:$P,BI$2)</f>
        <v>185</v>
      </c>
      <c r="BJ67" s="15">
        <f>SUMIFS(Dados!$Q:$Q,Dados!$O:$O,$AW67,Dados!$P:$P,BJ$2)</f>
        <v>0</v>
      </c>
      <c r="BK67" s="15">
        <f>SUMIFS(Dados!$Q:$Q,Dados!$O:$O,$AW67,Dados!$P:$P,BK$2)</f>
        <v>0</v>
      </c>
      <c r="BL67" s="15">
        <v>0</v>
      </c>
      <c r="BM67" s="15">
        <v>48</v>
      </c>
      <c r="BN67" s="15">
        <v>0</v>
      </c>
      <c r="BO67" s="15">
        <v>0</v>
      </c>
      <c r="BP67" s="15">
        <f t="shared" si="67"/>
        <v>0</v>
      </c>
      <c r="BQ67" s="15">
        <f t="shared" si="68"/>
        <v>0</v>
      </c>
      <c r="BR67" s="15">
        <f t="shared" si="69"/>
        <v>0</v>
      </c>
      <c r="BS67" s="15">
        <f t="shared" si="70"/>
        <v>0</v>
      </c>
      <c r="BT67" s="15">
        <f t="shared" si="71"/>
        <v>0</v>
      </c>
      <c r="BU67" s="15"/>
      <c r="BV67" s="15">
        <v>65</v>
      </c>
      <c r="BW67" s="15">
        <f>Dados!I67</f>
        <v>45</v>
      </c>
      <c r="BX67" s="15">
        <f>Dados!J67-Dados!I67</f>
        <v>45</v>
      </c>
      <c r="BY67" s="15">
        <f t="shared" si="72"/>
        <v>45</v>
      </c>
      <c r="BZ67" s="15">
        <f t="shared" si="73"/>
        <v>0</v>
      </c>
      <c r="CA67" s="16">
        <f t="shared" si="74"/>
        <v>0</v>
      </c>
      <c r="CD67" s="15">
        <f t="shared" si="75"/>
        <v>37080</v>
      </c>
      <c r="CE67" s="15">
        <f t="shared" si="76"/>
        <v>37080</v>
      </c>
      <c r="CF67" s="15">
        <f t="shared" si="77"/>
        <v>74160</v>
      </c>
      <c r="CG67" s="16">
        <f t="shared" si="78"/>
        <v>0</v>
      </c>
    </row>
    <row r="68" spans="6:85">
      <c r="F68" s="4">
        <v>66</v>
      </c>
      <c r="G68" s="4">
        <v>29</v>
      </c>
      <c r="H68" s="4">
        <v>1</v>
      </c>
      <c r="I68" s="4">
        <v>15</v>
      </c>
      <c r="J68" s="4">
        <v>5</v>
      </c>
      <c r="K68" s="4">
        <f t="shared" si="89"/>
        <v>0</v>
      </c>
      <c r="L68" s="4">
        <f t="shared" si="89"/>
        <v>0</v>
      </c>
      <c r="M68" s="4">
        <f t="shared" si="89"/>
        <v>0</v>
      </c>
      <c r="N68" s="4">
        <f t="shared" si="89"/>
        <v>0</v>
      </c>
      <c r="O68" s="4">
        <f t="shared" si="85"/>
        <v>0</v>
      </c>
      <c r="P68" s="4">
        <f t="shared" si="86"/>
        <v>0</v>
      </c>
      <c r="Q68" s="4">
        <f t="shared" si="87"/>
        <v>0</v>
      </c>
      <c r="R68" s="4">
        <f t="shared" si="88"/>
        <v>0</v>
      </c>
      <c r="S68" s="4">
        <f>IF(AND(VLOOKUP(G68,Dados!$D:$L,2,0)=VLOOKUP(I68,Dados!$S:$V,2,0),VLOOKUP(G68,Dados!$D:$L,3,0)=VLOOKUP(I68,Dados!$S:$V,3,0)),0,1)</f>
        <v>0</v>
      </c>
      <c r="T68" s="4">
        <f>IF(AND(VLOOKUP(G68,Dados!$D:$L,3,0)&lt;=VLOOKUP(H68,Dados!$X:$AB,2,0),VLOOKUP(G68,Dados!$D:$L,4,0)&gt;=VLOOKUP(H68,Dados!$X:$AB,3,0),VLOOKUP(G68,Dados!$D:$L,4,0)&lt;=VLOOKUP(H68,Dados!$X:$AB,4,0)),0,1)</f>
        <v>0</v>
      </c>
      <c r="U68" s="4">
        <f>IF(COUNTIFS(F:F,F68,H:H,H68)&lt;=VLOOKUP(H68,Dados!$X:$AB,5,0),0,1)</f>
        <v>0</v>
      </c>
      <c r="W68" s="4">
        <v>321</v>
      </c>
      <c r="X68" s="4">
        <v>3</v>
      </c>
      <c r="Y68" s="4">
        <v>56</v>
      </c>
      <c r="Z68" s="4">
        <v>1</v>
      </c>
      <c r="AA68" s="4">
        <v>2</v>
      </c>
      <c r="AB68" s="4">
        <v>2</v>
      </c>
      <c r="AD68" s="4">
        <f>VLOOKUP(Z68,Dados!$S$3:$W$55,4,FALSE)</f>
        <v>5349</v>
      </c>
      <c r="AE68" s="4">
        <f t="shared" ref="AE68:AE72" si="91">Y68*X68</f>
        <v>168</v>
      </c>
      <c r="AF68" s="4">
        <f t="shared" ref="AF68:AF72" si="92">AD68*X68</f>
        <v>16047</v>
      </c>
      <c r="AI68" s="13">
        <f>VLOOKUP(Z68,Dados!$S$3:$V$55,2,FALSE)*VLOOKUP(Z68,Dados!$S$3:$V$55,3,FALSE)*VLOOKUP(Z68,Dados!$S$3:$V$55,4,FALSE)*0.00000785</f>
        <v>30.484485899999999</v>
      </c>
      <c r="AJ68" s="13">
        <f t="shared" ref="AJ68:AJ72" si="93">AI68*X68</f>
        <v>91.453457700000001</v>
      </c>
      <c r="AK68" s="13">
        <f t="shared" ref="AK68:AK72" si="94">(AI68/AD68)*Y68</f>
        <v>0.31914959999999998</v>
      </c>
      <c r="AL68" s="13">
        <f t="shared" ref="AL68:AL72" si="95">AK68*X68</f>
        <v>0.95744879999999988</v>
      </c>
      <c r="AV68" s="4">
        <f t="shared" si="90"/>
        <v>320</v>
      </c>
      <c r="AW68" s="15">
        <v>66</v>
      </c>
      <c r="AX68" s="4">
        <v>207</v>
      </c>
      <c r="AY68" s="4">
        <v>80</v>
      </c>
      <c r="AZ68" s="4">
        <v>80</v>
      </c>
      <c r="BA68" s="4">
        <v>80</v>
      </c>
      <c r="BB68" s="4">
        <v>80</v>
      </c>
      <c r="BC68" s="4">
        <v>80</v>
      </c>
      <c r="BD68" s="15">
        <f t="shared" si="63"/>
        <v>0</v>
      </c>
      <c r="BE68" s="15">
        <f t="shared" si="64"/>
        <v>0</v>
      </c>
      <c r="BF68" s="15">
        <f t="shared" si="65"/>
        <v>237</v>
      </c>
      <c r="BG68" s="15">
        <f t="shared" si="66"/>
        <v>45</v>
      </c>
      <c r="BH68" s="15">
        <f>SUMIFS(Dados!$Q:$Q,Dados!$O:$O,$AW68,Dados!$P:$P,BH$2)</f>
        <v>0</v>
      </c>
      <c r="BI68" s="15">
        <f>SUMIFS(Dados!$Q:$Q,Dados!$O:$O,$AW68,Dados!$P:$P,BI$2)</f>
        <v>0</v>
      </c>
      <c r="BJ68" s="15">
        <f>SUMIFS(Dados!$Q:$Q,Dados!$O:$O,$AW68,Dados!$P:$P,BJ$2)</f>
        <v>237</v>
      </c>
      <c r="BK68" s="15">
        <f>SUMIFS(Dados!$Q:$Q,Dados!$O:$O,$AW68,Dados!$P:$P,BK$2)</f>
        <v>0</v>
      </c>
      <c r="BL68" s="15">
        <v>0</v>
      </c>
      <c r="BM68" s="15">
        <v>0</v>
      </c>
      <c r="BN68" s="15">
        <v>0</v>
      </c>
      <c r="BO68" s="15">
        <v>45</v>
      </c>
      <c r="BP68" s="15">
        <f t="shared" si="67"/>
        <v>0</v>
      </c>
      <c r="BQ68" s="15">
        <f t="shared" si="68"/>
        <v>0</v>
      </c>
      <c r="BR68" s="15">
        <f t="shared" si="69"/>
        <v>0</v>
      </c>
      <c r="BS68" s="15">
        <f t="shared" si="70"/>
        <v>0</v>
      </c>
      <c r="BT68" s="15">
        <f t="shared" si="71"/>
        <v>0</v>
      </c>
      <c r="BU68" s="15"/>
      <c r="BV68" s="15">
        <v>66</v>
      </c>
      <c r="BW68" s="15">
        <f>Dados!I68</f>
        <v>80</v>
      </c>
      <c r="BX68" s="15">
        <f>Dados!J68-Dados!I68</f>
        <v>60</v>
      </c>
      <c r="BY68" s="15">
        <f t="shared" si="72"/>
        <v>80</v>
      </c>
      <c r="BZ68" s="15">
        <f t="shared" si="73"/>
        <v>0</v>
      </c>
      <c r="CA68" s="16">
        <f t="shared" si="74"/>
        <v>0</v>
      </c>
      <c r="CD68" s="15">
        <f t="shared" si="75"/>
        <v>66240</v>
      </c>
      <c r="CE68" s="15">
        <f t="shared" si="76"/>
        <v>66240</v>
      </c>
      <c r="CF68" s="15">
        <f t="shared" si="77"/>
        <v>115920</v>
      </c>
      <c r="CG68" s="16">
        <f t="shared" si="78"/>
        <v>0</v>
      </c>
    </row>
    <row r="69" spans="6:85">
      <c r="F69" s="4">
        <v>67</v>
      </c>
      <c r="G69" s="4">
        <v>29</v>
      </c>
      <c r="H69" s="4">
        <v>3</v>
      </c>
      <c r="I69" s="4">
        <v>15</v>
      </c>
      <c r="J69" s="4">
        <v>5</v>
      </c>
      <c r="K69" s="4">
        <f t="shared" si="89"/>
        <v>0</v>
      </c>
      <c r="L69" s="4">
        <f t="shared" si="89"/>
        <v>0</v>
      </c>
      <c r="M69" s="4">
        <f t="shared" si="89"/>
        <v>0</v>
      </c>
      <c r="N69" s="4">
        <f t="shared" si="89"/>
        <v>0</v>
      </c>
      <c r="O69" s="4">
        <f t="shared" si="85"/>
        <v>0</v>
      </c>
      <c r="P69" s="4">
        <f t="shared" si="86"/>
        <v>0</v>
      </c>
      <c r="Q69" s="4">
        <f t="shared" si="87"/>
        <v>0</v>
      </c>
      <c r="R69" s="4">
        <f t="shared" si="88"/>
        <v>0</v>
      </c>
      <c r="S69" s="4">
        <f>IF(AND(VLOOKUP(G69,Dados!$D:$L,2,0)=VLOOKUP(I69,Dados!$S:$V,2,0),VLOOKUP(G69,Dados!$D:$L,3,0)=VLOOKUP(I69,Dados!$S:$V,3,0)),0,1)</f>
        <v>0</v>
      </c>
      <c r="T69" s="4">
        <f>IF(AND(VLOOKUP(G69,Dados!$D:$L,3,0)&lt;=VLOOKUP(H69,Dados!$X:$AB,2,0),VLOOKUP(G69,Dados!$D:$L,4,0)&gt;=VLOOKUP(H69,Dados!$X:$AB,3,0),VLOOKUP(G69,Dados!$D:$L,4,0)&lt;=VLOOKUP(H69,Dados!$X:$AB,4,0)),0,1)</f>
        <v>0</v>
      </c>
      <c r="U69" s="4">
        <f>IF(COUNTIFS(F:F,F69,H:H,H69)&lt;=VLOOKUP(H69,Dados!$X:$AB,5,0),0,1)</f>
        <v>0</v>
      </c>
      <c r="W69" s="4">
        <v>322</v>
      </c>
      <c r="X69" s="4">
        <v>1</v>
      </c>
      <c r="Y69" s="4">
        <v>56</v>
      </c>
      <c r="Z69" s="4">
        <v>1</v>
      </c>
      <c r="AA69" s="4">
        <v>3</v>
      </c>
      <c r="AB69" s="4">
        <v>2</v>
      </c>
      <c r="AD69" s="4">
        <f>VLOOKUP(Z69,Dados!$S$3:$W$55,4,FALSE)</f>
        <v>5349</v>
      </c>
      <c r="AE69" s="4">
        <f t="shared" si="91"/>
        <v>56</v>
      </c>
      <c r="AF69" s="4">
        <f t="shared" si="92"/>
        <v>5349</v>
      </c>
      <c r="AI69" s="13">
        <f>VLOOKUP(Z69,Dados!$S$3:$V$55,2,FALSE)*VLOOKUP(Z69,Dados!$S$3:$V$55,3,FALSE)*VLOOKUP(Z69,Dados!$S$3:$V$55,4,FALSE)*0.00000785</f>
        <v>30.484485899999999</v>
      </c>
      <c r="AJ69" s="13">
        <f t="shared" si="93"/>
        <v>30.484485899999999</v>
      </c>
      <c r="AK69" s="13">
        <f t="shared" si="94"/>
        <v>0.31914959999999998</v>
      </c>
      <c r="AL69" s="13">
        <f t="shared" si="95"/>
        <v>0.31914959999999998</v>
      </c>
      <c r="AV69" s="4">
        <f t="shared" si="90"/>
        <v>320</v>
      </c>
      <c r="AW69" s="15">
        <v>67</v>
      </c>
      <c r="AX69" s="4">
        <v>187</v>
      </c>
      <c r="AY69" s="4">
        <v>80</v>
      </c>
      <c r="AZ69" s="4">
        <v>80</v>
      </c>
      <c r="BA69" s="4">
        <v>80</v>
      </c>
      <c r="BB69" s="4">
        <v>80</v>
      </c>
      <c r="BC69" s="4">
        <v>80</v>
      </c>
      <c r="BD69" s="15">
        <f t="shared" si="63"/>
        <v>0</v>
      </c>
      <c r="BE69" s="15">
        <f t="shared" si="64"/>
        <v>246</v>
      </c>
      <c r="BF69" s="15">
        <f t="shared" si="65"/>
        <v>0</v>
      </c>
      <c r="BG69" s="15">
        <f t="shared" si="66"/>
        <v>0</v>
      </c>
      <c r="BH69" s="15">
        <f>SUMIFS(Dados!$Q:$Q,Dados!$O:$O,$AW69,Dados!$P:$P,BH$2)</f>
        <v>0</v>
      </c>
      <c r="BI69" s="15">
        <f>SUMIFS(Dados!$Q:$Q,Dados!$O:$O,$AW69,Dados!$P:$P,BI$2)</f>
        <v>202</v>
      </c>
      <c r="BJ69" s="15">
        <f>SUMIFS(Dados!$Q:$Q,Dados!$O:$O,$AW69,Dados!$P:$P,BJ$2)</f>
        <v>0</v>
      </c>
      <c r="BK69" s="15">
        <f>SUMIFS(Dados!$Q:$Q,Dados!$O:$O,$AW69,Dados!$P:$P,BK$2)</f>
        <v>0</v>
      </c>
      <c r="BL69" s="15">
        <v>0</v>
      </c>
      <c r="BM69" s="15">
        <v>44</v>
      </c>
      <c r="BN69" s="15">
        <v>0</v>
      </c>
      <c r="BO69" s="15">
        <v>0</v>
      </c>
      <c r="BP69" s="15">
        <f t="shared" si="67"/>
        <v>0</v>
      </c>
      <c r="BQ69" s="15">
        <f t="shared" si="68"/>
        <v>0</v>
      </c>
      <c r="BR69" s="15">
        <f t="shared" si="69"/>
        <v>0</v>
      </c>
      <c r="BS69" s="15">
        <f t="shared" si="70"/>
        <v>0</v>
      </c>
      <c r="BT69" s="15">
        <f t="shared" si="71"/>
        <v>0</v>
      </c>
      <c r="BU69" s="15"/>
      <c r="BV69" s="15">
        <v>67</v>
      </c>
      <c r="BW69" s="15">
        <f>Dados!I69</f>
        <v>80</v>
      </c>
      <c r="BX69" s="15">
        <f>Dados!J69-Dados!I69</f>
        <v>60</v>
      </c>
      <c r="BY69" s="15">
        <f t="shared" si="72"/>
        <v>80</v>
      </c>
      <c r="BZ69" s="15">
        <f t="shared" si="73"/>
        <v>0</v>
      </c>
      <c r="CA69" s="16">
        <f t="shared" si="74"/>
        <v>0</v>
      </c>
      <c r="CD69" s="15">
        <f t="shared" si="75"/>
        <v>59840</v>
      </c>
      <c r="CE69" s="15">
        <f t="shared" si="76"/>
        <v>59840</v>
      </c>
      <c r="CF69" s="15">
        <f t="shared" si="77"/>
        <v>104720</v>
      </c>
      <c r="CG69" s="16">
        <f t="shared" si="78"/>
        <v>0</v>
      </c>
    </row>
    <row r="70" spans="6:85">
      <c r="F70" s="4">
        <v>68</v>
      </c>
      <c r="G70" s="4">
        <v>30</v>
      </c>
      <c r="H70" s="4">
        <v>1</v>
      </c>
      <c r="I70" s="4">
        <v>16</v>
      </c>
      <c r="J70" s="4">
        <v>6</v>
      </c>
      <c r="K70" s="4">
        <f t="shared" si="89"/>
        <v>1</v>
      </c>
      <c r="L70" s="4">
        <f t="shared" si="89"/>
        <v>0</v>
      </c>
      <c r="M70" s="4">
        <f t="shared" si="89"/>
        <v>0</v>
      </c>
      <c r="N70" s="4">
        <f t="shared" si="89"/>
        <v>0</v>
      </c>
      <c r="O70" s="4">
        <f t="shared" si="85"/>
        <v>6</v>
      </c>
      <c r="P70" s="4">
        <f t="shared" si="86"/>
        <v>0</v>
      </c>
      <c r="Q70" s="4">
        <f t="shared" si="87"/>
        <v>0</v>
      </c>
      <c r="R70" s="4">
        <f t="shared" si="88"/>
        <v>0</v>
      </c>
      <c r="S70" s="4">
        <f>IF(AND(VLOOKUP(G70,Dados!$D:$L,2,0)=VLOOKUP(I70,Dados!$S:$V,2,0),VLOOKUP(G70,Dados!$D:$L,3,0)=VLOOKUP(I70,Dados!$S:$V,3,0)),0,1)</f>
        <v>0</v>
      </c>
      <c r="T70" s="4">
        <f>IF(AND(VLOOKUP(G70,Dados!$D:$L,3,0)&lt;=VLOOKUP(H70,Dados!$X:$AB,2,0),VLOOKUP(G70,Dados!$D:$L,4,0)&gt;=VLOOKUP(H70,Dados!$X:$AB,3,0),VLOOKUP(G70,Dados!$D:$L,4,0)&lt;=VLOOKUP(H70,Dados!$X:$AB,4,0)),0,1)</f>
        <v>0</v>
      </c>
      <c r="U70" s="4">
        <f>IF(COUNTIFS(F:F,F70,H:H,H70)&lt;=VLOOKUP(H70,Dados!$X:$AB,5,0),0,1)</f>
        <v>0</v>
      </c>
      <c r="W70" s="4">
        <v>666</v>
      </c>
      <c r="X70" s="4">
        <v>1</v>
      </c>
      <c r="Y70" s="4">
        <v>10</v>
      </c>
      <c r="Z70" s="4">
        <v>1</v>
      </c>
      <c r="AA70" s="4">
        <v>3</v>
      </c>
      <c r="AB70" s="4">
        <v>2</v>
      </c>
      <c r="AD70" s="4">
        <f>VLOOKUP(Z70,Dados!$S$3:$W$55,4,FALSE)</f>
        <v>5349</v>
      </c>
      <c r="AE70" s="4">
        <f t="shared" si="91"/>
        <v>10</v>
      </c>
      <c r="AF70" s="4">
        <f t="shared" si="92"/>
        <v>5349</v>
      </c>
      <c r="AI70" s="13">
        <f>VLOOKUP(Z70,Dados!$S$3:$V$55,2,FALSE)*VLOOKUP(Z70,Dados!$S$3:$V$55,3,FALSE)*VLOOKUP(Z70,Dados!$S$3:$V$55,4,FALSE)*0.00000785</f>
        <v>30.484485899999999</v>
      </c>
      <c r="AJ70" s="13">
        <f t="shared" si="93"/>
        <v>30.484485899999999</v>
      </c>
      <c r="AK70" s="13">
        <f t="shared" si="94"/>
        <v>5.6990999999999993E-2</v>
      </c>
      <c r="AL70" s="13">
        <f t="shared" si="95"/>
        <v>5.6990999999999993E-2</v>
      </c>
      <c r="AV70" s="4">
        <f t="shared" si="90"/>
        <v>185</v>
      </c>
      <c r="AW70" s="15">
        <v>68</v>
      </c>
      <c r="AX70" s="4">
        <v>199</v>
      </c>
      <c r="AY70" s="4">
        <v>45</v>
      </c>
      <c r="AZ70" s="4">
        <v>45</v>
      </c>
      <c r="BA70" s="4">
        <v>45</v>
      </c>
      <c r="BB70" s="28">
        <v>45</v>
      </c>
      <c r="BC70" s="4">
        <v>50</v>
      </c>
      <c r="BD70" s="15">
        <f t="shared" si="63"/>
        <v>0</v>
      </c>
      <c r="BE70" s="15">
        <f t="shared" si="64"/>
        <v>0</v>
      </c>
      <c r="BF70" s="15">
        <f t="shared" si="65"/>
        <v>0</v>
      </c>
      <c r="BG70" s="15">
        <f t="shared" si="66"/>
        <v>210</v>
      </c>
      <c r="BH70" s="15">
        <f>SUMIFS(Dados!$Q:$Q,Dados!$O:$O,$AW70,Dados!$P:$P,BH$2)</f>
        <v>0</v>
      </c>
      <c r="BI70" s="15">
        <f>SUMIFS(Dados!$Q:$Q,Dados!$O:$O,$AW70,Dados!$P:$P,BI$2)</f>
        <v>0</v>
      </c>
      <c r="BJ70" s="15">
        <f>SUMIFS(Dados!$Q:$Q,Dados!$O:$O,$AW70,Dados!$P:$P,BJ$2)</f>
        <v>0</v>
      </c>
      <c r="BK70" s="15">
        <f>SUMIFS(Dados!$Q:$Q,Dados!$O:$O,$AW70,Dados!$P:$P,BK$2)</f>
        <v>172</v>
      </c>
      <c r="BL70" s="15">
        <v>0</v>
      </c>
      <c r="BM70" s="15">
        <v>0</v>
      </c>
      <c r="BN70" s="15">
        <v>0</v>
      </c>
      <c r="BO70" s="15">
        <v>33</v>
      </c>
      <c r="BP70" s="15">
        <f t="shared" si="67"/>
        <v>0</v>
      </c>
      <c r="BQ70" s="15">
        <f t="shared" si="68"/>
        <v>0</v>
      </c>
      <c r="BR70" s="15">
        <f t="shared" si="69"/>
        <v>0</v>
      </c>
      <c r="BS70" s="15">
        <f t="shared" si="70"/>
        <v>0</v>
      </c>
      <c r="BT70" s="15">
        <f t="shared" si="71"/>
        <v>0</v>
      </c>
      <c r="BU70" s="15"/>
      <c r="BV70" s="15">
        <v>68</v>
      </c>
      <c r="BW70" s="15">
        <f>Dados!I70</f>
        <v>45</v>
      </c>
      <c r="BX70" s="15">
        <f>Dados!J70-Dados!I70</f>
        <v>45</v>
      </c>
      <c r="BY70" s="15">
        <f t="shared" si="72"/>
        <v>46.25</v>
      </c>
      <c r="BZ70" s="15">
        <f t="shared" si="73"/>
        <v>1.25</v>
      </c>
      <c r="CA70" s="16">
        <f t="shared" si="74"/>
        <v>2.7777777777777776E-2</v>
      </c>
      <c r="CD70" s="15">
        <f t="shared" si="75"/>
        <v>36815</v>
      </c>
      <c r="CE70" s="15">
        <f t="shared" si="76"/>
        <v>35820</v>
      </c>
      <c r="CF70" s="15">
        <f t="shared" si="77"/>
        <v>71640</v>
      </c>
      <c r="CG70" s="16">
        <f t="shared" si="78"/>
        <v>2.7777777777777776E-2</v>
      </c>
    </row>
    <row r="71" spans="6:85">
      <c r="F71" s="4">
        <v>69</v>
      </c>
      <c r="G71" s="4">
        <v>30</v>
      </c>
      <c r="H71" s="4">
        <v>2</v>
      </c>
      <c r="I71" s="4">
        <v>16</v>
      </c>
      <c r="J71" s="4">
        <v>6</v>
      </c>
      <c r="K71" s="4">
        <f t="shared" si="89"/>
        <v>1</v>
      </c>
      <c r="L71" s="4">
        <f t="shared" si="89"/>
        <v>0</v>
      </c>
      <c r="M71" s="4">
        <f t="shared" si="89"/>
        <v>0</v>
      </c>
      <c r="N71" s="4">
        <f t="shared" si="89"/>
        <v>0</v>
      </c>
      <c r="O71" s="4">
        <f t="shared" si="85"/>
        <v>6</v>
      </c>
      <c r="P71" s="4">
        <f t="shared" si="86"/>
        <v>0</v>
      </c>
      <c r="Q71" s="4">
        <f t="shared" si="87"/>
        <v>0</v>
      </c>
      <c r="R71" s="4">
        <f t="shared" si="88"/>
        <v>0</v>
      </c>
      <c r="S71" s="4">
        <f>IF(AND(VLOOKUP(G71,Dados!$D:$L,2,0)=VLOOKUP(I71,Dados!$S:$V,2,0),VLOOKUP(G71,Dados!$D:$L,3,0)=VLOOKUP(I71,Dados!$S:$V,3,0)),0,1)</f>
        <v>0</v>
      </c>
      <c r="T71" s="4">
        <f>IF(AND(VLOOKUP(G71,Dados!$D:$L,3,0)&lt;=VLOOKUP(H71,Dados!$X:$AB,2,0),VLOOKUP(G71,Dados!$D:$L,4,0)&gt;=VLOOKUP(H71,Dados!$X:$AB,3,0),VLOOKUP(G71,Dados!$D:$L,4,0)&lt;=VLOOKUP(H71,Dados!$X:$AB,4,0)),0,1)</f>
        <v>0</v>
      </c>
      <c r="U71" s="4">
        <f>IF(COUNTIFS(F:F,F71,H:H,H71)&lt;=VLOOKUP(H71,Dados!$X:$AB,5,0),0,1)</f>
        <v>0</v>
      </c>
      <c r="W71" s="4">
        <v>256</v>
      </c>
      <c r="X71" s="4">
        <v>3</v>
      </c>
      <c r="Y71" s="4">
        <v>31</v>
      </c>
      <c r="Z71" s="4">
        <v>4</v>
      </c>
      <c r="AA71" s="4">
        <v>2</v>
      </c>
      <c r="AB71" s="4">
        <v>2</v>
      </c>
      <c r="AD71" s="4">
        <f>VLOOKUP(Z71,Dados!$S$3:$W$55,4,FALSE)</f>
        <v>5995</v>
      </c>
      <c r="AE71" s="4">
        <f t="shared" si="91"/>
        <v>93</v>
      </c>
      <c r="AF71" s="4">
        <f t="shared" si="92"/>
        <v>17985</v>
      </c>
      <c r="AI71" s="13">
        <f>VLOOKUP(Z71,Dados!$S$3:$V$55,2,FALSE)*VLOOKUP(Z71,Dados!$S$3:$V$55,3,FALSE)*VLOOKUP(Z71,Dados!$S$3:$V$55,4,FALSE)*0.00000785</f>
        <v>100.00409375</v>
      </c>
      <c r="AJ71" s="13">
        <f t="shared" si="93"/>
        <v>300.01228125</v>
      </c>
      <c r="AK71" s="13">
        <f t="shared" si="94"/>
        <v>0.51711874999999996</v>
      </c>
      <c r="AL71" s="13">
        <f t="shared" si="95"/>
        <v>1.55135625</v>
      </c>
      <c r="AV71" s="4">
        <f t="shared" si="90"/>
        <v>328</v>
      </c>
      <c r="AW71" s="15">
        <v>69</v>
      </c>
      <c r="AX71" s="4">
        <v>176</v>
      </c>
      <c r="AY71" s="4">
        <v>80</v>
      </c>
      <c r="AZ71" s="4">
        <v>80</v>
      </c>
      <c r="BA71" s="4">
        <v>84</v>
      </c>
      <c r="BB71" s="4">
        <v>84</v>
      </c>
      <c r="BC71" s="4">
        <v>80</v>
      </c>
      <c r="BD71" s="15">
        <f t="shared" si="63"/>
        <v>0</v>
      </c>
      <c r="BE71" s="15">
        <f t="shared" si="64"/>
        <v>70</v>
      </c>
      <c r="BF71" s="15">
        <f t="shared" si="65"/>
        <v>0</v>
      </c>
      <c r="BG71" s="15">
        <f t="shared" si="66"/>
        <v>212</v>
      </c>
      <c r="BH71" s="15">
        <f>SUMIFS(Dados!$Q:$Q,Dados!$O:$O,$AW71,Dados!$P:$P,BH$2)</f>
        <v>0</v>
      </c>
      <c r="BI71" s="15">
        <f>SUMIFS(Dados!$Q:$Q,Dados!$O:$O,$AW71,Dados!$P:$P,BI$2)</f>
        <v>0</v>
      </c>
      <c r="BJ71" s="15">
        <f>SUMIFS(Dados!$Q:$Q,Dados!$O:$O,$AW71,Dados!$P:$P,BJ$2)</f>
        <v>0</v>
      </c>
      <c r="BK71" s="15">
        <f>SUMIFS(Dados!$Q:$Q,Dados!$O:$O,$AW71,Dados!$P:$P,BK$2)</f>
        <v>216</v>
      </c>
      <c r="BL71" s="15">
        <v>0</v>
      </c>
      <c r="BM71" s="15">
        <v>66</v>
      </c>
      <c r="BN71" s="15">
        <v>0</v>
      </c>
      <c r="BO71" s="15">
        <v>0</v>
      </c>
      <c r="BP71" s="15">
        <f t="shared" si="67"/>
        <v>0</v>
      </c>
      <c r="BQ71" s="15">
        <f t="shared" si="68"/>
        <v>0</v>
      </c>
      <c r="BR71" s="15">
        <f t="shared" si="69"/>
        <v>0</v>
      </c>
      <c r="BS71" s="15">
        <f t="shared" si="70"/>
        <v>0</v>
      </c>
      <c r="BT71" s="15">
        <f t="shared" si="71"/>
        <v>0</v>
      </c>
      <c r="BU71" s="15"/>
      <c r="BV71" s="15">
        <v>69</v>
      </c>
      <c r="BW71" s="15">
        <f>Dados!I71</f>
        <v>80</v>
      </c>
      <c r="BX71" s="15">
        <f>Dados!J71-Dados!I71</f>
        <v>60</v>
      </c>
      <c r="BY71" s="15">
        <f t="shared" si="72"/>
        <v>82</v>
      </c>
      <c r="BZ71" s="15">
        <f t="shared" si="73"/>
        <v>2</v>
      </c>
      <c r="CA71" s="16">
        <f t="shared" si="74"/>
        <v>3.3333333333333333E-2</v>
      </c>
      <c r="CD71" s="15">
        <f t="shared" si="75"/>
        <v>57728</v>
      </c>
      <c r="CE71" s="15">
        <f t="shared" si="76"/>
        <v>56320</v>
      </c>
      <c r="CF71" s="15">
        <f t="shared" si="77"/>
        <v>98560</v>
      </c>
      <c r="CG71" s="16">
        <f t="shared" si="78"/>
        <v>3.3333333333333333E-2</v>
      </c>
    </row>
    <row r="72" spans="6:85">
      <c r="F72" s="4">
        <v>70</v>
      </c>
      <c r="G72" s="4">
        <v>30</v>
      </c>
      <c r="H72" s="4">
        <v>3</v>
      </c>
      <c r="I72" s="4">
        <v>16</v>
      </c>
      <c r="J72" s="4">
        <v>6</v>
      </c>
      <c r="K72" s="4">
        <f t="shared" si="89"/>
        <v>0</v>
      </c>
      <c r="L72" s="4">
        <f t="shared" si="89"/>
        <v>0</v>
      </c>
      <c r="M72" s="4">
        <f t="shared" si="89"/>
        <v>0</v>
      </c>
      <c r="N72" s="4">
        <f t="shared" si="89"/>
        <v>0</v>
      </c>
      <c r="O72" s="4">
        <f t="shared" si="85"/>
        <v>0</v>
      </c>
      <c r="P72" s="4">
        <f t="shared" si="86"/>
        <v>0</v>
      </c>
      <c r="Q72" s="4">
        <f t="shared" si="87"/>
        <v>0</v>
      </c>
      <c r="R72" s="4">
        <f t="shared" si="88"/>
        <v>0</v>
      </c>
      <c r="S72" s="4">
        <f>IF(AND(VLOOKUP(G72,Dados!$D:$L,2,0)=VLOOKUP(I72,Dados!$S:$V,2,0),VLOOKUP(G72,Dados!$D:$L,3,0)=VLOOKUP(I72,Dados!$S:$V,3,0)),0,1)</f>
        <v>0</v>
      </c>
      <c r="T72" s="4">
        <f>IF(AND(VLOOKUP(G72,Dados!$D:$L,3,0)&lt;=VLOOKUP(H72,Dados!$X:$AB,2,0),VLOOKUP(G72,Dados!$D:$L,4,0)&gt;=VLOOKUP(H72,Dados!$X:$AB,3,0),VLOOKUP(G72,Dados!$D:$L,4,0)&lt;=VLOOKUP(H72,Dados!$X:$AB,4,0)),0,1)</f>
        <v>0</v>
      </c>
      <c r="U72" s="4">
        <f>IF(COUNTIFS(F:F,F72,H:H,H72)&lt;=VLOOKUP(H72,Dados!$X:$AB,5,0),0,1)</f>
        <v>0</v>
      </c>
      <c r="W72" s="4">
        <v>185</v>
      </c>
      <c r="X72" s="4">
        <v>12</v>
      </c>
      <c r="Y72" s="4">
        <v>18</v>
      </c>
      <c r="Z72" s="4">
        <v>5</v>
      </c>
      <c r="AA72" s="4">
        <v>1</v>
      </c>
      <c r="AB72" s="4">
        <v>2</v>
      </c>
      <c r="AD72" s="4">
        <f>VLOOKUP(Z72,Dados!$S$3:$W$55,4,FALSE)</f>
        <v>6374</v>
      </c>
      <c r="AE72" s="4">
        <f t="shared" si="91"/>
        <v>216</v>
      </c>
      <c r="AF72" s="4">
        <f t="shared" si="92"/>
        <v>76488</v>
      </c>
      <c r="AI72" s="13">
        <f>VLOOKUP(Z72,Dados!$S$3:$V$55,2,FALSE)*VLOOKUP(Z72,Dados!$S$3:$V$55,3,FALSE)*VLOOKUP(Z72,Dados!$S$3:$V$55,4,FALSE)*0.00000785</f>
        <v>106.32628749999999</v>
      </c>
      <c r="AJ72" s="13">
        <f t="shared" si="93"/>
        <v>1275.91545</v>
      </c>
      <c r="AK72" s="13">
        <f t="shared" si="94"/>
        <v>0.30026249999999999</v>
      </c>
      <c r="AL72" s="13">
        <f t="shared" si="95"/>
        <v>3.6031499999999999</v>
      </c>
      <c r="AV72" s="4">
        <f t="shared" si="90"/>
        <v>18</v>
      </c>
      <c r="AW72" s="15">
        <v>70</v>
      </c>
      <c r="AX72" s="4">
        <v>160</v>
      </c>
      <c r="AY72" s="4">
        <v>0</v>
      </c>
      <c r="AZ72" s="28">
        <v>1</v>
      </c>
      <c r="BA72" s="4">
        <v>4</v>
      </c>
      <c r="BB72" s="4">
        <v>4</v>
      </c>
      <c r="BC72" s="4">
        <v>9</v>
      </c>
      <c r="BD72" s="15">
        <f t="shared" si="63"/>
        <v>49</v>
      </c>
      <c r="BE72" s="15">
        <f t="shared" si="64"/>
        <v>56</v>
      </c>
      <c r="BF72" s="15">
        <f t="shared" si="65"/>
        <v>0</v>
      </c>
      <c r="BG72" s="15">
        <f t="shared" si="66"/>
        <v>5</v>
      </c>
      <c r="BH72" s="15">
        <f>SUMIFS(Dados!$Q:$Q,Dados!$O:$O,$AW72,Dados!$P:$P,BH$2)</f>
        <v>0</v>
      </c>
      <c r="BI72" s="15">
        <f>SUMIFS(Dados!$Q:$Q,Dados!$O:$O,$AW72,Dados!$P:$P,BI$2)</f>
        <v>53</v>
      </c>
      <c r="BJ72" s="15">
        <f>SUMIFS(Dados!$Q:$Q,Dados!$O:$O,$AW72,Dados!$P:$P,BJ$2)</f>
        <v>0</v>
      </c>
      <c r="BK72" s="15">
        <f>SUMIFS(Dados!$Q:$Q,Dados!$O:$O,$AW72,Dados!$P:$P,BK$2)</f>
        <v>0</v>
      </c>
      <c r="BL72" s="15">
        <v>48</v>
      </c>
      <c r="BM72" s="15">
        <v>0</v>
      </c>
      <c r="BN72" s="15">
        <v>0</v>
      </c>
      <c r="BO72" s="15">
        <v>0</v>
      </c>
      <c r="BP72" s="15">
        <f t="shared" si="67"/>
        <v>0</v>
      </c>
      <c r="BQ72" s="15">
        <f t="shared" si="68"/>
        <v>0</v>
      </c>
      <c r="BR72" s="15">
        <f t="shared" si="69"/>
        <v>0</v>
      </c>
      <c r="BS72" s="15">
        <f t="shared" si="70"/>
        <v>0</v>
      </c>
      <c r="BT72" s="15">
        <f t="shared" si="71"/>
        <v>0</v>
      </c>
      <c r="BU72" s="15"/>
      <c r="BV72" s="15">
        <v>70</v>
      </c>
      <c r="BW72" s="15">
        <f>Dados!I72</f>
        <v>0</v>
      </c>
      <c r="BX72" s="15">
        <f>Dados!J72-Dados!I72</f>
        <v>30</v>
      </c>
      <c r="BY72" s="15">
        <f t="shared" si="72"/>
        <v>4.5</v>
      </c>
      <c r="BZ72" s="15">
        <f t="shared" si="73"/>
        <v>4.5</v>
      </c>
      <c r="CA72" s="16">
        <f t="shared" si="74"/>
        <v>0.15</v>
      </c>
      <c r="CD72" s="15">
        <f t="shared" si="75"/>
        <v>2880</v>
      </c>
      <c r="CE72" s="15">
        <f t="shared" si="76"/>
        <v>0</v>
      </c>
      <c r="CF72" s="15">
        <f t="shared" si="77"/>
        <v>19200</v>
      </c>
      <c r="CG72" s="16">
        <f t="shared" si="78"/>
        <v>0.15</v>
      </c>
    </row>
    <row r="73" spans="6:85">
      <c r="F73" s="4">
        <v>71</v>
      </c>
      <c r="G73" s="4">
        <v>31</v>
      </c>
      <c r="H73" s="4">
        <v>1</v>
      </c>
      <c r="I73" s="4">
        <v>16</v>
      </c>
      <c r="J73" s="4">
        <v>10</v>
      </c>
      <c r="K73" s="4">
        <f t="shared" si="89"/>
        <v>0</v>
      </c>
      <c r="L73" s="4">
        <f t="shared" si="89"/>
        <v>0</v>
      </c>
      <c r="M73" s="4">
        <f t="shared" si="89"/>
        <v>0</v>
      </c>
      <c r="N73" s="4">
        <f t="shared" si="89"/>
        <v>0</v>
      </c>
      <c r="O73" s="4">
        <f t="shared" si="85"/>
        <v>0</v>
      </c>
      <c r="P73" s="4">
        <f t="shared" si="86"/>
        <v>0</v>
      </c>
      <c r="Q73" s="4">
        <f t="shared" si="87"/>
        <v>0</v>
      </c>
      <c r="R73" s="4">
        <f t="shared" si="88"/>
        <v>0</v>
      </c>
      <c r="S73" s="4">
        <f>IF(AND(VLOOKUP(G73,Dados!$D:$L,2,0)=VLOOKUP(I73,Dados!$S:$V,2,0),VLOOKUP(G73,Dados!$D:$L,3,0)=VLOOKUP(I73,Dados!$S:$V,3,0)),0,1)</f>
        <v>0</v>
      </c>
      <c r="T73" s="4">
        <f>IF(AND(VLOOKUP(G73,Dados!$D:$L,3,0)&lt;=VLOOKUP(H73,Dados!$X:$AB,2,0),VLOOKUP(G73,Dados!$D:$L,4,0)&gt;=VLOOKUP(H73,Dados!$X:$AB,3,0),VLOOKUP(G73,Dados!$D:$L,4,0)&lt;=VLOOKUP(H73,Dados!$X:$AB,4,0)),0,1)</f>
        <v>0</v>
      </c>
      <c r="U73" s="4">
        <f>IF(COUNTIFS(F:F,F73,H:H,H73)&lt;=VLOOKUP(H73,Dados!$X:$AB,5,0),0,1)</f>
        <v>0</v>
      </c>
      <c r="W73" s="4">
        <v>186</v>
      </c>
      <c r="X73" s="4">
        <v>1</v>
      </c>
      <c r="Y73" s="4">
        <v>18</v>
      </c>
      <c r="Z73" s="4">
        <v>5</v>
      </c>
      <c r="AA73" s="4">
        <v>2</v>
      </c>
      <c r="AB73" s="4">
        <v>2</v>
      </c>
      <c r="AD73" s="4">
        <f>VLOOKUP(Z73,Dados!$S$3:$W$55,4,FALSE)</f>
        <v>6374</v>
      </c>
      <c r="AE73" s="4">
        <f t="shared" ref="AE73:AE74" si="96">Y73*X73</f>
        <v>18</v>
      </c>
      <c r="AF73" s="4">
        <f t="shared" ref="AF73:AF74" si="97">AD73*X73</f>
        <v>6374</v>
      </c>
      <c r="AI73" s="13">
        <f>VLOOKUP(Z73,Dados!$S$3:$V$55,2,FALSE)*VLOOKUP(Z73,Dados!$S$3:$V$55,3,FALSE)*VLOOKUP(Z73,Dados!$S$3:$V$55,4,FALSE)*0.00000785</f>
        <v>106.32628749999999</v>
      </c>
      <c r="AJ73" s="13">
        <f t="shared" ref="AJ73:AJ74" si="98">AI73*X73</f>
        <v>106.32628749999999</v>
      </c>
      <c r="AK73" s="13">
        <f t="shared" ref="AK73:AK74" si="99">(AI73/AD73)*Y73</f>
        <v>0.30026249999999999</v>
      </c>
      <c r="AL73" s="13">
        <f t="shared" ref="AL73:AL74" si="100">AK73*X73</f>
        <v>0.30026249999999999</v>
      </c>
      <c r="AW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  <c r="BZ73" s="15"/>
      <c r="CA73" s="16"/>
      <c r="CD73" s="15"/>
      <c r="CE73" s="15"/>
      <c r="CF73" s="15"/>
      <c r="CG73" s="16"/>
    </row>
    <row r="74" spans="6:85">
      <c r="F74" s="4">
        <v>72</v>
      </c>
      <c r="G74" s="4">
        <v>31</v>
      </c>
      <c r="H74" s="4">
        <v>2</v>
      </c>
      <c r="I74" s="4">
        <v>16</v>
      </c>
      <c r="J74" s="4">
        <v>10</v>
      </c>
      <c r="K74" s="4">
        <f t="shared" si="89"/>
        <v>0</v>
      </c>
      <c r="L74" s="4">
        <f t="shared" si="89"/>
        <v>0</v>
      </c>
      <c r="M74" s="4">
        <f t="shared" si="89"/>
        <v>0</v>
      </c>
      <c r="N74" s="4">
        <f t="shared" si="89"/>
        <v>0</v>
      </c>
      <c r="O74" s="4">
        <f t="shared" si="85"/>
        <v>0</v>
      </c>
      <c r="P74" s="4">
        <f t="shared" si="86"/>
        <v>0</v>
      </c>
      <c r="Q74" s="4">
        <f t="shared" si="87"/>
        <v>0</v>
      </c>
      <c r="R74" s="4">
        <f t="shared" si="88"/>
        <v>0</v>
      </c>
      <c r="S74" s="4">
        <f>IF(AND(VLOOKUP(G74,Dados!$D:$L,2,0)=VLOOKUP(I74,Dados!$S:$V,2,0),VLOOKUP(G74,Dados!$D:$L,3,0)=VLOOKUP(I74,Dados!$S:$V,3,0)),0,1)</f>
        <v>0</v>
      </c>
      <c r="T74" s="4">
        <f>IF(AND(VLOOKUP(G74,Dados!$D:$L,3,0)&lt;=VLOOKUP(H74,Dados!$X:$AB,2,0),VLOOKUP(G74,Dados!$D:$L,4,0)&gt;=VLOOKUP(H74,Dados!$X:$AB,3,0),VLOOKUP(G74,Dados!$D:$L,4,0)&lt;=VLOOKUP(H74,Dados!$X:$AB,4,0)),0,1)</f>
        <v>0</v>
      </c>
      <c r="U74" s="4">
        <f>IF(COUNTIFS(F:F,F74,H:H,H74)&lt;=VLOOKUP(H74,Dados!$X:$AB,5,0),0,1)</f>
        <v>0</v>
      </c>
      <c r="W74" s="4">
        <v>259</v>
      </c>
      <c r="X74" s="4">
        <v>3</v>
      </c>
      <c r="Y74" s="4">
        <v>4</v>
      </c>
      <c r="Z74" s="4">
        <v>5</v>
      </c>
      <c r="AA74" s="4">
        <v>2</v>
      </c>
      <c r="AB74" s="4">
        <v>2</v>
      </c>
      <c r="AD74" s="4">
        <f>VLOOKUP(Z74,Dados!$S$3:$W$55,4,FALSE)</f>
        <v>6374</v>
      </c>
      <c r="AE74" s="4">
        <f t="shared" si="96"/>
        <v>12</v>
      </c>
      <c r="AF74" s="4">
        <f t="shared" si="97"/>
        <v>19122</v>
      </c>
      <c r="AI74" s="13">
        <f>VLOOKUP(Z74,Dados!$S$3:$V$55,2,FALSE)*VLOOKUP(Z74,Dados!$S$3:$V$55,3,FALSE)*VLOOKUP(Z74,Dados!$S$3:$V$55,4,FALSE)*0.00000785</f>
        <v>106.32628749999999</v>
      </c>
      <c r="AJ74" s="13">
        <f t="shared" si="98"/>
        <v>318.97886249999999</v>
      </c>
      <c r="AK74" s="13">
        <f t="shared" si="99"/>
        <v>6.6724999999999993E-2</v>
      </c>
      <c r="AL74" s="13">
        <f t="shared" si="100"/>
        <v>0.20017499999999999</v>
      </c>
      <c r="AW74" s="15"/>
      <c r="BD74" s="15"/>
      <c r="BE74" s="15"/>
      <c r="BF74" s="15"/>
      <c r="BG74" s="15"/>
      <c r="BH74" s="15"/>
      <c r="BI74" s="15"/>
      <c r="BJ74" s="15"/>
      <c r="BK74" s="15"/>
      <c r="BL74" s="15"/>
      <c r="BM74" s="15"/>
      <c r="BN74" s="15"/>
      <c r="BO74" s="15"/>
      <c r="BP74" s="15"/>
      <c r="BQ74" s="15"/>
      <c r="BR74" s="15"/>
      <c r="BS74" s="15"/>
      <c r="BT74" s="15"/>
      <c r="BU74" s="15"/>
      <c r="BV74" s="15"/>
      <c r="BW74" s="15"/>
      <c r="BX74" s="15"/>
      <c r="BY74" s="15"/>
      <c r="BZ74" s="15"/>
      <c r="CA74" s="16"/>
      <c r="CD74" s="15"/>
      <c r="CE74" s="15"/>
      <c r="CF74" s="15"/>
      <c r="CG74" s="16"/>
    </row>
    <row r="75" spans="6:85">
      <c r="F75" s="4">
        <v>73</v>
      </c>
      <c r="G75" s="4">
        <v>31</v>
      </c>
      <c r="H75" s="4">
        <v>3</v>
      </c>
      <c r="I75" s="4">
        <v>16</v>
      </c>
      <c r="J75" s="4">
        <v>10</v>
      </c>
      <c r="K75" s="4">
        <f t="shared" si="89"/>
        <v>0</v>
      </c>
      <c r="L75" s="4">
        <f t="shared" si="89"/>
        <v>0</v>
      </c>
      <c r="M75" s="4">
        <f t="shared" si="89"/>
        <v>0</v>
      </c>
      <c r="N75" s="4">
        <f t="shared" si="89"/>
        <v>0</v>
      </c>
      <c r="O75" s="4">
        <f t="shared" si="85"/>
        <v>0</v>
      </c>
      <c r="P75" s="4">
        <f t="shared" si="86"/>
        <v>0</v>
      </c>
      <c r="Q75" s="4">
        <f t="shared" si="87"/>
        <v>0</v>
      </c>
      <c r="R75" s="4">
        <f t="shared" si="88"/>
        <v>0</v>
      </c>
      <c r="S75" s="4">
        <f>IF(AND(VLOOKUP(G75,Dados!$D:$L,2,0)=VLOOKUP(I75,Dados!$S:$V,2,0),VLOOKUP(G75,Dados!$D:$L,3,0)=VLOOKUP(I75,Dados!$S:$V,3,0)),0,1)</f>
        <v>0</v>
      </c>
      <c r="T75" s="4">
        <f>IF(AND(VLOOKUP(G75,Dados!$D:$L,3,0)&lt;=VLOOKUP(H75,Dados!$X:$AB,2,0),VLOOKUP(G75,Dados!$D:$L,4,0)&gt;=VLOOKUP(H75,Dados!$X:$AB,3,0),VLOOKUP(G75,Dados!$D:$L,4,0)&lt;=VLOOKUP(H75,Dados!$X:$AB,4,0)),0,1)</f>
        <v>0</v>
      </c>
      <c r="U75" s="4">
        <f>IF(COUNTIFS(F:F,F75,H:H,H75)&lt;=VLOOKUP(H75,Dados!$X:$AB,5,0),0,1)</f>
        <v>0</v>
      </c>
      <c r="W75" s="4">
        <v>268</v>
      </c>
      <c r="X75" s="4">
        <v>4</v>
      </c>
      <c r="Y75" s="4">
        <v>31</v>
      </c>
      <c r="Z75" s="4">
        <v>8</v>
      </c>
      <c r="AA75" s="4">
        <v>3</v>
      </c>
      <c r="AB75" s="4">
        <v>2</v>
      </c>
      <c r="AD75" s="4">
        <f>VLOOKUP(Z75,Dados!$S$3:$W$55,4,FALSE)</f>
        <v>6548</v>
      </c>
      <c r="AE75" s="4">
        <f t="shared" ref="AE75:AE81" si="101">Y75*X75</f>
        <v>124</v>
      </c>
      <c r="AF75" s="4">
        <f t="shared" ref="AF75:AF81" si="102">AD75*X75</f>
        <v>26192</v>
      </c>
      <c r="AI75" s="13">
        <f>VLOOKUP(Z75,Dados!$S$3:$V$55,2,FALSE)*VLOOKUP(Z75,Dados!$S$3:$V$55,3,FALSE)*VLOOKUP(Z75,Dados!$S$3:$V$55,4,FALSE)*0.00000785</f>
        <v>78.644753999999992</v>
      </c>
      <c r="AJ75" s="13">
        <f t="shared" ref="AJ75:AJ81" si="103">AI75*X75</f>
        <v>314.57901599999997</v>
      </c>
      <c r="AK75" s="13">
        <f t="shared" ref="AK75:AK81" si="104">(AI75/AD75)*Y75</f>
        <v>0.37232549999999998</v>
      </c>
      <c r="AL75" s="13">
        <f t="shared" ref="AL75:AL81" si="105">AK75*X75</f>
        <v>1.4893019999999999</v>
      </c>
      <c r="AW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  <c r="CA75" s="16"/>
      <c r="CD75" s="15"/>
      <c r="CE75" s="15"/>
      <c r="CF75" s="15"/>
      <c r="CG75" s="16"/>
    </row>
    <row r="76" spans="6:85">
      <c r="F76" s="4">
        <v>74</v>
      </c>
      <c r="G76" s="4">
        <v>32</v>
      </c>
      <c r="H76" s="4">
        <v>1</v>
      </c>
      <c r="I76" s="4">
        <v>16</v>
      </c>
      <c r="J76" s="4">
        <v>5</v>
      </c>
      <c r="K76" s="4">
        <f t="shared" si="89"/>
        <v>0</v>
      </c>
      <c r="L76" s="4">
        <f t="shared" si="89"/>
        <v>0</v>
      </c>
      <c r="M76" s="4">
        <f t="shared" si="89"/>
        <v>0</v>
      </c>
      <c r="N76" s="4">
        <f t="shared" si="89"/>
        <v>0</v>
      </c>
      <c r="O76" s="4">
        <f t="shared" si="85"/>
        <v>0</v>
      </c>
      <c r="P76" s="4">
        <f t="shared" si="86"/>
        <v>0</v>
      </c>
      <c r="Q76" s="4">
        <f t="shared" si="87"/>
        <v>0</v>
      </c>
      <c r="R76" s="4">
        <f t="shared" si="88"/>
        <v>0</v>
      </c>
      <c r="S76" s="4">
        <f>IF(AND(VLOOKUP(G76,Dados!$D:$L,2,0)=VLOOKUP(I76,Dados!$S:$V,2,0),VLOOKUP(G76,Dados!$D:$L,3,0)=VLOOKUP(I76,Dados!$S:$V,3,0)),0,1)</f>
        <v>0</v>
      </c>
      <c r="T76" s="4">
        <f>IF(AND(VLOOKUP(G76,Dados!$D:$L,3,0)&lt;=VLOOKUP(H76,Dados!$X:$AB,2,0),VLOOKUP(G76,Dados!$D:$L,4,0)&gt;=VLOOKUP(H76,Dados!$X:$AB,3,0),VLOOKUP(G76,Dados!$D:$L,4,0)&lt;=VLOOKUP(H76,Dados!$X:$AB,4,0)),0,1)</f>
        <v>0</v>
      </c>
      <c r="U76" s="4">
        <f>IF(COUNTIFS(F:F,F76,H:H,H76)&lt;=VLOOKUP(H76,Dados!$X:$AB,5,0),0,1)</f>
        <v>0</v>
      </c>
      <c r="W76" s="4">
        <v>271</v>
      </c>
      <c r="X76" s="4">
        <v>9</v>
      </c>
      <c r="Y76" s="4">
        <v>20</v>
      </c>
      <c r="Z76" s="4">
        <v>10</v>
      </c>
      <c r="AA76" s="4">
        <v>1</v>
      </c>
      <c r="AB76" s="4">
        <v>2</v>
      </c>
      <c r="AD76" s="4">
        <f>VLOOKUP(Z76,Dados!$S$3:$W$55,4,FALSE)</f>
        <v>6034</v>
      </c>
      <c r="AE76" s="4">
        <f t="shared" si="101"/>
        <v>180</v>
      </c>
      <c r="AF76" s="4">
        <f t="shared" si="102"/>
        <v>54306</v>
      </c>
      <c r="AI76" s="13">
        <f>VLOOKUP(Z76,Dados!$S$3:$V$55,2,FALSE)*VLOOKUP(Z76,Dados!$S$3:$V$55,3,FALSE)*VLOOKUP(Z76,Dados!$S$3:$V$55,4,FALSE)*0.00000785</f>
        <v>72.471356999999998</v>
      </c>
      <c r="AJ76" s="13">
        <f t="shared" si="103"/>
        <v>652.24221299999999</v>
      </c>
      <c r="AK76" s="13">
        <f t="shared" si="104"/>
        <v>0.24021000000000001</v>
      </c>
      <c r="AL76" s="13">
        <f t="shared" si="105"/>
        <v>2.1618900000000001</v>
      </c>
      <c r="AW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  <c r="BZ76" s="15"/>
      <c r="CA76" s="16"/>
      <c r="CD76" s="15"/>
      <c r="CE76" s="15"/>
      <c r="CF76" s="15"/>
      <c r="CG76" s="16"/>
    </row>
    <row r="77" spans="6:85">
      <c r="F77" s="4">
        <v>75</v>
      </c>
      <c r="G77" s="4">
        <v>32</v>
      </c>
      <c r="H77" s="4">
        <v>2</v>
      </c>
      <c r="I77" s="4">
        <v>16</v>
      </c>
      <c r="J77" s="4">
        <v>5</v>
      </c>
      <c r="K77" s="4">
        <f t="shared" si="89"/>
        <v>0</v>
      </c>
      <c r="L77" s="4">
        <f t="shared" si="89"/>
        <v>0</v>
      </c>
      <c r="M77" s="4">
        <f t="shared" si="89"/>
        <v>0</v>
      </c>
      <c r="N77" s="4">
        <f t="shared" si="89"/>
        <v>0</v>
      </c>
      <c r="O77" s="4">
        <f t="shared" si="85"/>
        <v>0</v>
      </c>
      <c r="P77" s="4">
        <f t="shared" si="86"/>
        <v>0</v>
      </c>
      <c r="Q77" s="4">
        <f t="shared" si="87"/>
        <v>0</v>
      </c>
      <c r="R77" s="4">
        <f t="shared" si="88"/>
        <v>0</v>
      </c>
      <c r="S77" s="4">
        <f>IF(AND(VLOOKUP(G77,Dados!$D:$L,2,0)=VLOOKUP(I77,Dados!$S:$V,2,0),VLOOKUP(G77,Dados!$D:$L,3,0)=VLOOKUP(I77,Dados!$S:$V,3,0)),0,1)</f>
        <v>0</v>
      </c>
      <c r="T77" s="4">
        <f>IF(AND(VLOOKUP(G77,Dados!$D:$L,3,0)&lt;=VLOOKUP(H77,Dados!$X:$AB,2,0),VLOOKUP(G77,Dados!$D:$L,4,0)&gt;=VLOOKUP(H77,Dados!$X:$AB,3,0),VLOOKUP(G77,Dados!$D:$L,4,0)&lt;=VLOOKUP(H77,Dados!$X:$AB,4,0)),0,1)</f>
        <v>0</v>
      </c>
      <c r="U77" s="4">
        <f>IF(COUNTIFS(F:F,F77,H:H,H77)&lt;=VLOOKUP(H77,Dados!$X:$AB,5,0),0,1)</f>
        <v>0</v>
      </c>
      <c r="W77" s="4">
        <v>273</v>
      </c>
      <c r="X77" s="4">
        <v>8</v>
      </c>
      <c r="Y77" s="4">
        <v>33</v>
      </c>
      <c r="Z77" s="4">
        <v>11</v>
      </c>
      <c r="AA77" s="4">
        <v>1</v>
      </c>
      <c r="AB77" s="4">
        <v>2</v>
      </c>
      <c r="AD77" s="4">
        <f>VLOOKUP(Z77,Dados!$S$3:$W$55,4,FALSE)</f>
        <v>5743</v>
      </c>
      <c r="AE77" s="4">
        <f t="shared" si="101"/>
        <v>264</v>
      </c>
      <c r="AF77" s="4">
        <f t="shared" si="102"/>
        <v>45944</v>
      </c>
      <c r="AI77" s="13">
        <f>VLOOKUP(Z77,Dados!$S$3:$V$55,2,FALSE)*VLOOKUP(Z77,Dados!$S$3:$V$55,3,FALSE)*VLOOKUP(Z77,Dados!$S$3:$V$55,4,FALSE)*0.00000785</f>
        <v>68.976301499999991</v>
      </c>
      <c r="AJ77" s="13">
        <f t="shared" si="103"/>
        <v>551.81041199999993</v>
      </c>
      <c r="AK77" s="13">
        <f t="shared" si="104"/>
        <v>0.39634649999999993</v>
      </c>
      <c r="AL77" s="13">
        <f t="shared" si="105"/>
        <v>3.1707719999999995</v>
      </c>
      <c r="AW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/>
      <c r="BZ77" s="15"/>
      <c r="CA77" s="16"/>
      <c r="CD77" s="15"/>
      <c r="CE77" s="15"/>
      <c r="CF77" s="15"/>
      <c r="CG77" s="16"/>
    </row>
    <row r="78" spans="6:85">
      <c r="F78" s="4">
        <v>76</v>
      </c>
      <c r="G78" s="4">
        <v>32</v>
      </c>
      <c r="H78" s="4">
        <v>3</v>
      </c>
      <c r="I78" s="4">
        <v>16</v>
      </c>
      <c r="J78" s="4">
        <v>5</v>
      </c>
      <c r="K78" s="4">
        <f t="shared" si="89"/>
        <v>0</v>
      </c>
      <c r="L78" s="4">
        <f t="shared" si="89"/>
        <v>0</v>
      </c>
      <c r="M78" s="4">
        <f t="shared" si="89"/>
        <v>0</v>
      </c>
      <c r="N78" s="4">
        <f t="shared" si="89"/>
        <v>0</v>
      </c>
      <c r="O78" s="4">
        <f t="shared" si="85"/>
        <v>0</v>
      </c>
      <c r="P78" s="4">
        <f t="shared" si="86"/>
        <v>0</v>
      </c>
      <c r="Q78" s="4">
        <f t="shared" si="87"/>
        <v>0</v>
      </c>
      <c r="R78" s="4">
        <f t="shared" si="88"/>
        <v>0</v>
      </c>
      <c r="S78" s="4">
        <f>IF(AND(VLOOKUP(G78,Dados!$D:$L,2,0)=VLOOKUP(I78,Dados!$S:$V,2,0),VLOOKUP(G78,Dados!$D:$L,3,0)=VLOOKUP(I78,Dados!$S:$V,3,0)),0,1)</f>
        <v>0</v>
      </c>
      <c r="T78" s="4">
        <f>IF(AND(VLOOKUP(G78,Dados!$D:$L,3,0)&lt;=VLOOKUP(H78,Dados!$X:$AB,2,0),VLOOKUP(G78,Dados!$D:$L,4,0)&gt;=VLOOKUP(H78,Dados!$X:$AB,3,0),VLOOKUP(G78,Dados!$D:$L,4,0)&lt;=VLOOKUP(H78,Dados!$X:$AB,4,0)),0,1)</f>
        <v>0</v>
      </c>
      <c r="U78" s="4">
        <f>IF(COUNTIFS(F:F,F78,H:H,H78)&lt;=VLOOKUP(H78,Dados!$X:$AB,5,0),0,1)</f>
        <v>0</v>
      </c>
      <c r="W78" s="4">
        <v>274</v>
      </c>
      <c r="X78" s="4">
        <v>21</v>
      </c>
      <c r="Y78" s="4">
        <v>33</v>
      </c>
      <c r="Z78" s="4">
        <v>11</v>
      </c>
      <c r="AA78" s="4">
        <v>3</v>
      </c>
      <c r="AB78" s="4">
        <v>2</v>
      </c>
      <c r="AD78" s="4">
        <f>VLOOKUP(Z78,Dados!$S$3:$W$55,4,FALSE)</f>
        <v>5743</v>
      </c>
      <c r="AE78" s="4">
        <f t="shared" si="101"/>
        <v>693</v>
      </c>
      <c r="AF78" s="4">
        <f t="shared" si="102"/>
        <v>120603</v>
      </c>
      <c r="AI78" s="13">
        <f>VLOOKUP(Z78,Dados!$S$3:$V$55,2,FALSE)*VLOOKUP(Z78,Dados!$S$3:$V$55,3,FALSE)*VLOOKUP(Z78,Dados!$S$3:$V$55,4,FALSE)*0.00000785</f>
        <v>68.976301499999991</v>
      </c>
      <c r="AJ78" s="13">
        <f t="shared" si="103"/>
        <v>1448.5023314999999</v>
      </c>
      <c r="AK78" s="13">
        <f t="shared" si="104"/>
        <v>0.39634649999999993</v>
      </c>
      <c r="AL78" s="13">
        <f t="shared" si="105"/>
        <v>8.3232764999999986</v>
      </c>
      <c r="AW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  <c r="CA78" s="16"/>
      <c r="CD78" s="15"/>
      <c r="CE78" s="15"/>
      <c r="CF78" s="15"/>
      <c r="CG78" s="16"/>
    </row>
    <row r="79" spans="6:85">
      <c r="F79" s="4">
        <v>77</v>
      </c>
      <c r="G79" s="4">
        <v>33</v>
      </c>
      <c r="H79" s="4">
        <v>1</v>
      </c>
      <c r="I79" s="4">
        <v>16</v>
      </c>
      <c r="J79" s="4">
        <v>7</v>
      </c>
      <c r="K79" s="4">
        <f t="shared" si="89"/>
        <v>0</v>
      </c>
      <c r="L79" s="4">
        <f t="shared" si="89"/>
        <v>0</v>
      </c>
      <c r="M79" s="4">
        <f t="shared" si="89"/>
        <v>0</v>
      </c>
      <c r="N79" s="4">
        <f t="shared" si="89"/>
        <v>0</v>
      </c>
      <c r="O79" s="4">
        <f t="shared" si="85"/>
        <v>0</v>
      </c>
      <c r="P79" s="4">
        <f t="shared" si="86"/>
        <v>0</v>
      </c>
      <c r="Q79" s="4">
        <f t="shared" si="87"/>
        <v>0</v>
      </c>
      <c r="R79" s="4">
        <f t="shared" si="88"/>
        <v>0</v>
      </c>
      <c r="S79" s="4">
        <f>IF(AND(VLOOKUP(G79,Dados!$D:$L,2,0)=VLOOKUP(I79,Dados!$S:$V,2,0),VLOOKUP(G79,Dados!$D:$L,3,0)=VLOOKUP(I79,Dados!$S:$V,3,0)),0,1)</f>
        <v>0</v>
      </c>
      <c r="T79" s="4">
        <f>IF(AND(VLOOKUP(G79,Dados!$D:$L,3,0)&lt;=VLOOKUP(H79,Dados!$X:$AB,2,0),VLOOKUP(G79,Dados!$D:$L,4,0)&gt;=VLOOKUP(H79,Dados!$X:$AB,3,0),VLOOKUP(G79,Dados!$D:$L,4,0)&lt;=VLOOKUP(H79,Dados!$X:$AB,4,0)),0,1)</f>
        <v>0</v>
      </c>
      <c r="U79" s="4">
        <f>IF(COUNTIFS(F:F,F79,H:H,H79)&lt;=VLOOKUP(H79,Dados!$X:$AB,5,0),0,1)</f>
        <v>0</v>
      </c>
      <c r="W79" s="4">
        <v>39</v>
      </c>
      <c r="X79" s="4">
        <v>2</v>
      </c>
      <c r="Y79" s="4">
        <v>110</v>
      </c>
      <c r="Z79" s="4">
        <v>12</v>
      </c>
      <c r="AA79" s="4">
        <v>2</v>
      </c>
      <c r="AB79" s="4">
        <v>2</v>
      </c>
      <c r="AD79" s="4">
        <f>VLOOKUP(Z79,Dados!$S$3:$W$55,4,FALSE)</f>
        <v>6509</v>
      </c>
      <c r="AE79" s="4">
        <f t="shared" si="101"/>
        <v>220</v>
      </c>
      <c r="AF79" s="4">
        <f t="shared" si="102"/>
        <v>13018</v>
      </c>
      <c r="AI79" s="13">
        <f>VLOOKUP(Z79,Dados!$S$3:$V$55,2,FALSE)*VLOOKUP(Z79,Dados!$S$3:$V$55,3,FALSE)*VLOOKUP(Z79,Dados!$S$3:$V$55,4,FALSE)*0.00000785</f>
        <v>17.985668799999999</v>
      </c>
      <c r="AJ79" s="13">
        <f t="shared" si="103"/>
        <v>35.971337599999998</v>
      </c>
      <c r="AK79" s="13">
        <f t="shared" si="104"/>
        <v>0.303952</v>
      </c>
      <c r="AL79" s="13">
        <f t="shared" si="105"/>
        <v>0.607904</v>
      </c>
      <c r="AW79" s="15"/>
      <c r="AX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  <c r="BY79" s="15"/>
      <c r="BZ79" s="15"/>
      <c r="CA79" s="16"/>
      <c r="CD79" s="15"/>
      <c r="CE79" s="15"/>
      <c r="CF79" s="15"/>
      <c r="CG79" s="16"/>
    </row>
    <row r="80" spans="6:85">
      <c r="F80" s="4">
        <v>78</v>
      </c>
      <c r="G80" s="4">
        <v>33</v>
      </c>
      <c r="H80" s="4">
        <v>2</v>
      </c>
      <c r="I80" s="4">
        <v>16</v>
      </c>
      <c r="J80" s="4">
        <v>7</v>
      </c>
      <c r="K80" s="4">
        <f t="shared" si="89"/>
        <v>0</v>
      </c>
      <c r="L80" s="4">
        <f t="shared" si="89"/>
        <v>0</v>
      </c>
      <c r="M80" s="4">
        <f t="shared" si="89"/>
        <v>0</v>
      </c>
      <c r="N80" s="4">
        <f t="shared" si="89"/>
        <v>0</v>
      </c>
      <c r="O80" s="4">
        <f t="shared" si="85"/>
        <v>0</v>
      </c>
      <c r="P80" s="4">
        <f t="shared" si="86"/>
        <v>0</v>
      </c>
      <c r="Q80" s="4">
        <f t="shared" si="87"/>
        <v>0</v>
      </c>
      <c r="R80" s="4">
        <f t="shared" si="88"/>
        <v>0</v>
      </c>
      <c r="S80" s="4">
        <f>IF(AND(VLOOKUP(G80,Dados!$D:$L,2,0)=VLOOKUP(I80,Dados!$S:$V,2,0),VLOOKUP(G80,Dados!$D:$L,3,0)=VLOOKUP(I80,Dados!$S:$V,3,0)),0,1)</f>
        <v>0</v>
      </c>
      <c r="T80" s="4">
        <f>IF(AND(VLOOKUP(G80,Dados!$D:$L,3,0)&lt;=VLOOKUP(H80,Dados!$X:$AB,2,0),VLOOKUP(G80,Dados!$D:$L,4,0)&gt;=VLOOKUP(H80,Dados!$X:$AB,3,0),VLOOKUP(G80,Dados!$D:$L,4,0)&lt;=VLOOKUP(H80,Dados!$X:$AB,4,0)),0,1)</f>
        <v>0</v>
      </c>
      <c r="U80" s="4">
        <f>IF(COUNTIFS(F:F,F80,H:H,H80)&lt;=VLOOKUP(H80,Dados!$X:$AB,5,0),0,1)</f>
        <v>0</v>
      </c>
      <c r="W80" s="4">
        <v>676</v>
      </c>
      <c r="X80" s="4">
        <v>4</v>
      </c>
      <c r="Y80" s="4">
        <v>52</v>
      </c>
      <c r="Z80" s="4">
        <v>13</v>
      </c>
      <c r="AA80" s="4">
        <v>2</v>
      </c>
      <c r="AB80" s="4">
        <v>2</v>
      </c>
      <c r="AD80" s="4">
        <f>VLOOKUP(Z80,Dados!$S$3:$W$55,4,FALSE)</f>
        <v>6370</v>
      </c>
      <c r="AE80" s="4">
        <f t="shared" si="101"/>
        <v>208</v>
      </c>
      <c r="AF80" s="4">
        <f t="shared" si="102"/>
        <v>25480</v>
      </c>
      <c r="AI80" s="13">
        <f>VLOOKUP(Z80,Dados!$S$3:$V$55,2,FALSE)*VLOOKUP(Z80,Dados!$S$3:$V$55,3,FALSE)*VLOOKUP(Z80,Dados!$S$3:$V$55,4,FALSE)*0.00000785</f>
        <v>54.604913999999994</v>
      </c>
      <c r="AJ80" s="13">
        <f t="shared" si="103"/>
        <v>218.41965599999997</v>
      </c>
      <c r="AK80" s="13">
        <f t="shared" si="104"/>
        <v>0.44575439999999994</v>
      </c>
      <c r="AL80" s="13">
        <f t="shared" si="105"/>
        <v>1.7830175999999998</v>
      </c>
      <c r="AW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6"/>
      <c r="CD80" s="15"/>
      <c r="CE80" s="15"/>
      <c r="CF80" s="15"/>
      <c r="CG80" s="16"/>
    </row>
    <row r="81" spans="6:85">
      <c r="F81" s="4">
        <v>79</v>
      </c>
      <c r="G81" s="4">
        <v>33</v>
      </c>
      <c r="H81" s="4">
        <v>3</v>
      </c>
      <c r="I81" s="4">
        <v>16</v>
      </c>
      <c r="J81" s="4">
        <v>7</v>
      </c>
      <c r="K81" s="4">
        <f t="shared" si="89"/>
        <v>0</v>
      </c>
      <c r="L81" s="4">
        <f t="shared" si="89"/>
        <v>0</v>
      </c>
      <c r="M81" s="4">
        <f t="shared" si="89"/>
        <v>0</v>
      </c>
      <c r="N81" s="4">
        <f t="shared" si="89"/>
        <v>0</v>
      </c>
      <c r="O81" s="4">
        <f t="shared" si="85"/>
        <v>0</v>
      </c>
      <c r="P81" s="4">
        <f t="shared" si="86"/>
        <v>0</v>
      </c>
      <c r="Q81" s="4">
        <f t="shared" si="87"/>
        <v>0</v>
      </c>
      <c r="R81" s="4">
        <f t="shared" si="88"/>
        <v>0</v>
      </c>
      <c r="S81" s="4">
        <f>IF(AND(VLOOKUP(G81,Dados!$D:$L,2,0)=VLOOKUP(I81,Dados!$S:$V,2,0),VLOOKUP(G81,Dados!$D:$L,3,0)=VLOOKUP(I81,Dados!$S:$V,3,0)),0,1)</f>
        <v>0</v>
      </c>
      <c r="T81" s="4">
        <f>IF(AND(VLOOKUP(G81,Dados!$D:$L,3,0)&lt;=VLOOKUP(H81,Dados!$X:$AB,2,0),VLOOKUP(G81,Dados!$D:$L,4,0)&gt;=VLOOKUP(H81,Dados!$X:$AB,3,0),VLOOKUP(G81,Dados!$D:$L,4,0)&lt;=VLOOKUP(H81,Dados!$X:$AB,4,0)),0,1)</f>
        <v>0</v>
      </c>
      <c r="U81" s="4">
        <f>IF(COUNTIFS(F:F,F81,H:H,H81)&lt;=VLOOKUP(H81,Dados!$X:$AB,5,0),0,1)</f>
        <v>0</v>
      </c>
      <c r="W81" s="4">
        <v>380</v>
      </c>
      <c r="X81" s="4">
        <v>1</v>
      </c>
      <c r="Y81" s="4">
        <v>5</v>
      </c>
      <c r="Z81" s="4">
        <v>14</v>
      </c>
      <c r="AA81" s="4">
        <v>2</v>
      </c>
      <c r="AB81" s="4">
        <v>2</v>
      </c>
      <c r="AD81" s="4">
        <f>VLOOKUP(Z81,Dados!$S$3:$W$55,4,FALSE)</f>
        <v>6039</v>
      </c>
      <c r="AE81" s="4">
        <f t="shared" si="101"/>
        <v>5</v>
      </c>
      <c r="AF81" s="4">
        <f t="shared" si="102"/>
        <v>6039</v>
      </c>
      <c r="AI81" s="13">
        <f>VLOOKUP(Z81,Dados!$S$3:$V$55,2,FALSE)*VLOOKUP(Z81,Dados!$S$3:$V$55,3,FALSE)*VLOOKUP(Z81,Dados!$S$3:$V$55,4,FALSE)*0.00000785</f>
        <v>51.767515799999998</v>
      </c>
      <c r="AJ81" s="13">
        <f t="shared" si="103"/>
        <v>51.767515799999998</v>
      </c>
      <c r="AK81" s="13">
        <f t="shared" si="104"/>
        <v>4.2861000000000003E-2</v>
      </c>
      <c r="AL81" s="13">
        <f t="shared" si="105"/>
        <v>4.2861000000000003E-2</v>
      </c>
      <c r="AW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6"/>
      <c r="CD81" s="15"/>
      <c r="CE81" s="15"/>
      <c r="CF81" s="15"/>
      <c r="CG81" s="16"/>
    </row>
    <row r="82" spans="6:85">
      <c r="F82" s="4">
        <v>80</v>
      </c>
      <c r="G82" s="4">
        <v>34</v>
      </c>
      <c r="H82" s="4">
        <v>1</v>
      </c>
      <c r="I82" s="4">
        <v>16</v>
      </c>
      <c r="J82" s="4">
        <v>6</v>
      </c>
      <c r="K82" s="4">
        <f t="shared" si="89"/>
        <v>0</v>
      </c>
      <c r="L82" s="4">
        <f t="shared" si="89"/>
        <v>0</v>
      </c>
      <c r="M82" s="4">
        <f t="shared" si="89"/>
        <v>0</v>
      </c>
      <c r="N82" s="4">
        <f t="shared" si="89"/>
        <v>0</v>
      </c>
      <c r="O82" s="4">
        <f t="shared" si="85"/>
        <v>0</v>
      </c>
      <c r="P82" s="4">
        <f t="shared" si="86"/>
        <v>0</v>
      </c>
      <c r="Q82" s="4">
        <f t="shared" si="87"/>
        <v>0</v>
      </c>
      <c r="R82" s="4">
        <f t="shared" si="88"/>
        <v>0</v>
      </c>
      <c r="S82" s="4">
        <f>IF(AND(VLOOKUP(G82,Dados!$D:$L,2,0)=VLOOKUP(I82,Dados!$S:$V,2,0),VLOOKUP(G82,Dados!$D:$L,3,0)=VLOOKUP(I82,Dados!$S:$V,3,0)),0,1)</f>
        <v>0</v>
      </c>
      <c r="T82" s="4">
        <f>IF(AND(VLOOKUP(G82,Dados!$D:$L,3,0)&lt;=VLOOKUP(H82,Dados!$X:$AB,2,0),VLOOKUP(G82,Dados!$D:$L,4,0)&gt;=VLOOKUP(H82,Dados!$X:$AB,3,0),VLOOKUP(G82,Dados!$D:$L,4,0)&lt;=VLOOKUP(H82,Dados!$X:$AB,4,0)),0,1)</f>
        <v>0</v>
      </c>
      <c r="U82" s="4">
        <f>IF(COUNTIFS(F:F,F82,H:H,H82)&lt;=VLOOKUP(H82,Dados!$X:$AB,5,0),0,1)</f>
        <v>0</v>
      </c>
      <c r="W82" s="4">
        <v>56</v>
      </c>
      <c r="X82" s="4">
        <v>1</v>
      </c>
      <c r="Y82" s="4">
        <v>370</v>
      </c>
      <c r="Z82" s="4">
        <v>15</v>
      </c>
      <c r="AA82" s="4">
        <v>1</v>
      </c>
      <c r="AB82" s="4">
        <v>2</v>
      </c>
      <c r="AD82" s="4">
        <f>VLOOKUP(Z82,Dados!$S$3:$W$55,4,FALSE)</f>
        <v>5248</v>
      </c>
      <c r="AE82" s="4">
        <f t="shared" ref="AE82:AE90" si="106">Y82*X82</f>
        <v>370</v>
      </c>
      <c r="AF82" s="4">
        <f t="shared" ref="AF82:AF90" si="107">AD82*X82</f>
        <v>5248</v>
      </c>
      <c r="AI82" s="13">
        <f>VLOOKUP(Z82,Dados!$S$3:$V$55,2,FALSE)*VLOOKUP(Z82,Dados!$S$3:$V$55,3,FALSE)*VLOOKUP(Z82,Dados!$S$3:$V$55,4,FALSE)*0.00000785</f>
        <v>51.495999999999995</v>
      </c>
      <c r="AJ82" s="13">
        <f t="shared" ref="AJ82:AJ90" si="108">AI82*X82</f>
        <v>51.495999999999995</v>
      </c>
      <c r="AK82" s="13">
        <f t="shared" ref="AK82:AK90" si="109">(AI82/AD82)*Y82</f>
        <v>3.6306249999999993</v>
      </c>
      <c r="AL82" s="13">
        <f t="shared" ref="AL82:AL90" si="110">AK82*X82</f>
        <v>3.6306249999999993</v>
      </c>
      <c r="AW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6"/>
      <c r="CD82" s="15"/>
      <c r="CE82" s="15"/>
      <c r="CF82" s="15"/>
      <c r="CG82" s="16"/>
    </row>
    <row r="83" spans="6:85">
      <c r="F83" s="4">
        <v>81</v>
      </c>
      <c r="G83" s="4">
        <v>34</v>
      </c>
      <c r="H83" s="4">
        <v>2</v>
      </c>
      <c r="I83" s="4">
        <v>16</v>
      </c>
      <c r="J83" s="4">
        <v>6</v>
      </c>
      <c r="K83" s="4">
        <f t="shared" ref="K83:N102" si="111">SUMIFS($X:$X,$W:$W,$F83,$Z:$Z,$I83,$AA:$AA,$H83,$AB:$AB,K$2)</f>
        <v>0</v>
      </c>
      <c r="L83" s="4">
        <f t="shared" si="111"/>
        <v>0</v>
      </c>
      <c r="M83" s="4">
        <f t="shared" si="111"/>
        <v>0</v>
      </c>
      <c r="N83" s="4">
        <f t="shared" si="111"/>
        <v>0</v>
      </c>
      <c r="O83" s="4">
        <f t="shared" si="85"/>
        <v>0</v>
      </c>
      <c r="P83" s="4">
        <f t="shared" si="86"/>
        <v>0</v>
      </c>
      <c r="Q83" s="4">
        <f t="shared" si="87"/>
        <v>0</v>
      </c>
      <c r="R83" s="4">
        <f t="shared" si="88"/>
        <v>0</v>
      </c>
      <c r="S83" s="4">
        <f>IF(AND(VLOOKUP(G83,Dados!$D:$L,2,0)=VLOOKUP(I83,Dados!$S:$V,2,0),VLOOKUP(G83,Dados!$D:$L,3,0)=VLOOKUP(I83,Dados!$S:$V,3,0)),0,1)</f>
        <v>0</v>
      </c>
      <c r="T83" s="4">
        <f>IF(AND(VLOOKUP(G83,Dados!$D:$L,3,0)&lt;=VLOOKUP(H83,Dados!$X:$AB,2,0),VLOOKUP(G83,Dados!$D:$L,4,0)&gt;=VLOOKUP(H83,Dados!$X:$AB,3,0),VLOOKUP(G83,Dados!$D:$L,4,0)&lt;=VLOOKUP(H83,Dados!$X:$AB,4,0)),0,1)</f>
        <v>0</v>
      </c>
      <c r="U83" s="4">
        <f>IF(COUNTIFS(F:F,F83,H:H,H83)&lt;=VLOOKUP(H83,Dados!$X:$AB,5,0),0,1)</f>
        <v>0</v>
      </c>
      <c r="W83" s="4">
        <v>281</v>
      </c>
      <c r="X83" s="4">
        <v>22</v>
      </c>
      <c r="Y83" s="4">
        <v>136</v>
      </c>
      <c r="Z83" s="4">
        <v>15</v>
      </c>
      <c r="AA83" s="4">
        <v>1</v>
      </c>
      <c r="AB83" s="4">
        <v>2</v>
      </c>
      <c r="AD83" s="4">
        <f>VLOOKUP(Z83,Dados!$S$3:$W$55,4,FALSE)</f>
        <v>5248</v>
      </c>
      <c r="AE83" s="4">
        <f t="shared" si="106"/>
        <v>2992</v>
      </c>
      <c r="AF83" s="4">
        <f t="shared" si="107"/>
        <v>115456</v>
      </c>
      <c r="AI83" s="13">
        <f>VLOOKUP(Z83,Dados!$S$3:$V$55,2,FALSE)*VLOOKUP(Z83,Dados!$S$3:$V$55,3,FALSE)*VLOOKUP(Z83,Dados!$S$3:$V$55,4,FALSE)*0.00000785</f>
        <v>51.495999999999995</v>
      </c>
      <c r="AJ83" s="13">
        <f t="shared" si="108"/>
        <v>1132.9119999999998</v>
      </c>
      <c r="AK83" s="13">
        <f t="shared" si="109"/>
        <v>1.3344999999999998</v>
      </c>
      <c r="AL83" s="13">
        <f t="shared" si="110"/>
        <v>29.358999999999995</v>
      </c>
      <c r="AW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6"/>
      <c r="CD83" s="15"/>
      <c r="CE83" s="15"/>
      <c r="CF83" s="15"/>
      <c r="CG83" s="16"/>
    </row>
    <row r="84" spans="6:85">
      <c r="F84" s="4">
        <v>82</v>
      </c>
      <c r="G84" s="4">
        <v>34</v>
      </c>
      <c r="H84" s="4">
        <v>3</v>
      </c>
      <c r="I84" s="4">
        <v>16</v>
      </c>
      <c r="J84" s="4">
        <v>6</v>
      </c>
      <c r="K84" s="4">
        <f t="shared" si="111"/>
        <v>0</v>
      </c>
      <c r="L84" s="4">
        <f t="shared" si="111"/>
        <v>0</v>
      </c>
      <c r="M84" s="4">
        <f t="shared" si="111"/>
        <v>0</v>
      </c>
      <c r="N84" s="4">
        <f t="shared" si="111"/>
        <v>0</v>
      </c>
      <c r="O84" s="4">
        <f t="shared" si="85"/>
        <v>0</v>
      </c>
      <c r="P84" s="4">
        <f t="shared" si="86"/>
        <v>0</v>
      </c>
      <c r="Q84" s="4">
        <f t="shared" si="87"/>
        <v>0</v>
      </c>
      <c r="R84" s="4">
        <f t="shared" si="88"/>
        <v>0</v>
      </c>
      <c r="S84" s="4">
        <f>IF(AND(VLOOKUP(G84,Dados!$D:$L,2,0)=VLOOKUP(I84,Dados!$S:$V,2,0),VLOOKUP(G84,Dados!$D:$L,3,0)=VLOOKUP(I84,Dados!$S:$V,3,0)),0,1)</f>
        <v>0</v>
      </c>
      <c r="T84" s="4">
        <f>IF(AND(VLOOKUP(G84,Dados!$D:$L,3,0)&lt;=VLOOKUP(H84,Dados!$X:$AB,2,0),VLOOKUP(G84,Dados!$D:$L,4,0)&gt;=VLOOKUP(H84,Dados!$X:$AB,3,0),VLOOKUP(G84,Dados!$D:$L,4,0)&lt;=VLOOKUP(H84,Dados!$X:$AB,4,0)),0,1)</f>
        <v>0</v>
      </c>
      <c r="U84" s="4">
        <f>IF(COUNTIFS(F:F,F84,H:H,H84)&lt;=VLOOKUP(H84,Dados!$X:$AB,5,0),0,1)</f>
        <v>0</v>
      </c>
      <c r="W84" s="4">
        <v>819</v>
      </c>
      <c r="X84" s="4">
        <v>26</v>
      </c>
      <c r="Y84" s="4">
        <v>33</v>
      </c>
      <c r="Z84" s="4">
        <v>15</v>
      </c>
      <c r="AA84" s="4">
        <v>1</v>
      </c>
      <c r="AB84" s="4">
        <v>2</v>
      </c>
      <c r="AD84" s="4">
        <f>VLOOKUP(Z84,Dados!$S$3:$W$55,4,FALSE)</f>
        <v>5248</v>
      </c>
      <c r="AE84" s="4">
        <f t="shared" si="106"/>
        <v>858</v>
      </c>
      <c r="AF84" s="4">
        <f t="shared" si="107"/>
        <v>136448</v>
      </c>
      <c r="AI84" s="13">
        <f>VLOOKUP(Z84,Dados!$S$3:$V$55,2,FALSE)*VLOOKUP(Z84,Dados!$S$3:$V$55,3,FALSE)*VLOOKUP(Z84,Dados!$S$3:$V$55,4,FALSE)*0.00000785</f>
        <v>51.495999999999995</v>
      </c>
      <c r="AJ84" s="13">
        <f t="shared" si="108"/>
        <v>1338.896</v>
      </c>
      <c r="AK84" s="13">
        <f t="shared" si="109"/>
        <v>0.32381249999999995</v>
      </c>
      <c r="AL84" s="13">
        <f t="shared" si="110"/>
        <v>8.4191249999999993</v>
      </c>
      <c r="AW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6"/>
      <c r="CD84" s="15"/>
      <c r="CE84" s="15"/>
      <c r="CF84" s="15"/>
      <c r="CG84" s="16"/>
    </row>
    <row r="85" spans="6:85">
      <c r="F85" s="4">
        <v>83</v>
      </c>
      <c r="G85" s="4">
        <v>35</v>
      </c>
      <c r="H85" s="4">
        <v>1</v>
      </c>
      <c r="I85" s="4">
        <v>16</v>
      </c>
      <c r="J85" s="4">
        <v>6</v>
      </c>
      <c r="K85" s="4">
        <f t="shared" si="111"/>
        <v>0</v>
      </c>
      <c r="L85" s="4">
        <f t="shared" si="111"/>
        <v>0</v>
      </c>
      <c r="M85" s="4">
        <f t="shared" si="111"/>
        <v>0</v>
      </c>
      <c r="N85" s="4">
        <f t="shared" si="111"/>
        <v>0</v>
      </c>
      <c r="O85" s="4">
        <f t="shared" si="85"/>
        <v>0</v>
      </c>
      <c r="P85" s="4">
        <f t="shared" si="86"/>
        <v>0</v>
      </c>
      <c r="Q85" s="4">
        <f t="shared" si="87"/>
        <v>0</v>
      </c>
      <c r="R85" s="4">
        <f t="shared" si="88"/>
        <v>0</v>
      </c>
      <c r="S85" s="4">
        <f>IF(AND(VLOOKUP(G85,Dados!$D:$L,2,0)=VLOOKUP(I85,Dados!$S:$V,2,0),VLOOKUP(G85,Dados!$D:$L,3,0)=VLOOKUP(I85,Dados!$S:$V,3,0)),0,1)</f>
        <v>0</v>
      </c>
      <c r="T85" s="4">
        <f>IF(AND(VLOOKUP(G85,Dados!$D:$L,3,0)&lt;=VLOOKUP(H85,Dados!$X:$AB,2,0),VLOOKUP(G85,Dados!$D:$L,4,0)&gt;=VLOOKUP(H85,Dados!$X:$AB,3,0),VLOOKUP(G85,Dados!$D:$L,4,0)&lt;=VLOOKUP(H85,Dados!$X:$AB,4,0)),0,1)</f>
        <v>0</v>
      </c>
      <c r="U85" s="4">
        <f>IF(COUNTIFS(F:F,F85,H:H,H85)&lt;=VLOOKUP(H85,Dados!$X:$AB,5,0),0,1)</f>
        <v>0</v>
      </c>
      <c r="W85" s="4">
        <v>679</v>
      </c>
      <c r="X85" s="4">
        <v>20</v>
      </c>
      <c r="Y85" s="4">
        <v>65</v>
      </c>
      <c r="Z85" s="4">
        <v>15</v>
      </c>
      <c r="AA85" s="4">
        <v>3</v>
      </c>
      <c r="AB85" s="4">
        <v>2</v>
      </c>
      <c r="AD85" s="4">
        <f>VLOOKUP(Z85,Dados!$S$3:$W$55,4,FALSE)</f>
        <v>5248</v>
      </c>
      <c r="AE85" s="4">
        <f t="shared" si="106"/>
        <v>1300</v>
      </c>
      <c r="AF85" s="4">
        <f t="shared" si="107"/>
        <v>104960</v>
      </c>
      <c r="AI85" s="13">
        <f>VLOOKUP(Z85,Dados!$S$3:$V$55,2,FALSE)*VLOOKUP(Z85,Dados!$S$3:$V$55,3,FALSE)*VLOOKUP(Z85,Dados!$S$3:$V$55,4,FALSE)*0.00000785</f>
        <v>51.495999999999995</v>
      </c>
      <c r="AJ85" s="13">
        <f t="shared" si="108"/>
        <v>1029.9199999999998</v>
      </c>
      <c r="AK85" s="13">
        <f t="shared" si="109"/>
        <v>0.63781249999999989</v>
      </c>
      <c r="AL85" s="13">
        <f t="shared" si="110"/>
        <v>12.756249999999998</v>
      </c>
      <c r="AW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6"/>
      <c r="CD85" s="15"/>
      <c r="CE85" s="15"/>
      <c r="CF85" s="15"/>
      <c r="CG85" s="16"/>
    </row>
    <row r="86" spans="6:85">
      <c r="F86" s="4">
        <v>84</v>
      </c>
      <c r="G86" s="4">
        <v>35</v>
      </c>
      <c r="H86" s="4">
        <v>2</v>
      </c>
      <c r="I86" s="4">
        <v>16</v>
      </c>
      <c r="J86" s="4">
        <v>6</v>
      </c>
      <c r="K86" s="4">
        <f t="shared" si="111"/>
        <v>0</v>
      </c>
      <c r="L86" s="4">
        <f t="shared" si="111"/>
        <v>0</v>
      </c>
      <c r="M86" s="4">
        <f t="shared" si="111"/>
        <v>0</v>
      </c>
      <c r="N86" s="4">
        <f t="shared" si="111"/>
        <v>0</v>
      </c>
      <c r="O86" s="4">
        <f t="shared" si="85"/>
        <v>0</v>
      </c>
      <c r="P86" s="4">
        <f t="shared" si="86"/>
        <v>0</v>
      </c>
      <c r="Q86" s="4">
        <f t="shared" si="87"/>
        <v>0</v>
      </c>
      <c r="R86" s="4">
        <f t="shared" si="88"/>
        <v>0</v>
      </c>
      <c r="S86" s="4">
        <f>IF(AND(VLOOKUP(G86,Dados!$D:$L,2,0)=VLOOKUP(I86,Dados!$S:$V,2,0),VLOOKUP(G86,Dados!$D:$L,3,0)=VLOOKUP(I86,Dados!$S:$V,3,0)),0,1)</f>
        <v>0</v>
      </c>
      <c r="T86" s="4">
        <f>IF(AND(VLOOKUP(G86,Dados!$D:$L,3,0)&lt;=VLOOKUP(H86,Dados!$X:$AB,2,0),VLOOKUP(G86,Dados!$D:$L,4,0)&gt;=VLOOKUP(H86,Dados!$X:$AB,3,0),VLOOKUP(G86,Dados!$D:$L,4,0)&lt;=VLOOKUP(H86,Dados!$X:$AB,4,0)),0,1)</f>
        <v>0</v>
      </c>
      <c r="U86" s="4">
        <f>IF(COUNTIFS(F:F,F86,H:H,H86)&lt;=VLOOKUP(H86,Dados!$X:$AB,5,0),0,1)</f>
        <v>0</v>
      </c>
      <c r="W86" s="4">
        <v>909</v>
      </c>
      <c r="X86" s="4">
        <v>1</v>
      </c>
      <c r="Y86" s="4">
        <v>26</v>
      </c>
      <c r="Z86" s="4">
        <v>15</v>
      </c>
      <c r="AA86" s="4">
        <v>3</v>
      </c>
      <c r="AB86" s="4">
        <v>2</v>
      </c>
      <c r="AD86" s="4">
        <f>VLOOKUP(Z86,Dados!$S$3:$W$55,4,FALSE)</f>
        <v>5248</v>
      </c>
      <c r="AE86" s="4">
        <f t="shared" si="106"/>
        <v>26</v>
      </c>
      <c r="AF86" s="4">
        <f t="shared" si="107"/>
        <v>5248</v>
      </c>
      <c r="AI86" s="13">
        <f>VLOOKUP(Z86,Dados!$S$3:$V$55,2,FALSE)*VLOOKUP(Z86,Dados!$S$3:$V$55,3,FALSE)*VLOOKUP(Z86,Dados!$S$3:$V$55,4,FALSE)*0.00000785</f>
        <v>51.495999999999995</v>
      </c>
      <c r="AJ86" s="13">
        <f t="shared" si="108"/>
        <v>51.495999999999995</v>
      </c>
      <c r="AK86" s="13">
        <f t="shared" si="109"/>
        <v>0.25512499999999994</v>
      </c>
      <c r="AL86" s="13">
        <f t="shared" si="110"/>
        <v>0.25512499999999994</v>
      </c>
      <c r="AW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  <c r="BZ86" s="15"/>
      <c r="CA86" s="16"/>
      <c r="CD86" s="15"/>
      <c r="CE86" s="15"/>
      <c r="CF86" s="15"/>
      <c r="CG86" s="16"/>
    </row>
    <row r="87" spans="6:85">
      <c r="F87" s="4">
        <v>85</v>
      </c>
      <c r="G87" s="4">
        <v>35</v>
      </c>
      <c r="H87" s="4">
        <v>3</v>
      </c>
      <c r="I87" s="4">
        <v>16</v>
      </c>
      <c r="J87" s="4">
        <v>6</v>
      </c>
      <c r="K87" s="4">
        <f t="shared" si="111"/>
        <v>0</v>
      </c>
      <c r="L87" s="4">
        <f t="shared" si="111"/>
        <v>0</v>
      </c>
      <c r="M87" s="4">
        <f t="shared" si="111"/>
        <v>0</v>
      </c>
      <c r="N87" s="4">
        <f t="shared" si="111"/>
        <v>0</v>
      </c>
      <c r="O87" s="4">
        <f t="shared" ref="O87:O99" si="112">$J87*K87</f>
        <v>0</v>
      </c>
      <c r="P87" s="4">
        <f t="shared" si="86"/>
        <v>0</v>
      </c>
      <c r="Q87" s="4">
        <f t="shared" si="87"/>
        <v>0</v>
      </c>
      <c r="R87" s="4">
        <f t="shared" si="88"/>
        <v>0</v>
      </c>
      <c r="S87" s="4">
        <f>IF(AND(VLOOKUP(G87,Dados!$D:$L,2,0)=VLOOKUP(I87,Dados!$S:$V,2,0),VLOOKUP(G87,Dados!$D:$L,3,0)=VLOOKUP(I87,Dados!$S:$V,3,0)),0,1)</f>
        <v>0</v>
      </c>
      <c r="T87" s="4">
        <f>IF(AND(VLOOKUP(G87,Dados!$D:$L,3,0)&lt;=VLOOKUP(H87,Dados!$X:$AB,2,0),VLOOKUP(G87,Dados!$D:$L,4,0)&gt;=VLOOKUP(H87,Dados!$X:$AB,3,0),VLOOKUP(G87,Dados!$D:$L,4,0)&lt;=VLOOKUP(H87,Dados!$X:$AB,4,0)),0,1)</f>
        <v>0</v>
      </c>
      <c r="U87" s="4">
        <f>IF(COUNTIFS(F:F,F87,H:H,H87)&lt;=VLOOKUP(H87,Dados!$X:$AB,5,0),0,1)</f>
        <v>0</v>
      </c>
      <c r="W87" s="4">
        <v>680</v>
      </c>
      <c r="X87" s="4">
        <v>2</v>
      </c>
      <c r="Y87" s="4">
        <v>48</v>
      </c>
      <c r="Z87" s="4">
        <v>16</v>
      </c>
      <c r="AA87" s="4">
        <v>1</v>
      </c>
      <c r="AB87" s="4">
        <v>2</v>
      </c>
      <c r="AD87" s="4">
        <f>VLOOKUP(Z87,Dados!$S$3:$W$55,4,FALSE)</f>
        <v>5273</v>
      </c>
      <c r="AE87" s="4">
        <f t="shared" si="106"/>
        <v>96</v>
      </c>
      <c r="AF87" s="4">
        <f t="shared" si="107"/>
        <v>10546</v>
      </c>
      <c r="AI87" s="13">
        <f>VLOOKUP(Z87,Dados!$S$3:$V$55,2,FALSE)*VLOOKUP(Z87,Dados!$S$3:$V$55,3,FALSE)*VLOOKUP(Z87,Dados!$S$3:$V$55,4,FALSE)*0.00000785</f>
        <v>22.600605299999998</v>
      </c>
      <c r="AJ87" s="13">
        <f t="shared" si="108"/>
        <v>45.201210599999996</v>
      </c>
      <c r="AK87" s="13">
        <f t="shared" si="109"/>
        <v>0.20573279999999997</v>
      </c>
      <c r="AL87" s="13">
        <f t="shared" si="110"/>
        <v>0.41146559999999993</v>
      </c>
      <c r="AW87" s="15"/>
      <c r="AX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  <c r="BZ87" s="15"/>
      <c r="CA87" s="16"/>
      <c r="CD87" s="15"/>
      <c r="CE87" s="15"/>
      <c r="CF87" s="15"/>
      <c r="CG87" s="16"/>
    </row>
    <row r="88" spans="6:85">
      <c r="F88" s="4">
        <v>86</v>
      </c>
      <c r="G88" s="4">
        <v>36</v>
      </c>
      <c r="H88" s="4">
        <v>1</v>
      </c>
      <c r="I88" s="4">
        <v>16</v>
      </c>
      <c r="J88" s="4">
        <v>8</v>
      </c>
      <c r="K88" s="4">
        <f t="shared" si="111"/>
        <v>0</v>
      </c>
      <c r="L88" s="4">
        <f t="shared" si="111"/>
        <v>0</v>
      </c>
      <c r="M88" s="4">
        <f t="shared" si="111"/>
        <v>0</v>
      </c>
      <c r="N88" s="4">
        <f t="shared" si="111"/>
        <v>0</v>
      </c>
      <c r="O88" s="4">
        <f t="shared" si="112"/>
        <v>0</v>
      </c>
      <c r="P88" s="4">
        <f t="shared" si="86"/>
        <v>0</v>
      </c>
      <c r="Q88" s="4">
        <f t="shared" si="87"/>
        <v>0</v>
      </c>
      <c r="R88" s="4">
        <f t="shared" si="88"/>
        <v>0</v>
      </c>
      <c r="S88" s="4">
        <f>IF(AND(VLOOKUP(G88,Dados!$D:$L,2,0)=VLOOKUP(I88,Dados!$S:$V,2,0),VLOOKUP(G88,Dados!$D:$L,3,0)=VLOOKUP(I88,Dados!$S:$V,3,0)),0,1)</f>
        <v>0</v>
      </c>
      <c r="T88" s="4">
        <f>IF(AND(VLOOKUP(G88,Dados!$D:$L,3,0)&lt;=VLOOKUP(H88,Dados!$X:$AB,2,0),VLOOKUP(G88,Dados!$D:$L,4,0)&gt;=VLOOKUP(H88,Dados!$X:$AB,3,0),VLOOKUP(G88,Dados!$D:$L,4,0)&lt;=VLOOKUP(H88,Dados!$X:$AB,4,0)),0,1)</f>
        <v>0</v>
      </c>
      <c r="U88" s="4">
        <f>IF(COUNTIFS(F:F,F88,H:H,H88)&lt;=VLOOKUP(H88,Dados!$X:$AB,5,0),0,1)</f>
        <v>0</v>
      </c>
      <c r="W88" s="4">
        <v>821</v>
      </c>
      <c r="X88" s="4">
        <v>1</v>
      </c>
      <c r="Y88" s="4">
        <v>69</v>
      </c>
      <c r="Z88" s="4">
        <v>16</v>
      </c>
      <c r="AA88" s="4">
        <v>1</v>
      </c>
      <c r="AB88" s="4">
        <v>2</v>
      </c>
      <c r="AD88" s="4">
        <f>VLOOKUP(Z88,Dados!$S$3:$W$55,4,FALSE)</f>
        <v>5273</v>
      </c>
      <c r="AE88" s="4">
        <f t="shared" si="106"/>
        <v>69</v>
      </c>
      <c r="AF88" s="4">
        <f t="shared" si="107"/>
        <v>5273</v>
      </c>
      <c r="AI88" s="13">
        <f>VLOOKUP(Z88,Dados!$S$3:$V$55,2,FALSE)*VLOOKUP(Z88,Dados!$S$3:$V$55,3,FALSE)*VLOOKUP(Z88,Dados!$S$3:$V$55,4,FALSE)*0.00000785</f>
        <v>22.600605299999998</v>
      </c>
      <c r="AJ88" s="13">
        <f t="shared" si="108"/>
        <v>22.600605299999998</v>
      </c>
      <c r="AK88" s="13">
        <f t="shared" si="109"/>
        <v>0.29574089999999997</v>
      </c>
      <c r="AL88" s="13">
        <f t="shared" si="110"/>
        <v>0.29574089999999997</v>
      </c>
      <c r="AW88" s="15"/>
      <c r="AX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  <c r="CA88" s="16"/>
      <c r="CD88" s="15"/>
      <c r="CE88" s="15"/>
      <c r="CF88" s="15"/>
      <c r="CG88" s="16"/>
    </row>
    <row r="89" spans="6:85">
      <c r="F89" s="4">
        <v>87</v>
      </c>
      <c r="G89" s="4">
        <v>36</v>
      </c>
      <c r="H89" s="4">
        <v>2</v>
      </c>
      <c r="I89" s="4">
        <v>16</v>
      </c>
      <c r="J89" s="4">
        <v>8</v>
      </c>
      <c r="K89" s="4">
        <f t="shared" si="111"/>
        <v>0</v>
      </c>
      <c r="L89" s="4">
        <f t="shared" si="111"/>
        <v>0</v>
      </c>
      <c r="M89" s="4">
        <f t="shared" si="111"/>
        <v>0</v>
      </c>
      <c r="N89" s="4">
        <f t="shared" si="111"/>
        <v>0</v>
      </c>
      <c r="O89" s="4">
        <f t="shared" si="112"/>
        <v>0</v>
      </c>
      <c r="P89" s="4">
        <f t="shared" si="86"/>
        <v>0</v>
      </c>
      <c r="Q89" s="4">
        <f t="shared" si="87"/>
        <v>0</v>
      </c>
      <c r="R89" s="4">
        <f t="shared" si="88"/>
        <v>0</v>
      </c>
      <c r="S89" s="4">
        <f>IF(AND(VLOOKUP(G89,Dados!$D:$L,2,0)=VLOOKUP(I89,Dados!$S:$V,2,0),VLOOKUP(G89,Dados!$D:$L,3,0)=VLOOKUP(I89,Dados!$S:$V,3,0)),0,1)</f>
        <v>0</v>
      </c>
      <c r="T89" s="4">
        <f>IF(AND(VLOOKUP(G89,Dados!$D:$L,3,0)&lt;=VLOOKUP(H89,Dados!$X:$AB,2,0),VLOOKUP(G89,Dados!$D:$L,4,0)&gt;=VLOOKUP(H89,Dados!$X:$AB,3,0),VLOOKUP(G89,Dados!$D:$L,4,0)&lt;=VLOOKUP(H89,Dados!$X:$AB,4,0)),0,1)</f>
        <v>0</v>
      </c>
      <c r="U89" s="4">
        <f>IF(COUNTIFS(F:F,F89,H:H,H89)&lt;=VLOOKUP(H89,Dados!$X:$AB,5,0),0,1)</f>
        <v>0</v>
      </c>
      <c r="W89" s="4">
        <v>1039</v>
      </c>
      <c r="X89" s="4">
        <v>4</v>
      </c>
      <c r="Y89" s="4">
        <v>57</v>
      </c>
      <c r="Z89" s="4">
        <v>16</v>
      </c>
      <c r="AA89" s="4">
        <v>1</v>
      </c>
      <c r="AB89" s="4">
        <v>2</v>
      </c>
      <c r="AD89" s="4">
        <f>VLOOKUP(Z89,Dados!$S$3:$W$55,4,FALSE)</f>
        <v>5273</v>
      </c>
      <c r="AE89" s="4">
        <f t="shared" si="106"/>
        <v>228</v>
      </c>
      <c r="AF89" s="4">
        <f t="shared" si="107"/>
        <v>21092</v>
      </c>
      <c r="AI89" s="13">
        <f>VLOOKUP(Z89,Dados!$S$3:$V$55,2,FALSE)*VLOOKUP(Z89,Dados!$S$3:$V$55,3,FALSE)*VLOOKUP(Z89,Dados!$S$3:$V$55,4,FALSE)*0.00000785</f>
        <v>22.600605299999998</v>
      </c>
      <c r="AJ89" s="13">
        <f t="shared" si="108"/>
        <v>90.402421199999992</v>
      </c>
      <c r="AK89" s="13">
        <f t="shared" si="109"/>
        <v>0.24430769999999996</v>
      </c>
      <c r="AL89" s="13">
        <f t="shared" si="110"/>
        <v>0.97723079999999984</v>
      </c>
      <c r="AW89" s="15"/>
      <c r="AX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/>
      <c r="BZ89" s="15"/>
      <c r="CA89" s="16"/>
      <c r="CD89" s="15"/>
      <c r="CE89" s="15"/>
      <c r="CF89" s="15"/>
      <c r="CG89" s="16"/>
    </row>
    <row r="90" spans="6:85">
      <c r="F90" s="4">
        <v>88</v>
      </c>
      <c r="G90" s="4">
        <v>36</v>
      </c>
      <c r="H90" s="4">
        <v>3</v>
      </c>
      <c r="I90" s="4">
        <v>16</v>
      </c>
      <c r="J90" s="4">
        <v>8</v>
      </c>
      <c r="K90" s="4">
        <f t="shared" si="111"/>
        <v>0</v>
      </c>
      <c r="L90" s="4">
        <f t="shared" si="111"/>
        <v>0</v>
      </c>
      <c r="M90" s="4">
        <f t="shared" si="111"/>
        <v>0</v>
      </c>
      <c r="N90" s="4">
        <f t="shared" si="111"/>
        <v>0</v>
      </c>
      <c r="O90" s="4">
        <f t="shared" si="112"/>
        <v>0</v>
      </c>
      <c r="P90" s="4">
        <f t="shared" si="86"/>
        <v>0</v>
      </c>
      <c r="Q90" s="4">
        <f t="shared" si="87"/>
        <v>0</v>
      </c>
      <c r="R90" s="4">
        <f t="shared" si="88"/>
        <v>0</v>
      </c>
      <c r="S90" s="4">
        <f>IF(AND(VLOOKUP(G90,Dados!$D:$L,2,0)=VLOOKUP(I90,Dados!$S:$V,2,0),VLOOKUP(G90,Dados!$D:$L,3,0)=VLOOKUP(I90,Dados!$S:$V,3,0)),0,1)</f>
        <v>0</v>
      </c>
      <c r="T90" s="4">
        <f>IF(AND(VLOOKUP(G90,Dados!$D:$L,3,0)&lt;=VLOOKUP(H90,Dados!$X:$AB,2,0),VLOOKUP(G90,Dados!$D:$L,4,0)&gt;=VLOOKUP(H90,Dados!$X:$AB,3,0),VLOOKUP(G90,Dados!$D:$L,4,0)&lt;=VLOOKUP(H90,Dados!$X:$AB,4,0)),0,1)</f>
        <v>0</v>
      </c>
      <c r="U90" s="4">
        <f>IF(COUNTIFS(F:F,F90,H:H,H90)&lt;=VLOOKUP(H90,Dados!$X:$AB,5,0),0,1)</f>
        <v>0</v>
      </c>
      <c r="W90" s="4">
        <v>284</v>
      </c>
      <c r="X90" s="4">
        <v>37</v>
      </c>
      <c r="Y90" s="4">
        <v>33</v>
      </c>
      <c r="Z90" s="4">
        <v>16</v>
      </c>
      <c r="AA90" s="4">
        <v>2</v>
      </c>
      <c r="AB90" s="4">
        <v>2</v>
      </c>
      <c r="AD90" s="4">
        <f>VLOOKUP(Z90,Dados!$S$3:$W$55,4,FALSE)</f>
        <v>5273</v>
      </c>
      <c r="AE90" s="4">
        <f t="shared" si="106"/>
        <v>1221</v>
      </c>
      <c r="AF90" s="4">
        <f t="shared" si="107"/>
        <v>195101</v>
      </c>
      <c r="AI90" s="13">
        <f>VLOOKUP(Z90,Dados!$S$3:$V$55,2,FALSE)*VLOOKUP(Z90,Dados!$S$3:$V$55,3,FALSE)*VLOOKUP(Z90,Dados!$S$3:$V$55,4,FALSE)*0.00000785</f>
        <v>22.600605299999998</v>
      </c>
      <c r="AJ90" s="13">
        <f t="shared" si="108"/>
        <v>836.22239609999997</v>
      </c>
      <c r="AK90" s="13">
        <f t="shared" si="109"/>
        <v>0.14144129999999996</v>
      </c>
      <c r="AL90" s="13">
        <f t="shared" si="110"/>
        <v>5.2333280999999987</v>
      </c>
      <c r="AW90" s="15"/>
      <c r="AX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/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  <c r="BZ90" s="15"/>
      <c r="CA90" s="16"/>
      <c r="CD90" s="15"/>
      <c r="CE90" s="15"/>
      <c r="CF90" s="15"/>
      <c r="CG90" s="16"/>
    </row>
    <row r="91" spans="6:85">
      <c r="F91" s="4">
        <v>89</v>
      </c>
      <c r="G91" s="4">
        <v>37</v>
      </c>
      <c r="H91" s="4">
        <v>1</v>
      </c>
      <c r="I91" s="4">
        <v>16</v>
      </c>
      <c r="J91" s="4">
        <v>5</v>
      </c>
      <c r="K91" s="4">
        <f t="shared" si="111"/>
        <v>0</v>
      </c>
      <c r="L91" s="4">
        <f t="shared" si="111"/>
        <v>0</v>
      </c>
      <c r="M91" s="4">
        <f t="shared" si="111"/>
        <v>0</v>
      </c>
      <c r="N91" s="4">
        <f t="shared" si="111"/>
        <v>0</v>
      </c>
      <c r="O91" s="4">
        <f t="shared" si="112"/>
        <v>0</v>
      </c>
      <c r="P91" s="4">
        <f t="shared" si="86"/>
        <v>0</v>
      </c>
      <c r="Q91" s="4">
        <f t="shared" si="87"/>
        <v>0</v>
      </c>
      <c r="R91" s="4">
        <f t="shared" si="88"/>
        <v>0</v>
      </c>
      <c r="S91" s="4">
        <f>IF(AND(VLOOKUP(G91,Dados!$D:$L,2,0)=VLOOKUP(I91,Dados!$S:$V,2,0),VLOOKUP(G91,Dados!$D:$L,3,0)=VLOOKUP(I91,Dados!$S:$V,3,0)),0,1)</f>
        <v>0</v>
      </c>
      <c r="T91" s="4">
        <f>IF(AND(VLOOKUP(G91,Dados!$D:$L,3,0)&lt;=VLOOKUP(H91,Dados!$X:$AB,2,0),VLOOKUP(G91,Dados!$D:$L,4,0)&gt;=VLOOKUP(H91,Dados!$X:$AB,3,0),VLOOKUP(G91,Dados!$D:$L,4,0)&lt;=VLOOKUP(H91,Dados!$X:$AB,4,0)),0,1)</f>
        <v>0</v>
      </c>
      <c r="U91" s="4">
        <f>IF(COUNTIFS(F:F,F91,H:H,H91)&lt;=VLOOKUP(H91,Dados!$X:$AB,5,0),0,1)</f>
        <v>0</v>
      </c>
      <c r="W91" s="4">
        <v>496</v>
      </c>
      <c r="X91" s="4">
        <v>13</v>
      </c>
      <c r="Y91" s="4">
        <v>41</v>
      </c>
      <c r="Z91" s="4">
        <v>16</v>
      </c>
      <c r="AA91" s="4">
        <v>2</v>
      </c>
      <c r="AB91" s="4">
        <v>2</v>
      </c>
      <c r="AD91" s="4">
        <f>VLOOKUP(Z91,Dados!$S$3:$W$55,4,FALSE)</f>
        <v>5273</v>
      </c>
      <c r="AE91" s="4">
        <f t="shared" ref="AE91:AE98" si="113">Y91*X91</f>
        <v>533</v>
      </c>
      <c r="AF91" s="4">
        <f t="shared" ref="AF91:AF98" si="114">AD91*X91</f>
        <v>68549</v>
      </c>
      <c r="AI91" s="13">
        <f>VLOOKUP(Z91,Dados!$S$3:$V$55,2,FALSE)*VLOOKUP(Z91,Dados!$S$3:$V$55,3,FALSE)*VLOOKUP(Z91,Dados!$S$3:$V$55,4,FALSE)*0.00000785</f>
        <v>22.600605299999998</v>
      </c>
      <c r="AJ91" s="13">
        <f t="shared" ref="AJ91:AJ98" si="115">AI91*X91</f>
        <v>293.80786889999996</v>
      </c>
      <c r="AK91" s="13">
        <f t="shared" ref="AK91:AK98" si="116">(AI91/AD91)*Y91</f>
        <v>0.17573009999999997</v>
      </c>
      <c r="AL91" s="13">
        <f t="shared" ref="AL91:AL98" si="117">AK91*X91</f>
        <v>2.2844912999999996</v>
      </c>
      <c r="AW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  <c r="CA91" s="16"/>
      <c r="CD91" s="15"/>
      <c r="CE91" s="15"/>
      <c r="CF91" s="15"/>
      <c r="CG91" s="16"/>
    </row>
    <row r="92" spans="6:85">
      <c r="F92" s="4">
        <v>90</v>
      </c>
      <c r="G92" s="4">
        <v>37</v>
      </c>
      <c r="H92" s="4">
        <v>2</v>
      </c>
      <c r="I92" s="4">
        <v>16</v>
      </c>
      <c r="J92" s="4">
        <v>5</v>
      </c>
      <c r="K92" s="4">
        <f t="shared" si="111"/>
        <v>0</v>
      </c>
      <c r="L92" s="4">
        <f t="shared" si="111"/>
        <v>0</v>
      </c>
      <c r="M92" s="4">
        <f t="shared" si="111"/>
        <v>0</v>
      </c>
      <c r="N92" s="4">
        <f t="shared" si="111"/>
        <v>0</v>
      </c>
      <c r="O92" s="4">
        <f t="shared" si="112"/>
        <v>0</v>
      </c>
      <c r="P92" s="4">
        <f t="shared" si="86"/>
        <v>0</v>
      </c>
      <c r="Q92" s="4">
        <f t="shared" si="87"/>
        <v>0</v>
      </c>
      <c r="R92" s="4">
        <f t="shared" si="88"/>
        <v>0</v>
      </c>
      <c r="S92" s="4">
        <f>IF(AND(VLOOKUP(G92,Dados!$D:$L,2,0)=VLOOKUP(I92,Dados!$S:$V,2,0),VLOOKUP(G92,Dados!$D:$L,3,0)=VLOOKUP(I92,Dados!$S:$V,3,0)),0,1)</f>
        <v>0</v>
      </c>
      <c r="T92" s="4">
        <f>IF(AND(VLOOKUP(G92,Dados!$D:$L,3,0)&lt;=VLOOKUP(H92,Dados!$X:$AB,2,0),VLOOKUP(G92,Dados!$D:$L,4,0)&gt;=VLOOKUP(H92,Dados!$X:$AB,3,0),VLOOKUP(G92,Dados!$D:$L,4,0)&lt;=VLOOKUP(H92,Dados!$X:$AB,4,0)),0,1)</f>
        <v>0</v>
      </c>
      <c r="U92" s="4">
        <f>IF(COUNTIFS(F:F,F92,H:H,H92)&lt;=VLOOKUP(H92,Dados!$X:$AB,5,0),0,1)</f>
        <v>0</v>
      </c>
      <c r="W92" s="4">
        <v>575</v>
      </c>
      <c r="X92" s="4">
        <v>3</v>
      </c>
      <c r="Y92" s="4">
        <v>41</v>
      </c>
      <c r="Z92" s="4">
        <v>16</v>
      </c>
      <c r="AA92" s="4">
        <v>2</v>
      </c>
      <c r="AB92" s="4">
        <v>2</v>
      </c>
      <c r="AD92" s="4">
        <f>VLOOKUP(Z92,Dados!$S$3:$W$55,4,FALSE)</f>
        <v>5273</v>
      </c>
      <c r="AE92" s="4">
        <f t="shared" si="113"/>
        <v>123</v>
      </c>
      <c r="AF92" s="4">
        <f t="shared" si="114"/>
        <v>15819</v>
      </c>
      <c r="AI92" s="13">
        <f>VLOOKUP(Z92,Dados!$S$3:$V$55,2,FALSE)*VLOOKUP(Z92,Dados!$S$3:$V$55,3,FALSE)*VLOOKUP(Z92,Dados!$S$3:$V$55,4,FALSE)*0.00000785</f>
        <v>22.600605299999998</v>
      </c>
      <c r="AJ92" s="13">
        <f t="shared" si="115"/>
        <v>67.801815899999994</v>
      </c>
      <c r="AK92" s="13">
        <f t="shared" si="116"/>
        <v>0.17573009999999997</v>
      </c>
      <c r="AL92" s="13">
        <f t="shared" si="117"/>
        <v>0.52719029999999989</v>
      </c>
      <c r="AW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  <c r="BZ92" s="15"/>
      <c r="CA92" s="16"/>
      <c r="CD92" s="15"/>
      <c r="CE92" s="15"/>
      <c r="CF92" s="15"/>
      <c r="CG92" s="16"/>
    </row>
    <row r="93" spans="6:85">
      <c r="F93" s="4">
        <v>91</v>
      </c>
      <c r="G93" s="4">
        <v>37</v>
      </c>
      <c r="H93" s="4">
        <v>3</v>
      </c>
      <c r="I93" s="4">
        <v>16</v>
      </c>
      <c r="J93" s="4">
        <v>5</v>
      </c>
      <c r="K93" s="4">
        <f t="shared" si="111"/>
        <v>0</v>
      </c>
      <c r="L93" s="4">
        <f t="shared" si="111"/>
        <v>0</v>
      </c>
      <c r="M93" s="4">
        <f t="shared" si="111"/>
        <v>0</v>
      </c>
      <c r="N93" s="4">
        <f t="shared" si="111"/>
        <v>0</v>
      </c>
      <c r="O93" s="4">
        <f t="shared" si="112"/>
        <v>0</v>
      </c>
      <c r="P93" s="4">
        <f t="shared" si="86"/>
        <v>0</v>
      </c>
      <c r="Q93" s="4">
        <f t="shared" si="87"/>
        <v>0</v>
      </c>
      <c r="R93" s="4">
        <f t="shared" si="88"/>
        <v>0</v>
      </c>
      <c r="S93" s="4">
        <f>IF(AND(VLOOKUP(G93,Dados!$D:$L,2,0)=VLOOKUP(I93,Dados!$S:$V,2,0),VLOOKUP(G93,Dados!$D:$L,3,0)=VLOOKUP(I93,Dados!$S:$V,3,0)),0,1)</f>
        <v>0</v>
      </c>
      <c r="T93" s="4">
        <f>IF(AND(VLOOKUP(G93,Dados!$D:$L,3,0)&lt;=VLOOKUP(H93,Dados!$X:$AB,2,0),VLOOKUP(G93,Dados!$D:$L,4,0)&gt;=VLOOKUP(H93,Dados!$X:$AB,3,0),VLOOKUP(G93,Dados!$D:$L,4,0)&lt;=VLOOKUP(H93,Dados!$X:$AB,4,0)),0,1)</f>
        <v>0</v>
      </c>
      <c r="U93" s="4">
        <f>IF(COUNTIFS(F:F,F93,H:H,H93)&lt;=VLOOKUP(H93,Dados!$X:$AB,5,0),0,1)</f>
        <v>0</v>
      </c>
      <c r="W93" s="4">
        <v>681</v>
      </c>
      <c r="X93" s="4">
        <v>3</v>
      </c>
      <c r="Y93" s="4">
        <v>48</v>
      </c>
      <c r="Z93" s="4">
        <v>16</v>
      </c>
      <c r="AA93" s="4">
        <v>2</v>
      </c>
      <c r="AB93" s="4">
        <v>2</v>
      </c>
      <c r="AD93" s="4">
        <f>VLOOKUP(Z93,Dados!$S$3:$W$55,4,FALSE)</f>
        <v>5273</v>
      </c>
      <c r="AE93" s="4">
        <f t="shared" si="113"/>
        <v>144</v>
      </c>
      <c r="AF93" s="4">
        <f t="shared" si="114"/>
        <v>15819</v>
      </c>
      <c r="AI93" s="13">
        <f>VLOOKUP(Z93,Dados!$S$3:$V$55,2,FALSE)*VLOOKUP(Z93,Dados!$S$3:$V$55,3,FALSE)*VLOOKUP(Z93,Dados!$S$3:$V$55,4,FALSE)*0.00000785</f>
        <v>22.600605299999998</v>
      </c>
      <c r="AJ93" s="13">
        <f t="shared" si="115"/>
        <v>67.801815899999994</v>
      </c>
      <c r="AK93" s="13">
        <f t="shared" si="116"/>
        <v>0.20573279999999997</v>
      </c>
      <c r="AL93" s="13">
        <f t="shared" si="117"/>
        <v>0.61719839999999992</v>
      </c>
      <c r="AW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  <c r="CA93" s="16"/>
      <c r="CD93" s="15"/>
      <c r="CE93" s="15"/>
      <c r="CF93" s="15"/>
      <c r="CG93" s="16"/>
    </row>
    <row r="94" spans="6:85">
      <c r="F94" s="4">
        <v>92</v>
      </c>
      <c r="G94" s="4">
        <v>38</v>
      </c>
      <c r="H94" s="4">
        <v>1</v>
      </c>
      <c r="I94" s="4">
        <v>16</v>
      </c>
      <c r="J94" s="4">
        <v>9</v>
      </c>
      <c r="K94" s="4">
        <f t="shared" si="111"/>
        <v>0</v>
      </c>
      <c r="L94" s="4">
        <f t="shared" si="111"/>
        <v>0</v>
      </c>
      <c r="M94" s="4">
        <f t="shared" si="111"/>
        <v>0</v>
      </c>
      <c r="N94" s="4">
        <f t="shared" si="111"/>
        <v>0</v>
      </c>
      <c r="O94" s="4">
        <f t="shared" si="112"/>
        <v>0</v>
      </c>
      <c r="P94" s="4">
        <f t="shared" si="86"/>
        <v>0</v>
      </c>
      <c r="Q94" s="4">
        <f t="shared" si="87"/>
        <v>0</v>
      </c>
      <c r="R94" s="4">
        <f t="shared" si="88"/>
        <v>0</v>
      </c>
      <c r="S94" s="4">
        <f>IF(AND(VLOOKUP(G94,Dados!$D:$L,2,0)=VLOOKUP(I94,Dados!$S:$V,2,0),VLOOKUP(G94,Dados!$D:$L,3,0)=VLOOKUP(I94,Dados!$S:$V,3,0)),0,1)</f>
        <v>0</v>
      </c>
      <c r="T94" s="4">
        <f>IF(AND(VLOOKUP(G94,Dados!$D:$L,3,0)&lt;=VLOOKUP(H94,Dados!$X:$AB,2,0),VLOOKUP(G94,Dados!$D:$L,4,0)&gt;=VLOOKUP(H94,Dados!$X:$AB,3,0),VLOOKUP(G94,Dados!$D:$L,4,0)&lt;=VLOOKUP(H94,Dados!$X:$AB,4,0)),0,1)</f>
        <v>0</v>
      </c>
      <c r="U94" s="4">
        <f>IF(COUNTIFS(F:F,F94,H:H,H94)&lt;=VLOOKUP(H94,Dados!$X:$AB,5,0),0,1)</f>
        <v>0</v>
      </c>
      <c r="W94" s="4">
        <v>911</v>
      </c>
      <c r="X94" s="4">
        <v>29</v>
      </c>
      <c r="Y94" s="4">
        <v>245</v>
      </c>
      <c r="Z94" s="4">
        <v>16</v>
      </c>
      <c r="AA94" s="4">
        <v>2</v>
      </c>
      <c r="AB94" s="4">
        <v>2</v>
      </c>
      <c r="AD94" s="4">
        <f>VLOOKUP(Z94,Dados!$S$3:$W$55,4,FALSE)</f>
        <v>5273</v>
      </c>
      <c r="AE94" s="4">
        <f t="shared" si="113"/>
        <v>7105</v>
      </c>
      <c r="AF94" s="4">
        <f t="shared" si="114"/>
        <v>152917</v>
      </c>
      <c r="AI94" s="13">
        <f>VLOOKUP(Z94,Dados!$S$3:$V$55,2,FALSE)*VLOOKUP(Z94,Dados!$S$3:$V$55,3,FALSE)*VLOOKUP(Z94,Dados!$S$3:$V$55,4,FALSE)*0.00000785</f>
        <v>22.600605299999998</v>
      </c>
      <c r="AJ94" s="13">
        <f t="shared" si="115"/>
        <v>655.41755369999998</v>
      </c>
      <c r="AK94" s="13">
        <f t="shared" si="116"/>
        <v>1.0500944999999999</v>
      </c>
      <c r="AL94" s="13">
        <f t="shared" si="117"/>
        <v>30.452740499999997</v>
      </c>
      <c r="AW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  <c r="CA94" s="16"/>
      <c r="CD94" s="15"/>
      <c r="CE94" s="15"/>
      <c r="CF94" s="15"/>
      <c r="CG94" s="16"/>
    </row>
    <row r="95" spans="6:85">
      <c r="F95" s="4">
        <v>93</v>
      </c>
      <c r="G95" s="4">
        <v>38</v>
      </c>
      <c r="H95" s="4">
        <v>2</v>
      </c>
      <c r="I95" s="4">
        <v>16</v>
      </c>
      <c r="J95" s="4">
        <v>9</v>
      </c>
      <c r="K95" s="4">
        <f t="shared" si="111"/>
        <v>0</v>
      </c>
      <c r="L95" s="4">
        <f t="shared" si="111"/>
        <v>0</v>
      </c>
      <c r="M95" s="4">
        <f t="shared" si="111"/>
        <v>0</v>
      </c>
      <c r="N95" s="4">
        <f t="shared" si="111"/>
        <v>0</v>
      </c>
      <c r="O95" s="4">
        <f t="shared" si="112"/>
        <v>0</v>
      </c>
      <c r="P95" s="4">
        <f t="shared" si="86"/>
        <v>0</v>
      </c>
      <c r="Q95" s="4">
        <f t="shared" si="87"/>
        <v>0</v>
      </c>
      <c r="R95" s="4">
        <f t="shared" si="88"/>
        <v>0</v>
      </c>
      <c r="S95" s="4">
        <f>IF(AND(VLOOKUP(G95,Dados!$D:$L,2,0)=VLOOKUP(I95,Dados!$S:$V,2,0),VLOOKUP(G95,Dados!$D:$L,3,0)=VLOOKUP(I95,Dados!$S:$V,3,0)),0,1)</f>
        <v>0</v>
      </c>
      <c r="T95" s="4">
        <f>IF(AND(VLOOKUP(G95,Dados!$D:$L,3,0)&lt;=VLOOKUP(H95,Dados!$X:$AB,2,0),VLOOKUP(G95,Dados!$D:$L,4,0)&gt;=VLOOKUP(H95,Dados!$X:$AB,3,0),VLOOKUP(G95,Dados!$D:$L,4,0)&lt;=VLOOKUP(H95,Dados!$X:$AB,4,0)),0,1)</f>
        <v>0</v>
      </c>
      <c r="U95" s="4">
        <f>IF(COUNTIFS(F:F,F95,H:H,H95)&lt;=VLOOKUP(H95,Dados!$X:$AB,5,0),0,1)</f>
        <v>0</v>
      </c>
      <c r="W95" s="4">
        <v>1082</v>
      </c>
      <c r="X95" s="4">
        <v>29</v>
      </c>
      <c r="Y95" s="4">
        <v>165</v>
      </c>
      <c r="Z95" s="4">
        <v>16</v>
      </c>
      <c r="AA95" s="4">
        <v>2</v>
      </c>
      <c r="AB95" s="4">
        <v>2</v>
      </c>
      <c r="AD95" s="4">
        <f>VLOOKUP(Z95,Dados!$S$3:$W$55,4,FALSE)</f>
        <v>5273</v>
      </c>
      <c r="AE95" s="4">
        <f t="shared" si="113"/>
        <v>4785</v>
      </c>
      <c r="AF95" s="4">
        <f t="shared" si="114"/>
        <v>152917</v>
      </c>
      <c r="AI95" s="13">
        <f>VLOOKUP(Z95,Dados!$S$3:$V$55,2,FALSE)*VLOOKUP(Z95,Dados!$S$3:$V$55,3,FALSE)*VLOOKUP(Z95,Dados!$S$3:$V$55,4,FALSE)*0.00000785</f>
        <v>22.600605299999998</v>
      </c>
      <c r="AJ95" s="13">
        <f t="shared" si="115"/>
        <v>655.41755369999998</v>
      </c>
      <c r="AK95" s="13">
        <f t="shared" si="116"/>
        <v>0.70720649999999985</v>
      </c>
      <c r="AL95" s="13">
        <f t="shared" si="117"/>
        <v>20.508988499999994</v>
      </c>
      <c r="AW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  <c r="CA95" s="16"/>
      <c r="CD95" s="15"/>
      <c r="CE95" s="15"/>
      <c r="CF95" s="15"/>
      <c r="CG95" s="16"/>
    </row>
    <row r="96" spans="6:85">
      <c r="F96" s="4">
        <v>94</v>
      </c>
      <c r="G96" s="4">
        <v>38</v>
      </c>
      <c r="H96" s="4">
        <v>3</v>
      </c>
      <c r="I96" s="4">
        <v>16</v>
      </c>
      <c r="J96" s="4">
        <v>9</v>
      </c>
      <c r="K96" s="4">
        <f t="shared" si="111"/>
        <v>0</v>
      </c>
      <c r="L96" s="4">
        <f t="shared" si="111"/>
        <v>0</v>
      </c>
      <c r="M96" s="4">
        <f t="shared" si="111"/>
        <v>0</v>
      </c>
      <c r="N96" s="4">
        <f t="shared" si="111"/>
        <v>0</v>
      </c>
      <c r="O96" s="4">
        <f t="shared" si="112"/>
        <v>0</v>
      </c>
      <c r="P96" s="4">
        <f t="shared" si="86"/>
        <v>0</v>
      </c>
      <c r="Q96" s="4">
        <f t="shared" si="87"/>
        <v>0</v>
      </c>
      <c r="R96" s="4">
        <f t="shared" si="88"/>
        <v>0</v>
      </c>
      <c r="S96" s="4">
        <f>IF(AND(VLOOKUP(G96,Dados!$D:$L,2,0)=VLOOKUP(I96,Dados!$S:$V,2,0),VLOOKUP(G96,Dados!$D:$L,3,0)=VLOOKUP(I96,Dados!$S:$V,3,0)),0,1)</f>
        <v>0</v>
      </c>
      <c r="T96" s="4">
        <f>IF(AND(VLOOKUP(G96,Dados!$D:$L,3,0)&lt;=VLOOKUP(H96,Dados!$X:$AB,2,0),VLOOKUP(G96,Dados!$D:$L,4,0)&gt;=VLOOKUP(H96,Dados!$X:$AB,3,0),VLOOKUP(G96,Dados!$D:$L,4,0)&lt;=VLOOKUP(H96,Dados!$X:$AB,4,0)),0,1)</f>
        <v>0</v>
      </c>
      <c r="U96" s="4">
        <f>IF(COUNTIFS(F:F,F96,H:H,H96)&lt;=VLOOKUP(H96,Dados!$X:$AB,5,0),0,1)</f>
        <v>0</v>
      </c>
      <c r="W96" s="4">
        <v>98</v>
      </c>
      <c r="X96" s="4">
        <v>5</v>
      </c>
      <c r="Y96" s="4">
        <v>449</v>
      </c>
      <c r="Z96" s="4">
        <v>17</v>
      </c>
      <c r="AA96" s="4">
        <v>1</v>
      </c>
      <c r="AB96" s="4">
        <v>2</v>
      </c>
      <c r="AD96" s="4">
        <f>VLOOKUP(Z96,Dados!$S$3:$W$55,4,FALSE)</f>
        <v>6041</v>
      </c>
      <c r="AE96" s="4">
        <f t="shared" si="113"/>
        <v>2245</v>
      </c>
      <c r="AF96" s="4">
        <f t="shared" si="114"/>
        <v>30205</v>
      </c>
      <c r="AI96" s="13">
        <f>VLOOKUP(Z96,Dados!$S$3:$V$55,2,FALSE)*VLOOKUP(Z96,Dados!$S$3:$V$55,3,FALSE)*VLOOKUP(Z96,Dados!$S$3:$V$55,4,FALSE)*0.00000785</f>
        <v>24.754205699999996</v>
      </c>
      <c r="AJ96" s="13">
        <f t="shared" si="115"/>
        <v>123.77102849999999</v>
      </c>
      <c r="AK96" s="13">
        <f t="shared" si="116"/>
        <v>1.8398672999999997</v>
      </c>
      <c r="AL96" s="13">
        <f t="shared" si="117"/>
        <v>9.1993364999999976</v>
      </c>
      <c r="AW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  <c r="BZ96" s="15"/>
      <c r="CA96" s="16"/>
      <c r="CD96" s="15"/>
      <c r="CE96" s="15"/>
      <c r="CF96" s="15"/>
      <c r="CG96" s="16"/>
    </row>
    <row r="97" spans="6:125">
      <c r="F97" s="4">
        <v>95</v>
      </c>
      <c r="G97" s="4">
        <v>39</v>
      </c>
      <c r="H97" s="4">
        <v>1</v>
      </c>
      <c r="I97" s="4">
        <v>17</v>
      </c>
      <c r="J97" s="4">
        <v>6</v>
      </c>
      <c r="K97" s="4">
        <f t="shared" si="111"/>
        <v>0</v>
      </c>
      <c r="L97" s="4">
        <f t="shared" si="111"/>
        <v>0</v>
      </c>
      <c r="M97" s="4">
        <f t="shared" si="111"/>
        <v>0</v>
      </c>
      <c r="N97" s="4">
        <f t="shared" si="111"/>
        <v>0</v>
      </c>
      <c r="O97" s="4">
        <f t="shared" si="112"/>
        <v>0</v>
      </c>
      <c r="P97" s="4">
        <f t="shared" si="86"/>
        <v>0</v>
      </c>
      <c r="Q97" s="4">
        <f t="shared" si="87"/>
        <v>0</v>
      </c>
      <c r="R97" s="4">
        <f t="shared" si="88"/>
        <v>0</v>
      </c>
      <c r="S97" s="4">
        <f>IF(AND(VLOOKUP(G97,Dados!$D:$L,2,0)=VLOOKUP(I97,Dados!$S:$V,2,0),VLOOKUP(G97,Dados!$D:$L,3,0)=VLOOKUP(I97,Dados!$S:$V,3,0)),0,1)</f>
        <v>0</v>
      </c>
      <c r="T97" s="4">
        <f>IF(AND(VLOOKUP(G97,Dados!$D:$L,3,0)&lt;=VLOOKUP(H97,Dados!$X:$AB,2,0),VLOOKUP(G97,Dados!$D:$L,4,0)&gt;=VLOOKUP(H97,Dados!$X:$AB,3,0),VLOOKUP(G97,Dados!$D:$L,4,0)&lt;=VLOOKUP(H97,Dados!$X:$AB,4,0)),0,1)</f>
        <v>0</v>
      </c>
      <c r="U97" s="4">
        <f>IF(COUNTIFS(F:F,F97,H:H,H97)&lt;=VLOOKUP(H97,Dados!$X:$AB,5,0),0,1)</f>
        <v>0</v>
      </c>
      <c r="W97" s="4">
        <v>96</v>
      </c>
      <c r="X97" s="4">
        <v>16</v>
      </c>
      <c r="Y97" s="4">
        <v>83</v>
      </c>
      <c r="Z97" s="4">
        <v>17</v>
      </c>
      <c r="AA97" s="4">
        <v>2</v>
      </c>
      <c r="AB97" s="4">
        <v>2</v>
      </c>
      <c r="AD97" s="4">
        <f>VLOOKUP(Z97,Dados!$S$3:$W$55,4,FALSE)</f>
        <v>6041</v>
      </c>
      <c r="AE97" s="4">
        <f t="shared" si="113"/>
        <v>1328</v>
      </c>
      <c r="AF97" s="4">
        <f t="shared" si="114"/>
        <v>96656</v>
      </c>
      <c r="AI97" s="13">
        <f>VLOOKUP(Z97,Dados!$S$3:$V$55,2,FALSE)*VLOOKUP(Z97,Dados!$S$3:$V$55,3,FALSE)*VLOOKUP(Z97,Dados!$S$3:$V$55,4,FALSE)*0.00000785</f>
        <v>24.754205699999996</v>
      </c>
      <c r="AJ97" s="13">
        <f t="shared" si="115"/>
        <v>396.06729119999994</v>
      </c>
      <c r="AK97" s="13">
        <f t="shared" si="116"/>
        <v>0.34010909999999994</v>
      </c>
      <c r="AL97" s="13">
        <f t="shared" si="117"/>
        <v>5.4417455999999991</v>
      </c>
      <c r="AW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  <c r="CA97" s="16"/>
      <c r="CD97" s="15"/>
      <c r="CE97" s="15"/>
      <c r="CF97" s="15"/>
      <c r="CG97" s="16"/>
      <c r="DU97" s="4">
        <v>3</v>
      </c>
    </row>
    <row r="98" spans="6:125">
      <c r="F98" s="4">
        <v>96</v>
      </c>
      <c r="G98" s="4">
        <v>39</v>
      </c>
      <c r="H98" s="4">
        <v>2</v>
      </c>
      <c r="I98" s="4">
        <v>17</v>
      </c>
      <c r="J98" s="4">
        <v>6</v>
      </c>
      <c r="K98" s="4">
        <f t="shared" si="111"/>
        <v>0</v>
      </c>
      <c r="L98" s="4">
        <f t="shared" si="111"/>
        <v>16</v>
      </c>
      <c r="M98" s="4">
        <f t="shared" si="111"/>
        <v>0</v>
      </c>
      <c r="N98" s="4">
        <f t="shared" si="111"/>
        <v>1</v>
      </c>
      <c r="O98" s="4">
        <f t="shared" si="112"/>
        <v>0</v>
      </c>
      <c r="P98" s="4">
        <f t="shared" si="86"/>
        <v>96</v>
      </c>
      <c r="Q98" s="4">
        <f t="shared" si="87"/>
        <v>0</v>
      </c>
      <c r="R98" s="4">
        <f t="shared" si="88"/>
        <v>6</v>
      </c>
      <c r="S98" s="4">
        <f>IF(AND(VLOOKUP(G98,Dados!$D:$L,2,0)=VLOOKUP(I98,Dados!$S:$V,2,0),VLOOKUP(G98,Dados!$D:$L,3,0)=VLOOKUP(I98,Dados!$S:$V,3,0)),0,1)</f>
        <v>0</v>
      </c>
      <c r="T98" s="4">
        <f>IF(AND(VLOOKUP(G98,Dados!$D:$L,3,0)&lt;=VLOOKUP(H98,Dados!$X:$AB,2,0),VLOOKUP(G98,Dados!$D:$L,4,0)&gt;=VLOOKUP(H98,Dados!$X:$AB,3,0),VLOOKUP(G98,Dados!$D:$L,4,0)&lt;=VLOOKUP(H98,Dados!$X:$AB,4,0)),0,1)</f>
        <v>0</v>
      </c>
      <c r="U98" s="4">
        <f>IF(COUNTIFS(F:F,F98,H:H,H98)&lt;=VLOOKUP(H98,Dados!$X:$AB,5,0),0,1)</f>
        <v>0</v>
      </c>
      <c r="W98" s="4">
        <v>914</v>
      </c>
      <c r="X98" s="4">
        <v>2</v>
      </c>
      <c r="Y98" s="4">
        <v>12</v>
      </c>
      <c r="Z98" s="4">
        <v>17</v>
      </c>
      <c r="AA98" s="4">
        <v>2</v>
      </c>
      <c r="AB98" s="4">
        <v>2</v>
      </c>
      <c r="AD98" s="4">
        <f>VLOOKUP(Z98,Dados!$S$3:$W$55,4,FALSE)</f>
        <v>6041</v>
      </c>
      <c r="AE98" s="4">
        <f t="shared" si="113"/>
        <v>24</v>
      </c>
      <c r="AF98" s="4">
        <f t="shared" si="114"/>
        <v>12082</v>
      </c>
      <c r="AI98" s="13">
        <f>VLOOKUP(Z98,Dados!$S$3:$V$55,2,FALSE)*VLOOKUP(Z98,Dados!$S$3:$V$55,3,FALSE)*VLOOKUP(Z98,Dados!$S$3:$V$55,4,FALSE)*0.00000785</f>
        <v>24.754205699999996</v>
      </c>
      <c r="AJ98" s="13">
        <f t="shared" si="115"/>
        <v>49.508411399999993</v>
      </c>
      <c r="AK98" s="13">
        <f t="shared" si="116"/>
        <v>4.9172399999999991E-2</v>
      </c>
      <c r="AL98" s="13">
        <f t="shared" si="117"/>
        <v>9.8344799999999982E-2</v>
      </c>
      <c r="AW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  <c r="BZ98" s="15"/>
      <c r="CA98" s="16"/>
      <c r="CD98" s="15"/>
      <c r="CE98" s="15"/>
      <c r="CF98" s="15"/>
      <c r="CG98" s="16"/>
    </row>
    <row r="99" spans="6:125">
      <c r="F99" s="4">
        <v>97</v>
      </c>
      <c r="G99" s="4">
        <v>39</v>
      </c>
      <c r="H99" s="4">
        <v>3</v>
      </c>
      <c r="I99" s="4">
        <v>17</v>
      </c>
      <c r="J99" s="4">
        <v>6</v>
      </c>
      <c r="K99" s="4">
        <f t="shared" si="111"/>
        <v>0</v>
      </c>
      <c r="L99" s="4">
        <f t="shared" si="111"/>
        <v>0</v>
      </c>
      <c r="M99" s="4">
        <f t="shared" si="111"/>
        <v>0</v>
      </c>
      <c r="N99" s="4">
        <f t="shared" si="111"/>
        <v>0</v>
      </c>
      <c r="O99" s="4">
        <f t="shared" si="112"/>
        <v>0</v>
      </c>
      <c r="P99" s="4">
        <f t="shared" si="86"/>
        <v>0</v>
      </c>
      <c r="Q99" s="4">
        <f t="shared" si="87"/>
        <v>0</v>
      </c>
      <c r="R99" s="4">
        <f t="shared" si="88"/>
        <v>0</v>
      </c>
      <c r="S99" s="4">
        <f>IF(AND(VLOOKUP(G99,Dados!$D:$L,2,0)=VLOOKUP(I99,Dados!$S:$V,2,0),VLOOKUP(G99,Dados!$D:$L,3,0)=VLOOKUP(I99,Dados!$S:$V,3,0)),0,1)</f>
        <v>0</v>
      </c>
      <c r="T99" s="4">
        <f>IF(AND(VLOOKUP(G99,Dados!$D:$L,3,0)&lt;=VLOOKUP(H99,Dados!$X:$AB,2,0),VLOOKUP(G99,Dados!$D:$L,4,0)&gt;=VLOOKUP(H99,Dados!$X:$AB,3,0),VLOOKUP(G99,Dados!$D:$L,4,0)&lt;=VLOOKUP(H99,Dados!$X:$AB,4,0)),0,1)</f>
        <v>0</v>
      </c>
      <c r="U99" s="4">
        <f>IF(COUNTIFS(F:F,F99,H:H,H99)&lt;=VLOOKUP(H99,Dados!$X:$AB,5,0),0,1)</f>
        <v>0</v>
      </c>
      <c r="W99" s="4">
        <v>341</v>
      </c>
      <c r="X99" s="4">
        <v>6</v>
      </c>
      <c r="Y99" s="4">
        <v>34</v>
      </c>
      <c r="Z99" s="4">
        <v>17</v>
      </c>
      <c r="AA99" s="4">
        <v>3</v>
      </c>
      <c r="AB99" s="4">
        <v>2</v>
      </c>
      <c r="AD99" s="4">
        <f>VLOOKUP(Z99,Dados!$S$3:$W$55,4,FALSE)</f>
        <v>6041</v>
      </c>
      <c r="AE99" s="4">
        <f t="shared" ref="AE99:AE102" si="118">Y99*X99</f>
        <v>204</v>
      </c>
      <c r="AF99" s="4">
        <f t="shared" ref="AF99:AF102" si="119">AD99*X99</f>
        <v>36246</v>
      </c>
      <c r="AI99" s="13">
        <f>VLOOKUP(Z99,Dados!$S$3:$V$55,2,FALSE)*VLOOKUP(Z99,Dados!$S$3:$V$55,3,FALSE)*VLOOKUP(Z99,Dados!$S$3:$V$55,4,FALSE)*0.00000785</f>
        <v>24.754205699999996</v>
      </c>
      <c r="AJ99" s="13">
        <f t="shared" ref="AJ99:AJ102" si="120">AI99*X99</f>
        <v>148.52523419999997</v>
      </c>
      <c r="AK99" s="13">
        <f t="shared" ref="AK99:AK102" si="121">(AI99/AD99)*Y99</f>
        <v>0.13932179999999997</v>
      </c>
      <c r="AL99" s="13">
        <f t="shared" ref="AL99:AL102" si="122">AK99*X99</f>
        <v>0.83593079999999986</v>
      </c>
      <c r="AW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  <c r="BZ99" s="15"/>
      <c r="CA99" s="16"/>
      <c r="CD99" s="15"/>
      <c r="CE99" s="15"/>
      <c r="CF99" s="15"/>
      <c r="CG99" s="16"/>
    </row>
    <row r="100" spans="6:125">
      <c r="F100" s="4">
        <v>98</v>
      </c>
      <c r="G100" s="4">
        <v>40</v>
      </c>
      <c r="H100" s="4">
        <v>1</v>
      </c>
      <c r="I100" s="4">
        <v>17</v>
      </c>
      <c r="J100" s="4">
        <v>6</v>
      </c>
      <c r="K100" s="4">
        <f t="shared" si="111"/>
        <v>0</v>
      </c>
      <c r="L100" s="4">
        <f t="shared" si="111"/>
        <v>5</v>
      </c>
      <c r="M100" s="4">
        <f t="shared" si="111"/>
        <v>0</v>
      </c>
      <c r="N100" s="4">
        <f t="shared" si="111"/>
        <v>0</v>
      </c>
      <c r="O100" s="4">
        <f t="shared" ref="O100:O156" si="123">$J100*K100</f>
        <v>0</v>
      </c>
      <c r="P100" s="4">
        <f t="shared" ref="P100:P156" si="124">$J100*L100</f>
        <v>30</v>
      </c>
      <c r="Q100" s="4">
        <f t="shared" ref="Q100:Q156" si="125">$J100*M100</f>
        <v>0</v>
      </c>
      <c r="R100" s="4">
        <f t="shared" ref="R100:R156" si="126">$J100*N100</f>
        <v>0</v>
      </c>
      <c r="S100" s="4">
        <f>IF(AND(VLOOKUP(G100,Dados!$D:$L,2,0)=VLOOKUP(I100,Dados!$S:$V,2,0),VLOOKUP(G100,Dados!$D:$L,3,0)=VLOOKUP(I100,Dados!$S:$V,3,0)),0,1)</f>
        <v>0</v>
      </c>
      <c r="T100" s="4">
        <f>IF(AND(VLOOKUP(G100,Dados!$D:$L,3,0)&lt;=VLOOKUP(H100,Dados!$X:$AB,2,0),VLOOKUP(G100,Dados!$D:$L,4,0)&gt;=VLOOKUP(H100,Dados!$X:$AB,3,0),VLOOKUP(G100,Dados!$D:$L,4,0)&lt;=VLOOKUP(H100,Dados!$X:$AB,4,0)),0,1)</f>
        <v>0</v>
      </c>
      <c r="U100" s="4">
        <f>IF(COUNTIFS(F:F,F100,H:H,H100)&lt;=VLOOKUP(H100,Dados!$X:$AB,5,0),0,1)</f>
        <v>0</v>
      </c>
      <c r="W100" s="4">
        <v>1001</v>
      </c>
      <c r="X100" s="4">
        <v>1</v>
      </c>
      <c r="Y100" s="4">
        <v>7</v>
      </c>
      <c r="Z100" s="4">
        <v>17</v>
      </c>
      <c r="AA100" s="4">
        <v>3</v>
      </c>
      <c r="AB100" s="4">
        <v>2</v>
      </c>
      <c r="AD100" s="4">
        <f>VLOOKUP(Z100,Dados!$S$3:$W$55,4,FALSE)</f>
        <v>6041</v>
      </c>
      <c r="AE100" s="4">
        <f t="shared" si="118"/>
        <v>7</v>
      </c>
      <c r="AF100" s="4">
        <f t="shared" si="119"/>
        <v>6041</v>
      </c>
      <c r="AI100" s="13">
        <f>VLOOKUP(Z100,Dados!$S$3:$V$55,2,FALSE)*VLOOKUP(Z100,Dados!$S$3:$V$55,3,FALSE)*VLOOKUP(Z100,Dados!$S$3:$V$55,4,FALSE)*0.00000785</f>
        <v>24.754205699999996</v>
      </c>
      <c r="AJ100" s="13">
        <f t="shared" si="120"/>
        <v>24.754205699999996</v>
      </c>
      <c r="AK100" s="13">
        <f t="shared" si="121"/>
        <v>2.8683899999999995E-2</v>
      </c>
      <c r="AL100" s="13">
        <f t="shared" si="122"/>
        <v>2.8683899999999995E-2</v>
      </c>
      <c r="AW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  <c r="BZ100" s="15"/>
      <c r="CA100" s="16"/>
      <c r="CD100" s="15"/>
      <c r="CE100" s="15"/>
      <c r="CF100" s="15"/>
      <c r="CG100" s="16"/>
    </row>
    <row r="101" spans="6:125">
      <c r="F101" s="4">
        <v>99</v>
      </c>
      <c r="G101" s="4">
        <v>40</v>
      </c>
      <c r="H101" s="4">
        <v>2</v>
      </c>
      <c r="I101" s="4">
        <v>17</v>
      </c>
      <c r="J101" s="4">
        <v>6</v>
      </c>
      <c r="K101" s="4">
        <f t="shared" si="111"/>
        <v>0</v>
      </c>
      <c r="L101" s="4">
        <f t="shared" si="111"/>
        <v>0</v>
      </c>
      <c r="M101" s="4">
        <f t="shared" si="111"/>
        <v>0</v>
      </c>
      <c r="N101" s="4">
        <f t="shared" si="111"/>
        <v>0</v>
      </c>
      <c r="O101" s="4">
        <f t="shared" si="123"/>
        <v>0</v>
      </c>
      <c r="P101" s="4">
        <f t="shared" si="124"/>
        <v>0</v>
      </c>
      <c r="Q101" s="4">
        <f t="shared" si="125"/>
        <v>0</v>
      </c>
      <c r="R101" s="4">
        <f t="shared" si="126"/>
        <v>0</v>
      </c>
      <c r="S101" s="4">
        <f>IF(AND(VLOOKUP(G101,Dados!$D:$L,2,0)=VLOOKUP(I101,Dados!$S:$V,2,0),VLOOKUP(G101,Dados!$D:$L,3,0)=VLOOKUP(I101,Dados!$S:$V,3,0)),0,1)</f>
        <v>0</v>
      </c>
      <c r="T101" s="4">
        <f>IF(AND(VLOOKUP(G101,Dados!$D:$L,3,0)&lt;=VLOOKUP(H101,Dados!$X:$AB,2,0),VLOOKUP(G101,Dados!$D:$L,4,0)&gt;=VLOOKUP(H101,Dados!$X:$AB,3,0),VLOOKUP(G101,Dados!$D:$L,4,0)&lt;=VLOOKUP(H101,Dados!$X:$AB,4,0)),0,1)</f>
        <v>0</v>
      </c>
      <c r="U101" s="4">
        <f>IF(COUNTIFS(F:F,F101,H:H,H101)&lt;=VLOOKUP(H101,Dados!$X:$AB,5,0),0,1)</f>
        <v>0</v>
      </c>
      <c r="W101" s="4">
        <v>1080</v>
      </c>
      <c r="X101" s="4">
        <v>1</v>
      </c>
      <c r="Y101" s="4">
        <v>2</v>
      </c>
      <c r="Z101" s="4">
        <v>17</v>
      </c>
      <c r="AA101" s="4">
        <v>3</v>
      </c>
      <c r="AB101" s="4">
        <v>2</v>
      </c>
      <c r="AD101" s="4">
        <f>VLOOKUP(Z101,Dados!$S$3:$W$55,4,FALSE)</f>
        <v>6041</v>
      </c>
      <c r="AE101" s="4">
        <f t="shared" si="118"/>
        <v>2</v>
      </c>
      <c r="AF101" s="4">
        <f t="shared" si="119"/>
        <v>6041</v>
      </c>
      <c r="AI101" s="13">
        <f>VLOOKUP(Z101,Dados!$S$3:$V$55,2,FALSE)*VLOOKUP(Z101,Dados!$S$3:$V$55,3,FALSE)*VLOOKUP(Z101,Dados!$S$3:$V$55,4,FALSE)*0.00000785</f>
        <v>24.754205699999996</v>
      </c>
      <c r="AJ101" s="13">
        <f t="shared" si="120"/>
        <v>24.754205699999996</v>
      </c>
      <c r="AK101" s="13">
        <f t="shared" si="121"/>
        <v>8.1953999999999985E-3</v>
      </c>
      <c r="AL101" s="13">
        <f t="shared" si="122"/>
        <v>8.1953999999999985E-3</v>
      </c>
      <c r="AW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  <c r="BZ101" s="15"/>
      <c r="CA101" s="16"/>
      <c r="CD101" s="15"/>
      <c r="CE101" s="15"/>
      <c r="CF101" s="15"/>
      <c r="CG101" s="16"/>
    </row>
    <row r="102" spans="6:125">
      <c r="F102" s="4">
        <v>100</v>
      </c>
      <c r="G102" s="4">
        <v>40</v>
      </c>
      <c r="H102" s="4">
        <v>3</v>
      </c>
      <c r="I102" s="4">
        <v>17</v>
      </c>
      <c r="J102" s="4">
        <v>6</v>
      </c>
      <c r="K102" s="4">
        <f t="shared" si="111"/>
        <v>0</v>
      </c>
      <c r="L102" s="4">
        <f t="shared" si="111"/>
        <v>0</v>
      </c>
      <c r="M102" s="4">
        <f t="shared" si="111"/>
        <v>0</v>
      </c>
      <c r="N102" s="4">
        <f t="shared" si="111"/>
        <v>0</v>
      </c>
      <c r="O102" s="4">
        <f t="shared" si="123"/>
        <v>0</v>
      </c>
      <c r="P102" s="4">
        <f t="shared" si="124"/>
        <v>0</v>
      </c>
      <c r="Q102" s="4">
        <f t="shared" si="125"/>
        <v>0</v>
      </c>
      <c r="R102" s="4">
        <f t="shared" si="126"/>
        <v>0</v>
      </c>
      <c r="S102" s="4">
        <f>IF(AND(VLOOKUP(G102,Dados!$D:$L,2,0)=VLOOKUP(I102,Dados!$S:$V,2,0),VLOOKUP(G102,Dados!$D:$L,3,0)=VLOOKUP(I102,Dados!$S:$V,3,0)),0,1)</f>
        <v>0</v>
      </c>
      <c r="T102" s="4">
        <f>IF(AND(VLOOKUP(G102,Dados!$D:$L,3,0)&lt;=VLOOKUP(H102,Dados!$X:$AB,2,0),VLOOKUP(G102,Dados!$D:$L,4,0)&gt;=VLOOKUP(H102,Dados!$X:$AB,3,0),VLOOKUP(G102,Dados!$D:$L,4,0)&lt;=VLOOKUP(H102,Dados!$X:$AB,4,0)),0,1)</f>
        <v>0</v>
      </c>
      <c r="U102" s="4">
        <f>IF(COUNTIFS(F:F,F102,H:H,H102)&lt;=VLOOKUP(H102,Dados!$X:$AB,5,0),0,1)</f>
        <v>0</v>
      </c>
      <c r="W102" s="4">
        <v>1002</v>
      </c>
      <c r="X102" s="4">
        <v>1</v>
      </c>
      <c r="Y102" s="4">
        <v>6</v>
      </c>
      <c r="Z102" s="4">
        <v>18</v>
      </c>
      <c r="AA102" s="4">
        <v>1</v>
      </c>
      <c r="AB102" s="4">
        <v>2</v>
      </c>
      <c r="AD102" s="4">
        <f>VLOOKUP(Z102,Dados!$S$3:$W$55,4,FALSE)</f>
        <v>5206</v>
      </c>
      <c r="AE102" s="4">
        <f t="shared" si="118"/>
        <v>6</v>
      </c>
      <c r="AF102" s="4">
        <f t="shared" si="119"/>
        <v>5206</v>
      </c>
      <c r="AI102" s="13">
        <f>VLOOKUP(Z102,Dados!$S$3:$V$55,2,FALSE)*VLOOKUP(Z102,Dados!$S$3:$V$55,3,FALSE)*VLOOKUP(Z102,Dados!$S$3:$V$55,4,FALSE)*0.00000785</f>
        <v>61.096314499999998</v>
      </c>
      <c r="AJ102" s="13">
        <f t="shared" si="120"/>
        <v>61.096314499999998</v>
      </c>
      <c r="AK102" s="13">
        <f t="shared" si="121"/>
        <v>7.0414499999999991E-2</v>
      </c>
      <c r="AL102" s="13">
        <f t="shared" si="122"/>
        <v>7.0414499999999991E-2</v>
      </c>
      <c r="AW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/>
      <c r="CA102" s="16"/>
      <c r="CD102" s="15"/>
      <c r="CE102" s="15"/>
      <c r="CF102" s="15"/>
      <c r="CG102" s="16"/>
    </row>
    <row r="103" spans="6:125">
      <c r="F103" s="4">
        <v>101</v>
      </c>
      <c r="G103" s="4">
        <v>41</v>
      </c>
      <c r="H103" s="4">
        <v>1</v>
      </c>
      <c r="I103" s="4">
        <v>17</v>
      </c>
      <c r="J103" s="4">
        <v>7</v>
      </c>
      <c r="K103" s="4">
        <f t="shared" ref="K103:N122" si="127">SUMIFS($X:$X,$W:$W,$F103,$Z:$Z,$I103,$AA:$AA,$H103,$AB:$AB,K$2)</f>
        <v>0</v>
      </c>
      <c r="L103" s="4">
        <f t="shared" si="127"/>
        <v>0</v>
      </c>
      <c r="M103" s="4">
        <f t="shared" si="127"/>
        <v>0</v>
      </c>
      <c r="N103" s="4">
        <f t="shared" si="127"/>
        <v>0</v>
      </c>
      <c r="O103" s="4">
        <f t="shared" si="123"/>
        <v>0</v>
      </c>
      <c r="P103" s="4">
        <f t="shared" si="124"/>
        <v>0</v>
      </c>
      <c r="Q103" s="4">
        <f t="shared" si="125"/>
        <v>0</v>
      </c>
      <c r="R103" s="4">
        <f t="shared" si="126"/>
        <v>0</v>
      </c>
      <c r="S103" s="4">
        <f>IF(AND(VLOOKUP(G103,Dados!$D:$L,2,0)=VLOOKUP(I103,Dados!$S:$V,2,0),VLOOKUP(G103,Dados!$D:$L,3,0)=VLOOKUP(I103,Dados!$S:$V,3,0)),0,1)</f>
        <v>0</v>
      </c>
      <c r="T103" s="4">
        <f>IF(AND(VLOOKUP(G103,Dados!$D:$L,3,0)&lt;=VLOOKUP(H103,Dados!$X:$AB,2,0),VLOOKUP(G103,Dados!$D:$L,4,0)&gt;=VLOOKUP(H103,Dados!$X:$AB,3,0),VLOOKUP(G103,Dados!$D:$L,4,0)&lt;=VLOOKUP(H103,Dados!$X:$AB,4,0)),0,1)</f>
        <v>0</v>
      </c>
      <c r="U103" s="4">
        <f>IF(COUNTIFS(F:F,F103,H:H,H103)&lt;=VLOOKUP(H103,Dados!$X:$AB,5,0),0,1)</f>
        <v>0</v>
      </c>
      <c r="W103" s="4">
        <v>631</v>
      </c>
      <c r="X103" s="4">
        <v>11</v>
      </c>
      <c r="Y103" s="4">
        <v>380</v>
      </c>
      <c r="Z103" s="4">
        <v>19</v>
      </c>
      <c r="AA103" s="4">
        <v>1</v>
      </c>
      <c r="AB103" s="4">
        <v>2</v>
      </c>
      <c r="AD103" s="4">
        <f>VLOOKUP(Z103,Dados!$S$3:$W$55,4,FALSE)</f>
        <v>6032</v>
      </c>
      <c r="AE103" s="4">
        <f t="shared" ref="AE103:AE166" si="128">Y103*X103</f>
        <v>4180</v>
      </c>
      <c r="AF103" s="4">
        <f t="shared" ref="AF103:AF166" si="129">AD103*X103</f>
        <v>66352</v>
      </c>
      <c r="AI103" s="13">
        <f>VLOOKUP(Z103,Dados!$S$3:$V$55,2,FALSE)*VLOOKUP(Z103,Dados!$S$3:$V$55,3,FALSE)*VLOOKUP(Z103,Dados!$S$3:$V$55,4,FALSE)*0.00000785</f>
        <v>70.790043999999995</v>
      </c>
      <c r="AJ103" s="13">
        <f t="shared" ref="AJ103:AJ166" si="130">AI103*X103</f>
        <v>778.69048399999997</v>
      </c>
      <c r="AK103" s="13">
        <f t="shared" ref="AK103:AK166" si="131">(AI103/AD103)*Y103</f>
        <v>4.4595849999999997</v>
      </c>
      <c r="AL103" s="13">
        <f t="shared" ref="AL103:AL166" si="132">AK103*X103</f>
        <v>49.055434999999996</v>
      </c>
      <c r="AW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  <c r="CA103" s="16"/>
      <c r="CD103" s="15"/>
      <c r="CE103" s="15"/>
      <c r="CF103" s="15"/>
      <c r="CG103" s="16"/>
    </row>
    <row r="104" spans="6:125">
      <c r="F104" s="4">
        <v>102</v>
      </c>
      <c r="G104" s="4">
        <v>41</v>
      </c>
      <c r="H104" s="4">
        <v>2</v>
      </c>
      <c r="I104" s="4">
        <v>17</v>
      </c>
      <c r="J104" s="4">
        <v>7</v>
      </c>
      <c r="K104" s="4">
        <f t="shared" si="127"/>
        <v>0</v>
      </c>
      <c r="L104" s="4">
        <f t="shared" si="127"/>
        <v>0</v>
      </c>
      <c r="M104" s="4">
        <f t="shared" si="127"/>
        <v>0</v>
      </c>
      <c r="N104" s="4">
        <f t="shared" si="127"/>
        <v>0</v>
      </c>
      <c r="O104" s="4">
        <f t="shared" si="123"/>
        <v>0</v>
      </c>
      <c r="P104" s="4">
        <f t="shared" si="124"/>
        <v>0</v>
      </c>
      <c r="Q104" s="4">
        <f t="shared" si="125"/>
        <v>0</v>
      </c>
      <c r="R104" s="4">
        <f t="shared" si="126"/>
        <v>0</v>
      </c>
      <c r="S104" s="4">
        <f>IF(AND(VLOOKUP(G104,Dados!$D:$L,2,0)=VLOOKUP(I104,Dados!$S:$V,2,0),VLOOKUP(G104,Dados!$D:$L,3,0)=VLOOKUP(I104,Dados!$S:$V,3,0)),0,1)</f>
        <v>0</v>
      </c>
      <c r="T104" s="4">
        <f>IF(AND(VLOOKUP(G104,Dados!$D:$L,3,0)&lt;=VLOOKUP(H104,Dados!$X:$AB,2,0),VLOOKUP(G104,Dados!$D:$L,4,0)&gt;=VLOOKUP(H104,Dados!$X:$AB,3,0),VLOOKUP(G104,Dados!$D:$L,4,0)&lt;=VLOOKUP(H104,Dados!$X:$AB,4,0)),0,1)</f>
        <v>0</v>
      </c>
      <c r="U104" s="4">
        <f>IF(COUNTIFS(F:F,F104,H:H,H104)&lt;=VLOOKUP(H104,Dados!$X:$AB,5,0),0,1)</f>
        <v>0</v>
      </c>
      <c r="W104" s="4">
        <v>794</v>
      </c>
      <c r="X104" s="4">
        <v>11</v>
      </c>
      <c r="Y104" s="4">
        <v>30</v>
      </c>
      <c r="Z104" s="4">
        <v>19</v>
      </c>
      <c r="AA104" s="4">
        <v>1</v>
      </c>
      <c r="AB104" s="4">
        <v>2</v>
      </c>
      <c r="AD104" s="4">
        <f>VLOOKUP(Z104,Dados!$S$3:$W$55,4,FALSE)</f>
        <v>6032</v>
      </c>
      <c r="AE104" s="4">
        <f t="shared" si="128"/>
        <v>330</v>
      </c>
      <c r="AF104" s="4">
        <f t="shared" si="129"/>
        <v>66352</v>
      </c>
      <c r="AI104" s="13">
        <f>VLOOKUP(Z104,Dados!$S$3:$V$55,2,FALSE)*VLOOKUP(Z104,Dados!$S$3:$V$55,3,FALSE)*VLOOKUP(Z104,Dados!$S$3:$V$55,4,FALSE)*0.00000785</f>
        <v>70.790043999999995</v>
      </c>
      <c r="AJ104" s="13">
        <f t="shared" si="130"/>
        <v>778.69048399999997</v>
      </c>
      <c r="AK104" s="13">
        <f t="shared" si="131"/>
        <v>0.35207250000000001</v>
      </c>
      <c r="AL104" s="13">
        <f t="shared" si="132"/>
        <v>3.8727974999999999</v>
      </c>
      <c r="AW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  <c r="CA104" s="16"/>
      <c r="CD104" s="15"/>
      <c r="CE104" s="15"/>
      <c r="CF104" s="15"/>
      <c r="CG104" s="16"/>
    </row>
    <row r="105" spans="6:125">
      <c r="F105" s="4">
        <v>103</v>
      </c>
      <c r="G105" s="4">
        <v>41</v>
      </c>
      <c r="H105" s="4">
        <v>3</v>
      </c>
      <c r="I105" s="4">
        <v>17</v>
      </c>
      <c r="J105" s="4">
        <v>7</v>
      </c>
      <c r="K105" s="4">
        <f t="shared" si="127"/>
        <v>0</v>
      </c>
      <c r="L105" s="4">
        <f t="shared" si="127"/>
        <v>0</v>
      </c>
      <c r="M105" s="4">
        <f t="shared" si="127"/>
        <v>0</v>
      </c>
      <c r="N105" s="4">
        <f t="shared" si="127"/>
        <v>0</v>
      </c>
      <c r="O105" s="4">
        <f t="shared" si="123"/>
        <v>0</v>
      </c>
      <c r="P105" s="4">
        <f t="shared" si="124"/>
        <v>0</v>
      </c>
      <c r="Q105" s="4">
        <f t="shared" si="125"/>
        <v>0</v>
      </c>
      <c r="R105" s="4">
        <f t="shared" si="126"/>
        <v>0</v>
      </c>
      <c r="S105" s="4">
        <f>IF(AND(VLOOKUP(G105,Dados!$D:$L,2,0)=VLOOKUP(I105,Dados!$S:$V,2,0),VLOOKUP(G105,Dados!$D:$L,3,0)=VLOOKUP(I105,Dados!$S:$V,3,0)),0,1)</f>
        <v>0</v>
      </c>
      <c r="T105" s="4">
        <f>IF(AND(VLOOKUP(G105,Dados!$D:$L,3,0)&lt;=VLOOKUP(H105,Dados!$X:$AB,2,0),VLOOKUP(G105,Dados!$D:$L,4,0)&gt;=VLOOKUP(H105,Dados!$X:$AB,3,0),VLOOKUP(G105,Dados!$D:$L,4,0)&lt;=VLOOKUP(H105,Dados!$X:$AB,4,0)),0,1)</f>
        <v>0</v>
      </c>
      <c r="U105" s="4">
        <f>IF(COUNTIFS(F:F,F105,H:H,H105)&lt;=VLOOKUP(H105,Dados!$X:$AB,5,0),0,1)</f>
        <v>0</v>
      </c>
      <c r="W105" s="4">
        <v>916</v>
      </c>
      <c r="X105" s="4">
        <v>24</v>
      </c>
      <c r="Y105" s="4">
        <v>0</v>
      </c>
      <c r="Z105" s="4">
        <v>19</v>
      </c>
      <c r="AA105" s="4">
        <v>1</v>
      </c>
      <c r="AB105" s="4">
        <v>2</v>
      </c>
      <c r="AD105" s="4">
        <f>VLOOKUP(Z105,Dados!$S$3:$W$55,4,FALSE)</f>
        <v>6032</v>
      </c>
      <c r="AE105" s="4">
        <f t="shared" si="128"/>
        <v>0</v>
      </c>
      <c r="AF105" s="4">
        <f t="shared" si="129"/>
        <v>144768</v>
      </c>
      <c r="AI105" s="13">
        <f>VLOOKUP(Z105,Dados!$S$3:$V$55,2,FALSE)*VLOOKUP(Z105,Dados!$S$3:$V$55,3,FALSE)*VLOOKUP(Z105,Dados!$S$3:$V$55,4,FALSE)*0.00000785</f>
        <v>70.790043999999995</v>
      </c>
      <c r="AJ105" s="13">
        <f t="shared" si="130"/>
        <v>1698.9610559999999</v>
      </c>
      <c r="AK105" s="13">
        <f t="shared" si="131"/>
        <v>0</v>
      </c>
      <c r="AL105" s="13">
        <f t="shared" si="132"/>
        <v>0</v>
      </c>
      <c r="AW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  <c r="CA105" s="16"/>
      <c r="CD105" s="15"/>
      <c r="CE105" s="15"/>
      <c r="CF105" s="15"/>
      <c r="CG105" s="16"/>
    </row>
    <row r="106" spans="6:125">
      <c r="F106" s="4">
        <v>104</v>
      </c>
      <c r="G106" s="4">
        <v>42</v>
      </c>
      <c r="H106" s="4">
        <v>1</v>
      </c>
      <c r="I106" s="4">
        <v>17</v>
      </c>
      <c r="J106" s="4">
        <v>7</v>
      </c>
      <c r="K106" s="4">
        <f t="shared" si="127"/>
        <v>0</v>
      </c>
      <c r="L106" s="4">
        <f t="shared" si="127"/>
        <v>0</v>
      </c>
      <c r="M106" s="4">
        <f t="shared" si="127"/>
        <v>0</v>
      </c>
      <c r="N106" s="4">
        <f t="shared" si="127"/>
        <v>0</v>
      </c>
      <c r="O106" s="4">
        <f t="shared" si="123"/>
        <v>0</v>
      </c>
      <c r="P106" s="4">
        <f t="shared" si="124"/>
        <v>0</v>
      </c>
      <c r="Q106" s="4">
        <f t="shared" si="125"/>
        <v>0</v>
      </c>
      <c r="R106" s="4">
        <f t="shared" si="126"/>
        <v>0</v>
      </c>
      <c r="S106" s="4">
        <f>IF(AND(VLOOKUP(G106,Dados!$D:$L,2,0)=VLOOKUP(I106,Dados!$S:$V,2,0),VLOOKUP(G106,Dados!$D:$L,3,0)=VLOOKUP(I106,Dados!$S:$V,3,0)),0,1)</f>
        <v>0</v>
      </c>
      <c r="T106" s="4">
        <f>IF(AND(VLOOKUP(G106,Dados!$D:$L,3,0)&lt;=VLOOKUP(H106,Dados!$X:$AB,2,0),VLOOKUP(G106,Dados!$D:$L,4,0)&gt;=VLOOKUP(H106,Dados!$X:$AB,3,0),VLOOKUP(G106,Dados!$D:$L,4,0)&lt;=VLOOKUP(H106,Dados!$X:$AB,4,0)),0,1)</f>
        <v>0</v>
      </c>
      <c r="U106" s="4">
        <f>IF(COUNTIFS(F:F,F106,H:H,H106)&lt;=VLOOKUP(H106,Dados!$X:$AB,5,0),0,1)</f>
        <v>0</v>
      </c>
      <c r="W106" s="4">
        <v>632</v>
      </c>
      <c r="X106" s="4">
        <v>3</v>
      </c>
      <c r="Y106" s="4">
        <v>380</v>
      </c>
      <c r="Z106" s="4">
        <v>19</v>
      </c>
      <c r="AA106" s="4">
        <v>3</v>
      </c>
      <c r="AB106" s="4">
        <v>2</v>
      </c>
      <c r="AD106" s="4">
        <f>VLOOKUP(Z106,Dados!$S$3:$W$55,4,FALSE)</f>
        <v>6032</v>
      </c>
      <c r="AE106" s="4">
        <f t="shared" si="128"/>
        <v>1140</v>
      </c>
      <c r="AF106" s="4">
        <f t="shared" si="129"/>
        <v>18096</v>
      </c>
      <c r="AI106" s="13">
        <f>VLOOKUP(Z106,Dados!$S$3:$V$55,2,FALSE)*VLOOKUP(Z106,Dados!$S$3:$V$55,3,FALSE)*VLOOKUP(Z106,Dados!$S$3:$V$55,4,FALSE)*0.00000785</f>
        <v>70.790043999999995</v>
      </c>
      <c r="AJ106" s="13">
        <f t="shared" si="130"/>
        <v>212.37013199999998</v>
      </c>
      <c r="AK106" s="13">
        <f t="shared" si="131"/>
        <v>4.4595849999999997</v>
      </c>
      <c r="AL106" s="13">
        <f t="shared" si="132"/>
        <v>13.378754999999998</v>
      </c>
      <c r="AW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  <c r="CA106" s="16"/>
      <c r="CD106" s="15"/>
      <c r="CE106" s="15"/>
      <c r="CF106" s="15"/>
      <c r="CG106" s="16"/>
    </row>
    <row r="107" spans="6:125">
      <c r="F107" s="4">
        <v>105</v>
      </c>
      <c r="G107" s="4">
        <v>42</v>
      </c>
      <c r="H107" s="4">
        <v>2</v>
      </c>
      <c r="I107" s="4">
        <v>17</v>
      </c>
      <c r="J107" s="4">
        <v>7</v>
      </c>
      <c r="K107" s="4">
        <f t="shared" si="127"/>
        <v>0</v>
      </c>
      <c r="L107" s="4">
        <f t="shared" si="127"/>
        <v>0</v>
      </c>
      <c r="M107" s="4">
        <f t="shared" si="127"/>
        <v>0</v>
      </c>
      <c r="N107" s="4">
        <f t="shared" si="127"/>
        <v>0</v>
      </c>
      <c r="O107" s="4">
        <f t="shared" si="123"/>
        <v>0</v>
      </c>
      <c r="P107" s="4">
        <f t="shared" si="124"/>
        <v>0</v>
      </c>
      <c r="Q107" s="4">
        <f t="shared" si="125"/>
        <v>0</v>
      </c>
      <c r="R107" s="4">
        <f t="shared" si="126"/>
        <v>0</v>
      </c>
      <c r="S107" s="4">
        <f>IF(AND(VLOOKUP(G107,Dados!$D:$L,2,0)=VLOOKUP(I107,Dados!$S:$V,2,0),VLOOKUP(G107,Dados!$D:$L,3,0)=VLOOKUP(I107,Dados!$S:$V,3,0)),0,1)</f>
        <v>0</v>
      </c>
      <c r="T107" s="4">
        <f>IF(AND(VLOOKUP(G107,Dados!$D:$L,3,0)&lt;=VLOOKUP(H107,Dados!$X:$AB,2,0),VLOOKUP(G107,Dados!$D:$L,4,0)&gt;=VLOOKUP(H107,Dados!$X:$AB,3,0),VLOOKUP(G107,Dados!$D:$L,4,0)&lt;=VLOOKUP(H107,Dados!$X:$AB,4,0)),0,1)</f>
        <v>0</v>
      </c>
      <c r="U107" s="4">
        <f>IF(COUNTIFS(F:F,F107,H:H,H107)&lt;=VLOOKUP(H107,Dados!$X:$AB,5,0),0,1)</f>
        <v>0</v>
      </c>
      <c r="W107" s="4">
        <v>130</v>
      </c>
      <c r="X107" s="4">
        <v>1</v>
      </c>
      <c r="Y107" s="4">
        <v>186</v>
      </c>
      <c r="Z107" s="4">
        <v>20</v>
      </c>
      <c r="AA107" s="4">
        <v>1</v>
      </c>
      <c r="AB107" s="4">
        <v>2</v>
      </c>
      <c r="AD107" s="4">
        <f>VLOOKUP(Z107,Dados!$S$3:$W$55,4,FALSE)</f>
        <v>5418</v>
      </c>
      <c r="AE107" s="4">
        <f t="shared" si="128"/>
        <v>186</v>
      </c>
      <c r="AF107" s="4">
        <f t="shared" si="129"/>
        <v>5418</v>
      </c>
      <c r="AI107" s="13">
        <f>VLOOKUP(Z107,Dados!$S$3:$V$55,2,FALSE)*VLOOKUP(Z107,Dados!$S$3:$V$55,3,FALSE)*VLOOKUP(Z107,Dados!$S$3:$V$55,4,FALSE)*0.00000785</f>
        <v>82.93603499999999</v>
      </c>
      <c r="AJ107" s="13">
        <f t="shared" si="130"/>
        <v>82.93603499999999</v>
      </c>
      <c r="AK107" s="13">
        <f t="shared" si="131"/>
        <v>2.8471949999999997</v>
      </c>
      <c r="AL107" s="13">
        <f t="shared" si="132"/>
        <v>2.8471949999999997</v>
      </c>
      <c r="AW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  <c r="CA107" s="16"/>
      <c r="CD107" s="15"/>
      <c r="CE107" s="15"/>
      <c r="CF107" s="15"/>
      <c r="CG107" s="16"/>
    </row>
    <row r="108" spans="6:125">
      <c r="F108" s="4">
        <v>106</v>
      </c>
      <c r="G108" s="4">
        <v>42</v>
      </c>
      <c r="H108" s="4">
        <v>3</v>
      </c>
      <c r="I108" s="4">
        <v>17</v>
      </c>
      <c r="J108" s="4">
        <v>7</v>
      </c>
      <c r="K108" s="4">
        <f t="shared" si="127"/>
        <v>0</v>
      </c>
      <c r="L108" s="4">
        <f t="shared" si="127"/>
        <v>0</v>
      </c>
      <c r="M108" s="4">
        <f t="shared" si="127"/>
        <v>0</v>
      </c>
      <c r="N108" s="4">
        <f t="shared" si="127"/>
        <v>0</v>
      </c>
      <c r="O108" s="4">
        <f t="shared" si="123"/>
        <v>0</v>
      </c>
      <c r="P108" s="4">
        <f t="shared" si="124"/>
        <v>0</v>
      </c>
      <c r="Q108" s="4">
        <f t="shared" si="125"/>
        <v>0</v>
      </c>
      <c r="R108" s="4">
        <f t="shared" si="126"/>
        <v>0</v>
      </c>
      <c r="S108" s="4">
        <f>IF(AND(VLOOKUP(G108,Dados!$D:$L,2,0)=VLOOKUP(I108,Dados!$S:$V,2,0),VLOOKUP(G108,Dados!$D:$L,3,0)=VLOOKUP(I108,Dados!$S:$V,3,0)),0,1)</f>
        <v>0</v>
      </c>
      <c r="T108" s="4">
        <f>IF(AND(VLOOKUP(G108,Dados!$D:$L,3,0)&lt;=VLOOKUP(H108,Dados!$X:$AB,2,0),VLOOKUP(G108,Dados!$D:$L,4,0)&gt;=VLOOKUP(H108,Dados!$X:$AB,3,0),VLOOKUP(G108,Dados!$D:$L,4,0)&lt;=VLOOKUP(H108,Dados!$X:$AB,4,0)),0,1)</f>
        <v>0</v>
      </c>
      <c r="U108" s="4">
        <f>IF(COUNTIFS(F:F,F108,H:H,H108)&lt;=VLOOKUP(H108,Dados!$X:$AB,5,0),0,1)</f>
        <v>0</v>
      </c>
      <c r="W108" s="4">
        <v>140</v>
      </c>
      <c r="X108" s="4">
        <v>1</v>
      </c>
      <c r="Y108" s="4">
        <v>161</v>
      </c>
      <c r="Z108" s="4">
        <v>20</v>
      </c>
      <c r="AA108" s="4">
        <v>1</v>
      </c>
      <c r="AB108" s="4">
        <v>2</v>
      </c>
      <c r="AD108" s="4">
        <f>VLOOKUP(Z108,Dados!$S$3:$W$55,4,FALSE)</f>
        <v>5418</v>
      </c>
      <c r="AE108" s="4">
        <f t="shared" si="128"/>
        <v>161</v>
      </c>
      <c r="AF108" s="4">
        <f t="shared" si="129"/>
        <v>5418</v>
      </c>
      <c r="AI108" s="13">
        <f>VLOOKUP(Z108,Dados!$S$3:$V$55,2,FALSE)*VLOOKUP(Z108,Dados!$S$3:$V$55,3,FALSE)*VLOOKUP(Z108,Dados!$S$3:$V$55,4,FALSE)*0.00000785</f>
        <v>82.93603499999999</v>
      </c>
      <c r="AJ108" s="13">
        <f t="shared" si="130"/>
        <v>82.93603499999999</v>
      </c>
      <c r="AK108" s="13">
        <f t="shared" si="131"/>
        <v>2.4645074999999999</v>
      </c>
      <c r="AL108" s="13">
        <f t="shared" si="132"/>
        <v>2.4645074999999999</v>
      </c>
      <c r="AW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  <c r="BZ108" s="15"/>
      <c r="CA108" s="16"/>
      <c r="CD108" s="15"/>
      <c r="CE108" s="15"/>
      <c r="CF108" s="15"/>
      <c r="CG108" s="16"/>
    </row>
    <row r="109" spans="6:125">
      <c r="F109" s="4">
        <v>107</v>
      </c>
      <c r="G109" s="4">
        <v>43</v>
      </c>
      <c r="H109" s="4">
        <v>1</v>
      </c>
      <c r="I109" s="4">
        <v>17</v>
      </c>
      <c r="J109" s="4">
        <v>9</v>
      </c>
      <c r="K109" s="4">
        <f t="shared" si="127"/>
        <v>0</v>
      </c>
      <c r="L109" s="4">
        <f t="shared" si="127"/>
        <v>0</v>
      </c>
      <c r="M109" s="4">
        <f t="shared" si="127"/>
        <v>0</v>
      </c>
      <c r="N109" s="4">
        <f t="shared" si="127"/>
        <v>0</v>
      </c>
      <c r="O109" s="4">
        <f t="shared" si="123"/>
        <v>0</v>
      </c>
      <c r="P109" s="4">
        <f t="shared" si="124"/>
        <v>0</v>
      </c>
      <c r="Q109" s="4">
        <f t="shared" si="125"/>
        <v>0</v>
      </c>
      <c r="R109" s="4">
        <f t="shared" si="126"/>
        <v>0</v>
      </c>
      <c r="S109" s="4">
        <f>IF(AND(VLOOKUP(G109,Dados!$D:$L,2,0)=VLOOKUP(I109,Dados!$S:$V,2,0),VLOOKUP(G109,Dados!$D:$L,3,0)=VLOOKUP(I109,Dados!$S:$V,3,0)),0,1)</f>
        <v>0</v>
      </c>
      <c r="T109" s="4">
        <f>IF(AND(VLOOKUP(G109,Dados!$D:$L,3,0)&lt;=VLOOKUP(H109,Dados!$X:$AB,2,0),VLOOKUP(G109,Dados!$D:$L,4,0)&gt;=VLOOKUP(H109,Dados!$X:$AB,3,0),VLOOKUP(G109,Dados!$D:$L,4,0)&lt;=VLOOKUP(H109,Dados!$X:$AB,4,0)),0,1)</f>
        <v>0</v>
      </c>
      <c r="U109" s="4">
        <f>IF(COUNTIFS(F:F,F109,H:H,H109)&lt;=VLOOKUP(H109,Dados!$X:$AB,5,0),0,1)</f>
        <v>0</v>
      </c>
      <c r="W109" s="4">
        <v>220</v>
      </c>
      <c r="X109" s="4">
        <v>14</v>
      </c>
      <c r="Y109" s="4">
        <v>89</v>
      </c>
      <c r="Z109" s="4">
        <v>20</v>
      </c>
      <c r="AA109" s="4">
        <v>1</v>
      </c>
      <c r="AB109" s="4">
        <v>2</v>
      </c>
      <c r="AD109" s="4">
        <f>VLOOKUP(Z109,Dados!$S$3:$W$55,4,FALSE)</f>
        <v>5418</v>
      </c>
      <c r="AE109" s="4">
        <f t="shared" si="128"/>
        <v>1246</v>
      </c>
      <c r="AF109" s="4">
        <f t="shared" si="129"/>
        <v>75852</v>
      </c>
      <c r="AI109" s="13">
        <f>VLOOKUP(Z109,Dados!$S$3:$V$55,2,FALSE)*VLOOKUP(Z109,Dados!$S$3:$V$55,3,FALSE)*VLOOKUP(Z109,Dados!$S$3:$V$55,4,FALSE)*0.00000785</f>
        <v>82.93603499999999</v>
      </c>
      <c r="AJ109" s="13">
        <f t="shared" si="130"/>
        <v>1161.1044899999999</v>
      </c>
      <c r="AK109" s="13">
        <f t="shared" si="131"/>
        <v>1.3623674999999997</v>
      </c>
      <c r="AL109" s="13">
        <f t="shared" si="132"/>
        <v>19.073144999999997</v>
      </c>
      <c r="AW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  <c r="BZ109" s="15"/>
      <c r="CA109" s="16"/>
      <c r="CD109" s="15"/>
      <c r="CE109" s="15"/>
      <c r="CF109" s="15"/>
      <c r="CG109" s="16"/>
    </row>
    <row r="110" spans="6:125">
      <c r="F110" s="4">
        <v>108</v>
      </c>
      <c r="G110" s="4">
        <v>43</v>
      </c>
      <c r="H110" s="4">
        <v>2</v>
      </c>
      <c r="I110" s="4">
        <v>17</v>
      </c>
      <c r="J110" s="4">
        <v>9</v>
      </c>
      <c r="K110" s="4">
        <f t="shared" si="127"/>
        <v>0</v>
      </c>
      <c r="L110" s="4">
        <f t="shared" si="127"/>
        <v>0</v>
      </c>
      <c r="M110" s="4">
        <f t="shared" si="127"/>
        <v>0</v>
      </c>
      <c r="N110" s="4">
        <f t="shared" si="127"/>
        <v>0</v>
      </c>
      <c r="O110" s="4">
        <f t="shared" si="123"/>
        <v>0</v>
      </c>
      <c r="P110" s="4">
        <f t="shared" si="124"/>
        <v>0</v>
      </c>
      <c r="Q110" s="4">
        <f t="shared" si="125"/>
        <v>0</v>
      </c>
      <c r="R110" s="4">
        <f t="shared" si="126"/>
        <v>0</v>
      </c>
      <c r="S110" s="4">
        <f>IF(AND(VLOOKUP(G110,Dados!$D:$L,2,0)=VLOOKUP(I110,Dados!$S:$V,2,0),VLOOKUP(G110,Dados!$D:$L,3,0)=VLOOKUP(I110,Dados!$S:$V,3,0)),0,1)</f>
        <v>0</v>
      </c>
      <c r="T110" s="4">
        <f>IF(AND(VLOOKUP(G110,Dados!$D:$L,3,0)&lt;=VLOOKUP(H110,Dados!$X:$AB,2,0),VLOOKUP(G110,Dados!$D:$L,4,0)&gt;=VLOOKUP(H110,Dados!$X:$AB,3,0),VLOOKUP(G110,Dados!$D:$L,4,0)&lt;=VLOOKUP(H110,Dados!$X:$AB,4,0)),0,1)</f>
        <v>0</v>
      </c>
      <c r="U110" s="4">
        <f>IF(COUNTIFS(F:F,F110,H:H,H110)&lt;=VLOOKUP(H110,Dados!$X:$AB,5,0),0,1)</f>
        <v>0</v>
      </c>
      <c r="W110" s="4">
        <v>633</v>
      </c>
      <c r="X110" s="4">
        <v>1</v>
      </c>
      <c r="Y110" s="4">
        <v>16</v>
      </c>
      <c r="Z110" s="4">
        <v>20</v>
      </c>
      <c r="AA110" s="4">
        <v>1</v>
      </c>
      <c r="AB110" s="4">
        <v>2</v>
      </c>
      <c r="AD110" s="4">
        <f>VLOOKUP(Z110,Dados!$S$3:$W$55,4,FALSE)</f>
        <v>5418</v>
      </c>
      <c r="AE110" s="4">
        <f t="shared" si="128"/>
        <v>16</v>
      </c>
      <c r="AF110" s="4">
        <f t="shared" si="129"/>
        <v>5418</v>
      </c>
      <c r="AI110" s="13">
        <f>VLOOKUP(Z110,Dados!$S$3:$V$55,2,FALSE)*VLOOKUP(Z110,Dados!$S$3:$V$55,3,FALSE)*VLOOKUP(Z110,Dados!$S$3:$V$55,4,FALSE)*0.00000785</f>
        <v>82.93603499999999</v>
      </c>
      <c r="AJ110" s="13">
        <f t="shared" si="130"/>
        <v>82.93603499999999</v>
      </c>
      <c r="AK110" s="13">
        <f t="shared" si="131"/>
        <v>0.24491999999999997</v>
      </c>
      <c r="AL110" s="13">
        <f t="shared" si="132"/>
        <v>0.24491999999999997</v>
      </c>
      <c r="AW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  <c r="CA110" s="16"/>
      <c r="CD110" s="15"/>
      <c r="CE110" s="15"/>
      <c r="CF110" s="15"/>
      <c r="CG110" s="16"/>
    </row>
    <row r="111" spans="6:125">
      <c r="F111" s="4">
        <v>109</v>
      </c>
      <c r="G111" s="4">
        <v>43</v>
      </c>
      <c r="H111" s="4">
        <v>3</v>
      </c>
      <c r="I111" s="4">
        <v>17</v>
      </c>
      <c r="J111" s="4">
        <v>9</v>
      </c>
      <c r="K111" s="4">
        <f t="shared" si="127"/>
        <v>3</v>
      </c>
      <c r="L111" s="4">
        <f t="shared" si="127"/>
        <v>0</v>
      </c>
      <c r="M111" s="4">
        <f t="shared" si="127"/>
        <v>0</v>
      </c>
      <c r="N111" s="4">
        <f t="shared" si="127"/>
        <v>0</v>
      </c>
      <c r="O111" s="4">
        <f t="shared" si="123"/>
        <v>27</v>
      </c>
      <c r="P111" s="4">
        <f t="shared" si="124"/>
        <v>0</v>
      </c>
      <c r="Q111" s="4">
        <f t="shared" si="125"/>
        <v>0</v>
      </c>
      <c r="R111" s="4">
        <f t="shared" si="126"/>
        <v>0</v>
      </c>
      <c r="S111" s="4">
        <f>IF(AND(VLOOKUP(G111,Dados!$D:$L,2,0)=VLOOKUP(I111,Dados!$S:$V,2,0),VLOOKUP(G111,Dados!$D:$L,3,0)=VLOOKUP(I111,Dados!$S:$V,3,0)),0,1)</f>
        <v>0</v>
      </c>
      <c r="T111" s="4">
        <f>IF(AND(VLOOKUP(G111,Dados!$D:$L,3,0)&lt;=VLOOKUP(H111,Dados!$X:$AB,2,0),VLOOKUP(G111,Dados!$D:$L,4,0)&gt;=VLOOKUP(H111,Dados!$X:$AB,3,0),VLOOKUP(G111,Dados!$D:$L,4,0)&lt;=VLOOKUP(H111,Dados!$X:$AB,4,0)),0,1)</f>
        <v>0</v>
      </c>
      <c r="U111" s="4">
        <f>IF(COUNTIFS(F:F,F111,H:H,H111)&lt;=VLOOKUP(H111,Dados!$X:$AB,5,0),0,1)</f>
        <v>0</v>
      </c>
      <c r="W111" s="4">
        <v>683</v>
      </c>
      <c r="X111" s="4">
        <v>6</v>
      </c>
      <c r="Y111" s="4">
        <v>41</v>
      </c>
      <c r="Z111" s="4">
        <v>20</v>
      </c>
      <c r="AA111" s="4">
        <v>1</v>
      </c>
      <c r="AB111" s="4">
        <v>2</v>
      </c>
      <c r="AD111" s="4">
        <f>VLOOKUP(Z111,Dados!$S$3:$W$55,4,FALSE)</f>
        <v>5418</v>
      </c>
      <c r="AE111" s="4">
        <f t="shared" si="128"/>
        <v>246</v>
      </c>
      <c r="AF111" s="4">
        <f t="shared" si="129"/>
        <v>32508</v>
      </c>
      <c r="AI111" s="13">
        <f>VLOOKUP(Z111,Dados!$S$3:$V$55,2,FALSE)*VLOOKUP(Z111,Dados!$S$3:$V$55,3,FALSE)*VLOOKUP(Z111,Dados!$S$3:$V$55,4,FALSE)*0.00000785</f>
        <v>82.93603499999999</v>
      </c>
      <c r="AJ111" s="13">
        <f t="shared" si="130"/>
        <v>497.61620999999991</v>
      </c>
      <c r="AK111" s="13">
        <f t="shared" si="131"/>
        <v>0.62760749999999987</v>
      </c>
      <c r="AL111" s="13">
        <f t="shared" si="132"/>
        <v>3.7656449999999992</v>
      </c>
      <c r="AW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  <c r="BZ111" s="15"/>
      <c r="CA111" s="16"/>
      <c r="CD111" s="15"/>
      <c r="CE111" s="15"/>
      <c r="CF111" s="15"/>
      <c r="CG111" s="16"/>
    </row>
    <row r="112" spans="6:125">
      <c r="F112" s="4">
        <v>110</v>
      </c>
      <c r="G112" s="4">
        <v>44</v>
      </c>
      <c r="H112" s="4">
        <v>1</v>
      </c>
      <c r="I112" s="4">
        <v>17</v>
      </c>
      <c r="J112" s="4">
        <v>10</v>
      </c>
      <c r="K112" s="4">
        <f t="shared" si="127"/>
        <v>0</v>
      </c>
      <c r="L112" s="4">
        <f t="shared" si="127"/>
        <v>0</v>
      </c>
      <c r="M112" s="4">
        <f t="shared" si="127"/>
        <v>0</v>
      </c>
      <c r="N112" s="4">
        <f t="shared" si="127"/>
        <v>0</v>
      </c>
      <c r="O112" s="4">
        <f t="shared" si="123"/>
        <v>0</v>
      </c>
      <c r="P112" s="4">
        <f t="shared" si="124"/>
        <v>0</v>
      </c>
      <c r="Q112" s="4">
        <f t="shared" si="125"/>
        <v>0</v>
      </c>
      <c r="R112" s="4">
        <f t="shared" si="126"/>
        <v>0</v>
      </c>
      <c r="S112" s="4">
        <f>IF(AND(VLOOKUP(G112,Dados!$D:$L,2,0)=VLOOKUP(I112,Dados!$S:$V,2,0),VLOOKUP(G112,Dados!$D:$L,3,0)=VLOOKUP(I112,Dados!$S:$V,3,0)),0,1)</f>
        <v>0</v>
      </c>
      <c r="T112" s="4">
        <f>IF(AND(VLOOKUP(G112,Dados!$D:$L,3,0)&lt;=VLOOKUP(H112,Dados!$X:$AB,2,0),VLOOKUP(G112,Dados!$D:$L,4,0)&gt;=VLOOKUP(H112,Dados!$X:$AB,3,0),VLOOKUP(G112,Dados!$D:$L,4,0)&lt;=VLOOKUP(H112,Dados!$X:$AB,4,0)),0,1)</f>
        <v>0</v>
      </c>
      <c r="U112" s="4">
        <f>IF(COUNTIFS(F:F,F112,H:H,H112)&lt;=VLOOKUP(H112,Dados!$X:$AB,5,0),0,1)</f>
        <v>0</v>
      </c>
      <c r="W112" s="4">
        <v>843</v>
      </c>
      <c r="X112" s="4">
        <v>2</v>
      </c>
      <c r="Y112" s="4">
        <v>92</v>
      </c>
      <c r="Z112" s="4">
        <v>20</v>
      </c>
      <c r="AA112" s="4">
        <v>1</v>
      </c>
      <c r="AB112" s="4">
        <v>2</v>
      </c>
      <c r="AD112" s="4">
        <f>VLOOKUP(Z112,Dados!$S$3:$W$55,4,FALSE)</f>
        <v>5418</v>
      </c>
      <c r="AE112" s="4">
        <f t="shared" si="128"/>
        <v>184</v>
      </c>
      <c r="AF112" s="4">
        <f t="shared" si="129"/>
        <v>10836</v>
      </c>
      <c r="AI112" s="13">
        <f>VLOOKUP(Z112,Dados!$S$3:$V$55,2,FALSE)*VLOOKUP(Z112,Dados!$S$3:$V$55,3,FALSE)*VLOOKUP(Z112,Dados!$S$3:$V$55,4,FALSE)*0.00000785</f>
        <v>82.93603499999999</v>
      </c>
      <c r="AJ112" s="13">
        <f t="shared" si="130"/>
        <v>165.87206999999998</v>
      </c>
      <c r="AK112" s="13">
        <f t="shared" si="131"/>
        <v>1.4082899999999998</v>
      </c>
      <c r="AL112" s="13">
        <f t="shared" si="132"/>
        <v>2.8165799999999996</v>
      </c>
      <c r="AW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  <c r="BZ112" s="15"/>
      <c r="CA112" s="16"/>
      <c r="CD112" s="15"/>
      <c r="CE112" s="15"/>
      <c r="CF112" s="15"/>
      <c r="CG112" s="16"/>
    </row>
    <row r="113" spans="6:85">
      <c r="F113" s="4">
        <v>111</v>
      </c>
      <c r="G113" s="4">
        <v>44</v>
      </c>
      <c r="H113" s="4">
        <v>2</v>
      </c>
      <c r="I113" s="4">
        <v>17</v>
      </c>
      <c r="J113" s="4">
        <v>10</v>
      </c>
      <c r="K113" s="4">
        <f t="shared" si="127"/>
        <v>0</v>
      </c>
      <c r="L113" s="4">
        <f t="shared" si="127"/>
        <v>0</v>
      </c>
      <c r="M113" s="4">
        <f t="shared" si="127"/>
        <v>0</v>
      </c>
      <c r="N113" s="4">
        <f t="shared" si="127"/>
        <v>0</v>
      </c>
      <c r="O113" s="4">
        <f t="shared" si="123"/>
        <v>0</v>
      </c>
      <c r="P113" s="4">
        <f t="shared" si="124"/>
        <v>0</v>
      </c>
      <c r="Q113" s="4">
        <f t="shared" si="125"/>
        <v>0</v>
      </c>
      <c r="R113" s="4">
        <f t="shared" si="126"/>
        <v>0</v>
      </c>
      <c r="S113" s="4">
        <f>IF(AND(VLOOKUP(G113,Dados!$D:$L,2,0)=VLOOKUP(I113,Dados!$S:$V,2,0),VLOOKUP(G113,Dados!$D:$L,3,0)=VLOOKUP(I113,Dados!$S:$V,3,0)),0,1)</f>
        <v>0</v>
      </c>
      <c r="T113" s="4">
        <f>IF(AND(VLOOKUP(G113,Dados!$D:$L,3,0)&lt;=VLOOKUP(H113,Dados!$X:$AB,2,0),VLOOKUP(G113,Dados!$D:$L,4,0)&gt;=VLOOKUP(H113,Dados!$X:$AB,3,0),VLOOKUP(G113,Dados!$D:$L,4,0)&lt;=VLOOKUP(H113,Dados!$X:$AB,4,0)),0,1)</f>
        <v>0</v>
      </c>
      <c r="U113" s="4">
        <f>IF(COUNTIFS(F:F,F113,H:H,H113)&lt;=VLOOKUP(H113,Dados!$X:$AB,5,0),0,1)</f>
        <v>0</v>
      </c>
      <c r="W113" s="4">
        <v>221</v>
      </c>
      <c r="X113" s="4">
        <v>5</v>
      </c>
      <c r="Y113" s="4">
        <v>89</v>
      </c>
      <c r="Z113" s="4">
        <v>20</v>
      </c>
      <c r="AA113" s="4">
        <v>3</v>
      </c>
      <c r="AB113" s="4">
        <v>2</v>
      </c>
      <c r="AD113" s="4">
        <f>VLOOKUP(Z113,Dados!$S$3:$W$55,4,FALSE)</f>
        <v>5418</v>
      </c>
      <c r="AE113" s="4">
        <f t="shared" si="128"/>
        <v>445</v>
      </c>
      <c r="AF113" s="4">
        <f t="shared" si="129"/>
        <v>27090</v>
      </c>
      <c r="AI113" s="13">
        <f>VLOOKUP(Z113,Dados!$S$3:$V$55,2,FALSE)*VLOOKUP(Z113,Dados!$S$3:$V$55,3,FALSE)*VLOOKUP(Z113,Dados!$S$3:$V$55,4,FALSE)*0.00000785</f>
        <v>82.93603499999999</v>
      </c>
      <c r="AJ113" s="13">
        <f t="shared" si="130"/>
        <v>414.68017499999996</v>
      </c>
      <c r="AK113" s="13">
        <f t="shared" si="131"/>
        <v>1.3623674999999997</v>
      </c>
      <c r="AL113" s="13">
        <f t="shared" si="132"/>
        <v>6.8118374999999984</v>
      </c>
      <c r="AW113" s="15"/>
      <c r="AX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  <c r="CA113" s="16"/>
      <c r="CD113" s="15"/>
      <c r="CE113" s="15"/>
      <c r="CF113" s="15"/>
      <c r="CG113" s="16"/>
    </row>
    <row r="114" spans="6:85">
      <c r="F114" s="4">
        <v>112</v>
      </c>
      <c r="G114" s="4">
        <v>44</v>
      </c>
      <c r="H114" s="4">
        <v>3</v>
      </c>
      <c r="I114" s="4">
        <v>17</v>
      </c>
      <c r="J114" s="4">
        <v>10</v>
      </c>
      <c r="K114" s="4">
        <f t="shared" si="127"/>
        <v>0</v>
      </c>
      <c r="L114" s="4">
        <f t="shared" si="127"/>
        <v>0</v>
      </c>
      <c r="M114" s="4">
        <f t="shared" si="127"/>
        <v>0</v>
      </c>
      <c r="N114" s="4">
        <f t="shared" si="127"/>
        <v>0</v>
      </c>
      <c r="O114" s="4">
        <f t="shared" si="123"/>
        <v>0</v>
      </c>
      <c r="P114" s="4">
        <f t="shared" si="124"/>
        <v>0</v>
      </c>
      <c r="Q114" s="4">
        <f t="shared" si="125"/>
        <v>0</v>
      </c>
      <c r="R114" s="4">
        <f t="shared" si="126"/>
        <v>0</v>
      </c>
      <c r="S114" s="4">
        <f>IF(AND(VLOOKUP(G114,Dados!$D:$L,2,0)=VLOOKUP(I114,Dados!$S:$V,2,0),VLOOKUP(G114,Dados!$D:$L,3,0)=VLOOKUP(I114,Dados!$S:$V,3,0)),0,1)</f>
        <v>0</v>
      </c>
      <c r="T114" s="4">
        <f>IF(AND(VLOOKUP(G114,Dados!$D:$L,3,0)&lt;=VLOOKUP(H114,Dados!$X:$AB,2,0),VLOOKUP(G114,Dados!$D:$L,4,0)&gt;=VLOOKUP(H114,Dados!$X:$AB,3,0),VLOOKUP(G114,Dados!$D:$L,4,0)&lt;=VLOOKUP(H114,Dados!$X:$AB,4,0)),0,1)</f>
        <v>0</v>
      </c>
      <c r="U114" s="4">
        <f>IF(COUNTIFS(F:F,F114,H:H,H114)&lt;=VLOOKUP(H114,Dados!$X:$AB,5,0),0,1)</f>
        <v>0</v>
      </c>
      <c r="W114" s="4">
        <v>292</v>
      </c>
      <c r="X114" s="4">
        <v>1</v>
      </c>
      <c r="Y114" s="4">
        <v>3</v>
      </c>
      <c r="Z114" s="4">
        <v>20</v>
      </c>
      <c r="AA114" s="4">
        <v>3</v>
      </c>
      <c r="AB114" s="4">
        <v>2</v>
      </c>
      <c r="AD114" s="4">
        <f>VLOOKUP(Z114,Dados!$S$3:$W$55,4,FALSE)</f>
        <v>5418</v>
      </c>
      <c r="AE114" s="4">
        <f t="shared" si="128"/>
        <v>3</v>
      </c>
      <c r="AF114" s="4">
        <f t="shared" si="129"/>
        <v>5418</v>
      </c>
      <c r="AI114" s="13">
        <f>VLOOKUP(Z114,Dados!$S$3:$V$55,2,FALSE)*VLOOKUP(Z114,Dados!$S$3:$V$55,3,FALSE)*VLOOKUP(Z114,Dados!$S$3:$V$55,4,FALSE)*0.00000785</f>
        <v>82.93603499999999</v>
      </c>
      <c r="AJ114" s="13">
        <f t="shared" si="130"/>
        <v>82.93603499999999</v>
      </c>
      <c r="AK114" s="13">
        <f t="shared" si="131"/>
        <v>4.5922499999999991E-2</v>
      </c>
      <c r="AL114" s="13">
        <f t="shared" si="132"/>
        <v>4.5922499999999991E-2</v>
      </c>
      <c r="AW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  <c r="BZ114" s="15"/>
      <c r="CA114" s="16"/>
      <c r="CD114" s="15"/>
      <c r="CE114" s="15"/>
      <c r="CF114" s="15"/>
      <c r="CG114" s="16"/>
    </row>
    <row r="115" spans="6:85">
      <c r="F115" s="4">
        <v>113</v>
      </c>
      <c r="G115" s="4">
        <v>45</v>
      </c>
      <c r="H115" s="4">
        <v>1</v>
      </c>
      <c r="I115" s="4">
        <v>17</v>
      </c>
      <c r="J115" s="4">
        <v>9</v>
      </c>
      <c r="K115" s="4">
        <f t="shared" si="127"/>
        <v>1</v>
      </c>
      <c r="L115" s="4">
        <f t="shared" si="127"/>
        <v>0</v>
      </c>
      <c r="M115" s="4">
        <f t="shared" si="127"/>
        <v>0</v>
      </c>
      <c r="N115" s="4">
        <f t="shared" si="127"/>
        <v>0</v>
      </c>
      <c r="O115" s="4">
        <f t="shared" si="123"/>
        <v>9</v>
      </c>
      <c r="P115" s="4">
        <f t="shared" si="124"/>
        <v>0</v>
      </c>
      <c r="Q115" s="4">
        <f t="shared" si="125"/>
        <v>0</v>
      </c>
      <c r="R115" s="4">
        <f t="shared" si="126"/>
        <v>0</v>
      </c>
      <c r="S115" s="4">
        <f>IF(AND(VLOOKUP(G115,Dados!$D:$L,2,0)=VLOOKUP(I115,Dados!$S:$V,2,0),VLOOKUP(G115,Dados!$D:$L,3,0)=VLOOKUP(I115,Dados!$S:$V,3,0)),0,1)</f>
        <v>0</v>
      </c>
      <c r="T115" s="4">
        <f>IF(AND(VLOOKUP(G115,Dados!$D:$L,3,0)&lt;=VLOOKUP(H115,Dados!$X:$AB,2,0),VLOOKUP(G115,Dados!$D:$L,4,0)&gt;=VLOOKUP(H115,Dados!$X:$AB,3,0),VLOOKUP(G115,Dados!$D:$L,4,0)&lt;=VLOOKUP(H115,Dados!$X:$AB,4,0)),0,1)</f>
        <v>0</v>
      </c>
      <c r="U115" s="4">
        <f>IF(COUNTIFS(F:F,F115,H:H,H115)&lt;=VLOOKUP(H115,Dados!$X:$AB,5,0),0,1)</f>
        <v>0</v>
      </c>
      <c r="W115" s="4">
        <v>505</v>
      </c>
      <c r="X115" s="4">
        <v>1</v>
      </c>
      <c r="Y115" s="4">
        <v>2</v>
      </c>
      <c r="Z115" s="4">
        <v>20</v>
      </c>
      <c r="AA115" s="4">
        <v>3</v>
      </c>
      <c r="AB115" s="4">
        <v>2</v>
      </c>
      <c r="AD115" s="4">
        <f>VLOOKUP(Z115,Dados!$S$3:$W$55,4,FALSE)</f>
        <v>5418</v>
      </c>
      <c r="AE115" s="4">
        <f t="shared" si="128"/>
        <v>2</v>
      </c>
      <c r="AF115" s="4">
        <f t="shared" si="129"/>
        <v>5418</v>
      </c>
      <c r="AI115" s="13">
        <f>VLOOKUP(Z115,Dados!$S$3:$V$55,2,FALSE)*VLOOKUP(Z115,Dados!$S$3:$V$55,3,FALSE)*VLOOKUP(Z115,Dados!$S$3:$V$55,4,FALSE)*0.00000785</f>
        <v>82.93603499999999</v>
      </c>
      <c r="AJ115" s="13">
        <f t="shared" si="130"/>
        <v>82.93603499999999</v>
      </c>
      <c r="AK115" s="13">
        <f t="shared" si="131"/>
        <v>3.0614999999999996E-2</v>
      </c>
      <c r="AL115" s="13">
        <f t="shared" si="132"/>
        <v>3.0614999999999996E-2</v>
      </c>
      <c r="AW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  <c r="BZ115" s="15"/>
      <c r="CA115" s="16"/>
      <c r="CD115" s="15"/>
      <c r="CE115" s="15"/>
      <c r="CF115" s="15"/>
      <c r="CG115" s="16"/>
    </row>
    <row r="116" spans="6:85">
      <c r="F116" s="4">
        <v>114</v>
      </c>
      <c r="G116" s="4">
        <v>45</v>
      </c>
      <c r="H116" s="4">
        <v>2</v>
      </c>
      <c r="I116" s="4">
        <v>17</v>
      </c>
      <c r="J116" s="4">
        <v>9</v>
      </c>
      <c r="K116" s="4">
        <f t="shared" si="127"/>
        <v>0</v>
      </c>
      <c r="L116" s="4">
        <f t="shared" si="127"/>
        <v>0</v>
      </c>
      <c r="M116" s="4">
        <f t="shared" si="127"/>
        <v>3</v>
      </c>
      <c r="N116" s="4">
        <f t="shared" si="127"/>
        <v>0</v>
      </c>
      <c r="O116" s="4">
        <f t="shared" si="123"/>
        <v>0</v>
      </c>
      <c r="P116" s="4">
        <f t="shared" si="124"/>
        <v>0</v>
      </c>
      <c r="Q116" s="4">
        <f t="shared" si="125"/>
        <v>27</v>
      </c>
      <c r="R116" s="4">
        <f t="shared" si="126"/>
        <v>0</v>
      </c>
      <c r="S116" s="4">
        <f>IF(AND(VLOOKUP(G116,Dados!$D:$L,2,0)=VLOOKUP(I116,Dados!$S:$V,2,0),VLOOKUP(G116,Dados!$D:$L,3,0)=VLOOKUP(I116,Dados!$S:$V,3,0)),0,1)</f>
        <v>0</v>
      </c>
      <c r="T116" s="4">
        <f>IF(AND(VLOOKUP(G116,Dados!$D:$L,3,0)&lt;=VLOOKUP(H116,Dados!$X:$AB,2,0),VLOOKUP(G116,Dados!$D:$L,4,0)&gt;=VLOOKUP(H116,Dados!$X:$AB,3,0),VLOOKUP(G116,Dados!$D:$L,4,0)&lt;=VLOOKUP(H116,Dados!$X:$AB,4,0)),0,1)</f>
        <v>0</v>
      </c>
      <c r="U116" s="4">
        <f>IF(COUNTIFS(F:F,F116,H:H,H116)&lt;=VLOOKUP(H116,Dados!$X:$AB,5,0),0,1)</f>
        <v>0</v>
      </c>
      <c r="W116" s="4">
        <v>684</v>
      </c>
      <c r="X116" s="4">
        <v>49</v>
      </c>
      <c r="Y116" s="4">
        <v>41</v>
      </c>
      <c r="Z116" s="4">
        <v>20</v>
      </c>
      <c r="AA116" s="4">
        <v>3</v>
      </c>
      <c r="AB116" s="4">
        <v>2</v>
      </c>
      <c r="AD116" s="4">
        <f>VLOOKUP(Z116,Dados!$S$3:$W$55,4,FALSE)</f>
        <v>5418</v>
      </c>
      <c r="AE116" s="4">
        <f t="shared" si="128"/>
        <v>2009</v>
      </c>
      <c r="AF116" s="4">
        <f t="shared" si="129"/>
        <v>265482</v>
      </c>
      <c r="AI116" s="13">
        <f>VLOOKUP(Z116,Dados!$S$3:$V$55,2,FALSE)*VLOOKUP(Z116,Dados!$S$3:$V$55,3,FALSE)*VLOOKUP(Z116,Dados!$S$3:$V$55,4,FALSE)*0.00000785</f>
        <v>82.93603499999999</v>
      </c>
      <c r="AJ116" s="13">
        <f t="shared" si="130"/>
        <v>4063.8657149999995</v>
      </c>
      <c r="AK116" s="13">
        <f t="shared" si="131"/>
        <v>0.62760749999999987</v>
      </c>
      <c r="AL116" s="13">
        <f t="shared" si="132"/>
        <v>30.752767499999994</v>
      </c>
      <c r="AW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  <c r="BZ116" s="15"/>
      <c r="CA116" s="16"/>
      <c r="CD116" s="15"/>
      <c r="CE116" s="15"/>
      <c r="CF116" s="15"/>
      <c r="CG116" s="16"/>
    </row>
    <row r="117" spans="6:85">
      <c r="F117" s="4">
        <v>115</v>
      </c>
      <c r="G117" s="4">
        <v>45</v>
      </c>
      <c r="H117" s="4">
        <v>3</v>
      </c>
      <c r="I117" s="4">
        <v>17</v>
      </c>
      <c r="J117" s="4">
        <v>9</v>
      </c>
      <c r="K117" s="4">
        <f t="shared" si="127"/>
        <v>0</v>
      </c>
      <c r="L117" s="4">
        <f t="shared" si="127"/>
        <v>0</v>
      </c>
      <c r="M117" s="4">
        <f t="shared" si="127"/>
        <v>0</v>
      </c>
      <c r="N117" s="4">
        <f t="shared" si="127"/>
        <v>0</v>
      </c>
      <c r="O117" s="4">
        <f t="shared" si="123"/>
        <v>0</v>
      </c>
      <c r="P117" s="4">
        <f t="shared" si="124"/>
        <v>0</v>
      </c>
      <c r="Q117" s="4">
        <f t="shared" si="125"/>
        <v>0</v>
      </c>
      <c r="R117" s="4">
        <f t="shared" si="126"/>
        <v>0</v>
      </c>
      <c r="S117" s="4">
        <f>IF(AND(VLOOKUP(G117,Dados!$D:$L,2,0)=VLOOKUP(I117,Dados!$S:$V,2,0),VLOOKUP(G117,Dados!$D:$L,3,0)=VLOOKUP(I117,Dados!$S:$V,3,0)),0,1)</f>
        <v>0</v>
      </c>
      <c r="T117" s="4">
        <f>IF(AND(VLOOKUP(G117,Dados!$D:$L,3,0)&lt;=VLOOKUP(H117,Dados!$X:$AB,2,0),VLOOKUP(G117,Dados!$D:$L,4,0)&gt;=VLOOKUP(H117,Dados!$X:$AB,3,0),VLOOKUP(G117,Dados!$D:$L,4,0)&lt;=VLOOKUP(H117,Dados!$X:$AB,4,0)),0,1)</f>
        <v>0</v>
      </c>
      <c r="U117" s="4">
        <f>IF(COUNTIFS(F:F,F117,H:H,H117)&lt;=VLOOKUP(H117,Dados!$X:$AB,5,0),0,1)</f>
        <v>0</v>
      </c>
      <c r="W117" s="4">
        <v>729</v>
      </c>
      <c r="X117" s="4">
        <v>3</v>
      </c>
      <c r="Y117" s="4">
        <v>7</v>
      </c>
      <c r="Z117" s="4">
        <v>20</v>
      </c>
      <c r="AA117" s="4">
        <v>3</v>
      </c>
      <c r="AB117" s="4">
        <v>2</v>
      </c>
      <c r="AD117" s="4">
        <f>VLOOKUP(Z117,Dados!$S$3:$W$55,4,FALSE)</f>
        <v>5418</v>
      </c>
      <c r="AE117" s="4">
        <f t="shared" si="128"/>
        <v>21</v>
      </c>
      <c r="AF117" s="4">
        <f t="shared" si="129"/>
        <v>16254</v>
      </c>
      <c r="AI117" s="13">
        <f>VLOOKUP(Z117,Dados!$S$3:$V$55,2,FALSE)*VLOOKUP(Z117,Dados!$S$3:$V$55,3,FALSE)*VLOOKUP(Z117,Dados!$S$3:$V$55,4,FALSE)*0.00000785</f>
        <v>82.93603499999999</v>
      </c>
      <c r="AJ117" s="13">
        <f t="shared" si="130"/>
        <v>248.80810499999995</v>
      </c>
      <c r="AK117" s="13">
        <f t="shared" si="131"/>
        <v>0.10715249999999998</v>
      </c>
      <c r="AL117" s="13">
        <f t="shared" si="132"/>
        <v>0.32145749999999995</v>
      </c>
      <c r="AW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  <c r="BZ117" s="15"/>
      <c r="CA117" s="16"/>
      <c r="CD117" s="15"/>
      <c r="CE117" s="15"/>
      <c r="CF117" s="15"/>
      <c r="CG117" s="16"/>
    </row>
    <row r="118" spans="6:85">
      <c r="F118" s="4">
        <v>116</v>
      </c>
      <c r="G118" s="4">
        <v>46</v>
      </c>
      <c r="H118" s="4">
        <v>1</v>
      </c>
      <c r="I118" s="4">
        <v>18</v>
      </c>
      <c r="J118" s="4">
        <v>5</v>
      </c>
      <c r="K118" s="4">
        <f t="shared" si="127"/>
        <v>0</v>
      </c>
      <c r="L118" s="4">
        <f t="shared" si="127"/>
        <v>0</v>
      </c>
      <c r="M118" s="4">
        <f t="shared" si="127"/>
        <v>0</v>
      </c>
      <c r="N118" s="4">
        <f t="shared" si="127"/>
        <v>0</v>
      </c>
      <c r="O118" s="4">
        <f t="shared" si="123"/>
        <v>0</v>
      </c>
      <c r="P118" s="4">
        <f t="shared" si="124"/>
        <v>0</v>
      </c>
      <c r="Q118" s="4">
        <f t="shared" si="125"/>
        <v>0</v>
      </c>
      <c r="R118" s="4">
        <f t="shared" si="126"/>
        <v>0</v>
      </c>
      <c r="S118" s="4">
        <f>IF(AND(VLOOKUP(G118,Dados!$D:$L,2,0)=VLOOKUP(I118,Dados!$S:$V,2,0),VLOOKUP(G118,Dados!$D:$L,3,0)=VLOOKUP(I118,Dados!$S:$V,3,0)),0,1)</f>
        <v>0</v>
      </c>
      <c r="T118" s="4">
        <f>IF(AND(VLOOKUP(G118,Dados!$D:$L,3,0)&lt;=VLOOKUP(H118,Dados!$X:$AB,2,0),VLOOKUP(G118,Dados!$D:$L,4,0)&gt;=VLOOKUP(H118,Dados!$X:$AB,3,0),VLOOKUP(G118,Dados!$D:$L,4,0)&lt;=VLOOKUP(H118,Dados!$X:$AB,4,0)),0,1)</f>
        <v>0</v>
      </c>
      <c r="U118" s="4">
        <f>IF(COUNTIFS(F:F,F118,H:H,H118)&lt;=VLOOKUP(H118,Dados!$X:$AB,5,0),0,1)</f>
        <v>0</v>
      </c>
      <c r="W118" s="4">
        <v>166</v>
      </c>
      <c r="X118" s="4">
        <v>2</v>
      </c>
      <c r="Y118" s="4">
        <v>40</v>
      </c>
      <c r="Z118" s="4">
        <v>21</v>
      </c>
      <c r="AA118" s="4">
        <v>1</v>
      </c>
      <c r="AB118" s="4">
        <v>2</v>
      </c>
      <c r="AD118" s="4">
        <f>VLOOKUP(Z118,Dados!$S$3:$W$55,4,FALSE)</f>
        <v>6464</v>
      </c>
      <c r="AE118" s="4">
        <f t="shared" si="128"/>
        <v>80</v>
      </c>
      <c r="AF118" s="4">
        <f t="shared" si="129"/>
        <v>12928</v>
      </c>
      <c r="AI118" s="13">
        <f>VLOOKUP(Z118,Dados!$S$3:$V$55,2,FALSE)*VLOOKUP(Z118,Dados!$S$3:$V$55,3,FALSE)*VLOOKUP(Z118,Dados!$S$3:$V$55,4,FALSE)*0.00000785</f>
        <v>96.613529599999993</v>
      </c>
      <c r="AJ118" s="13">
        <f t="shared" si="130"/>
        <v>193.22705919999999</v>
      </c>
      <c r="AK118" s="13">
        <f t="shared" si="131"/>
        <v>0.59785599999999994</v>
      </c>
      <c r="AL118" s="13">
        <f t="shared" si="132"/>
        <v>1.1957119999999999</v>
      </c>
      <c r="AW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  <c r="BZ118" s="15"/>
      <c r="CA118" s="16"/>
      <c r="CD118" s="15"/>
      <c r="CE118" s="15"/>
      <c r="CF118" s="15"/>
      <c r="CG118" s="16"/>
    </row>
    <row r="119" spans="6:85">
      <c r="F119" s="4">
        <v>117</v>
      </c>
      <c r="G119" s="4">
        <v>46</v>
      </c>
      <c r="H119" s="4">
        <v>3</v>
      </c>
      <c r="I119" s="4">
        <v>18</v>
      </c>
      <c r="J119" s="4">
        <v>5</v>
      </c>
      <c r="K119" s="4">
        <f t="shared" si="127"/>
        <v>0</v>
      </c>
      <c r="L119" s="4">
        <f t="shared" si="127"/>
        <v>0</v>
      </c>
      <c r="M119" s="4">
        <f t="shared" si="127"/>
        <v>0</v>
      </c>
      <c r="N119" s="4">
        <f t="shared" si="127"/>
        <v>0</v>
      </c>
      <c r="O119" s="4">
        <f t="shared" si="123"/>
        <v>0</v>
      </c>
      <c r="P119" s="4">
        <f t="shared" si="124"/>
        <v>0</v>
      </c>
      <c r="Q119" s="4">
        <f t="shared" si="125"/>
        <v>0</v>
      </c>
      <c r="R119" s="4">
        <f t="shared" si="126"/>
        <v>0</v>
      </c>
      <c r="S119" s="4">
        <f>IF(AND(VLOOKUP(G119,Dados!$D:$L,2,0)=VLOOKUP(I119,Dados!$S:$V,2,0),VLOOKUP(G119,Dados!$D:$L,3,0)=VLOOKUP(I119,Dados!$S:$V,3,0)),0,1)</f>
        <v>0</v>
      </c>
      <c r="T119" s="4">
        <f>IF(AND(VLOOKUP(G119,Dados!$D:$L,3,0)&lt;=VLOOKUP(H119,Dados!$X:$AB,2,0),VLOOKUP(G119,Dados!$D:$L,4,0)&gt;=VLOOKUP(H119,Dados!$X:$AB,3,0),VLOOKUP(G119,Dados!$D:$L,4,0)&lt;=VLOOKUP(H119,Dados!$X:$AB,4,0)),0,1)</f>
        <v>0</v>
      </c>
      <c r="U119" s="4">
        <f>IF(COUNTIFS(F:F,F119,H:H,H119)&lt;=VLOOKUP(H119,Dados!$X:$AB,5,0),0,1)</f>
        <v>0</v>
      </c>
      <c r="W119" s="4">
        <v>161</v>
      </c>
      <c r="X119" s="4">
        <v>6</v>
      </c>
      <c r="Y119" s="4">
        <v>3</v>
      </c>
      <c r="Z119" s="4">
        <v>21</v>
      </c>
      <c r="AA119" s="4">
        <v>2</v>
      </c>
      <c r="AB119" s="4">
        <v>2</v>
      </c>
      <c r="AD119" s="4">
        <f>VLOOKUP(Z119,Dados!$S$3:$W$55,4,FALSE)</f>
        <v>6464</v>
      </c>
      <c r="AE119" s="4">
        <f t="shared" si="128"/>
        <v>18</v>
      </c>
      <c r="AF119" s="4">
        <f t="shared" si="129"/>
        <v>38784</v>
      </c>
      <c r="AI119" s="13">
        <f>VLOOKUP(Z119,Dados!$S$3:$V$55,2,FALSE)*VLOOKUP(Z119,Dados!$S$3:$V$55,3,FALSE)*VLOOKUP(Z119,Dados!$S$3:$V$55,4,FALSE)*0.00000785</f>
        <v>96.613529599999993</v>
      </c>
      <c r="AJ119" s="13">
        <f t="shared" si="130"/>
        <v>579.68117759999996</v>
      </c>
      <c r="AK119" s="13">
        <f t="shared" si="131"/>
        <v>4.4839199999999996E-2</v>
      </c>
      <c r="AL119" s="13">
        <f t="shared" si="132"/>
        <v>0.26903519999999997</v>
      </c>
      <c r="AW119" s="15"/>
      <c r="BD119" s="15"/>
      <c r="BE119" s="15"/>
      <c r="BF119" s="15"/>
      <c r="BG119" s="15"/>
      <c r="BH119" s="15"/>
      <c r="BI119" s="15"/>
      <c r="BJ119" s="15"/>
      <c r="BK119" s="15"/>
      <c r="BL119" s="15"/>
      <c r="BM119" s="15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15"/>
      <c r="BY119" s="15"/>
      <c r="BZ119" s="15"/>
      <c r="CA119" s="16"/>
      <c r="CD119" s="15"/>
      <c r="CE119" s="15"/>
      <c r="CF119" s="15"/>
      <c r="CG119" s="16"/>
    </row>
    <row r="120" spans="6:85">
      <c r="F120" s="4">
        <v>118</v>
      </c>
      <c r="G120" s="4">
        <v>47</v>
      </c>
      <c r="H120" s="4">
        <v>1</v>
      </c>
      <c r="I120" s="4">
        <v>18</v>
      </c>
      <c r="J120" s="4">
        <v>10</v>
      </c>
      <c r="K120" s="4">
        <f t="shared" si="127"/>
        <v>0</v>
      </c>
      <c r="L120" s="4">
        <f t="shared" si="127"/>
        <v>0</v>
      </c>
      <c r="M120" s="4">
        <f t="shared" si="127"/>
        <v>0</v>
      </c>
      <c r="N120" s="4">
        <f t="shared" si="127"/>
        <v>0</v>
      </c>
      <c r="O120" s="4">
        <f t="shared" si="123"/>
        <v>0</v>
      </c>
      <c r="P120" s="4">
        <f t="shared" si="124"/>
        <v>0</v>
      </c>
      <c r="Q120" s="4">
        <f t="shared" si="125"/>
        <v>0</v>
      </c>
      <c r="R120" s="4">
        <f t="shared" si="126"/>
        <v>0</v>
      </c>
      <c r="S120" s="4">
        <f>IF(AND(VLOOKUP(G120,Dados!$D:$L,2,0)=VLOOKUP(I120,Dados!$S:$V,2,0),VLOOKUP(G120,Dados!$D:$L,3,0)=VLOOKUP(I120,Dados!$S:$V,3,0)),0,1)</f>
        <v>0</v>
      </c>
      <c r="T120" s="4">
        <f>IF(AND(VLOOKUP(G120,Dados!$D:$L,3,0)&lt;=VLOOKUP(H120,Dados!$X:$AB,2,0),VLOOKUP(G120,Dados!$D:$L,4,0)&gt;=VLOOKUP(H120,Dados!$X:$AB,3,0),VLOOKUP(G120,Dados!$D:$L,4,0)&lt;=VLOOKUP(H120,Dados!$X:$AB,4,0)),0,1)</f>
        <v>0</v>
      </c>
      <c r="U120" s="4">
        <f>IF(COUNTIFS(F:F,F120,H:H,H120)&lt;=VLOOKUP(H120,Dados!$X:$AB,5,0),0,1)</f>
        <v>0</v>
      </c>
      <c r="W120" s="4">
        <v>294</v>
      </c>
      <c r="X120" s="4">
        <v>36</v>
      </c>
      <c r="Y120" s="4">
        <v>29</v>
      </c>
      <c r="Z120" s="4">
        <v>21</v>
      </c>
      <c r="AA120" s="4">
        <v>2</v>
      </c>
      <c r="AB120" s="4">
        <v>2</v>
      </c>
      <c r="AD120" s="4">
        <f>VLOOKUP(Z120,Dados!$S$3:$W$55,4,FALSE)</f>
        <v>6464</v>
      </c>
      <c r="AE120" s="4">
        <f t="shared" si="128"/>
        <v>1044</v>
      </c>
      <c r="AF120" s="4">
        <f t="shared" si="129"/>
        <v>232704</v>
      </c>
      <c r="AI120" s="13">
        <f>VLOOKUP(Z120,Dados!$S$3:$V$55,2,FALSE)*VLOOKUP(Z120,Dados!$S$3:$V$55,3,FALSE)*VLOOKUP(Z120,Dados!$S$3:$V$55,4,FALSE)*0.00000785</f>
        <v>96.613529599999993</v>
      </c>
      <c r="AJ120" s="13">
        <f t="shared" si="130"/>
        <v>3478.0870655999997</v>
      </c>
      <c r="AK120" s="13">
        <f t="shared" si="131"/>
        <v>0.43344559999999999</v>
      </c>
      <c r="AL120" s="13">
        <f t="shared" si="132"/>
        <v>15.604041599999999</v>
      </c>
      <c r="AW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6"/>
      <c r="CD120" s="15"/>
      <c r="CE120" s="15"/>
      <c r="CF120" s="15"/>
      <c r="CG120" s="16"/>
    </row>
    <row r="121" spans="6:85">
      <c r="F121" s="4">
        <v>119</v>
      </c>
      <c r="G121" s="4">
        <v>47</v>
      </c>
      <c r="H121" s="4">
        <v>3</v>
      </c>
      <c r="I121" s="4">
        <v>18</v>
      </c>
      <c r="J121" s="4">
        <v>10</v>
      </c>
      <c r="K121" s="4">
        <f t="shared" si="127"/>
        <v>0</v>
      </c>
      <c r="L121" s="4">
        <f t="shared" si="127"/>
        <v>0</v>
      </c>
      <c r="M121" s="4">
        <f t="shared" si="127"/>
        <v>0</v>
      </c>
      <c r="N121" s="4">
        <f t="shared" si="127"/>
        <v>0</v>
      </c>
      <c r="O121" s="4">
        <f t="shared" si="123"/>
        <v>0</v>
      </c>
      <c r="P121" s="4">
        <f t="shared" si="124"/>
        <v>0</v>
      </c>
      <c r="Q121" s="4">
        <f t="shared" si="125"/>
        <v>0</v>
      </c>
      <c r="R121" s="4">
        <f t="shared" si="126"/>
        <v>0</v>
      </c>
      <c r="S121" s="4">
        <f>IF(AND(VLOOKUP(G121,Dados!$D:$L,2,0)=VLOOKUP(I121,Dados!$S:$V,2,0),VLOOKUP(G121,Dados!$D:$L,3,0)=VLOOKUP(I121,Dados!$S:$V,3,0)),0,1)</f>
        <v>0</v>
      </c>
      <c r="T121" s="4">
        <f>IF(AND(VLOOKUP(G121,Dados!$D:$L,3,0)&lt;=VLOOKUP(H121,Dados!$X:$AB,2,0),VLOOKUP(G121,Dados!$D:$L,4,0)&gt;=VLOOKUP(H121,Dados!$X:$AB,3,0),VLOOKUP(G121,Dados!$D:$L,4,0)&lt;=VLOOKUP(H121,Dados!$X:$AB,4,0)),0,1)</f>
        <v>0</v>
      </c>
      <c r="U121" s="4">
        <f>IF(COUNTIFS(F:F,F121,H:H,H121)&lt;=VLOOKUP(H121,Dados!$X:$AB,5,0),0,1)</f>
        <v>0</v>
      </c>
      <c r="W121" s="4">
        <v>162</v>
      </c>
      <c r="X121" s="4">
        <v>22</v>
      </c>
      <c r="Y121" s="4">
        <v>3</v>
      </c>
      <c r="Z121" s="4">
        <v>21</v>
      </c>
      <c r="AA121" s="4">
        <v>3</v>
      </c>
      <c r="AB121" s="4">
        <v>2</v>
      </c>
      <c r="AD121" s="4">
        <f>VLOOKUP(Z121,Dados!$S$3:$W$55,4,FALSE)</f>
        <v>6464</v>
      </c>
      <c r="AE121" s="4">
        <f t="shared" si="128"/>
        <v>66</v>
      </c>
      <c r="AF121" s="4">
        <f t="shared" si="129"/>
        <v>142208</v>
      </c>
      <c r="AI121" s="13">
        <f>VLOOKUP(Z121,Dados!$S$3:$V$55,2,FALSE)*VLOOKUP(Z121,Dados!$S$3:$V$55,3,FALSE)*VLOOKUP(Z121,Dados!$S$3:$V$55,4,FALSE)*0.00000785</f>
        <v>96.613529599999993</v>
      </c>
      <c r="AJ121" s="13">
        <f t="shared" si="130"/>
        <v>2125.4976511999998</v>
      </c>
      <c r="AK121" s="13">
        <f t="shared" si="131"/>
        <v>4.4839199999999996E-2</v>
      </c>
      <c r="AL121" s="13">
        <f t="shared" si="132"/>
        <v>0.98646239999999996</v>
      </c>
      <c r="AW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6"/>
      <c r="CD121" s="15"/>
      <c r="CE121" s="15"/>
      <c r="CF121" s="15"/>
      <c r="CG121" s="16"/>
    </row>
    <row r="122" spans="6:85">
      <c r="F122" s="4">
        <v>120</v>
      </c>
      <c r="G122" s="4">
        <v>48</v>
      </c>
      <c r="H122" s="4">
        <v>1</v>
      </c>
      <c r="I122" s="4">
        <v>18</v>
      </c>
      <c r="J122" s="4">
        <v>6</v>
      </c>
      <c r="K122" s="4">
        <f t="shared" si="127"/>
        <v>0</v>
      </c>
      <c r="L122" s="4">
        <f t="shared" si="127"/>
        <v>0</v>
      </c>
      <c r="M122" s="4">
        <f t="shared" si="127"/>
        <v>0</v>
      </c>
      <c r="N122" s="4">
        <f t="shared" si="127"/>
        <v>0</v>
      </c>
      <c r="O122" s="4">
        <f t="shared" si="123"/>
        <v>0</v>
      </c>
      <c r="P122" s="4">
        <f t="shared" si="124"/>
        <v>0</v>
      </c>
      <c r="Q122" s="4">
        <f t="shared" si="125"/>
        <v>0</v>
      </c>
      <c r="R122" s="4">
        <f t="shared" si="126"/>
        <v>0</v>
      </c>
      <c r="S122" s="4">
        <f>IF(AND(VLOOKUP(G122,Dados!$D:$L,2,0)=VLOOKUP(I122,Dados!$S:$V,2,0),VLOOKUP(G122,Dados!$D:$L,3,0)=VLOOKUP(I122,Dados!$S:$V,3,0)),0,1)</f>
        <v>0</v>
      </c>
      <c r="T122" s="4">
        <f>IF(AND(VLOOKUP(G122,Dados!$D:$L,3,0)&lt;=VLOOKUP(H122,Dados!$X:$AB,2,0),VLOOKUP(G122,Dados!$D:$L,4,0)&gt;=VLOOKUP(H122,Dados!$X:$AB,3,0),VLOOKUP(G122,Dados!$D:$L,4,0)&lt;=VLOOKUP(H122,Dados!$X:$AB,4,0)),0,1)</f>
        <v>0</v>
      </c>
      <c r="U122" s="4">
        <f>IF(COUNTIFS(F:F,F122,H:H,H122)&lt;=VLOOKUP(H122,Dados!$X:$AB,5,0),0,1)</f>
        <v>0</v>
      </c>
      <c r="W122" s="4">
        <v>168</v>
      </c>
      <c r="X122" s="4">
        <v>27</v>
      </c>
      <c r="Y122" s="4">
        <v>40</v>
      </c>
      <c r="Z122" s="4">
        <v>21</v>
      </c>
      <c r="AA122" s="4">
        <v>3</v>
      </c>
      <c r="AB122" s="4">
        <v>2</v>
      </c>
      <c r="AD122" s="4">
        <f>VLOOKUP(Z122,Dados!$S$3:$W$55,4,FALSE)</f>
        <v>6464</v>
      </c>
      <c r="AE122" s="4">
        <f t="shared" si="128"/>
        <v>1080</v>
      </c>
      <c r="AF122" s="4">
        <f t="shared" si="129"/>
        <v>174528</v>
      </c>
      <c r="AI122" s="13">
        <f>VLOOKUP(Z122,Dados!$S$3:$V$55,2,FALSE)*VLOOKUP(Z122,Dados!$S$3:$V$55,3,FALSE)*VLOOKUP(Z122,Dados!$S$3:$V$55,4,FALSE)*0.00000785</f>
        <v>96.613529599999993</v>
      </c>
      <c r="AJ122" s="13">
        <f t="shared" si="130"/>
        <v>2608.5652991999996</v>
      </c>
      <c r="AK122" s="13">
        <f t="shared" si="131"/>
        <v>0.59785599999999994</v>
      </c>
      <c r="AL122" s="13">
        <f t="shared" si="132"/>
        <v>16.142111999999997</v>
      </c>
      <c r="AW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6"/>
      <c r="CD122" s="15"/>
      <c r="CE122" s="15"/>
      <c r="CF122" s="15"/>
      <c r="CG122" s="16"/>
    </row>
    <row r="123" spans="6:85">
      <c r="F123" s="4">
        <v>121</v>
      </c>
      <c r="G123" s="4">
        <v>48</v>
      </c>
      <c r="H123" s="4">
        <v>3</v>
      </c>
      <c r="I123" s="4">
        <v>18</v>
      </c>
      <c r="J123" s="4">
        <v>6</v>
      </c>
      <c r="K123" s="4">
        <f t="shared" ref="K123:N142" si="133">SUMIFS($X:$X,$W:$W,$F123,$Z:$Z,$I123,$AA:$AA,$H123,$AB:$AB,K$2)</f>
        <v>0</v>
      </c>
      <c r="L123" s="4">
        <f t="shared" si="133"/>
        <v>0</v>
      </c>
      <c r="M123" s="4">
        <f t="shared" si="133"/>
        <v>0</v>
      </c>
      <c r="N123" s="4">
        <f t="shared" si="133"/>
        <v>0</v>
      </c>
      <c r="O123" s="4">
        <f t="shared" si="123"/>
        <v>0</v>
      </c>
      <c r="P123" s="4">
        <f t="shared" si="124"/>
        <v>0</v>
      </c>
      <c r="Q123" s="4">
        <f t="shared" si="125"/>
        <v>0</v>
      </c>
      <c r="R123" s="4">
        <f t="shared" si="126"/>
        <v>0</v>
      </c>
      <c r="S123" s="4">
        <f>IF(AND(VLOOKUP(G123,Dados!$D:$L,2,0)=VLOOKUP(I123,Dados!$S:$V,2,0),VLOOKUP(G123,Dados!$D:$L,3,0)=VLOOKUP(I123,Dados!$S:$V,3,0)),0,1)</f>
        <v>0</v>
      </c>
      <c r="T123" s="4">
        <f>IF(AND(VLOOKUP(G123,Dados!$D:$L,3,0)&lt;=VLOOKUP(H123,Dados!$X:$AB,2,0),VLOOKUP(G123,Dados!$D:$L,4,0)&gt;=VLOOKUP(H123,Dados!$X:$AB,3,0),VLOOKUP(G123,Dados!$D:$L,4,0)&lt;=VLOOKUP(H123,Dados!$X:$AB,4,0)),0,1)</f>
        <v>0</v>
      </c>
      <c r="U123" s="4">
        <f>IF(COUNTIFS(F:F,F123,H:H,H123)&lt;=VLOOKUP(H123,Dados!$X:$AB,5,0),0,1)</f>
        <v>0</v>
      </c>
      <c r="W123" s="4">
        <v>295</v>
      </c>
      <c r="X123" s="4">
        <v>1</v>
      </c>
      <c r="Y123" s="4">
        <v>29</v>
      </c>
      <c r="Z123" s="4">
        <v>21</v>
      </c>
      <c r="AA123" s="4">
        <v>3</v>
      </c>
      <c r="AB123" s="4">
        <v>2</v>
      </c>
      <c r="AD123" s="4">
        <f>VLOOKUP(Z123,Dados!$S$3:$W$55,4,FALSE)</f>
        <v>6464</v>
      </c>
      <c r="AE123" s="4">
        <f t="shared" si="128"/>
        <v>29</v>
      </c>
      <c r="AF123" s="4">
        <f t="shared" si="129"/>
        <v>6464</v>
      </c>
      <c r="AI123" s="13">
        <f>VLOOKUP(Z123,Dados!$S$3:$V$55,2,FALSE)*VLOOKUP(Z123,Dados!$S$3:$V$55,3,FALSE)*VLOOKUP(Z123,Dados!$S$3:$V$55,4,FALSE)*0.00000785</f>
        <v>96.613529599999993</v>
      </c>
      <c r="AJ123" s="13">
        <f t="shared" si="130"/>
        <v>96.613529599999993</v>
      </c>
      <c r="AK123" s="13">
        <f t="shared" si="131"/>
        <v>0.43344559999999999</v>
      </c>
      <c r="AL123" s="13">
        <f t="shared" si="132"/>
        <v>0.43344559999999999</v>
      </c>
      <c r="AW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6"/>
      <c r="CD123" s="15"/>
      <c r="CE123" s="15"/>
      <c r="CF123" s="15"/>
      <c r="CG123" s="16"/>
    </row>
    <row r="124" spans="6:85">
      <c r="F124" s="4">
        <v>122</v>
      </c>
      <c r="G124" s="4">
        <v>49</v>
      </c>
      <c r="H124" s="4">
        <v>1</v>
      </c>
      <c r="I124" s="4">
        <v>18</v>
      </c>
      <c r="J124" s="4">
        <v>10</v>
      </c>
      <c r="K124" s="4">
        <f t="shared" si="133"/>
        <v>0</v>
      </c>
      <c r="L124" s="4">
        <f t="shared" si="133"/>
        <v>0</v>
      </c>
      <c r="M124" s="4">
        <f t="shared" si="133"/>
        <v>0</v>
      </c>
      <c r="N124" s="4">
        <f t="shared" si="133"/>
        <v>0</v>
      </c>
      <c r="O124" s="4">
        <f t="shared" si="123"/>
        <v>0</v>
      </c>
      <c r="P124" s="4">
        <f t="shared" si="124"/>
        <v>0</v>
      </c>
      <c r="Q124" s="4">
        <f t="shared" si="125"/>
        <v>0</v>
      </c>
      <c r="R124" s="4">
        <f t="shared" si="126"/>
        <v>0</v>
      </c>
      <c r="S124" s="4">
        <f>IF(AND(VLOOKUP(G124,Dados!$D:$L,2,0)=VLOOKUP(I124,Dados!$S:$V,2,0),VLOOKUP(G124,Dados!$D:$L,3,0)=VLOOKUP(I124,Dados!$S:$V,3,0)),0,1)</f>
        <v>0</v>
      </c>
      <c r="T124" s="4">
        <f>IF(AND(VLOOKUP(G124,Dados!$D:$L,3,0)&lt;=VLOOKUP(H124,Dados!$X:$AB,2,0),VLOOKUP(G124,Dados!$D:$L,4,0)&gt;=VLOOKUP(H124,Dados!$X:$AB,3,0),VLOOKUP(G124,Dados!$D:$L,4,0)&lt;=VLOOKUP(H124,Dados!$X:$AB,4,0)),0,1)</f>
        <v>0</v>
      </c>
      <c r="U124" s="4">
        <f>IF(COUNTIFS(F:F,F124,H:H,H124)&lt;=VLOOKUP(H124,Dados!$X:$AB,5,0),0,1)</f>
        <v>0</v>
      </c>
      <c r="W124" s="4">
        <v>686</v>
      </c>
      <c r="X124" s="4">
        <v>2</v>
      </c>
      <c r="Y124" s="4">
        <v>14</v>
      </c>
      <c r="Z124" s="4">
        <v>22</v>
      </c>
      <c r="AA124" s="4">
        <v>2</v>
      </c>
      <c r="AB124" s="4">
        <v>2</v>
      </c>
      <c r="AD124" s="4">
        <f>VLOOKUP(Z124,Dados!$S$3:$W$55,4,FALSE)</f>
        <v>5270</v>
      </c>
      <c r="AE124" s="4">
        <f t="shared" si="128"/>
        <v>28</v>
      </c>
      <c r="AF124" s="4">
        <f t="shared" si="129"/>
        <v>10540</v>
      </c>
      <c r="AI124" s="13">
        <f>VLOOKUP(Z124,Dados!$S$3:$V$55,2,FALSE)*VLOOKUP(Z124,Dados!$S$3:$V$55,3,FALSE)*VLOOKUP(Z124,Dados!$S$3:$V$55,4,FALSE)*0.00000785</f>
        <v>78.767527999999999</v>
      </c>
      <c r="AJ124" s="13">
        <f t="shared" si="130"/>
        <v>157.535056</v>
      </c>
      <c r="AK124" s="13">
        <f t="shared" si="131"/>
        <v>0.20924960000000001</v>
      </c>
      <c r="AL124" s="13">
        <f t="shared" si="132"/>
        <v>0.41849920000000002</v>
      </c>
      <c r="AW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6"/>
      <c r="CD124" s="15"/>
      <c r="CE124" s="15"/>
      <c r="CF124" s="15"/>
      <c r="CG124" s="16"/>
    </row>
    <row r="125" spans="6:85">
      <c r="F125" s="4">
        <v>123</v>
      </c>
      <c r="G125" s="4">
        <v>49</v>
      </c>
      <c r="H125" s="4">
        <v>3</v>
      </c>
      <c r="I125" s="4">
        <v>18</v>
      </c>
      <c r="J125" s="4">
        <v>10</v>
      </c>
      <c r="K125" s="4">
        <f t="shared" si="133"/>
        <v>0</v>
      </c>
      <c r="L125" s="4">
        <f t="shared" si="133"/>
        <v>0</v>
      </c>
      <c r="M125" s="4">
        <f t="shared" si="133"/>
        <v>0</v>
      </c>
      <c r="N125" s="4">
        <f t="shared" si="133"/>
        <v>0</v>
      </c>
      <c r="O125" s="4">
        <f t="shared" si="123"/>
        <v>0</v>
      </c>
      <c r="P125" s="4">
        <f t="shared" si="124"/>
        <v>0</v>
      </c>
      <c r="Q125" s="4">
        <f t="shared" si="125"/>
        <v>0</v>
      </c>
      <c r="R125" s="4">
        <f t="shared" si="126"/>
        <v>0</v>
      </c>
      <c r="S125" s="4">
        <f>IF(AND(VLOOKUP(G125,Dados!$D:$L,2,0)=VLOOKUP(I125,Dados!$S:$V,2,0),VLOOKUP(G125,Dados!$D:$L,3,0)=VLOOKUP(I125,Dados!$S:$V,3,0)),0,1)</f>
        <v>0</v>
      </c>
      <c r="T125" s="4">
        <f>IF(AND(VLOOKUP(G125,Dados!$D:$L,3,0)&lt;=VLOOKUP(H125,Dados!$X:$AB,2,0),VLOOKUP(G125,Dados!$D:$L,4,0)&gt;=VLOOKUP(H125,Dados!$X:$AB,3,0),VLOOKUP(G125,Dados!$D:$L,4,0)&lt;=VLOOKUP(H125,Dados!$X:$AB,4,0)),0,1)</f>
        <v>0</v>
      </c>
      <c r="U125" s="4">
        <f>IF(COUNTIFS(F:F,F125,H:H,H125)&lt;=VLOOKUP(H125,Dados!$X:$AB,5,0),0,1)</f>
        <v>0</v>
      </c>
      <c r="W125" s="4">
        <v>310</v>
      </c>
      <c r="X125" s="4">
        <v>2</v>
      </c>
      <c r="Y125" s="4">
        <v>4</v>
      </c>
      <c r="Z125" s="4">
        <v>26</v>
      </c>
      <c r="AA125" s="4">
        <v>3</v>
      </c>
      <c r="AB125" s="4">
        <v>2</v>
      </c>
      <c r="AD125" s="4">
        <f>VLOOKUP(Z125,Dados!$S$3:$W$55,4,FALSE)</f>
        <v>5594</v>
      </c>
      <c r="AE125" s="4">
        <f t="shared" si="128"/>
        <v>8</v>
      </c>
      <c r="AF125" s="4">
        <f t="shared" si="129"/>
        <v>11188</v>
      </c>
      <c r="AI125" s="13">
        <f>VLOOKUP(Z125,Dados!$S$3:$V$55,2,FALSE)*VLOOKUP(Z125,Dados!$S$3:$V$55,3,FALSE)*VLOOKUP(Z125,Dados!$S$3:$V$55,4,FALSE)*0.00000785</f>
        <v>83.610161599999998</v>
      </c>
      <c r="AJ125" s="13">
        <f t="shared" si="130"/>
        <v>167.2203232</v>
      </c>
      <c r="AK125" s="13">
        <f t="shared" si="131"/>
        <v>5.9785600000000001E-2</v>
      </c>
      <c r="AL125" s="13">
        <f t="shared" si="132"/>
        <v>0.1195712</v>
      </c>
      <c r="AW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  <c r="BZ125" s="15"/>
      <c r="CA125" s="16"/>
      <c r="CD125" s="15"/>
      <c r="CE125" s="15"/>
      <c r="CF125" s="15"/>
      <c r="CG125" s="16"/>
    </row>
    <row r="126" spans="6:85">
      <c r="F126" s="4">
        <v>124</v>
      </c>
      <c r="G126" s="4">
        <v>50</v>
      </c>
      <c r="H126" s="4">
        <v>1</v>
      </c>
      <c r="I126" s="4">
        <v>18</v>
      </c>
      <c r="J126" s="4">
        <v>5</v>
      </c>
      <c r="K126" s="4">
        <f t="shared" si="133"/>
        <v>0</v>
      </c>
      <c r="L126" s="4">
        <f t="shared" si="133"/>
        <v>0</v>
      </c>
      <c r="M126" s="4">
        <f t="shared" si="133"/>
        <v>0</v>
      </c>
      <c r="N126" s="4">
        <f t="shared" si="133"/>
        <v>0</v>
      </c>
      <c r="O126" s="4">
        <f t="shared" si="123"/>
        <v>0</v>
      </c>
      <c r="P126" s="4">
        <f t="shared" si="124"/>
        <v>0</v>
      </c>
      <c r="Q126" s="4">
        <f t="shared" si="125"/>
        <v>0</v>
      </c>
      <c r="R126" s="4">
        <f t="shared" si="126"/>
        <v>0</v>
      </c>
      <c r="S126" s="4">
        <f>IF(AND(VLOOKUP(G126,Dados!$D:$L,2,0)=VLOOKUP(I126,Dados!$S:$V,2,0),VLOOKUP(G126,Dados!$D:$L,3,0)=VLOOKUP(I126,Dados!$S:$V,3,0)),0,1)</f>
        <v>0</v>
      </c>
      <c r="T126" s="4">
        <f>IF(AND(VLOOKUP(G126,Dados!$D:$L,3,0)&lt;=VLOOKUP(H126,Dados!$X:$AB,2,0),VLOOKUP(G126,Dados!$D:$L,4,0)&gt;=VLOOKUP(H126,Dados!$X:$AB,3,0),VLOOKUP(G126,Dados!$D:$L,4,0)&lt;=VLOOKUP(H126,Dados!$X:$AB,4,0)),0,1)</f>
        <v>0</v>
      </c>
      <c r="U126" s="4">
        <f>IF(COUNTIFS(F:F,F126,H:H,H126)&lt;=VLOOKUP(H126,Dados!$X:$AB,5,0),0,1)</f>
        <v>0</v>
      </c>
      <c r="W126" s="4">
        <v>316</v>
      </c>
      <c r="X126" s="4">
        <v>1</v>
      </c>
      <c r="Y126" s="4">
        <v>1</v>
      </c>
      <c r="Z126" s="4">
        <v>28</v>
      </c>
      <c r="AA126" s="4">
        <v>3</v>
      </c>
      <c r="AB126" s="4">
        <v>2</v>
      </c>
      <c r="AD126" s="4">
        <f>VLOOKUP(Z126,Dados!$S$3:$W$55,4,FALSE)</f>
        <v>6280</v>
      </c>
      <c r="AE126" s="4">
        <f t="shared" si="128"/>
        <v>1</v>
      </c>
      <c r="AF126" s="4">
        <f t="shared" si="129"/>
        <v>6280</v>
      </c>
      <c r="AI126" s="13">
        <f>VLOOKUP(Z126,Dados!$S$3:$V$55,2,FALSE)*VLOOKUP(Z126,Dados!$S$3:$V$55,3,FALSE)*VLOOKUP(Z126,Dados!$S$3:$V$55,4,FALSE)*0.00000785</f>
        <v>93.86339199999999</v>
      </c>
      <c r="AJ126" s="13">
        <f t="shared" si="130"/>
        <v>93.86339199999999</v>
      </c>
      <c r="AK126" s="13">
        <f t="shared" si="131"/>
        <v>1.4946399999999999E-2</v>
      </c>
      <c r="AL126" s="13">
        <f t="shared" si="132"/>
        <v>1.4946399999999999E-2</v>
      </c>
      <c r="AW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  <c r="BZ126" s="15"/>
      <c r="CA126" s="16"/>
      <c r="CD126" s="15"/>
      <c r="CE126" s="15"/>
      <c r="CF126" s="15"/>
      <c r="CG126" s="16"/>
    </row>
    <row r="127" spans="6:85">
      <c r="F127" s="4">
        <v>125</v>
      </c>
      <c r="G127" s="4">
        <v>50</v>
      </c>
      <c r="H127" s="4">
        <v>3</v>
      </c>
      <c r="I127" s="4">
        <v>18</v>
      </c>
      <c r="J127" s="4">
        <v>5</v>
      </c>
      <c r="K127" s="4">
        <f t="shared" si="133"/>
        <v>0</v>
      </c>
      <c r="L127" s="4">
        <f t="shared" si="133"/>
        <v>0</v>
      </c>
      <c r="M127" s="4">
        <f t="shared" si="133"/>
        <v>0</v>
      </c>
      <c r="N127" s="4">
        <f t="shared" si="133"/>
        <v>0</v>
      </c>
      <c r="O127" s="4">
        <f t="shared" si="123"/>
        <v>0</v>
      </c>
      <c r="P127" s="4">
        <f t="shared" si="124"/>
        <v>0</v>
      </c>
      <c r="Q127" s="4">
        <f t="shared" si="125"/>
        <v>0</v>
      </c>
      <c r="R127" s="4">
        <f t="shared" si="126"/>
        <v>0</v>
      </c>
      <c r="S127" s="4">
        <f>IF(AND(VLOOKUP(G127,Dados!$D:$L,2,0)=VLOOKUP(I127,Dados!$S:$V,2,0),VLOOKUP(G127,Dados!$D:$L,3,0)=VLOOKUP(I127,Dados!$S:$V,3,0)),0,1)</f>
        <v>0</v>
      </c>
      <c r="T127" s="4">
        <f>IF(AND(VLOOKUP(G127,Dados!$D:$L,3,0)&lt;=VLOOKUP(H127,Dados!$X:$AB,2,0),VLOOKUP(G127,Dados!$D:$L,4,0)&gt;=VLOOKUP(H127,Dados!$X:$AB,3,0),VLOOKUP(G127,Dados!$D:$L,4,0)&lt;=VLOOKUP(H127,Dados!$X:$AB,4,0)),0,1)</f>
        <v>0</v>
      </c>
      <c r="U127" s="4">
        <f>IF(COUNTIFS(F:F,F127,H:H,H127)&lt;=VLOOKUP(H127,Dados!$X:$AB,5,0),0,1)</f>
        <v>0</v>
      </c>
      <c r="W127" s="4">
        <v>171</v>
      </c>
      <c r="X127" s="4">
        <v>10</v>
      </c>
      <c r="Y127" s="4">
        <v>592</v>
      </c>
      <c r="Z127" s="4">
        <v>30</v>
      </c>
      <c r="AA127" s="4">
        <v>1</v>
      </c>
      <c r="AB127" s="4">
        <v>2</v>
      </c>
      <c r="AD127" s="4">
        <f>VLOOKUP(Z127,Dados!$S$3:$W$55,4,FALSE)</f>
        <v>5646</v>
      </c>
      <c r="AE127" s="4">
        <f t="shared" si="128"/>
        <v>5920</v>
      </c>
      <c r="AF127" s="4">
        <f t="shared" si="129"/>
        <v>56460</v>
      </c>
      <c r="AI127" s="13">
        <f>VLOOKUP(Z127,Dados!$S$3:$V$55,2,FALSE)*VLOOKUP(Z127,Dados!$S$3:$V$55,3,FALSE)*VLOOKUP(Z127,Dados!$S$3:$V$55,4,FALSE)*0.00000785</f>
        <v>132.8303367</v>
      </c>
      <c r="AJ127" s="13">
        <f t="shared" si="130"/>
        <v>1328.303367</v>
      </c>
      <c r="AK127" s="13">
        <f t="shared" si="131"/>
        <v>13.9276584</v>
      </c>
      <c r="AL127" s="13">
        <f t="shared" si="132"/>
        <v>139.27658400000001</v>
      </c>
      <c r="AW127" s="15"/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  <c r="BZ127" s="15"/>
      <c r="CA127" s="16"/>
      <c r="CD127" s="15"/>
      <c r="CE127" s="15"/>
      <c r="CF127" s="15"/>
      <c r="CG127" s="16"/>
    </row>
    <row r="128" spans="6:85">
      <c r="F128" s="4">
        <v>126</v>
      </c>
      <c r="G128" s="4">
        <v>51</v>
      </c>
      <c r="H128" s="4">
        <v>1</v>
      </c>
      <c r="I128" s="4">
        <v>18</v>
      </c>
      <c r="J128" s="4">
        <v>7</v>
      </c>
      <c r="K128" s="4">
        <f t="shared" si="133"/>
        <v>0</v>
      </c>
      <c r="L128" s="4">
        <f t="shared" si="133"/>
        <v>0</v>
      </c>
      <c r="M128" s="4">
        <f t="shared" si="133"/>
        <v>0</v>
      </c>
      <c r="N128" s="4">
        <f t="shared" si="133"/>
        <v>0</v>
      </c>
      <c r="O128" s="4">
        <f t="shared" si="123"/>
        <v>0</v>
      </c>
      <c r="P128" s="4">
        <f t="shared" si="124"/>
        <v>0</v>
      </c>
      <c r="Q128" s="4">
        <f t="shared" si="125"/>
        <v>0</v>
      </c>
      <c r="R128" s="4">
        <f t="shared" si="126"/>
        <v>0</v>
      </c>
      <c r="S128" s="4">
        <f>IF(AND(VLOOKUP(G128,Dados!$D:$L,2,0)=VLOOKUP(I128,Dados!$S:$V,2,0),VLOOKUP(G128,Dados!$D:$L,3,0)=VLOOKUP(I128,Dados!$S:$V,3,0)),0,1)</f>
        <v>0</v>
      </c>
      <c r="T128" s="4">
        <f>IF(AND(VLOOKUP(G128,Dados!$D:$L,3,0)&lt;=VLOOKUP(H128,Dados!$X:$AB,2,0),VLOOKUP(G128,Dados!$D:$L,4,0)&gt;=VLOOKUP(H128,Dados!$X:$AB,3,0),VLOOKUP(G128,Dados!$D:$L,4,0)&lt;=VLOOKUP(H128,Dados!$X:$AB,4,0)),0,1)</f>
        <v>0</v>
      </c>
      <c r="U128" s="4">
        <f>IF(COUNTIFS(F:F,F128,H:H,H128)&lt;=VLOOKUP(H128,Dados!$X:$AB,5,0),0,1)</f>
        <v>0</v>
      </c>
      <c r="W128" s="4">
        <v>174</v>
      </c>
      <c r="X128" s="4">
        <v>8</v>
      </c>
      <c r="Y128" s="4">
        <v>361</v>
      </c>
      <c r="Z128" s="4">
        <v>30</v>
      </c>
      <c r="AA128" s="4">
        <v>3</v>
      </c>
      <c r="AB128" s="4">
        <v>2</v>
      </c>
      <c r="AD128" s="4">
        <f>VLOOKUP(Z128,Dados!$S$3:$W$55,4,FALSE)</f>
        <v>5646</v>
      </c>
      <c r="AE128" s="4">
        <f t="shared" si="128"/>
        <v>2888</v>
      </c>
      <c r="AF128" s="4">
        <f t="shared" si="129"/>
        <v>45168</v>
      </c>
      <c r="AI128" s="13">
        <f>VLOOKUP(Z128,Dados!$S$3:$V$55,2,FALSE)*VLOOKUP(Z128,Dados!$S$3:$V$55,3,FALSE)*VLOOKUP(Z128,Dados!$S$3:$V$55,4,FALSE)*0.00000785</f>
        <v>132.8303367</v>
      </c>
      <c r="AJ128" s="13">
        <f t="shared" si="130"/>
        <v>1062.6426936</v>
      </c>
      <c r="AK128" s="13">
        <f t="shared" si="131"/>
        <v>8.4930484499999999</v>
      </c>
      <c r="AL128" s="13">
        <f t="shared" si="132"/>
        <v>67.944387599999999</v>
      </c>
      <c r="AW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  <c r="BZ128" s="15"/>
      <c r="CA128" s="16"/>
      <c r="CD128" s="15"/>
      <c r="CE128" s="15"/>
      <c r="CF128" s="15"/>
      <c r="CG128" s="16"/>
    </row>
    <row r="129" spans="6:85">
      <c r="F129" s="4">
        <v>127</v>
      </c>
      <c r="G129" s="4">
        <v>51</v>
      </c>
      <c r="H129" s="4">
        <v>3</v>
      </c>
      <c r="I129" s="4">
        <v>18</v>
      </c>
      <c r="J129" s="4">
        <v>7</v>
      </c>
      <c r="K129" s="4">
        <f t="shared" si="133"/>
        <v>0</v>
      </c>
      <c r="L129" s="4">
        <f t="shared" si="133"/>
        <v>0</v>
      </c>
      <c r="M129" s="4">
        <f t="shared" si="133"/>
        <v>0</v>
      </c>
      <c r="N129" s="4">
        <f t="shared" si="133"/>
        <v>0</v>
      </c>
      <c r="O129" s="4">
        <f t="shared" si="123"/>
        <v>0</v>
      </c>
      <c r="P129" s="4">
        <f t="shared" si="124"/>
        <v>0</v>
      </c>
      <c r="Q129" s="4">
        <f t="shared" si="125"/>
        <v>0</v>
      </c>
      <c r="R129" s="4">
        <f t="shared" si="126"/>
        <v>0</v>
      </c>
      <c r="S129" s="4">
        <f>IF(AND(VLOOKUP(G129,Dados!$D:$L,2,0)=VLOOKUP(I129,Dados!$S:$V,2,0),VLOOKUP(G129,Dados!$D:$L,3,0)=VLOOKUP(I129,Dados!$S:$V,3,0)),0,1)</f>
        <v>0</v>
      </c>
      <c r="T129" s="4">
        <f>IF(AND(VLOOKUP(G129,Dados!$D:$L,3,0)&lt;=VLOOKUP(H129,Dados!$X:$AB,2,0),VLOOKUP(G129,Dados!$D:$L,4,0)&gt;=VLOOKUP(H129,Dados!$X:$AB,3,0),VLOOKUP(G129,Dados!$D:$L,4,0)&lt;=VLOOKUP(H129,Dados!$X:$AB,4,0)),0,1)</f>
        <v>0</v>
      </c>
      <c r="U129" s="4">
        <f>IF(COUNTIFS(F:F,F129,H:H,H129)&lt;=VLOOKUP(H129,Dados!$X:$AB,5,0),0,1)</f>
        <v>0</v>
      </c>
      <c r="W129" s="4">
        <v>320</v>
      </c>
      <c r="X129" s="4">
        <v>22</v>
      </c>
      <c r="Y129" s="4">
        <v>56</v>
      </c>
      <c r="Z129" s="4">
        <v>1</v>
      </c>
      <c r="AA129" s="4">
        <v>1</v>
      </c>
      <c r="AB129" s="4">
        <v>3</v>
      </c>
      <c r="AD129" s="4">
        <f>VLOOKUP(Z129,Dados!$S$3:$W$55,4,FALSE)</f>
        <v>5349</v>
      </c>
      <c r="AE129" s="4">
        <f t="shared" si="128"/>
        <v>1232</v>
      </c>
      <c r="AF129" s="4">
        <f t="shared" si="129"/>
        <v>117678</v>
      </c>
      <c r="AI129" s="13">
        <f>VLOOKUP(Z129,Dados!$S$3:$V$55,2,FALSE)*VLOOKUP(Z129,Dados!$S$3:$V$55,3,FALSE)*VLOOKUP(Z129,Dados!$S$3:$V$55,4,FALSE)*0.00000785</f>
        <v>30.484485899999999</v>
      </c>
      <c r="AJ129" s="13">
        <f t="shared" si="130"/>
        <v>670.65868979999993</v>
      </c>
      <c r="AK129" s="13">
        <f t="shared" si="131"/>
        <v>0.31914959999999998</v>
      </c>
      <c r="AL129" s="13">
        <f t="shared" si="132"/>
        <v>7.0212911999999994</v>
      </c>
      <c r="AW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/>
      <c r="CA129" s="16"/>
      <c r="CD129" s="15"/>
      <c r="CE129" s="15"/>
      <c r="CF129" s="15"/>
      <c r="CG129" s="16"/>
    </row>
    <row r="130" spans="6:85">
      <c r="F130" s="4">
        <v>128</v>
      </c>
      <c r="G130" s="4">
        <v>52</v>
      </c>
      <c r="H130" s="4">
        <v>1</v>
      </c>
      <c r="I130" s="4">
        <v>18</v>
      </c>
      <c r="J130" s="4">
        <v>9</v>
      </c>
      <c r="K130" s="4">
        <f t="shared" si="133"/>
        <v>0</v>
      </c>
      <c r="L130" s="4">
        <f t="shared" si="133"/>
        <v>0</v>
      </c>
      <c r="M130" s="4">
        <f t="shared" si="133"/>
        <v>0</v>
      </c>
      <c r="N130" s="4">
        <f t="shared" si="133"/>
        <v>0</v>
      </c>
      <c r="O130" s="4">
        <f t="shared" si="123"/>
        <v>0</v>
      </c>
      <c r="P130" s="4">
        <f t="shared" si="124"/>
        <v>0</v>
      </c>
      <c r="Q130" s="4">
        <f t="shared" si="125"/>
        <v>0</v>
      </c>
      <c r="R130" s="4">
        <f t="shared" si="126"/>
        <v>0</v>
      </c>
      <c r="S130" s="4">
        <f>IF(AND(VLOOKUP(G130,Dados!$D:$L,2,0)=VLOOKUP(I130,Dados!$S:$V,2,0),VLOOKUP(G130,Dados!$D:$L,3,0)=VLOOKUP(I130,Dados!$S:$V,3,0)),0,1)</f>
        <v>0</v>
      </c>
      <c r="T130" s="4">
        <f>IF(AND(VLOOKUP(G130,Dados!$D:$L,3,0)&lt;=VLOOKUP(H130,Dados!$X:$AB,2,0),VLOOKUP(G130,Dados!$D:$L,4,0)&gt;=VLOOKUP(H130,Dados!$X:$AB,3,0),VLOOKUP(G130,Dados!$D:$L,4,0)&lt;=VLOOKUP(H130,Dados!$X:$AB,4,0)),0,1)</f>
        <v>0</v>
      </c>
      <c r="U130" s="4">
        <f>IF(COUNTIFS(F:F,F130,H:H,H130)&lt;=VLOOKUP(H130,Dados!$X:$AB,5,0),0,1)</f>
        <v>0</v>
      </c>
      <c r="W130" s="4">
        <v>14</v>
      </c>
      <c r="X130" s="4">
        <v>1</v>
      </c>
      <c r="Y130" s="4">
        <v>437</v>
      </c>
      <c r="Z130" s="4">
        <v>1</v>
      </c>
      <c r="AA130" s="4">
        <v>2</v>
      </c>
      <c r="AB130" s="4">
        <v>3</v>
      </c>
      <c r="AD130" s="4">
        <f>VLOOKUP(Z130,Dados!$S$3:$W$55,4,FALSE)</f>
        <v>5349</v>
      </c>
      <c r="AE130" s="4">
        <f t="shared" si="128"/>
        <v>437</v>
      </c>
      <c r="AF130" s="4">
        <f t="shared" si="129"/>
        <v>5349</v>
      </c>
      <c r="AI130" s="13">
        <f>VLOOKUP(Z130,Dados!$S$3:$V$55,2,FALSE)*VLOOKUP(Z130,Dados!$S$3:$V$55,3,FALSE)*VLOOKUP(Z130,Dados!$S$3:$V$55,4,FALSE)*0.00000785</f>
        <v>30.484485899999999</v>
      </c>
      <c r="AJ130" s="13">
        <f t="shared" si="130"/>
        <v>30.484485899999999</v>
      </c>
      <c r="AK130" s="13">
        <f t="shared" si="131"/>
        <v>2.4905066999999996</v>
      </c>
      <c r="AL130" s="13">
        <f t="shared" si="132"/>
        <v>2.4905066999999996</v>
      </c>
      <c r="AW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  <c r="CA130" s="16"/>
      <c r="CD130" s="15"/>
      <c r="CE130" s="15"/>
      <c r="CF130" s="15"/>
      <c r="CG130" s="16"/>
    </row>
    <row r="131" spans="6:85">
      <c r="F131" s="4">
        <v>129</v>
      </c>
      <c r="G131" s="4">
        <v>52</v>
      </c>
      <c r="H131" s="4">
        <v>3</v>
      </c>
      <c r="I131" s="4">
        <v>18</v>
      </c>
      <c r="J131" s="4">
        <v>9</v>
      </c>
      <c r="K131" s="4">
        <f t="shared" si="133"/>
        <v>0</v>
      </c>
      <c r="L131" s="4">
        <f t="shared" si="133"/>
        <v>0</v>
      </c>
      <c r="M131" s="4">
        <f t="shared" si="133"/>
        <v>0</v>
      </c>
      <c r="N131" s="4">
        <f t="shared" si="133"/>
        <v>0</v>
      </c>
      <c r="O131" s="4">
        <f t="shared" si="123"/>
        <v>0</v>
      </c>
      <c r="P131" s="4">
        <f t="shared" si="124"/>
        <v>0</v>
      </c>
      <c r="Q131" s="4">
        <f t="shared" si="125"/>
        <v>0</v>
      </c>
      <c r="R131" s="4">
        <f t="shared" si="126"/>
        <v>0</v>
      </c>
      <c r="S131" s="4">
        <f>IF(AND(VLOOKUP(G131,Dados!$D:$L,2,0)=VLOOKUP(I131,Dados!$S:$V,2,0),VLOOKUP(G131,Dados!$D:$L,3,0)=VLOOKUP(I131,Dados!$S:$V,3,0)),0,1)</f>
        <v>0</v>
      </c>
      <c r="T131" s="4">
        <f>IF(AND(VLOOKUP(G131,Dados!$D:$L,3,0)&lt;=VLOOKUP(H131,Dados!$X:$AB,2,0),VLOOKUP(G131,Dados!$D:$L,4,0)&gt;=VLOOKUP(H131,Dados!$X:$AB,3,0),VLOOKUP(G131,Dados!$D:$L,4,0)&lt;=VLOOKUP(H131,Dados!$X:$AB,4,0)),0,1)</f>
        <v>0</v>
      </c>
      <c r="U131" s="4">
        <f>IF(COUNTIFS(F:F,F131,H:H,H131)&lt;=VLOOKUP(H131,Dados!$X:$AB,5,0),0,1)</f>
        <v>0</v>
      </c>
      <c r="W131" s="4">
        <v>321</v>
      </c>
      <c r="X131" s="4">
        <v>12</v>
      </c>
      <c r="Y131" s="4">
        <v>56</v>
      </c>
      <c r="Z131" s="4">
        <v>1</v>
      </c>
      <c r="AA131" s="4">
        <v>2</v>
      </c>
      <c r="AB131" s="4">
        <v>3</v>
      </c>
      <c r="AD131" s="4">
        <f>VLOOKUP(Z131,Dados!$S$3:$W$55,4,FALSE)</f>
        <v>5349</v>
      </c>
      <c r="AE131" s="4">
        <f t="shared" si="128"/>
        <v>672</v>
      </c>
      <c r="AF131" s="4">
        <f t="shared" si="129"/>
        <v>64188</v>
      </c>
      <c r="AI131" s="13">
        <f>VLOOKUP(Z131,Dados!$S$3:$V$55,2,FALSE)*VLOOKUP(Z131,Dados!$S$3:$V$55,3,FALSE)*VLOOKUP(Z131,Dados!$S$3:$V$55,4,FALSE)*0.00000785</f>
        <v>30.484485899999999</v>
      </c>
      <c r="AJ131" s="13">
        <f t="shared" si="130"/>
        <v>365.81383080000001</v>
      </c>
      <c r="AK131" s="13">
        <f t="shared" si="131"/>
        <v>0.31914959999999998</v>
      </c>
      <c r="AL131" s="13">
        <f t="shared" si="132"/>
        <v>3.8297951999999995</v>
      </c>
      <c r="AW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15"/>
      <c r="BY131" s="15"/>
      <c r="BZ131" s="15"/>
      <c r="CA131" s="16"/>
      <c r="CD131" s="15"/>
      <c r="CE131" s="15"/>
      <c r="CF131" s="15"/>
      <c r="CG131" s="16"/>
    </row>
    <row r="132" spans="6:85">
      <c r="F132" s="4">
        <v>130</v>
      </c>
      <c r="G132" s="4">
        <v>53</v>
      </c>
      <c r="H132" s="4">
        <v>1</v>
      </c>
      <c r="I132" s="4">
        <v>20</v>
      </c>
      <c r="J132" s="4">
        <v>8</v>
      </c>
      <c r="K132" s="4">
        <f t="shared" si="133"/>
        <v>0</v>
      </c>
      <c r="L132" s="4">
        <f t="shared" si="133"/>
        <v>1</v>
      </c>
      <c r="M132" s="4">
        <f t="shared" si="133"/>
        <v>0</v>
      </c>
      <c r="N132" s="4">
        <f t="shared" si="133"/>
        <v>0</v>
      </c>
      <c r="O132" s="4">
        <f t="shared" si="123"/>
        <v>0</v>
      </c>
      <c r="P132" s="4">
        <f t="shared" si="124"/>
        <v>8</v>
      </c>
      <c r="Q132" s="4">
        <f t="shared" si="125"/>
        <v>0</v>
      </c>
      <c r="R132" s="4">
        <f t="shared" si="126"/>
        <v>0</v>
      </c>
      <c r="S132" s="4">
        <f>IF(AND(VLOOKUP(G132,Dados!$D:$L,2,0)=VLOOKUP(I132,Dados!$S:$V,2,0),VLOOKUP(G132,Dados!$D:$L,3,0)=VLOOKUP(I132,Dados!$S:$V,3,0)),0,1)</f>
        <v>0</v>
      </c>
      <c r="T132" s="4">
        <f>IF(AND(VLOOKUP(G132,Dados!$D:$L,3,0)&lt;=VLOOKUP(H132,Dados!$X:$AB,2,0),VLOOKUP(G132,Dados!$D:$L,4,0)&gt;=VLOOKUP(H132,Dados!$X:$AB,3,0),VLOOKUP(G132,Dados!$D:$L,4,0)&lt;=VLOOKUP(H132,Dados!$X:$AB,4,0)),0,1)</f>
        <v>0</v>
      </c>
      <c r="U132" s="4">
        <f>IF(COUNTIFS(F:F,F132,H:H,H132)&lt;=VLOOKUP(H132,Dados!$X:$AB,5,0),0,1)</f>
        <v>0</v>
      </c>
      <c r="W132" s="4">
        <v>707</v>
      </c>
      <c r="X132" s="4">
        <v>23</v>
      </c>
      <c r="Y132" s="4">
        <v>15</v>
      </c>
      <c r="Z132" s="4">
        <v>1</v>
      </c>
      <c r="AA132" s="4">
        <v>2</v>
      </c>
      <c r="AB132" s="4">
        <v>3</v>
      </c>
      <c r="AD132" s="4">
        <f>VLOOKUP(Z132,Dados!$S$3:$W$55,4,FALSE)</f>
        <v>5349</v>
      </c>
      <c r="AE132" s="4">
        <f t="shared" si="128"/>
        <v>345</v>
      </c>
      <c r="AF132" s="4">
        <f t="shared" si="129"/>
        <v>123027</v>
      </c>
      <c r="AI132" s="13">
        <f>VLOOKUP(Z132,Dados!$S$3:$V$55,2,FALSE)*VLOOKUP(Z132,Dados!$S$3:$V$55,3,FALSE)*VLOOKUP(Z132,Dados!$S$3:$V$55,4,FALSE)*0.00000785</f>
        <v>30.484485899999999</v>
      </c>
      <c r="AJ132" s="13">
        <f t="shared" si="130"/>
        <v>701.14317570000003</v>
      </c>
      <c r="AK132" s="13">
        <f t="shared" si="131"/>
        <v>8.5486499999999993E-2</v>
      </c>
      <c r="AL132" s="13">
        <f t="shared" si="132"/>
        <v>1.9661894999999998</v>
      </c>
      <c r="AW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  <c r="BZ132" s="15"/>
      <c r="CA132" s="16"/>
      <c r="CD132" s="15"/>
      <c r="CE132" s="15"/>
      <c r="CF132" s="15"/>
      <c r="CG132" s="16"/>
    </row>
    <row r="133" spans="6:85">
      <c r="F133" s="4">
        <v>131</v>
      </c>
      <c r="G133" s="4">
        <v>53</v>
      </c>
      <c r="H133" s="4">
        <v>3</v>
      </c>
      <c r="I133" s="4">
        <v>20</v>
      </c>
      <c r="J133" s="4">
        <v>8</v>
      </c>
      <c r="K133" s="4">
        <f t="shared" si="133"/>
        <v>3</v>
      </c>
      <c r="L133" s="4">
        <f t="shared" si="133"/>
        <v>0</v>
      </c>
      <c r="M133" s="4">
        <f t="shared" si="133"/>
        <v>0</v>
      </c>
      <c r="N133" s="4">
        <f t="shared" si="133"/>
        <v>0</v>
      </c>
      <c r="O133" s="4">
        <f t="shared" si="123"/>
        <v>24</v>
      </c>
      <c r="P133" s="4">
        <f t="shared" si="124"/>
        <v>0</v>
      </c>
      <c r="Q133" s="4">
        <f t="shared" si="125"/>
        <v>0</v>
      </c>
      <c r="R133" s="4">
        <f t="shared" si="126"/>
        <v>0</v>
      </c>
      <c r="S133" s="4">
        <f>IF(AND(VLOOKUP(G133,Dados!$D:$L,2,0)=VLOOKUP(I133,Dados!$S:$V,2,0),VLOOKUP(G133,Dados!$D:$L,3,0)=VLOOKUP(I133,Dados!$S:$V,3,0)),0,1)</f>
        <v>0</v>
      </c>
      <c r="T133" s="4">
        <f>IF(AND(VLOOKUP(G133,Dados!$D:$L,3,0)&lt;=VLOOKUP(H133,Dados!$X:$AB,2,0),VLOOKUP(G133,Dados!$D:$L,4,0)&gt;=VLOOKUP(H133,Dados!$X:$AB,3,0),VLOOKUP(G133,Dados!$D:$L,4,0)&lt;=VLOOKUP(H133,Dados!$X:$AB,4,0)),0,1)</f>
        <v>0</v>
      </c>
      <c r="U133" s="4">
        <f>IF(COUNTIFS(F:F,F133,H:H,H133)&lt;=VLOOKUP(H133,Dados!$X:$AB,5,0),0,1)</f>
        <v>0</v>
      </c>
      <c r="W133" s="4">
        <v>919</v>
      </c>
      <c r="X133" s="4">
        <v>5</v>
      </c>
      <c r="Y133" s="4">
        <v>141</v>
      </c>
      <c r="Z133" s="4">
        <v>1</v>
      </c>
      <c r="AA133" s="4">
        <v>2</v>
      </c>
      <c r="AB133" s="4">
        <v>3</v>
      </c>
      <c r="AD133" s="4">
        <f>VLOOKUP(Z133,Dados!$S$3:$W$55,4,FALSE)</f>
        <v>5349</v>
      </c>
      <c r="AE133" s="4">
        <f t="shared" si="128"/>
        <v>705</v>
      </c>
      <c r="AF133" s="4">
        <f t="shared" si="129"/>
        <v>26745</v>
      </c>
      <c r="AI133" s="13">
        <f>VLOOKUP(Z133,Dados!$S$3:$V$55,2,FALSE)*VLOOKUP(Z133,Dados!$S$3:$V$55,3,FALSE)*VLOOKUP(Z133,Dados!$S$3:$V$55,4,FALSE)*0.00000785</f>
        <v>30.484485899999999</v>
      </c>
      <c r="AJ133" s="13">
        <f t="shared" si="130"/>
        <v>152.42242949999999</v>
      </c>
      <c r="AK133" s="13">
        <f t="shared" si="131"/>
        <v>0.80357309999999993</v>
      </c>
      <c r="AL133" s="13">
        <f t="shared" si="132"/>
        <v>4.0178654999999992</v>
      </c>
      <c r="AW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15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15"/>
      <c r="BY133" s="15"/>
      <c r="BZ133" s="15"/>
      <c r="CA133" s="16"/>
      <c r="CD133" s="15"/>
      <c r="CE133" s="15"/>
      <c r="CF133" s="15"/>
      <c r="CG133" s="16"/>
    </row>
    <row r="134" spans="6:85">
      <c r="F134" s="4">
        <v>132</v>
      </c>
      <c r="G134" s="4">
        <v>54</v>
      </c>
      <c r="H134" s="4">
        <v>1</v>
      </c>
      <c r="I134" s="4">
        <v>20</v>
      </c>
      <c r="J134" s="4">
        <v>8</v>
      </c>
      <c r="K134" s="4">
        <f t="shared" si="133"/>
        <v>0</v>
      </c>
      <c r="L134" s="4">
        <f t="shared" si="133"/>
        <v>0</v>
      </c>
      <c r="M134" s="4">
        <f t="shared" si="133"/>
        <v>0</v>
      </c>
      <c r="N134" s="4">
        <f t="shared" si="133"/>
        <v>18</v>
      </c>
      <c r="O134" s="4">
        <f t="shared" si="123"/>
        <v>0</v>
      </c>
      <c r="P134" s="4">
        <f t="shared" si="124"/>
        <v>0</v>
      </c>
      <c r="Q134" s="4">
        <f t="shared" si="125"/>
        <v>0</v>
      </c>
      <c r="R134" s="4">
        <f t="shared" si="126"/>
        <v>144</v>
      </c>
      <c r="S134" s="4">
        <f>IF(AND(VLOOKUP(G134,Dados!$D:$L,2,0)=VLOOKUP(I134,Dados!$S:$V,2,0),VLOOKUP(G134,Dados!$D:$L,3,0)=VLOOKUP(I134,Dados!$S:$V,3,0)),0,1)</f>
        <v>0</v>
      </c>
      <c r="T134" s="4">
        <f>IF(AND(VLOOKUP(G134,Dados!$D:$L,3,0)&lt;=VLOOKUP(H134,Dados!$X:$AB,2,0),VLOOKUP(G134,Dados!$D:$L,4,0)&gt;=VLOOKUP(H134,Dados!$X:$AB,3,0),VLOOKUP(G134,Dados!$D:$L,4,0)&lt;=VLOOKUP(H134,Dados!$X:$AB,4,0)),0,1)</f>
        <v>0</v>
      </c>
      <c r="U134" s="4">
        <f>IF(COUNTIFS(F:F,F134,H:H,H134)&lt;=VLOOKUP(H134,Dados!$X:$AB,5,0),0,1)</f>
        <v>0</v>
      </c>
      <c r="W134" s="4">
        <v>920</v>
      </c>
      <c r="X134" s="4">
        <v>3</v>
      </c>
      <c r="Y134" s="4">
        <v>141</v>
      </c>
      <c r="Z134" s="4">
        <v>1</v>
      </c>
      <c r="AA134" s="4">
        <v>3</v>
      </c>
      <c r="AB134" s="4">
        <v>3</v>
      </c>
      <c r="AD134" s="4">
        <f>VLOOKUP(Z134,Dados!$S$3:$W$55,4,FALSE)</f>
        <v>5349</v>
      </c>
      <c r="AE134" s="4">
        <f t="shared" si="128"/>
        <v>423</v>
      </c>
      <c r="AF134" s="4">
        <f t="shared" si="129"/>
        <v>16047</v>
      </c>
      <c r="AI134" s="13">
        <f>VLOOKUP(Z134,Dados!$S$3:$V$55,2,FALSE)*VLOOKUP(Z134,Dados!$S$3:$V$55,3,FALSE)*VLOOKUP(Z134,Dados!$S$3:$V$55,4,FALSE)*0.00000785</f>
        <v>30.484485899999999</v>
      </c>
      <c r="AJ134" s="13">
        <f t="shared" si="130"/>
        <v>91.453457700000001</v>
      </c>
      <c r="AK134" s="13">
        <f t="shared" si="131"/>
        <v>0.80357309999999993</v>
      </c>
      <c r="AL134" s="13">
        <f t="shared" si="132"/>
        <v>2.4107192999999998</v>
      </c>
      <c r="AW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  <c r="BZ134" s="15"/>
      <c r="CA134" s="16"/>
      <c r="CD134" s="15"/>
      <c r="CE134" s="15"/>
      <c r="CF134" s="15"/>
      <c r="CG134" s="16"/>
    </row>
    <row r="135" spans="6:85">
      <c r="F135" s="4">
        <v>133</v>
      </c>
      <c r="G135" s="4">
        <v>54</v>
      </c>
      <c r="H135" s="4">
        <v>3</v>
      </c>
      <c r="I135" s="4">
        <v>20</v>
      </c>
      <c r="J135" s="4">
        <v>8</v>
      </c>
      <c r="K135" s="4">
        <f t="shared" si="133"/>
        <v>0</v>
      </c>
      <c r="L135" s="4">
        <f t="shared" si="133"/>
        <v>0</v>
      </c>
      <c r="M135" s="4">
        <f t="shared" si="133"/>
        <v>0</v>
      </c>
      <c r="N135" s="4">
        <f t="shared" si="133"/>
        <v>0</v>
      </c>
      <c r="O135" s="4">
        <f t="shared" si="123"/>
        <v>0</v>
      </c>
      <c r="P135" s="4">
        <f t="shared" si="124"/>
        <v>0</v>
      </c>
      <c r="Q135" s="4">
        <f t="shared" si="125"/>
        <v>0</v>
      </c>
      <c r="R135" s="4">
        <f t="shared" si="126"/>
        <v>0</v>
      </c>
      <c r="S135" s="4">
        <f>IF(AND(VLOOKUP(G135,Dados!$D:$L,2,0)=VLOOKUP(I135,Dados!$S:$V,2,0),VLOOKUP(G135,Dados!$D:$L,3,0)=VLOOKUP(I135,Dados!$S:$V,3,0)),0,1)</f>
        <v>0</v>
      </c>
      <c r="T135" s="4">
        <f>IF(AND(VLOOKUP(G135,Dados!$D:$L,3,0)&lt;=VLOOKUP(H135,Dados!$X:$AB,2,0),VLOOKUP(G135,Dados!$D:$L,4,0)&gt;=VLOOKUP(H135,Dados!$X:$AB,3,0),VLOOKUP(G135,Dados!$D:$L,4,0)&lt;=VLOOKUP(H135,Dados!$X:$AB,4,0)),0,1)</f>
        <v>0</v>
      </c>
      <c r="U135" s="4">
        <f>IF(COUNTIFS(F:F,F135,H:H,H135)&lt;=VLOOKUP(H135,Dados!$X:$AB,5,0),0,1)</f>
        <v>0</v>
      </c>
      <c r="W135" s="4">
        <v>178</v>
      </c>
      <c r="X135" s="4">
        <v>10</v>
      </c>
      <c r="Y135" s="4">
        <v>40</v>
      </c>
      <c r="Z135" s="4">
        <v>2</v>
      </c>
      <c r="AA135" s="4">
        <v>1</v>
      </c>
      <c r="AB135" s="4">
        <v>3</v>
      </c>
      <c r="AD135" s="4">
        <f>VLOOKUP(Z135,Dados!$S$3:$W$55,4,FALSE)</f>
        <v>5211</v>
      </c>
      <c r="AE135" s="4">
        <f t="shared" si="128"/>
        <v>400</v>
      </c>
      <c r="AF135" s="4">
        <f t="shared" si="129"/>
        <v>52110</v>
      </c>
      <c r="AI135" s="13">
        <f>VLOOKUP(Z135,Dados!$S$3:$V$55,2,FALSE)*VLOOKUP(Z135,Dados!$S$3:$V$55,3,FALSE)*VLOOKUP(Z135,Dados!$S$3:$V$55,4,FALSE)*0.00000785</f>
        <v>83.694392099999988</v>
      </c>
      <c r="AJ135" s="13">
        <f t="shared" si="130"/>
        <v>836.94392099999982</v>
      </c>
      <c r="AK135" s="13">
        <f t="shared" si="131"/>
        <v>0.6424439999999999</v>
      </c>
      <c r="AL135" s="13">
        <f t="shared" si="132"/>
        <v>6.4244399999999988</v>
      </c>
      <c r="AW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15"/>
      <c r="BN135" s="15"/>
      <c r="BO135" s="15"/>
      <c r="BP135" s="15"/>
      <c r="BQ135" s="15"/>
      <c r="BR135" s="15"/>
      <c r="BS135" s="15"/>
      <c r="BT135" s="15"/>
      <c r="BU135" s="15"/>
      <c r="BV135" s="15"/>
      <c r="BW135" s="15"/>
      <c r="BX135" s="15"/>
      <c r="BY135" s="15"/>
      <c r="BZ135" s="15"/>
      <c r="CA135" s="16"/>
      <c r="CD135" s="15"/>
      <c r="CE135" s="15"/>
      <c r="CF135" s="15"/>
      <c r="CG135" s="16"/>
    </row>
    <row r="136" spans="6:85">
      <c r="F136" s="4">
        <v>134</v>
      </c>
      <c r="G136" s="4">
        <v>55</v>
      </c>
      <c r="H136" s="4">
        <v>1</v>
      </c>
      <c r="I136" s="4">
        <v>20</v>
      </c>
      <c r="J136" s="4">
        <v>9</v>
      </c>
      <c r="K136" s="4">
        <f t="shared" si="133"/>
        <v>0</v>
      </c>
      <c r="L136" s="4">
        <f t="shared" si="133"/>
        <v>0</v>
      </c>
      <c r="M136" s="4">
        <f t="shared" si="133"/>
        <v>0</v>
      </c>
      <c r="N136" s="4">
        <f t="shared" si="133"/>
        <v>0</v>
      </c>
      <c r="O136" s="4">
        <f t="shared" si="123"/>
        <v>0</v>
      </c>
      <c r="P136" s="4">
        <f t="shared" si="124"/>
        <v>0</v>
      </c>
      <c r="Q136" s="4">
        <f t="shared" si="125"/>
        <v>0</v>
      </c>
      <c r="R136" s="4">
        <f t="shared" si="126"/>
        <v>0</v>
      </c>
      <c r="S136" s="4">
        <f>IF(AND(VLOOKUP(G136,Dados!$D:$L,2,0)=VLOOKUP(I136,Dados!$S:$V,2,0),VLOOKUP(G136,Dados!$D:$L,3,0)=VLOOKUP(I136,Dados!$S:$V,3,0)),0,1)</f>
        <v>0</v>
      </c>
      <c r="T136" s="4">
        <f>IF(AND(VLOOKUP(G136,Dados!$D:$L,3,0)&lt;=VLOOKUP(H136,Dados!$X:$AB,2,0),VLOOKUP(G136,Dados!$D:$L,4,0)&gt;=VLOOKUP(H136,Dados!$X:$AB,3,0),VLOOKUP(G136,Dados!$D:$L,4,0)&lt;=VLOOKUP(H136,Dados!$X:$AB,4,0)),0,1)</f>
        <v>0</v>
      </c>
      <c r="U136" s="4">
        <f>IF(COUNTIFS(F:F,F136,H:H,H136)&lt;=VLOOKUP(H136,Dados!$X:$AB,5,0),0,1)</f>
        <v>0</v>
      </c>
      <c r="W136" s="4">
        <v>509</v>
      </c>
      <c r="X136" s="4">
        <v>10</v>
      </c>
      <c r="Y136" s="4">
        <v>23</v>
      </c>
      <c r="Z136" s="4">
        <v>2</v>
      </c>
      <c r="AA136" s="4">
        <v>1</v>
      </c>
      <c r="AB136" s="4">
        <v>3</v>
      </c>
      <c r="AD136" s="4">
        <f>VLOOKUP(Z136,Dados!$S$3:$W$55,4,FALSE)</f>
        <v>5211</v>
      </c>
      <c r="AE136" s="4">
        <f t="shared" si="128"/>
        <v>230</v>
      </c>
      <c r="AF136" s="4">
        <f t="shared" si="129"/>
        <v>52110</v>
      </c>
      <c r="AI136" s="13">
        <f>VLOOKUP(Z136,Dados!$S$3:$V$55,2,FALSE)*VLOOKUP(Z136,Dados!$S$3:$V$55,3,FALSE)*VLOOKUP(Z136,Dados!$S$3:$V$55,4,FALSE)*0.00000785</f>
        <v>83.694392099999988</v>
      </c>
      <c r="AJ136" s="13">
        <f t="shared" si="130"/>
        <v>836.94392099999982</v>
      </c>
      <c r="AK136" s="13">
        <f t="shared" si="131"/>
        <v>0.36940529999999994</v>
      </c>
      <c r="AL136" s="13">
        <f t="shared" si="132"/>
        <v>3.6940529999999994</v>
      </c>
      <c r="AW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  <c r="BZ136" s="15"/>
      <c r="CA136" s="16"/>
      <c r="CD136" s="15"/>
      <c r="CE136" s="15"/>
      <c r="CF136" s="15"/>
      <c r="CG136" s="16"/>
    </row>
    <row r="137" spans="6:85">
      <c r="F137" s="4">
        <v>135</v>
      </c>
      <c r="G137" s="4">
        <v>55</v>
      </c>
      <c r="H137" s="4">
        <v>3</v>
      </c>
      <c r="I137" s="4">
        <v>20</v>
      </c>
      <c r="J137" s="4">
        <v>9</v>
      </c>
      <c r="K137" s="4">
        <f t="shared" si="133"/>
        <v>0</v>
      </c>
      <c r="L137" s="4">
        <f t="shared" si="133"/>
        <v>0</v>
      </c>
      <c r="M137" s="4">
        <f t="shared" si="133"/>
        <v>0</v>
      </c>
      <c r="N137" s="4">
        <f t="shared" si="133"/>
        <v>0</v>
      </c>
      <c r="O137" s="4">
        <f t="shared" si="123"/>
        <v>0</v>
      </c>
      <c r="P137" s="4">
        <f t="shared" si="124"/>
        <v>0</v>
      </c>
      <c r="Q137" s="4">
        <f t="shared" si="125"/>
        <v>0</v>
      </c>
      <c r="R137" s="4">
        <f t="shared" si="126"/>
        <v>0</v>
      </c>
      <c r="S137" s="4">
        <f>IF(AND(VLOOKUP(G137,Dados!$D:$L,2,0)=VLOOKUP(I137,Dados!$S:$V,2,0),VLOOKUP(G137,Dados!$D:$L,3,0)=VLOOKUP(I137,Dados!$S:$V,3,0)),0,1)</f>
        <v>0</v>
      </c>
      <c r="T137" s="4">
        <f>IF(AND(VLOOKUP(G137,Dados!$D:$L,3,0)&lt;=VLOOKUP(H137,Dados!$X:$AB,2,0),VLOOKUP(G137,Dados!$D:$L,4,0)&gt;=VLOOKUP(H137,Dados!$X:$AB,3,0),VLOOKUP(G137,Dados!$D:$L,4,0)&lt;=VLOOKUP(H137,Dados!$X:$AB,4,0)),0,1)</f>
        <v>0</v>
      </c>
      <c r="U137" s="4">
        <f>IF(COUNTIFS(F:F,F137,H:H,H137)&lt;=VLOOKUP(H137,Dados!$X:$AB,5,0),0,1)</f>
        <v>0</v>
      </c>
      <c r="W137" s="4">
        <v>611</v>
      </c>
      <c r="X137" s="4">
        <v>2</v>
      </c>
      <c r="Y137" s="4">
        <v>4</v>
      </c>
      <c r="Z137" s="4">
        <v>2</v>
      </c>
      <c r="AA137" s="4">
        <v>1</v>
      </c>
      <c r="AB137" s="4">
        <v>3</v>
      </c>
      <c r="AD137" s="4">
        <f>VLOOKUP(Z137,Dados!$S$3:$W$55,4,FALSE)</f>
        <v>5211</v>
      </c>
      <c r="AE137" s="4">
        <f t="shared" si="128"/>
        <v>8</v>
      </c>
      <c r="AF137" s="4">
        <f t="shared" si="129"/>
        <v>10422</v>
      </c>
      <c r="AI137" s="13">
        <f>VLOOKUP(Z137,Dados!$S$3:$V$55,2,FALSE)*VLOOKUP(Z137,Dados!$S$3:$V$55,3,FALSE)*VLOOKUP(Z137,Dados!$S$3:$V$55,4,FALSE)*0.00000785</f>
        <v>83.694392099999988</v>
      </c>
      <c r="AJ137" s="13">
        <f t="shared" si="130"/>
        <v>167.38878419999998</v>
      </c>
      <c r="AK137" s="13">
        <f t="shared" si="131"/>
        <v>6.4244399999999993E-2</v>
      </c>
      <c r="AL137" s="13">
        <f t="shared" si="132"/>
        <v>0.12848879999999999</v>
      </c>
      <c r="AO137" s="5"/>
      <c r="AP137" s="5"/>
      <c r="AQ137" s="5"/>
      <c r="AR137" s="5"/>
      <c r="AS137" s="5"/>
      <c r="AT137" s="5"/>
      <c r="AW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/>
      <c r="BZ137" s="15"/>
      <c r="CA137" s="16"/>
      <c r="CD137" s="15"/>
      <c r="CE137" s="15"/>
      <c r="CF137" s="15"/>
      <c r="CG137" s="16"/>
    </row>
    <row r="138" spans="6:85">
      <c r="F138" s="4">
        <v>136</v>
      </c>
      <c r="G138" s="4">
        <v>56</v>
      </c>
      <c r="H138" s="4">
        <v>1</v>
      </c>
      <c r="I138" s="4">
        <v>20</v>
      </c>
      <c r="J138" s="4">
        <v>7</v>
      </c>
      <c r="K138" s="4">
        <f t="shared" si="133"/>
        <v>0</v>
      </c>
      <c r="L138" s="4">
        <f t="shared" si="133"/>
        <v>0</v>
      </c>
      <c r="M138" s="4">
        <f t="shared" si="133"/>
        <v>0</v>
      </c>
      <c r="N138" s="4">
        <f t="shared" si="133"/>
        <v>0</v>
      </c>
      <c r="O138" s="4">
        <f t="shared" si="123"/>
        <v>0</v>
      </c>
      <c r="P138" s="4">
        <f t="shared" si="124"/>
        <v>0</v>
      </c>
      <c r="Q138" s="4">
        <f t="shared" si="125"/>
        <v>0</v>
      </c>
      <c r="R138" s="4">
        <f t="shared" si="126"/>
        <v>0</v>
      </c>
      <c r="S138" s="4">
        <f>IF(AND(VLOOKUP(G138,Dados!$D:$L,2,0)=VLOOKUP(I138,Dados!$S:$V,2,0),VLOOKUP(G138,Dados!$D:$L,3,0)=VLOOKUP(I138,Dados!$S:$V,3,0)),0,1)</f>
        <v>0</v>
      </c>
      <c r="T138" s="4">
        <f>IF(AND(VLOOKUP(G138,Dados!$D:$L,3,0)&lt;=VLOOKUP(H138,Dados!$X:$AB,2,0),VLOOKUP(G138,Dados!$D:$L,4,0)&gt;=VLOOKUP(H138,Dados!$X:$AB,3,0),VLOOKUP(G138,Dados!$D:$L,4,0)&lt;=VLOOKUP(H138,Dados!$X:$AB,4,0)),0,1)</f>
        <v>0</v>
      </c>
      <c r="U138" s="4">
        <f>IF(COUNTIFS(F:F,F138,H:H,H138)&lt;=VLOOKUP(H138,Dados!$X:$AB,5,0),0,1)</f>
        <v>0</v>
      </c>
      <c r="W138" s="4">
        <v>259</v>
      </c>
      <c r="X138" s="4">
        <v>1</v>
      </c>
      <c r="Y138" s="4">
        <v>4</v>
      </c>
      <c r="Z138" s="4">
        <v>5</v>
      </c>
      <c r="AA138" s="4">
        <v>2</v>
      </c>
      <c r="AB138" s="4">
        <v>3</v>
      </c>
      <c r="AD138" s="4">
        <f>VLOOKUP(Z138,Dados!$S$3:$W$55,4,FALSE)</f>
        <v>6374</v>
      </c>
      <c r="AE138" s="4">
        <f t="shared" si="128"/>
        <v>4</v>
      </c>
      <c r="AF138" s="4">
        <f t="shared" si="129"/>
        <v>6374</v>
      </c>
      <c r="AI138" s="13">
        <f>VLOOKUP(Z138,Dados!$S$3:$V$55,2,FALSE)*VLOOKUP(Z138,Dados!$S$3:$V$55,3,FALSE)*VLOOKUP(Z138,Dados!$S$3:$V$55,4,FALSE)*0.00000785</f>
        <v>106.32628749999999</v>
      </c>
      <c r="AJ138" s="13">
        <f t="shared" si="130"/>
        <v>106.32628749999999</v>
      </c>
      <c r="AK138" s="13">
        <f t="shared" si="131"/>
        <v>6.6724999999999993E-2</v>
      </c>
      <c r="AL138" s="13">
        <f t="shared" si="132"/>
        <v>6.6724999999999993E-2</v>
      </c>
      <c r="AO138" s="5"/>
      <c r="AP138" s="5"/>
      <c r="AQ138" s="5"/>
      <c r="AR138" s="5"/>
      <c r="AS138" s="5"/>
      <c r="AT138" s="5"/>
      <c r="AW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/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  <c r="BZ138" s="15"/>
      <c r="CA138" s="16"/>
      <c r="CD138" s="15"/>
      <c r="CE138" s="15"/>
      <c r="CF138" s="15"/>
      <c r="CG138" s="16"/>
    </row>
    <row r="139" spans="6:85">
      <c r="F139" s="4">
        <v>137</v>
      </c>
      <c r="G139" s="4">
        <v>56</v>
      </c>
      <c r="H139" s="4">
        <v>3</v>
      </c>
      <c r="I139" s="4">
        <v>20</v>
      </c>
      <c r="J139" s="4">
        <v>7</v>
      </c>
      <c r="K139" s="4">
        <f t="shared" si="133"/>
        <v>0</v>
      </c>
      <c r="L139" s="4">
        <f t="shared" si="133"/>
        <v>0</v>
      </c>
      <c r="M139" s="4">
        <f t="shared" si="133"/>
        <v>5</v>
      </c>
      <c r="N139" s="4">
        <f t="shared" si="133"/>
        <v>0</v>
      </c>
      <c r="O139" s="4">
        <f t="shared" si="123"/>
        <v>0</v>
      </c>
      <c r="P139" s="4">
        <f t="shared" si="124"/>
        <v>0</v>
      </c>
      <c r="Q139" s="4">
        <f t="shared" si="125"/>
        <v>35</v>
      </c>
      <c r="R139" s="4">
        <f t="shared" si="126"/>
        <v>0</v>
      </c>
      <c r="S139" s="4">
        <f>IF(AND(VLOOKUP(G139,Dados!$D:$L,2,0)=VLOOKUP(I139,Dados!$S:$V,2,0),VLOOKUP(G139,Dados!$D:$L,3,0)=VLOOKUP(I139,Dados!$S:$V,3,0)),0,1)</f>
        <v>0</v>
      </c>
      <c r="T139" s="4">
        <f>IF(AND(VLOOKUP(G139,Dados!$D:$L,3,0)&lt;=VLOOKUP(H139,Dados!$X:$AB,2,0),VLOOKUP(G139,Dados!$D:$L,4,0)&gt;=VLOOKUP(H139,Dados!$X:$AB,3,0),VLOOKUP(G139,Dados!$D:$L,4,0)&lt;=VLOOKUP(H139,Dados!$X:$AB,4,0)),0,1)</f>
        <v>0</v>
      </c>
      <c r="U139" s="4">
        <f>IF(COUNTIFS(F:F,F139,H:H,H139)&lt;=VLOOKUP(H139,Dados!$X:$AB,5,0),0,1)</f>
        <v>0</v>
      </c>
      <c r="W139" s="4">
        <v>26</v>
      </c>
      <c r="X139" s="4">
        <v>12</v>
      </c>
      <c r="Y139" s="4">
        <v>20</v>
      </c>
      <c r="Z139" s="4">
        <v>8</v>
      </c>
      <c r="AA139" s="4">
        <v>1</v>
      </c>
      <c r="AB139" s="4">
        <v>3</v>
      </c>
      <c r="AD139" s="4">
        <f>VLOOKUP(Z139,Dados!$S$3:$W$55,4,FALSE)</f>
        <v>6548</v>
      </c>
      <c r="AE139" s="4">
        <f t="shared" si="128"/>
        <v>240</v>
      </c>
      <c r="AF139" s="4">
        <f t="shared" si="129"/>
        <v>78576</v>
      </c>
      <c r="AI139" s="13">
        <f>VLOOKUP(Z139,Dados!$S$3:$V$55,2,FALSE)*VLOOKUP(Z139,Dados!$S$3:$V$55,3,FALSE)*VLOOKUP(Z139,Dados!$S$3:$V$55,4,FALSE)*0.00000785</f>
        <v>78.644753999999992</v>
      </c>
      <c r="AJ139" s="13">
        <f t="shared" si="130"/>
        <v>943.73704799999996</v>
      </c>
      <c r="AK139" s="13">
        <f t="shared" si="131"/>
        <v>0.24020999999999998</v>
      </c>
      <c r="AL139" s="13">
        <f t="shared" si="132"/>
        <v>2.8825199999999995</v>
      </c>
      <c r="AW139" s="15"/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  <c r="CA139" s="16"/>
      <c r="CD139" s="15"/>
      <c r="CE139" s="15"/>
      <c r="CF139" s="15"/>
      <c r="CG139" s="16"/>
    </row>
    <row r="140" spans="6:85">
      <c r="F140" s="4">
        <v>138</v>
      </c>
      <c r="G140" s="4">
        <v>57</v>
      </c>
      <c r="H140" s="4">
        <v>1</v>
      </c>
      <c r="I140" s="4">
        <v>20</v>
      </c>
      <c r="J140" s="4">
        <v>9</v>
      </c>
      <c r="K140" s="4">
        <f t="shared" si="133"/>
        <v>0</v>
      </c>
      <c r="L140" s="4">
        <f t="shared" si="133"/>
        <v>0</v>
      </c>
      <c r="M140" s="4">
        <f t="shared" si="133"/>
        <v>0</v>
      </c>
      <c r="N140" s="4">
        <f t="shared" si="133"/>
        <v>0</v>
      </c>
      <c r="O140" s="4">
        <f t="shared" si="123"/>
        <v>0</v>
      </c>
      <c r="P140" s="4">
        <f t="shared" si="124"/>
        <v>0</v>
      </c>
      <c r="Q140" s="4">
        <f t="shared" si="125"/>
        <v>0</v>
      </c>
      <c r="R140" s="4">
        <f t="shared" si="126"/>
        <v>0</v>
      </c>
      <c r="S140" s="4">
        <f>IF(AND(VLOOKUP(G140,Dados!$D:$L,2,0)=VLOOKUP(I140,Dados!$S:$V,2,0),VLOOKUP(G140,Dados!$D:$L,3,0)=VLOOKUP(I140,Dados!$S:$V,3,0)),0,1)</f>
        <v>0</v>
      </c>
      <c r="T140" s="4">
        <f>IF(AND(VLOOKUP(G140,Dados!$D:$L,3,0)&lt;=VLOOKUP(H140,Dados!$X:$AB,2,0),VLOOKUP(G140,Dados!$D:$L,4,0)&gt;=VLOOKUP(H140,Dados!$X:$AB,3,0),VLOOKUP(G140,Dados!$D:$L,4,0)&lt;=VLOOKUP(H140,Dados!$X:$AB,4,0)),0,1)</f>
        <v>0</v>
      </c>
      <c r="U140" s="4">
        <f>IF(COUNTIFS(F:F,F140,H:H,H140)&lt;=VLOOKUP(H140,Dados!$X:$AB,5,0),0,1)</f>
        <v>0</v>
      </c>
      <c r="W140" s="4">
        <v>714</v>
      </c>
      <c r="X140" s="4">
        <v>2</v>
      </c>
      <c r="Y140" s="4">
        <v>0</v>
      </c>
      <c r="Z140" s="4">
        <v>10</v>
      </c>
      <c r="AA140" s="4">
        <v>1</v>
      </c>
      <c r="AB140" s="4">
        <v>3</v>
      </c>
      <c r="AD140" s="4">
        <f>VLOOKUP(Z140,Dados!$S$3:$W$55,4,FALSE)</f>
        <v>6034</v>
      </c>
      <c r="AE140" s="4">
        <f t="shared" si="128"/>
        <v>0</v>
      </c>
      <c r="AF140" s="4">
        <f t="shared" si="129"/>
        <v>12068</v>
      </c>
      <c r="AI140" s="13">
        <f>VLOOKUP(Z140,Dados!$S$3:$V$55,2,FALSE)*VLOOKUP(Z140,Dados!$S$3:$V$55,3,FALSE)*VLOOKUP(Z140,Dados!$S$3:$V$55,4,FALSE)*0.00000785</f>
        <v>72.471356999999998</v>
      </c>
      <c r="AJ140" s="13">
        <f t="shared" si="130"/>
        <v>144.942714</v>
      </c>
      <c r="AK140" s="13">
        <f t="shared" si="131"/>
        <v>0</v>
      </c>
      <c r="AL140" s="13">
        <f t="shared" si="132"/>
        <v>0</v>
      </c>
      <c r="AW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  <c r="BZ140" s="15"/>
      <c r="CA140" s="16"/>
      <c r="CD140" s="15"/>
      <c r="CE140" s="15"/>
      <c r="CF140" s="15"/>
      <c r="CG140" s="16"/>
    </row>
    <row r="141" spans="6:85">
      <c r="F141" s="4">
        <v>139</v>
      </c>
      <c r="G141" s="4">
        <v>57</v>
      </c>
      <c r="H141" s="4">
        <v>3</v>
      </c>
      <c r="I141" s="4">
        <v>20</v>
      </c>
      <c r="J141" s="4">
        <v>9</v>
      </c>
      <c r="K141" s="4">
        <f t="shared" si="133"/>
        <v>0</v>
      </c>
      <c r="L141" s="4">
        <f t="shared" si="133"/>
        <v>0</v>
      </c>
      <c r="M141" s="4">
        <f t="shared" si="133"/>
        <v>0</v>
      </c>
      <c r="N141" s="4">
        <f t="shared" si="133"/>
        <v>0</v>
      </c>
      <c r="O141" s="4">
        <f t="shared" si="123"/>
        <v>0</v>
      </c>
      <c r="P141" s="4">
        <f t="shared" si="124"/>
        <v>0</v>
      </c>
      <c r="Q141" s="4">
        <f t="shared" si="125"/>
        <v>0</v>
      </c>
      <c r="R141" s="4">
        <f t="shared" si="126"/>
        <v>0</v>
      </c>
      <c r="S141" s="4">
        <f>IF(AND(VLOOKUP(G141,Dados!$D:$L,2,0)=VLOOKUP(I141,Dados!$S:$V,2,0),VLOOKUP(G141,Dados!$D:$L,3,0)=VLOOKUP(I141,Dados!$S:$V,3,0)),0,1)</f>
        <v>0</v>
      </c>
      <c r="T141" s="4">
        <f>IF(AND(VLOOKUP(G141,Dados!$D:$L,3,0)&lt;=VLOOKUP(H141,Dados!$X:$AB,2,0),VLOOKUP(G141,Dados!$D:$L,4,0)&gt;=VLOOKUP(H141,Dados!$X:$AB,3,0),VLOOKUP(G141,Dados!$D:$L,4,0)&lt;=VLOOKUP(H141,Dados!$X:$AB,4,0)),0,1)</f>
        <v>0</v>
      </c>
      <c r="U141" s="4">
        <f>IF(COUNTIFS(F:F,F141,H:H,H141)&lt;=VLOOKUP(H141,Dados!$X:$AB,5,0),0,1)</f>
        <v>0</v>
      </c>
      <c r="W141" s="4">
        <v>1114</v>
      </c>
      <c r="X141" s="4">
        <v>7</v>
      </c>
      <c r="Y141" s="4">
        <v>10</v>
      </c>
      <c r="Z141" s="4">
        <v>10</v>
      </c>
      <c r="AA141" s="4">
        <v>1</v>
      </c>
      <c r="AB141" s="4">
        <v>3</v>
      </c>
      <c r="AD141" s="4">
        <f>VLOOKUP(Z141,Dados!$S$3:$W$55,4,FALSE)</f>
        <v>6034</v>
      </c>
      <c r="AE141" s="4">
        <f t="shared" si="128"/>
        <v>70</v>
      </c>
      <c r="AF141" s="4">
        <f t="shared" si="129"/>
        <v>42238</v>
      </c>
      <c r="AI141" s="13">
        <f>VLOOKUP(Z141,Dados!$S$3:$V$55,2,FALSE)*VLOOKUP(Z141,Dados!$S$3:$V$55,3,FALSE)*VLOOKUP(Z141,Dados!$S$3:$V$55,4,FALSE)*0.00000785</f>
        <v>72.471356999999998</v>
      </c>
      <c r="AJ141" s="13">
        <f t="shared" si="130"/>
        <v>507.29949899999997</v>
      </c>
      <c r="AK141" s="13">
        <f t="shared" si="131"/>
        <v>0.120105</v>
      </c>
      <c r="AL141" s="13">
        <f t="shared" si="132"/>
        <v>0.84073500000000001</v>
      </c>
      <c r="AW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/>
      <c r="CA141" s="16"/>
      <c r="CD141" s="15"/>
      <c r="CE141" s="15"/>
      <c r="CF141" s="15"/>
      <c r="CG141" s="16"/>
    </row>
    <row r="142" spans="6:85">
      <c r="F142" s="4">
        <v>140</v>
      </c>
      <c r="G142" s="4">
        <v>58</v>
      </c>
      <c r="H142" s="4">
        <v>1</v>
      </c>
      <c r="I142" s="4">
        <v>20</v>
      </c>
      <c r="J142" s="4">
        <v>7</v>
      </c>
      <c r="K142" s="4">
        <f t="shared" si="133"/>
        <v>2</v>
      </c>
      <c r="L142" s="4">
        <f t="shared" si="133"/>
        <v>1</v>
      </c>
      <c r="M142" s="4">
        <f t="shared" si="133"/>
        <v>0</v>
      </c>
      <c r="N142" s="4">
        <f t="shared" si="133"/>
        <v>0</v>
      </c>
      <c r="O142" s="4">
        <f t="shared" si="123"/>
        <v>14</v>
      </c>
      <c r="P142" s="4">
        <f t="shared" si="124"/>
        <v>7</v>
      </c>
      <c r="Q142" s="4">
        <f t="shared" si="125"/>
        <v>0</v>
      </c>
      <c r="R142" s="4">
        <f t="shared" si="126"/>
        <v>0</v>
      </c>
      <c r="S142" s="4">
        <f>IF(AND(VLOOKUP(G142,Dados!$D:$L,2,0)=VLOOKUP(I142,Dados!$S:$V,2,0),VLOOKUP(G142,Dados!$D:$L,3,0)=VLOOKUP(I142,Dados!$S:$V,3,0)),0,1)</f>
        <v>0</v>
      </c>
      <c r="T142" s="4">
        <f>IF(AND(VLOOKUP(G142,Dados!$D:$L,3,0)&lt;=VLOOKUP(H142,Dados!$X:$AB,2,0),VLOOKUP(G142,Dados!$D:$L,4,0)&gt;=VLOOKUP(H142,Dados!$X:$AB,3,0),VLOOKUP(G142,Dados!$D:$L,4,0)&lt;=VLOOKUP(H142,Dados!$X:$AB,4,0)),0,1)</f>
        <v>0</v>
      </c>
      <c r="U142" s="4">
        <f>IF(COUNTIFS(F:F,F142,H:H,H142)&lt;=VLOOKUP(H142,Dados!$X:$AB,5,0),0,1)</f>
        <v>0</v>
      </c>
      <c r="W142" s="4">
        <v>515</v>
      </c>
      <c r="X142" s="4">
        <v>2</v>
      </c>
      <c r="Y142" s="4">
        <v>34</v>
      </c>
      <c r="Z142" s="4">
        <v>10</v>
      </c>
      <c r="AA142" s="4">
        <v>3</v>
      </c>
      <c r="AB142" s="4">
        <v>3</v>
      </c>
      <c r="AD142" s="4">
        <f>VLOOKUP(Z142,Dados!$S$3:$W$55,4,FALSE)</f>
        <v>6034</v>
      </c>
      <c r="AE142" s="4">
        <f t="shared" si="128"/>
        <v>68</v>
      </c>
      <c r="AF142" s="4">
        <f t="shared" si="129"/>
        <v>12068</v>
      </c>
      <c r="AI142" s="13">
        <f>VLOOKUP(Z142,Dados!$S$3:$V$55,2,FALSE)*VLOOKUP(Z142,Dados!$S$3:$V$55,3,FALSE)*VLOOKUP(Z142,Dados!$S$3:$V$55,4,FALSE)*0.00000785</f>
        <v>72.471356999999998</v>
      </c>
      <c r="AJ142" s="13">
        <f t="shared" si="130"/>
        <v>144.942714</v>
      </c>
      <c r="AK142" s="13">
        <f t="shared" si="131"/>
        <v>0.40835700000000003</v>
      </c>
      <c r="AL142" s="13">
        <f t="shared" si="132"/>
        <v>0.81671400000000005</v>
      </c>
      <c r="AW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/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  <c r="BZ142" s="15"/>
      <c r="CA142" s="16"/>
      <c r="CD142" s="15"/>
      <c r="CE142" s="15"/>
      <c r="CF142" s="15"/>
      <c r="CG142" s="16"/>
    </row>
    <row r="143" spans="6:85">
      <c r="F143" s="4">
        <v>141</v>
      </c>
      <c r="G143" s="4">
        <v>58</v>
      </c>
      <c r="H143" s="4">
        <v>3</v>
      </c>
      <c r="I143" s="4">
        <v>20</v>
      </c>
      <c r="J143" s="4">
        <v>7</v>
      </c>
      <c r="K143" s="4">
        <f t="shared" ref="K143:N162" si="134">SUMIFS($X:$X,$W:$W,$F143,$Z:$Z,$I143,$AA:$AA,$H143,$AB:$AB,K$2)</f>
        <v>0</v>
      </c>
      <c r="L143" s="4">
        <f t="shared" si="134"/>
        <v>0</v>
      </c>
      <c r="M143" s="4">
        <f t="shared" si="134"/>
        <v>0</v>
      </c>
      <c r="N143" s="4">
        <f t="shared" si="134"/>
        <v>0</v>
      </c>
      <c r="O143" s="4">
        <f t="shared" si="123"/>
        <v>0</v>
      </c>
      <c r="P143" s="4">
        <f t="shared" si="124"/>
        <v>0</v>
      </c>
      <c r="Q143" s="4">
        <f t="shared" si="125"/>
        <v>0</v>
      </c>
      <c r="R143" s="4">
        <f t="shared" si="126"/>
        <v>0</v>
      </c>
      <c r="S143" s="4">
        <f>IF(AND(VLOOKUP(G143,Dados!$D:$L,2,0)=VLOOKUP(I143,Dados!$S:$V,2,0),VLOOKUP(G143,Dados!$D:$L,3,0)=VLOOKUP(I143,Dados!$S:$V,3,0)),0,1)</f>
        <v>0</v>
      </c>
      <c r="T143" s="4">
        <f>IF(AND(VLOOKUP(G143,Dados!$D:$L,3,0)&lt;=VLOOKUP(H143,Dados!$X:$AB,2,0),VLOOKUP(G143,Dados!$D:$L,4,0)&gt;=VLOOKUP(H143,Dados!$X:$AB,3,0),VLOOKUP(G143,Dados!$D:$L,4,0)&lt;=VLOOKUP(H143,Dados!$X:$AB,4,0)),0,1)</f>
        <v>0</v>
      </c>
      <c r="U143" s="4">
        <f>IF(COUNTIFS(F:F,F143,H:H,H143)&lt;=VLOOKUP(H143,Dados!$X:$AB,5,0),0,1)</f>
        <v>0</v>
      </c>
      <c r="W143" s="4">
        <v>563</v>
      </c>
      <c r="X143" s="4">
        <v>1</v>
      </c>
      <c r="Y143" s="4">
        <v>4</v>
      </c>
      <c r="Z143" s="4">
        <v>10</v>
      </c>
      <c r="AA143" s="4">
        <v>3</v>
      </c>
      <c r="AB143" s="4">
        <v>3</v>
      </c>
      <c r="AD143" s="4">
        <f>VLOOKUP(Z143,Dados!$S$3:$W$55,4,FALSE)</f>
        <v>6034</v>
      </c>
      <c r="AE143" s="4">
        <f t="shared" si="128"/>
        <v>4</v>
      </c>
      <c r="AF143" s="4">
        <f t="shared" si="129"/>
        <v>6034</v>
      </c>
      <c r="AI143" s="13">
        <f>VLOOKUP(Z143,Dados!$S$3:$V$55,2,FALSE)*VLOOKUP(Z143,Dados!$S$3:$V$55,3,FALSE)*VLOOKUP(Z143,Dados!$S$3:$V$55,4,FALSE)*0.00000785</f>
        <v>72.471356999999998</v>
      </c>
      <c r="AJ143" s="13">
        <f t="shared" si="130"/>
        <v>72.471356999999998</v>
      </c>
      <c r="AK143" s="13">
        <f t="shared" si="131"/>
        <v>4.8042000000000001E-2</v>
      </c>
      <c r="AL143" s="13">
        <f t="shared" si="132"/>
        <v>4.8042000000000001E-2</v>
      </c>
      <c r="AW143" s="15"/>
      <c r="AZ143" s="28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  <c r="BZ143" s="15"/>
      <c r="CA143" s="16"/>
      <c r="CD143" s="15"/>
      <c r="CE143" s="15"/>
      <c r="CF143" s="15"/>
      <c r="CG143" s="16"/>
    </row>
    <row r="144" spans="6:85">
      <c r="F144" s="4">
        <v>142</v>
      </c>
      <c r="G144" s="4">
        <v>59</v>
      </c>
      <c r="H144" s="4">
        <v>1</v>
      </c>
      <c r="I144" s="4">
        <v>21</v>
      </c>
      <c r="J144" s="4">
        <v>11</v>
      </c>
      <c r="K144" s="4">
        <f t="shared" si="134"/>
        <v>0</v>
      </c>
      <c r="L144" s="4">
        <f t="shared" si="134"/>
        <v>0</v>
      </c>
      <c r="M144" s="4">
        <f t="shared" si="134"/>
        <v>0</v>
      </c>
      <c r="N144" s="4">
        <f t="shared" si="134"/>
        <v>0</v>
      </c>
      <c r="O144" s="4">
        <f t="shared" si="123"/>
        <v>0</v>
      </c>
      <c r="P144" s="4">
        <f t="shared" si="124"/>
        <v>0</v>
      </c>
      <c r="Q144" s="4">
        <f t="shared" si="125"/>
        <v>0</v>
      </c>
      <c r="R144" s="4">
        <f t="shared" si="126"/>
        <v>0</v>
      </c>
      <c r="S144" s="4">
        <f>IF(AND(VLOOKUP(G144,Dados!$D:$L,2,0)=VLOOKUP(I144,Dados!$S:$V,2,0),VLOOKUP(G144,Dados!$D:$L,3,0)=VLOOKUP(I144,Dados!$S:$V,3,0)),0,1)</f>
        <v>0</v>
      </c>
      <c r="T144" s="4">
        <f>IF(AND(VLOOKUP(G144,Dados!$D:$L,3,0)&lt;=VLOOKUP(H144,Dados!$X:$AB,2,0),VLOOKUP(G144,Dados!$D:$L,4,0)&gt;=VLOOKUP(H144,Dados!$X:$AB,3,0),VLOOKUP(G144,Dados!$D:$L,4,0)&lt;=VLOOKUP(H144,Dados!$X:$AB,4,0)),0,1)</f>
        <v>0</v>
      </c>
      <c r="U144" s="4">
        <f>IF(COUNTIFS(F:F,F144,H:H,H144)&lt;=VLOOKUP(H144,Dados!$X:$AB,5,0),0,1)</f>
        <v>0</v>
      </c>
      <c r="W144" s="4">
        <v>42</v>
      </c>
      <c r="X144" s="4">
        <v>34</v>
      </c>
      <c r="Y144" s="4">
        <v>307</v>
      </c>
      <c r="Z144" s="4">
        <v>12</v>
      </c>
      <c r="AA144" s="4">
        <v>2</v>
      </c>
      <c r="AB144" s="4">
        <v>3</v>
      </c>
      <c r="AD144" s="4">
        <f>VLOOKUP(Z144,Dados!$S$3:$W$55,4,FALSE)</f>
        <v>6509</v>
      </c>
      <c r="AE144" s="4">
        <f t="shared" si="128"/>
        <v>10438</v>
      </c>
      <c r="AF144" s="4">
        <f t="shared" si="129"/>
        <v>221306</v>
      </c>
      <c r="AI144" s="13">
        <f>VLOOKUP(Z144,Dados!$S$3:$V$55,2,FALSE)*VLOOKUP(Z144,Dados!$S$3:$V$55,3,FALSE)*VLOOKUP(Z144,Dados!$S$3:$V$55,4,FALSE)*0.00000785</f>
        <v>17.985668799999999</v>
      </c>
      <c r="AJ144" s="13">
        <f t="shared" si="130"/>
        <v>611.51273919999994</v>
      </c>
      <c r="AK144" s="13">
        <f t="shared" si="131"/>
        <v>0.84830240000000001</v>
      </c>
      <c r="AL144" s="13">
        <f t="shared" si="132"/>
        <v>28.8422816</v>
      </c>
      <c r="AW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5"/>
      <c r="BN144" s="15"/>
      <c r="BO144" s="15"/>
      <c r="BP144" s="15"/>
      <c r="BQ144" s="15"/>
      <c r="BR144" s="15"/>
      <c r="BS144" s="15"/>
      <c r="BT144" s="15"/>
      <c r="BU144" s="15"/>
      <c r="BV144" s="15"/>
      <c r="BW144" s="15"/>
      <c r="BX144" s="15"/>
      <c r="BY144" s="15"/>
      <c r="BZ144" s="15"/>
      <c r="CA144" s="16"/>
      <c r="CD144" s="15"/>
      <c r="CE144" s="15"/>
      <c r="CF144" s="15"/>
      <c r="CG144" s="16"/>
    </row>
    <row r="145" spans="6:85">
      <c r="F145" s="4">
        <v>143</v>
      </c>
      <c r="G145" s="4">
        <v>59</v>
      </c>
      <c r="H145" s="4">
        <v>2</v>
      </c>
      <c r="I145" s="4">
        <v>21</v>
      </c>
      <c r="J145" s="4">
        <v>11</v>
      </c>
      <c r="K145" s="4">
        <f t="shared" si="134"/>
        <v>0</v>
      </c>
      <c r="L145" s="4">
        <f t="shared" si="134"/>
        <v>0</v>
      </c>
      <c r="M145" s="4">
        <f t="shared" si="134"/>
        <v>0</v>
      </c>
      <c r="N145" s="4">
        <f t="shared" si="134"/>
        <v>0</v>
      </c>
      <c r="O145" s="4">
        <f t="shared" si="123"/>
        <v>0</v>
      </c>
      <c r="P145" s="4">
        <f t="shared" si="124"/>
        <v>0</v>
      </c>
      <c r="Q145" s="4">
        <f t="shared" si="125"/>
        <v>0</v>
      </c>
      <c r="R145" s="4">
        <f t="shared" si="126"/>
        <v>0</v>
      </c>
      <c r="S145" s="4">
        <f>IF(AND(VLOOKUP(G145,Dados!$D:$L,2,0)=VLOOKUP(I145,Dados!$S:$V,2,0),VLOOKUP(G145,Dados!$D:$L,3,0)=VLOOKUP(I145,Dados!$S:$V,3,0)),0,1)</f>
        <v>0</v>
      </c>
      <c r="T145" s="4">
        <f>IF(AND(VLOOKUP(G145,Dados!$D:$L,3,0)&lt;=VLOOKUP(H145,Dados!$X:$AB,2,0),VLOOKUP(G145,Dados!$D:$L,4,0)&gt;=VLOOKUP(H145,Dados!$X:$AB,3,0),VLOOKUP(G145,Dados!$D:$L,4,0)&lt;=VLOOKUP(H145,Dados!$X:$AB,4,0)),0,1)</f>
        <v>0</v>
      </c>
      <c r="U145" s="4">
        <f>IF(COUNTIFS(F:F,F145,H:H,H145)&lt;=VLOOKUP(H145,Dados!$X:$AB,5,0),0,1)</f>
        <v>0</v>
      </c>
      <c r="W145" s="4">
        <v>332</v>
      </c>
      <c r="X145" s="4">
        <v>1</v>
      </c>
      <c r="Y145" s="4">
        <v>121</v>
      </c>
      <c r="Z145" s="4">
        <v>12</v>
      </c>
      <c r="AA145" s="4">
        <v>2</v>
      </c>
      <c r="AB145" s="4">
        <v>3</v>
      </c>
      <c r="AD145" s="4">
        <f>VLOOKUP(Z145,Dados!$S$3:$W$55,4,FALSE)</f>
        <v>6509</v>
      </c>
      <c r="AE145" s="4">
        <f t="shared" si="128"/>
        <v>121</v>
      </c>
      <c r="AF145" s="4">
        <f t="shared" si="129"/>
        <v>6509</v>
      </c>
      <c r="AI145" s="13">
        <f>VLOOKUP(Z145,Dados!$S$3:$V$55,2,FALSE)*VLOOKUP(Z145,Dados!$S$3:$V$55,3,FALSE)*VLOOKUP(Z145,Dados!$S$3:$V$55,4,FALSE)*0.00000785</f>
        <v>17.985668799999999</v>
      </c>
      <c r="AJ145" s="13">
        <f t="shared" si="130"/>
        <v>17.985668799999999</v>
      </c>
      <c r="AK145" s="13">
        <f t="shared" si="131"/>
        <v>0.33434720000000001</v>
      </c>
      <c r="AL145" s="13">
        <f t="shared" si="132"/>
        <v>0.33434720000000001</v>
      </c>
      <c r="AW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15"/>
      <c r="BO145" s="15"/>
      <c r="BP145" s="15"/>
      <c r="BQ145" s="15"/>
      <c r="BR145" s="15"/>
      <c r="BS145" s="15"/>
      <c r="BT145" s="15"/>
      <c r="BU145" s="15"/>
      <c r="BV145" s="15"/>
      <c r="BW145" s="15"/>
      <c r="BX145" s="15"/>
      <c r="BY145" s="15"/>
      <c r="BZ145" s="15"/>
      <c r="CA145" s="16"/>
      <c r="CD145" s="15"/>
      <c r="CE145" s="15"/>
      <c r="CF145" s="15"/>
      <c r="CG145" s="16"/>
    </row>
    <row r="146" spans="6:85">
      <c r="F146" s="4">
        <v>144</v>
      </c>
      <c r="G146" s="4">
        <v>59</v>
      </c>
      <c r="H146" s="4">
        <v>3</v>
      </c>
      <c r="I146" s="4">
        <v>21</v>
      </c>
      <c r="J146" s="4">
        <v>11</v>
      </c>
      <c r="K146" s="4">
        <f t="shared" si="134"/>
        <v>0</v>
      </c>
      <c r="L146" s="4">
        <f t="shared" si="134"/>
        <v>0</v>
      </c>
      <c r="M146" s="4">
        <f t="shared" si="134"/>
        <v>0</v>
      </c>
      <c r="N146" s="4">
        <f t="shared" si="134"/>
        <v>0</v>
      </c>
      <c r="O146" s="4">
        <f t="shared" si="123"/>
        <v>0</v>
      </c>
      <c r="P146" s="4">
        <f t="shared" si="124"/>
        <v>0</v>
      </c>
      <c r="Q146" s="4">
        <f t="shared" si="125"/>
        <v>0</v>
      </c>
      <c r="R146" s="4">
        <f t="shared" si="126"/>
        <v>0</v>
      </c>
      <c r="S146" s="4">
        <f>IF(AND(VLOOKUP(G146,Dados!$D:$L,2,0)=VLOOKUP(I146,Dados!$S:$V,2,0),VLOOKUP(G146,Dados!$D:$L,3,0)=VLOOKUP(I146,Dados!$S:$V,3,0)),0,1)</f>
        <v>0</v>
      </c>
      <c r="T146" s="4">
        <f>IF(AND(VLOOKUP(G146,Dados!$D:$L,3,0)&lt;=VLOOKUP(H146,Dados!$X:$AB,2,0),VLOOKUP(G146,Dados!$D:$L,4,0)&gt;=VLOOKUP(H146,Dados!$X:$AB,3,0),VLOOKUP(G146,Dados!$D:$L,4,0)&lt;=VLOOKUP(H146,Dados!$X:$AB,4,0)),0,1)</f>
        <v>0</v>
      </c>
      <c r="U146" s="4">
        <f>IF(COUNTIFS(F:F,F146,H:H,H146)&lt;=VLOOKUP(H146,Dados!$X:$AB,5,0),0,1)</f>
        <v>0</v>
      </c>
      <c r="W146" s="4">
        <v>47</v>
      </c>
      <c r="X146" s="4">
        <v>1</v>
      </c>
      <c r="Y146" s="4">
        <v>304</v>
      </c>
      <c r="Z146" s="4">
        <v>13</v>
      </c>
      <c r="AA146" s="4">
        <v>1</v>
      </c>
      <c r="AB146" s="4">
        <v>3</v>
      </c>
      <c r="AD146" s="4">
        <f>VLOOKUP(Z146,Dados!$S$3:$W$55,4,FALSE)</f>
        <v>6370</v>
      </c>
      <c r="AE146" s="4">
        <f t="shared" si="128"/>
        <v>304</v>
      </c>
      <c r="AF146" s="4">
        <f t="shared" si="129"/>
        <v>6370</v>
      </c>
      <c r="AI146" s="13">
        <f>VLOOKUP(Z146,Dados!$S$3:$V$55,2,FALSE)*VLOOKUP(Z146,Dados!$S$3:$V$55,3,FALSE)*VLOOKUP(Z146,Dados!$S$3:$V$55,4,FALSE)*0.00000785</f>
        <v>54.604913999999994</v>
      </c>
      <c r="AJ146" s="13">
        <f t="shared" si="130"/>
        <v>54.604913999999994</v>
      </c>
      <c r="AK146" s="13">
        <f t="shared" si="131"/>
        <v>2.6059487999999997</v>
      </c>
      <c r="AL146" s="13">
        <f t="shared" si="132"/>
        <v>2.6059487999999997</v>
      </c>
      <c r="AW146" s="15"/>
      <c r="BD146" s="15"/>
      <c r="BE146" s="15"/>
      <c r="BF146" s="15"/>
      <c r="BG146" s="15"/>
      <c r="BH146" s="15"/>
      <c r="BI146" s="15"/>
      <c r="BJ146" s="15"/>
      <c r="BK146" s="15"/>
      <c r="BL146" s="15"/>
      <c r="BM146" s="15"/>
      <c r="BN146" s="15"/>
      <c r="BO146" s="15"/>
      <c r="BP146" s="15"/>
      <c r="BQ146" s="15"/>
      <c r="BR146" s="15"/>
      <c r="BS146" s="15"/>
      <c r="BT146" s="15"/>
      <c r="BU146" s="15"/>
      <c r="BV146" s="15"/>
      <c r="BW146" s="15"/>
      <c r="BX146" s="15"/>
      <c r="BY146" s="15"/>
      <c r="BZ146" s="15"/>
      <c r="CA146" s="16"/>
      <c r="CD146" s="15"/>
      <c r="CE146" s="15"/>
      <c r="CF146" s="15"/>
      <c r="CG146" s="16"/>
    </row>
    <row r="147" spans="6:85">
      <c r="F147" s="4">
        <v>145</v>
      </c>
      <c r="G147" s="4">
        <v>60</v>
      </c>
      <c r="H147" s="4">
        <v>1</v>
      </c>
      <c r="I147" s="4">
        <v>21</v>
      </c>
      <c r="J147" s="4">
        <v>9</v>
      </c>
      <c r="K147" s="4">
        <f t="shared" si="134"/>
        <v>0</v>
      </c>
      <c r="L147" s="4">
        <f t="shared" si="134"/>
        <v>0</v>
      </c>
      <c r="M147" s="4">
        <f t="shared" si="134"/>
        <v>0</v>
      </c>
      <c r="N147" s="4">
        <f t="shared" si="134"/>
        <v>0</v>
      </c>
      <c r="O147" s="4">
        <f t="shared" si="123"/>
        <v>0</v>
      </c>
      <c r="P147" s="4">
        <f t="shared" si="124"/>
        <v>0</v>
      </c>
      <c r="Q147" s="4">
        <f t="shared" si="125"/>
        <v>0</v>
      </c>
      <c r="R147" s="4">
        <f t="shared" si="126"/>
        <v>0</v>
      </c>
      <c r="S147" s="4">
        <f>IF(AND(VLOOKUP(G147,Dados!$D:$L,2,0)=VLOOKUP(I147,Dados!$S:$V,2,0),VLOOKUP(G147,Dados!$D:$L,3,0)=VLOOKUP(I147,Dados!$S:$V,3,0)),0,1)</f>
        <v>0</v>
      </c>
      <c r="T147" s="4">
        <f>IF(AND(VLOOKUP(G147,Dados!$D:$L,3,0)&lt;=VLOOKUP(H147,Dados!$X:$AB,2,0),VLOOKUP(G147,Dados!$D:$L,4,0)&gt;=VLOOKUP(H147,Dados!$X:$AB,3,0),VLOOKUP(G147,Dados!$D:$L,4,0)&lt;=VLOOKUP(H147,Dados!$X:$AB,4,0)),0,1)</f>
        <v>0</v>
      </c>
      <c r="U147" s="4">
        <f>IF(COUNTIFS(F:F,F147,H:H,H147)&lt;=VLOOKUP(H147,Dados!$X:$AB,5,0),0,1)</f>
        <v>0</v>
      </c>
      <c r="W147" s="4">
        <v>278</v>
      </c>
      <c r="X147" s="4">
        <v>1</v>
      </c>
      <c r="Y147" s="4">
        <v>17</v>
      </c>
      <c r="Z147" s="4">
        <v>14</v>
      </c>
      <c r="AA147" s="4">
        <v>1</v>
      </c>
      <c r="AB147" s="4">
        <v>3</v>
      </c>
      <c r="AD147" s="4">
        <f>VLOOKUP(Z147,Dados!$S$3:$W$55,4,FALSE)</f>
        <v>6039</v>
      </c>
      <c r="AE147" s="4">
        <f t="shared" si="128"/>
        <v>17</v>
      </c>
      <c r="AF147" s="4">
        <f t="shared" si="129"/>
        <v>6039</v>
      </c>
      <c r="AI147" s="13">
        <f>VLOOKUP(Z147,Dados!$S$3:$V$55,2,FALSE)*VLOOKUP(Z147,Dados!$S$3:$V$55,3,FALSE)*VLOOKUP(Z147,Dados!$S$3:$V$55,4,FALSE)*0.00000785</f>
        <v>51.767515799999998</v>
      </c>
      <c r="AJ147" s="13">
        <f t="shared" si="130"/>
        <v>51.767515799999998</v>
      </c>
      <c r="AK147" s="13">
        <f t="shared" si="131"/>
        <v>0.14572740000000001</v>
      </c>
      <c r="AL147" s="13">
        <f t="shared" si="132"/>
        <v>0.14572740000000001</v>
      </c>
      <c r="AW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5"/>
      <c r="BN147" s="15"/>
      <c r="BO147" s="15"/>
      <c r="BP147" s="15"/>
      <c r="BQ147" s="15"/>
      <c r="BR147" s="15"/>
      <c r="BS147" s="15"/>
      <c r="BT147" s="15"/>
      <c r="BU147" s="15"/>
      <c r="BV147" s="15"/>
      <c r="BW147" s="15"/>
      <c r="BX147" s="15"/>
      <c r="BY147" s="15"/>
      <c r="BZ147" s="15"/>
      <c r="CA147" s="16"/>
      <c r="CD147" s="15"/>
      <c r="CE147" s="15"/>
      <c r="CF147" s="15"/>
      <c r="CG147" s="16"/>
    </row>
    <row r="148" spans="6:85">
      <c r="F148" s="4">
        <v>146</v>
      </c>
      <c r="G148" s="4">
        <v>60</v>
      </c>
      <c r="H148" s="4">
        <v>2</v>
      </c>
      <c r="I148" s="4">
        <v>21</v>
      </c>
      <c r="J148" s="4">
        <v>9</v>
      </c>
      <c r="K148" s="4">
        <f t="shared" si="134"/>
        <v>0</v>
      </c>
      <c r="L148" s="4">
        <f t="shared" si="134"/>
        <v>0</v>
      </c>
      <c r="M148" s="4">
        <f t="shared" si="134"/>
        <v>0</v>
      </c>
      <c r="N148" s="4">
        <f t="shared" si="134"/>
        <v>0</v>
      </c>
      <c r="O148" s="4">
        <f t="shared" si="123"/>
        <v>0</v>
      </c>
      <c r="P148" s="4">
        <f t="shared" si="124"/>
        <v>0</v>
      </c>
      <c r="Q148" s="4">
        <f t="shared" si="125"/>
        <v>0</v>
      </c>
      <c r="R148" s="4">
        <f t="shared" si="126"/>
        <v>0</v>
      </c>
      <c r="S148" s="4">
        <f>IF(AND(VLOOKUP(G148,Dados!$D:$L,2,0)=VLOOKUP(I148,Dados!$S:$V,2,0),VLOOKUP(G148,Dados!$D:$L,3,0)=VLOOKUP(I148,Dados!$S:$V,3,0)),0,1)</f>
        <v>0</v>
      </c>
      <c r="T148" s="4">
        <f>IF(AND(VLOOKUP(G148,Dados!$D:$L,3,0)&lt;=VLOOKUP(H148,Dados!$X:$AB,2,0),VLOOKUP(G148,Dados!$D:$L,4,0)&gt;=VLOOKUP(H148,Dados!$X:$AB,3,0),VLOOKUP(G148,Dados!$D:$L,4,0)&lt;=VLOOKUP(H148,Dados!$X:$AB,4,0)),0,1)</f>
        <v>0</v>
      </c>
      <c r="U148" s="4">
        <f>IF(COUNTIFS(F:F,F148,H:H,H148)&lt;=VLOOKUP(H148,Dados!$X:$AB,5,0),0,1)</f>
        <v>0</v>
      </c>
      <c r="W148" s="4">
        <v>58</v>
      </c>
      <c r="X148" s="4">
        <v>4</v>
      </c>
      <c r="Y148" s="4">
        <v>166</v>
      </c>
      <c r="Z148" s="4">
        <v>15</v>
      </c>
      <c r="AA148" s="4">
        <v>1</v>
      </c>
      <c r="AB148" s="4">
        <v>3</v>
      </c>
      <c r="AD148" s="4">
        <f>VLOOKUP(Z148,Dados!$S$3:$W$55,4,FALSE)</f>
        <v>5248</v>
      </c>
      <c r="AE148" s="4">
        <f t="shared" si="128"/>
        <v>664</v>
      </c>
      <c r="AF148" s="4">
        <f t="shared" si="129"/>
        <v>20992</v>
      </c>
      <c r="AI148" s="13">
        <f>VLOOKUP(Z148,Dados!$S$3:$V$55,2,FALSE)*VLOOKUP(Z148,Dados!$S$3:$V$55,3,FALSE)*VLOOKUP(Z148,Dados!$S$3:$V$55,4,FALSE)*0.00000785</f>
        <v>51.495999999999995</v>
      </c>
      <c r="AJ148" s="13">
        <f t="shared" si="130"/>
        <v>205.98399999999998</v>
      </c>
      <c r="AK148" s="13">
        <f t="shared" si="131"/>
        <v>1.6288749999999996</v>
      </c>
      <c r="AL148" s="13">
        <f t="shared" si="132"/>
        <v>6.5154999999999985</v>
      </c>
      <c r="AW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  <c r="BZ148" s="15"/>
      <c r="CA148" s="16"/>
      <c r="CD148" s="15"/>
      <c r="CE148" s="15"/>
      <c r="CF148" s="15"/>
      <c r="CG148" s="16"/>
    </row>
    <row r="149" spans="6:85">
      <c r="F149" s="4">
        <v>147</v>
      </c>
      <c r="G149" s="4">
        <v>60</v>
      </c>
      <c r="H149" s="4">
        <v>3</v>
      </c>
      <c r="I149" s="4">
        <v>21</v>
      </c>
      <c r="J149" s="4">
        <v>9</v>
      </c>
      <c r="K149" s="4">
        <f t="shared" si="134"/>
        <v>0</v>
      </c>
      <c r="L149" s="4">
        <f t="shared" si="134"/>
        <v>0</v>
      </c>
      <c r="M149" s="4">
        <f t="shared" si="134"/>
        <v>0</v>
      </c>
      <c r="N149" s="4">
        <f t="shared" si="134"/>
        <v>0</v>
      </c>
      <c r="O149" s="4">
        <f t="shared" si="123"/>
        <v>0</v>
      </c>
      <c r="P149" s="4">
        <f t="shared" si="124"/>
        <v>0</v>
      </c>
      <c r="Q149" s="4">
        <f t="shared" si="125"/>
        <v>0</v>
      </c>
      <c r="R149" s="4">
        <f t="shared" si="126"/>
        <v>0</v>
      </c>
      <c r="S149" s="4">
        <f>IF(AND(VLOOKUP(G149,Dados!$D:$L,2,0)=VLOOKUP(I149,Dados!$S:$V,2,0),VLOOKUP(G149,Dados!$D:$L,3,0)=VLOOKUP(I149,Dados!$S:$V,3,0)),0,1)</f>
        <v>0</v>
      </c>
      <c r="T149" s="4">
        <f>IF(AND(VLOOKUP(G149,Dados!$D:$L,3,0)&lt;=VLOOKUP(H149,Dados!$X:$AB,2,0),VLOOKUP(G149,Dados!$D:$L,4,0)&gt;=VLOOKUP(H149,Dados!$X:$AB,3,0),VLOOKUP(G149,Dados!$D:$L,4,0)&lt;=VLOOKUP(H149,Dados!$X:$AB,4,0)),0,1)</f>
        <v>0</v>
      </c>
      <c r="U149" s="4">
        <f>IF(COUNTIFS(F:F,F149,H:H,H149)&lt;=VLOOKUP(H149,Dados!$X:$AB,5,0),0,1)</f>
        <v>0</v>
      </c>
      <c r="W149" s="4">
        <v>334</v>
      </c>
      <c r="X149" s="4">
        <v>41</v>
      </c>
      <c r="Y149" s="4">
        <v>33</v>
      </c>
      <c r="Z149" s="4">
        <v>15</v>
      </c>
      <c r="AA149" s="4">
        <v>1</v>
      </c>
      <c r="AB149" s="4">
        <v>3</v>
      </c>
      <c r="AD149" s="4">
        <f>VLOOKUP(Z149,Dados!$S$3:$W$55,4,FALSE)</f>
        <v>5248</v>
      </c>
      <c r="AE149" s="4">
        <f t="shared" si="128"/>
        <v>1353</v>
      </c>
      <c r="AF149" s="4">
        <f t="shared" si="129"/>
        <v>215168</v>
      </c>
      <c r="AI149" s="13">
        <f>VLOOKUP(Z149,Dados!$S$3:$V$55,2,FALSE)*VLOOKUP(Z149,Dados!$S$3:$V$55,3,FALSE)*VLOOKUP(Z149,Dados!$S$3:$V$55,4,FALSE)*0.00000785</f>
        <v>51.495999999999995</v>
      </c>
      <c r="AJ149" s="13">
        <f t="shared" si="130"/>
        <v>2111.3359999999998</v>
      </c>
      <c r="AK149" s="13">
        <f t="shared" si="131"/>
        <v>0.32381249999999995</v>
      </c>
      <c r="AL149" s="13">
        <f t="shared" si="132"/>
        <v>13.276312499999998</v>
      </c>
      <c r="AW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  <c r="BZ149" s="15"/>
      <c r="CA149" s="16"/>
      <c r="CD149" s="15"/>
      <c r="CE149" s="15"/>
      <c r="CF149" s="15"/>
      <c r="CG149" s="16"/>
    </row>
    <row r="150" spans="6:85">
      <c r="F150" s="4">
        <v>148</v>
      </c>
      <c r="G150" s="4">
        <v>61</v>
      </c>
      <c r="H150" s="4">
        <v>1</v>
      </c>
      <c r="I150" s="4">
        <v>21</v>
      </c>
      <c r="J150" s="4">
        <v>7</v>
      </c>
      <c r="K150" s="4">
        <f t="shared" si="134"/>
        <v>0</v>
      </c>
      <c r="L150" s="4">
        <f t="shared" si="134"/>
        <v>0</v>
      </c>
      <c r="M150" s="4">
        <f t="shared" si="134"/>
        <v>0</v>
      </c>
      <c r="N150" s="4">
        <f t="shared" si="134"/>
        <v>0</v>
      </c>
      <c r="O150" s="4">
        <f t="shared" si="123"/>
        <v>0</v>
      </c>
      <c r="P150" s="4">
        <f t="shared" si="124"/>
        <v>0</v>
      </c>
      <c r="Q150" s="4">
        <f t="shared" si="125"/>
        <v>0</v>
      </c>
      <c r="R150" s="4">
        <f t="shared" si="126"/>
        <v>0</v>
      </c>
      <c r="S150" s="4">
        <f>IF(AND(VLOOKUP(G150,Dados!$D:$L,2,0)=VLOOKUP(I150,Dados!$S:$V,2,0),VLOOKUP(G150,Dados!$D:$L,3,0)=VLOOKUP(I150,Dados!$S:$V,3,0)),0,1)</f>
        <v>0</v>
      </c>
      <c r="T150" s="4">
        <f>IF(AND(VLOOKUP(G150,Dados!$D:$L,3,0)&lt;=VLOOKUP(H150,Dados!$X:$AB,2,0),VLOOKUP(G150,Dados!$D:$L,4,0)&gt;=VLOOKUP(H150,Dados!$X:$AB,3,0),VLOOKUP(G150,Dados!$D:$L,4,0)&lt;=VLOOKUP(H150,Dados!$X:$AB,4,0)),0,1)</f>
        <v>0</v>
      </c>
      <c r="U150" s="4">
        <f>IF(COUNTIFS(F:F,F150,H:H,H150)&lt;=VLOOKUP(H150,Dados!$X:$AB,5,0),0,1)</f>
        <v>0</v>
      </c>
      <c r="W150" s="4">
        <v>831</v>
      </c>
      <c r="X150" s="4">
        <v>2</v>
      </c>
      <c r="Y150" s="4">
        <v>70</v>
      </c>
      <c r="Z150" s="4">
        <v>15</v>
      </c>
      <c r="AA150" s="4">
        <v>1</v>
      </c>
      <c r="AB150" s="4">
        <v>3</v>
      </c>
      <c r="AD150" s="4">
        <f>VLOOKUP(Z150,Dados!$S$3:$W$55,4,FALSE)</f>
        <v>5248</v>
      </c>
      <c r="AE150" s="4">
        <f t="shared" si="128"/>
        <v>140</v>
      </c>
      <c r="AF150" s="4">
        <f t="shared" si="129"/>
        <v>10496</v>
      </c>
      <c r="AI150" s="13">
        <f>VLOOKUP(Z150,Dados!$S$3:$V$55,2,FALSE)*VLOOKUP(Z150,Dados!$S$3:$V$55,3,FALSE)*VLOOKUP(Z150,Dados!$S$3:$V$55,4,FALSE)*0.00000785</f>
        <v>51.495999999999995</v>
      </c>
      <c r="AJ150" s="13">
        <f t="shared" si="130"/>
        <v>102.99199999999999</v>
      </c>
      <c r="AK150" s="13">
        <f t="shared" si="131"/>
        <v>0.6868749999999999</v>
      </c>
      <c r="AL150" s="13">
        <f t="shared" si="132"/>
        <v>1.3737499999999998</v>
      </c>
      <c r="AW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/>
      <c r="CA150" s="16"/>
      <c r="CD150" s="15"/>
      <c r="CE150" s="15"/>
      <c r="CF150" s="15"/>
      <c r="CG150" s="16"/>
    </row>
    <row r="151" spans="6:85">
      <c r="F151" s="4">
        <v>149</v>
      </c>
      <c r="G151" s="4">
        <v>61</v>
      </c>
      <c r="H151" s="4">
        <v>2</v>
      </c>
      <c r="I151" s="4">
        <v>21</v>
      </c>
      <c r="J151" s="4">
        <v>7</v>
      </c>
      <c r="K151" s="4">
        <f t="shared" si="134"/>
        <v>0</v>
      </c>
      <c r="L151" s="4">
        <f t="shared" si="134"/>
        <v>0</v>
      </c>
      <c r="M151" s="4">
        <f t="shared" si="134"/>
        <v>0</v>
      </c>
      <c r="N151" s="4">
        <f t="shared" si="134"/>
        <v>0</v>
      </c>
      <c r="O151" s="4">
        <f t="shared" si="123"/>
        <v>0</v>
      </c>
      <c r="P151" s="4">
        <f t="shared" si="124"/>
        <v>0</v>
      </c>
      <c r="Q151" s="4">
        <f t="shared" si="125"/>
        <v>0</v>
      </c>
      <c r="R151" s="4">
        <f t="shared" si="126"/>
        <v>0</v>
      </c>
      <c r="S151" s="4">
        <f>IF(AND(VLOOKUP(G151,Dados!$D:$L,2,0)=VLOOKUP(I151,Dados!$S:$V,2,0),VLOOKUP(G151,Dados!$D:$L,3,0)=VLOOKUP(I151,Dados!$S:$V,3,0)),0,1)</f>
        <v>0</v>
      </c>
      <c r="T151" s="4">
        <f>IF(AND(VLOOKUP(G151,Dados!$D:$L,3,0)&lt;=VLOOKUP(H151,Dados!$X:$AB,2,0),VLOOKUP(G151,Dados!$D:$L,4,0)&gt;=VLOOKUP(H151,Dados!$X:$AB,3,0),VLOOKUP(G151,Dados!$D:$L,4,0)&lt;=VLOOKUP(H151,Dados!$X:$AB,4,0)),0,1)</f>
        <v>0</v>
      </c>
      <c r="U151" s="4">
        <f>IF(COUNTIFS(F:F,F151,H:H,H151)&lt;=VLOOKUP(H151,Dados!$X:$AB,5,0),0,1)</f>
        <v>0</v>
      </c>
      <c r="W151" s="4">
        <v>335</v>
      </c>
      <c r="X151" s="4">
        <v>3</v>
      </c>
      <c r="Y151" s="4">
        <v>33</v>
      </c>
      <c r="Z151" s="4">
        <v>15</v>
      </c>
      <c r="AA151" s="4">
        <v>3</v>
      </c>
      <c r="AB151" s="4">
        <v>3</v>
      </c>
      <c r="AD151" s="4">
        <f>VLOOKUP(Z151,Dados!$S$3:$W$55,4,FALSE)</f>
        <v>5248</v>
      </c>
      <c r="AE151" s="4">
        <f t="shared" si="128"/>
        <v>99</v>
      </c>
      <c r="AF151" s="4">
        <f t="shared" si="129"/>
        <v>15744</v>
      </c>
      <c r="AI151" s="13">
        <f>VLOOKUP(Z151,Dados!$S$3:$V$55,2,FALSE)*VLOOKUP(Z151,Dados!$S$3:$V$55,3,FALSE)*VLOOKUP(Z151,Dados!$S$3:$V$55,4,FALSE)*0.00000785</f>
        <v>51.495999999999995</v>
      </c>
      <c r="AJ151" s="13">
        <f t="shared" si="130"/>
        <v>154.488</v>
      </c>
      <c r="AK151" s="13">
        <f t="shared" si="131"/>
        <v>0.32381249999999995</v>
      </c>
      <c r="AL151" s="13">
        <f t="shared" si="132"/>
        <v>0.97143749999999984</v>
      </c>
      <c r="AW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  <c r="BZ151" s="15"/>
      <c r="CA151" s="16"/>
      <c r="CD151" s="15"/>
      <c r="CE151" s="15"/>
      <c r="CF151" s="15"/>
      <c r="CG151" s="16"/>
    </row>
    <row r="152" spans="6:85">
      <c r="F152" s="4">
        <v>150</v>
      </c>
      <c r="G152" s="4">
        <v>61</v>
      </c>
      <c r="H152" s="4">
        <v>3</v>
      </c>
      <c r="I152" s="4">
        <v>21</v>
      </c>
      <c r="J152" s="4">
        <v>7</v>
      </c>
      <c r="K152" s="4">
        <f t="shared" si="134"/>
        <v>0</v>
      </c>
      <c r="L152" s="4">
        <f t="shared" si="134"/>
        <v>0</v>
      </c>
      <c r="M152" s="4">
        <f t="shared" si="134"/>
        <v>0</v>
      </c>
      <c r="N152" s="4">
        <f t="shared" si="134"/>
        <v>0</v>
      </c>
      <c r="O152" s="4">
        <f t="shared" si="123"/>
        <v>0</v>
      </c>
      <c r="P152" s="4">
        <f t="shared" si="124"/>
        <v>0</v>
      </c>
      <c r="Q152" s="4">
        <f t="shared" si="125"/>
        <v>0</v>
      </c>
      <c r="R152" s="4">
        <f t="shared" si="126"/>
        <v>0</v>
      </c>
      <c r="S152" s="4">
        <f>IF(AND(VLOOKUP(G152,Dados!$D:$L,2,0)=VLOOKUP(I152,Dados!$S:$V,2,0),VLOOKUP(G152,Dados!$D:$L,3,0)=VLOOKUP(I152,Dados!$S:$V,3,0)),0,1)</f>
        <v>0</v>
      </c>
      <c r="T152" s="4">
        <f>IF(AND(VLOOKUP(G152,Dados!$D:$L,3,0)&lt;=VLOOKUP(H152,Dados!$X:$AB,2,0),VLOOKUP(G152,Dados!$D:$L,4,0)&gt;=VLOOKUP(H152,Dados!$X:$AB,3,0),VLOOKUP(G152,Dados!$D:$L,4,0)&lt;=VLOOKUP(H152,Dados!$X:$AB,4,0)),0,1)</f>
        <v>0</v>
      </c>
      <c r="U152" s="4">
        <f>IF(COUNTIFS(F:F,F152,H:H,H152)&lt;=VLOOKUP(H152,Dados!$X:$AB,5,0),0,1)</f>
        <v>0</v>
      </c>
      <c r="W152" s="4">
        <v>521</v>
      </c>
      <c r="X152" s="4">
        <v>9</v>
      </c>
      <c r="Y152" s="4">
        <v>14</v>
      </c>
      <c r="Z152" s="4">
        <v>16</v>
      </c>
      <c r="AA152" s="4">
        <v>2</v>
      </c>
      <c r="AB152" s="4">
        <v>3</v>
      </c>
      <c r="AD152" s="4">
        <f>VLOOKUP(Z152,Dados!$S$3:$W$55,4,FALSE)</f>
        <v>5273</v>
      </c>
      <c r="AE152" s="4">
        <f t="shared" si="128"/>
        <v>126</v>
      </c>
      <c r="AF152" s="4">
        <f t="shared" si="129"/>
        <v>47457</v>
      </c>
      <c r="AI152" s="13">
        <f>VLOOKUP(Z152,Dados!$S$3:$V$55,2,FALSE)*VLOOKUP(Z152,Dados!$S$3:$V$55,3,FALSE)*VLOOKUP(Z152,Dados!$S$3:$V$55,4,FALSE)*0.00000785</f>
        <v>22.600605299999998</v>
      </c>
      <c r="AJ152" s="13">
        <f t="shared" si="130"/>
        <v>203.40544769999997</v>
      </c>
      <c r="AK152" s="13">
        <f t="shared" si="131"/>
        <v>6.0005399999999987E-2</v>
      </c>
      <c r="AL152" s="13">
        <f t="shared" si="132"/>
        <v>0.54004859999999988</v>
      </c>
      <c r="AW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/>
      <c r="BZ152" s="15"/>
      <c r="CA152" s="16"/>
      <c r="CD152" s="15"/>
      <c r="CE152" s="15"/>
      <c r="CF152" s="15"/>
      <c r="CG152" s="16"/>
    </row>
    <row r="153" spans="6:85">
      <c r="F153" s="4">
        <v>151</v>
      </c>
      <c r="G153" s="4">
        <v>62</v>
      </c>
      <c r="H153" s="4">
        <v>1</v>
      </c>
      <c r="I153" s="4">
        <v>21</v>
      </c>
      <c r="J153" s="4">
        <v>9</v>
      </c>
      <c r="K153" s="4">
        <f t="shared" si="134"/>
        <v>0</v>
      </c>
      <c r="L153" s="4">
        <f t="shared" si="134"/>
        <v>0</v>
      </c>
      <c r="M153" s="4">
        <f t="shared" si="134"/>
        <v>0</v>
      </c>
      <c r="N153" s="4">
        <f t="shared" si="134"/>
        <v>0</v>
      </c>
      <c r="O153" s="4">
        <f t="shared" si="123"/>
        <v>0</v>
      </c>
      <c r="P153" s="4">
        <f t="shared" si="124"/>
        <v>0</v>
      </c>
      <c r="Q153" s="4">
        <f t="shared" si="125"/>
        <v>0</v>
      </c>
      <c r="R153" s="4">
        <f t="shared" si="126"/>
        <v>0</v>
      </c>
      <c r="S153" s="4">
        <f>IF(AND(VLOOKUP(G153,Dados!$D:$L,2,0)=VLOOKUP(I153,Dados!$S:$V,2,0),VLOOKUP(G153,Dados!$D:$L,3,0)=VLOOKUP(I153,Dados!$S:$V,3,0)),0,1)</f>
        <v>0</v>
      </c>
      <c r="T153" s="4">
        <f>IF(AND(VLOOKUP(G153,Dados!$D:$L,3,0)&lt;=VLOOKUP(H153,Dados!$X:$AB,2,0),VLOOKUP(G153,Dados!$D:$L,4,0)&gt;=VLOOKUP(H153,Dados!$X:$AB,3,0),VLOOKUP(G153,Dados!$D:$L,4,0)&lt;=VLOOKUP(H153,Dados!$X:$AB,4,0)),0,1)</f>
        <v>0</v>
      </c>
      <c r="U153" s="4">
        <f>IF(COUNTIFS(F:F,F153,H:H,H153)&lt;=VLOOKUP(H153,Dados!$X:$AB,5,0),0,1)</f>
        <v>0</v>
      </c>
      <c r="W153" s="4">
        <v>1119</v>
      </c>
      <c r="X153" s="4">
        <v>4</v>
      </c>
      <c r="Y153" s="4">
        <v>1</v>
      </c>
      <c r="Z153" s="4">
        <v>16</v>
      </c>
      <c r="AA153" s="4">
        <v>2</v>
      </c>
      <c r="AB153" s="4">
        <v>3</v>
      </c>
      <c r="AD153" s="4">
        <f>VLOOKUP(Z153,Dados!$S$3:$W$55,4,FALSE)</f>
        <v>5273</v>
      </c>
      <c r="AE153" s="4">
        <f t="shared" si="128"/>
        <v>4</v>
      </c>
      <c r="AF153" s="4">
        <f t="shared" si="129"/>
        <v>21092</v>
      </c>
      <c r="AI153" s="13">
        <f>VLOOKUP(Z153,Dados!$S$3:$V$55,2,FALSE)*VLOOKUP(Z153,Dados!$S$3:$V$55,3,FALSE)*VLOOKUP(Z153,Dados!$S$3:$V$55,4,FALSE)*0.00000785</f>
        <v>22.600605299999998</v>
      </c>
      <c r="AJ153" s="13">
        <f t="shared" si="130"/>
        <v>90.402421199999992</v>
      </c>
      <c r="AK153" s="13">
        <f t="shared" si="131"/>
        <v>4.2860999999999993E-3</v>
      </c>
      <c r="AL153" s="13">
        <f t="shared" si="132"/>
        <v>1.7144399999999997E-2</v>
      </c>
      <c r="AW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  <c r="BZ153" s="15"/>
      <c r="CA153" s="16"/>
      <c r="CD153" s="15"/>
      <c r="CE153" s="15"/>
      <c r="CF153" s="15"/>
      <c r="CG153" s="16"/>
    </row>
    <row r="154" spans="6:85">
      <c r="F154" s="4">
        <v>152</v>
      </c>
      <c r="G154" s="4">
        <v>62</v>
      </c>
      <c r="H154" s="4">
        <v>2</v>
      </c>
      <c r="I154" s="4">
        <v>21</v>
      </c>
      <c r="J154" s="4">
        <v>9</v>
      </c>
      <c r="K154" s="4">
        <f t="shared" si="134"/>
        <v>0</v>
      </c>
      <c r="L154" s="4">
        <f t="shared" si="134"/>
        <v>0</v>
      </c>
      <c r="M154" s="4">
        <f t="shared" si="134"/>
        <v>0</v>
      </c>
      <c r="N154" s="4">
        <f t="shared" si="134"/>
        <v>0</v>
      </c>
      <c r="O154" s="4">
        <f t="shared" si="123"/>
        <v>0</v>
      </c>
      <c r="P154" s="4">
        <f t="shared" si="124"/>
        <v>0</v>
      </c>
      <c r="Q154" s="4">
        <f t="shared" si="125"/>
        <v>0</v>
      </c>
      <c r="R154" s="4">
        <f t="shared" si="126"/>
        <v>0</v>
      </c>
      <c r="S154" s="4">
        <f>IF(AND(VLOOKUP(G154,Dados!$D:$L,2,0)=VLOOKUP(I154,Dados!$S:$V,2,0),VLOOKUP(G154,Dados!$D:$L,3,0)=VLOOKUP(I154,Dados!$S:$V,3,0)),0,1)</f>
        <v>0</v>
      </c>
      <c r="T154" s="4">
        <f>IF(AND(VLOOKUP(G154,Dados!$D:$L,3,0)&lt;=VLOOKUP(H154,Dados!$X:$AB,2,0),VLOOKUP(G154,Dados!$D:$L,4,0)&gt;=VLOOKUP(H154,Dados!$X:$AB,3,0),VLOOKUP(G154,Dados!$D:$L,4,0)&lt;=VLOOKUP(H154,Dados!$X:$AB,4,0)),0,1)</f>
        <v>0</v>
      </c>
      <c r="U154" s="4">
        <f>IF(COUNTIFS(F:F,F154,H:H,H154)&lt;=VLOOKUP(H154,Dados!$X:$AB,5,0),0,1)</f>
        <v>0</v>
      </c>
      <c r="W154" s="4">
        <v>338</v>
      </c>
      <c r="X154" s="4">
        <v>4</v>
      </c>
      <c r="Y154" s="4">
        <v>19</v>
      </c>
      <c r="Z154" s="4">
        <v>16</v>
      </c>
      <c r="AA154" s="4">
        <v>3</v>
      </c>
      <c r="AB154" s="4">
        <v>3</v>
      </c>
      <c r="AD154" s="4">
        <f>VLOOKUP(Z154,Dados!$S$3:$W$55,4,FALSE)</f>
        <v>5273</v>
      </c>
      <c r="AE154" s="4">
        <f t="shared" si="128"/>
        <v>76</v>
      </c>
      <c r="AF154" s="4">
        <f t="shared" si="129"/>
        <v>21092</v>
      </c>
      <c r="AI154" s="13">
        <f>VLOOKUP(Z154,Dados!$S$3:$V$55,2,FALSE)*VLOOKUP(Z154,Dados!$S$3:$V$55,3,FALSE)*VLOOKUP(Z154,Dados!$S$3:$V$55,4,FALSE)*0.00000785</f>
        <v>22.600605299999998</v>
      </c>
      <c r="AJ154" s="13">
        <f t="shared" si="130"/>
        <v>90.402421199999992</v>
      </c>
      <c r="AK154" s="13">
        <f t="shared" si="131"/>
        <v>8.1435899999999992E-2</v>
      </c>
      <c r="AL154" s="13">
        <f t="shared" si="132"/>
        <v>0.32574359999999997</v>
      </c>
      <c r="AW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  <c r="BZ154" s="15"/>
      <c r="CA154" s="16"/>
      <c r="CD154" s="15"/>
      <c r="CE154" s="15"/>
      <c r="CF154" s="15"/>
      <c r="CG154" s="16"/>
    </row>
    <row r="155" spans="6:85">
      <c r="F155" s="4">
        <v>153</v>
      </c>
      <c r="G155" s="4">
        <v>62</v>
      </c>
      <c r="H155" s="4">
        <v>3</v>
      </c>
      <c r="I155" s="4">
        <v>21</v>
      </c>
      <c r="J155" s="4">
        <v>9</v>
      </c>
      <c r="K155" s="4">
        <f t="shared" si="134"/>
        <v>0</v>
      </c>
      <c r="L155" s="4">
        <f t="shared" si="134"/>
        <v>0</v>
      </c>
      <c r="M155" s="4">
        <f t="shared" si="134"/>
        <v>0</v>
      </c>
      <c r="N155" s="4">
        <f t="shared" si="134"/>
        <v>0</v>
      </c>
      <c r="O155" s="4">
        <f t="shared" si="123"/>
        <v>0</v>
      </c>
      <c r="P155" s="4">
        <f t="shared" si="124"/>
        <v>0</v>
      </c>
      <c r="Q155" s="4">
        <f t="shared" si="125"/>
        <v>0</v>
      </c>
      <c r="R155" s="4">
        <f t="shared" si="126"/>
        <v>0</v>
      </c>
      <c r="S155" s="4">
        <f>IF(AND(VLOOKUP(G155,Dados!$D:$L,2,0)=VLOOKUP(I155,Dados!$S:$V,2,0),VLOOKUP(G155,Dados!$D:$L,3,0)=VLOOKUP(I155,Dados!$S:$V,3,0)),0,1)</f>
        <v>0</v>
      </c>
      <c r="T155" s="4">
        <f>IF(AND(VLOOKUP(G155,Dados!$D:$L,3,0)&lt;=VLOOKUP(H155,Dados!$X:$AB,2,0),VLOOKUP(G155,Dados!$D:$L,4,0)&gt;=VLOOKUP(H155,Dados!$X:$AB,3,0),VLOOKUP(G155,Dados!$D:$L,4,0)&lt;=VLOOKUP(H155,Dados!$X:$AB,4,0)),0,1)</f>
        <v>0</v>
      </c>
      <c r="U155" s="4">
        <f>IF(COUNTIFS(F:F,F155,H:H,H155)&lt;=VLOOKUP(H155,Dados!$X:$AB,5,0),0,1)</f>
        <v>0</v>
      </c>
      <c r="W155" s="4">
        <v>835</v>
      </c>
      <c r="X155" s="4">
        <v>9</v>
      </c>
      <c r="Y155" s="4">
        <v>59</v>
      </c>
      <c r="Z155" s="4">
        <v>16</v>
      </c>
      <c r="AA155" s="4">
        <v>3</v>
      </c>
      <c r="AB155" s="4">
        <v>3</v>
      </c>
      <c r="AD155" s="4">
        <f>VLOOKUP(Z155,Dados!$S$3:$W$55,4,FALSE)</f>
        <v>5273</v>
      </c>
      <c r="AE155" s="4">
        <f t="shared" si="128"/>
        <v>531</v>
      </c>
      <c r="AF155" s="4">
        <f t="shared" si="129"/>
        <v>47457</v>
      </c>
      <c r="AI155" s="13">
        <f>VLOOKUP(Z155,Dados!$S$3:$V$55,2,FALSE)*VLOOKUP(Z155,Dados!$S$3:$V$55,3,FALSE)*VLOOKUP(Z155,Dados!$S$3:$V$55,4,FALSE)*0.00000785</f>
        <v>22.600605299999998</v>
      </c>
      <c r="AJ155" s="13">
        <f t="shared" si="130"/>
        <v>203.40544769999997</v>
      </c>
      <c r="AK155" s="13">
        <f t="shared" si="131"/>
        <v>0.25287989999999994</v>
      </c>
      <c r="AL155" s="13">
        <f t="shared" si="132"/>
        <v>2.2759190999999994</v>
      </c>
      <c r="AW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  <c r="BZ155" s="15"/>
      <c r="CA155" s="16"/>
      <c r="CD155" s="15"/>
      <c r="CE155" s="15"/>
      <c r="CF155" s="15"/>
      <c r="CG155" s="16"/>
    </row>
    <row r="156" spans="6:85">
      <c r="F156" s="4">
        <v>154</v>
      </c>
      <c r="G156" s="4">
        <v>63</v>
      </c>
      <c r="H156" s="4">
        <v>1</v>
      </c>
      <c r="I156" s="4">
        <v>21</v>
      </c>
      <c r="J156" s="4">
        <v>12</v>
      </c>
      <c r="K156" s="4">
        <f t="shared" si="134"/>
        <v>0</v>
      </c>
      <c r="L156" s="4">
        <f t="shared" si="134"/>
        <v>0</v>
      </c>
      <c r="M156" s="4">
        <f t="shared" si="134"/>
        <v>0</v>
      </c>
      <c r="N156" s="4">
        <f t="shared" si="134"/>
        <v>0</v>
      </c>
      <c r="O156" s="4">
        <f t="shared" si="123"/>
        <v>0</v>
      </c>
      <c r="P156" s="4">
        <f t="shared" si="124"/>
        <v>0</v>
      </c>
      <c r="Q156" s="4">
        <f t="shared" si="125"/>
        <v>0</v>
      </c>
      <c r="R156" s="4">
        <f t="shared" si="126"/>
        <v>0</v>
      </c>
      <c r="S156" s="4">
        <f>IF(AND(VLOOKUP(G156,Dados!$D:$L,2,0)=VLOOKUP(I156,Dados!$S:$V,2,0),VLOOKUP(G156,Dados!$D:$L,3,0)=VLOOKUP(I156,Dados!$S:$V,3,0)),0,1)</f>
        <v>0</v>
      </c>
      <c r="T156" s="4">
        <f>IF(AND(VLOOKUP(G156,Dados!$D:$L,3,0)&lt;=VLOOKUP(H156,Dados!$X:$AB,2,0),VLOOKUP(G156,Dados!$D:$L,4,0)&gt;=VLOOKUP(H156,Dados!$X:$AB,3,0),VLOOKUP(G156,Dados!$D:$L,4,0)&lt;=VLOOKUP(H156,Dados!$X:$AB,4,0)),0,1)</f>
        <v>0</v>
      </c>
      <c r="U156" s="4">
        <f>IF(COUNTIFS(F:F,F156,H:H,H156)&lt;=VLOOKUP(H156,Dados!$X:$AB,5,0),0,1)</f>
        <v>0</v>
      </c>
      <c r="W156" s="4">
        <v>998</v>
      </c>
      <c r="X156" s="4">
        <v>5</v>
      </c>
      <c r="Y156" s="4">
        <v>59</v>
      </c>
      <c r="Z156" s="4">
        <v>16</v>
      </c>
      <c r="AA156" s="4">
        <v>3</v>
      </c>
      <c r="AB156" s="4">
        <v>3</v>
      </c>
      <c r="AD156" s="4">
        <f>VLOOKUP(Z156,Dados!$S$3:$W$55,4,FALSE)</f>
        <v>5273</v>
      </c>
      <c r="AE156" s="4">
        <f t="shared" si="128"/>
        <v>295</v>
      </c>
      <c r="AF156" s="4">
        <f t="shared" si="129"/>
        <v>26365</v>
      </c>
      <c r="AI156" s="13">
        <f>VLOOKUP(Z156,Dados!$S$3:$V$55,2,FALSE)*VLOOKUP(Z156,Dados!$S$3:$V$55,3,FALSE)*VLOOKUP(Z156,Dados!$S$3:$V$55,4,FALSE)*0.00000785</f>
        <v>22.600605299999998</v>
      </c>
      <c r="AJ156" s="13">
        <f t="shared" si="130"/>
        <v>113.00302649999999</v>
      </c>
      <c r="AK156" s="13">
        <f t="shared" si="131"/>
        <v>0.25287989999999994</v>
      </c>
      <c r="AL156" s="13">
        <f t="shared" si="132"/>
        <v>1.2643994999999997</v>
      </c>
      <c r="AW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5"/>
      <c r="BQ156" s="15"/>
      <c r="BR156" s="15"/>
      <c r="BS156" s="15"/>
      <c r="BT156" s="15"/>
      <c r="BU156" s="15"/>
      <c r="BV156" s="15"/>
      <c r="BW156" s="15"/>
      <c r="BX156" s="15"/>
      <c r="BY156" s="15"/>
      <c r="BZ156" s="15"/>
      <c r="CA156" s="16"/>
      <c r="CD156" s="15"/>
      <c r="CE156" s="15"/>
      <c r="CF156" s="15"/>
      <c r="CG156" s="16"/>
    </row>
    <row r="157" spans="6:85">
      <c r="F157" s="4">
        <v>155</v>
      </c>
      <c r="G157" s="4">
        <v>63</v>
      </c>
      <c r="H157" s="4">
        <v>2</v>
      </c>
      <c r="I157" s="4">
        <v>21</v>
      </c>
      <c r="J157" s="4">
        <v>12</v>
      </c>
      <c r="K157" s="4">
        <f t="shared" si="134"/>
        <v>0</v>
      </c>
      <c r="L157" s="4">
        <f t="shared" si="134"/>
        <v>0</v>
      </c>
      <c r="M157" s="4">
        <f t="shared" si="134"/>
        <v>0</v>
      </c>
      <c r="N157" s="4">
        <f t="shared" si="134"/>
        <v>0</v>
      </c>
      <c r="O157" s="4">
        <f t="shared" ref="O157:O165" si="135">$J157*K157</f>
        <v>0</v>
      </c>
      <c r="P157" s="4">
        <f t="shared" ref="P157:P165" si="136">$J157*L157</f>
        <v>0</v>
      </c>
      <c r="Q157" s="4">
        <f t="shared" ref="Q157:Q165" si="137">$J157*M157</f>
        <v>0</v>
      </c>
      <c r="R157" s="4">
        <f t="shared" ref="R157:R165" si="138">$J157*N157</f>
        <v>0</v>
      </c>
      <c r="S157" s="4">
        <f>IF(AND(VLOOKUP(G157,Dados!$D:$L,2,0)=VLOOKUP(I157,Dados!$S:$V,2,0),VLOOKUP(G157,Dados!$D:$L,3,0)=VLOOKUP(I157,Dados!$S:$V,3,0)),0,1)</f>
        <v>0</v>
      </c>
      <c r="T157" s="4">
        <f>IF(AND(VLOOKUP(G157,Dados!$D:$L,3,0)&lt;=VLOOKUP(H157,Dados!$X:$AB,2,0),VLOOKUP(G157,Dados!$D:$L,4,0)&gt;=VLOOKUP(H157,Dados!$X:$AB,3,0),VLOOKUP(G157,Dados!$D:$L,4,0)&lt;=VLOOKUP(H157,Dados!$X:$AB,4,0)),0,1)</f>
        <v>0</v>
      </c>
      <c r="U157" s="4">
        <f>IF(COUNTIFS(F:F,F157,H:H,H157)&lt;=VLOOKUP(H157,Dados!$X:$AB,5,0),0,1)</f>
        <v>0</v>
      </c>
      <c r="W157" s="4">
        <v>926</v>
      </c>
      <c r="X157" s="4">
        <v>22</v>
      </c>
      <c r="Y157" s="4">
        <v>5</v>
      </c>
      <c r="Z157" s="4">
        <v>17</v>
      </c>
      <c r="AA157" s="4">
        <v>1</v>
      </c>
      <c r="AB157" s="4">
        <v>3</v>
      </c>
      <c r="AD157" s="4">
        <f>VLOOKUP(Z157,Dados!$S$3:$W$55,4,FALSE)</f>
        <v>6041</v>
      </c>
      <c r="AE157" s="4">
        <f t="shared" si="128"/>
        <v>110</v>
      </c>
      <c r="AF157" s="4">
        <f t="shared" si="129"/>
        <v>132902</v>
      </c>
      <c r="AI157" s="13">
        <f>VLOOKUP(Z157,Dados!$S$3:$V$55,2,FALSE)*VLOOKUP(Z157,Dados!$S$3:$V$55,3,FALSE)*VLOOKUP(Z157,Dados!$S$3:$V$55,4,FALSE)*0.00000785</f>
        <v>24.754205699999996</v>
      </c>
      <c r="AJ157" s="13">
        <f t="shared" si="130"/>
        <v>544.59252539999989</v>
      </c>
      <c r="AK157" s="13">
        <f t="shared" si="131"/>
        <v>2.0488499999999996E-2</v>
      </c>
      <c r="AL157" s="13">
        <f t="shared" si="132"/>
        <v>0.4507469999999999</v>
      </c>
      <c r="AW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5"/>
      <c r="BQ157" s="15"/>
      <c r="BR157" s="15"/>
      <c r="BS157" s="15"/>
      <c r="BT157" s="15"/>
      <c r="BU157" s="15"/>
      <c r="BV157" s="15"/>
      <c r="BW157" s="15"/>
      <c r="BX157" s="15"/>
      <c r="BY157" s="15"/>
      <c r="BZ157" s="15"/>
      <c r="CA157" s="16"/>
      <c r="CD157" s="15"/>
      <c r="CE157" s="15"/>
      <c r="CF157" s="15"/>
      <c r="CG157" s="16"/>
    </row>
    <row r="158" spans="6:85">
      <c r="F158" s="4">
        <v>156</v>
      </c>
      <c r="G158" s="4">
        <v>63</v>
      </c>
      <c r="H158" s="4">
        <v>3</v>
      </c>
      <c r="I158" s="4">
        <v>21</v>
      </c>
      <c r="J158" s="4">
        <v>12</v>
      </c>
      <c r="K158" s="4">
        <f t="shared" si="134"/>
        <v>0</v>
      </c>
      <c r="L158" s="4">
        <f t="shared" si="134"/>
        <v>0</v>
      </c>
      <c r="M158" s="4">
        <f t="shared" si="134"/>
        <v>0</v>
      </c>
      <c r="N158" s="4">
        <f t="shared" si="134"/>
        <v>0</v>
      </c>
      <c r="O158" s="4">
        <f t="shared" si="135"/>
        <v>0</v>
      </c>
      <c r="P158" s="4">
        <f t="shared" si="136"/>
        <v>0</v>
      </c>
      <c r="Q158" s="4">
        <f t="shared" si="137"/>
        <v>0</v>
      </c>
      <c r="R158" s="4">
        <f t="shared" si="138"/>
        <v>0</v>
      </c>
      <c r="S158" s="4">
        <f>IF(AND(VLOOKUP(G158,Dados!$D:$L,2,0)=VLOOKUP(I158,Dados!$S:$V,2,0),VLOOKUP(G158,Dados!$D:$L,3,0)=VLOOKUP(I158,Dados!$S:$V,3,0)),0,1)</f>
        <v>0</v>
      </c>
      <c r="T158" s="4">
        <f>IF(AND(VLOOKUP(G158,Dados!$D:$L,3,0)&lt;=VLOOKUP(H158,Dados!$X:$AB,2,0),VLOOKUP(G158,Dados!$D:$L,4,0)&gt;=VLOOKUP(H158,Dados!$X:$AB,3,0),VLOOKUP(G158,Dados!$D:$L,4,0)&lt;=VLOOKUP(H158,Dados!$X:$AB,4,0)),0,1)</f>
        <v>0</v>
      </c>
      <c r="U158" s="4">
        <f>IF(COUNTIFS(F:F,F158,H:H,H158)&lt;=VLOOKUP(H158,Dados!$X:$AB,5,0),0,1)</f>
        <v>0</v>
      </c>
      <c r="W158" s="4">
        <v>114</v>
      </c>
      <c r="X158" s="4">
        <v>3</v>
      </c>
      <c r="Y158" s="4">
        <v>56</v>
      </c>
      <c r="Z158" s="4">
        <v>17</v>
      </c>
      <c r="AA158" s="4">
        <v>2</v>
      </c>
      <c r="AB158" s="4">
        <v>3</v>
      </c>
      <c r="AD158" s="4">
        <f>VLOOKUP(Z158,Dados!$S$3:$W$55,4,FALSE)</f>
        <v>6041</v>
      </c>
      <c r="AE158" s="4">
        <f t="shared" si="128"/>
        <v>168</v>
      </c>
      <c r="AF158" s="4">
        <f t="shared" si="129"/>
        <v>18123</v>
      </c>
      <c r="AI158" s="13">
        <f>VLOOKUP(Z158,Dados!$S$3:$V$55,2,FALSE)*VLOOKUP(Z158,Dados!$S$3:$V$55,3,FALSE)*VLOOKUP(Z158,Dados!$S$3:$V$55,4,FALSE)*0.00000785</f>
        <v>24.754205699999996</v>
      </c>
      <c r="AJ158" s="13">
        <f t="shared" si="130"/>
        <v>74.262617099999986</v>
      </c>
      <c r="AK158" s="13">
        <f t="shared" si="131"/>
        <v>0.22947119999999996</v>
      </c>
      <c r="AL158" s="13">
        <f t="shared" si="132"/>
        <v>0.68841359999999985</v>
      </c>
      <c r="AW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5"/>
      <c r="BQ158" s="15"/>
      <c r="BR158" s="15"/>
      <c r="BS158" s="15"/>
      <c r="BT158" s="15"/>
      <c r="BU158" s="15"/>
      <c r="BV158" s="15"/>
      <c r="BW158" s="15"/>
      <c r="BX158" s="15"/>
      <c r="BY158" s="15"/>
      <c r="BZ158" s="15"/>
      <c r="CA158" s="16"/>
      <c r="CD158" s="15"/>
      <c r="CE158" s="15"/>
      <c r="CF158" s="15"/>
      <c r="CG158" s="16"/>
    </row>
    <row r="159" spans="6:85">
      <c r="F159" s="4">
        <v>157</v>
      </c>
      <c r="G159" s="4">
        <v>64</v>
      </c>
      <c r="H159" s="4">
        <v>1</v>
      </c>
      <c r="I159" s="4">
        <v>21</v>
      </c>
      <c r="J159" s="4">
        <v>7</v>
      </c>
      <c r="K159" s="4">
        <f t="shared" si="134"/>
        <v>0</v>
      </c>
      <c r="L159" s="4">
        <f t="shared" si="134"/>
        <v>0</v>
      </c>
      <c r="M159" s="4">
        <f t="shared" si="134"/>
        <v>0</v>
      </c>
      <c r="N159" s="4">
        <f t="shared" si="134"/>
        <v>0</v>
      </c>
      <c r="O159" s="4">
        <f t="shared" si="135"/>
        <v>0</v>
      </c>
      <c r="P159" s="4">
        <f t="shared" si="136"/>
        <v>0</v>
      </c>
      <c r="Q159" s="4">
        <f t="shared" si="137"/>
        <v>0</v>
      </c>
      <c r="R159" s="4">
        <f t="shared" si="138"/>
        <v>0</v>
      </c>
      <c r="S159" s="4">
        <f>IF(AND(VLOOKUP(G159,Dados!$D:$L,2,0)=VLOOKUP(I159,Dados!$S:$V,2,0),VLOOKUP(G159,Dados!$D:$L,3,0)=VLOOKUP(I159,Dados!$S:$V,3,0)),0,1)</f>
        <v>0</v>
      </c>
      <c r="T159" s="4">
        <f>IF(AND(VLOOKUP(G159,Dados!$D:$L,3,0)&lt;=VLOOKUP(H159,Dados!$X:$AB,2,0),VLOOKUP(G159,Dados!$D:$L,4,0)&gt;=VLOOKUP(H159,Dados!$X:$AB,3,0),VLOOKUP(G159,Dados!$D:$L,4,0)&lt;=VLOOKUP(H159,Dados!$X:$AB,4,0)),0,1)</f>
        <v>0</v>
      </c>
      <c r="U159" s="4">
        <f>IF(COUNTIFS(F:F,F159,H:H,H159)&lt;=VLOOKUP(H159,Dados!$X:$AB,5,0),0,1)</f>
        <v>0</v>
      </c>
      <c r="W159" s="4">
        <v>524</v>
      </c>
      <c r="X159" s="4">
        <v>18</v>
      </c>
      <c r="Y159" s="4">
        <v>51</v>
      </c>
      <c r="Z159" s="4">
        <v>17</v>
      </c>
      <c r="AA159" s="4">
        <v>2</v>
      </c>
      <c r="AB159" s="4">
        <v>3</v>
      </c>
      <c r="AD159" s="4">
        <f>VLOOKUP(Z159,Dados!$S$3:$W$55,4,FALSE)</f>
        <v>6041</v>
      </c>
      <c r="AE159" s="4">
        <f t="shared" si="128"/>
        <v>918</v>
      </c>
      <c r="AF159" s="4">
        <f t="shared" si="129"/>
        <v>108738</v>
      </c>
      <c r="AI159" s="13">
        <f>VLOOKUP(Z159,Dados!$S$3:$V$55,2,FALSE)*VLOOKUP(Z159,Dados!$S$3:$V$55,3,FALSE)*VLOOKUP(Z159,Dados!$S$3:$V$55,4,FALSE)*0.00000785</f>
        <v>24.754205699999996</v>
      </c>
      <c r="AJ159" s="13">
        <f t="shared" si="130"/>
        <v>445.57570259999994</v>
      </c>
      <c r="AK159" s="13">
        <f t="shared" si="131"/>
        <v>0.20898269999999997</v>
      </c>
      <c r="AL159" s="13">
        <f t="shared" si="132"/>
        <v>3.7616885999999994</v>
      </c>
      <c r="AW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  <c r="BZ159" s="15"/>
      <c r="CA159" s="16"/>
      <c r="CD159" s="15"/>
      <c r="CE159" s="15"/>
      <c r="CF159" s="15"/>
      <c r="CG159" s="16"/>
    </row>
    <row r="160" spans="6:85">
      <c r="F160" s="4">
        <v>158</v>
      </c>
      <c r="G160" s="4">
        <v>64</v>
      </c>
      <c r="H160" s="4">
        <v>2</v>
      </c>
      <c r="I160" s="4">
        <v>21</v>
      </c>
      <c r="J160" s="4">
        <v>7</v>
      </c>
      <c r="K160" s="4">
        <f t="shared" si="134"/>
        <v>0</v>
      </c>
      <c r="L160" s="4">
        <f t="shared" si="134"/>
        <v>0</v>
      </c>
      <c r="M160" s="4">
        <f t="shared" si="134"/>
        <v>0</v>
      </c>
      <c r="N160" s="4">
        <f t="shared" si="134"/>
        <v>0</v>
      </c>
      <c r="O160" s="4">
        <f t="shared" si="135"/>
        <v>0</v>
      </c>
      <c r="P160" s="4">
        <f t="shared" si="136"/>
        <v>0</v>
      </c>
      <c r="Q160" s="4">
        <f t="shared" si="137"/>
        <v>0</v>
      </c>
      <c r="R160" s="4">
        <f t="shared" si="138"/>
        <v>0</v>
      </c>
      <c r="S160" s="4">
        <f>IF(AND(VLOOKUP(G160,Dados!$D:$L,2,0)=VLOOKUP(I160,Dados!$S:$V,2,0),VLOOKUP(G160,Dados!$D:$L,3,0)=VLOOKUP(I160,Dados!$S:$V,3,0)),0,1)</f>
        <v>0</v>
      </c>
      <c r="T160" s="4">
        <f>IF(AND(VLOOKUP(G160,Dados!$D:$L,3,0)&lt;=VLOOKUP(H160,Dados!$X:$AB,2,0),VLOOKUP(G160,Dados!$D:$L,4,0)&gt;=VLOOKUP(H160,Dados!$X:$AB,3,0),VLOOKUP(G160,Dados!$D:$L,4,0)&lt;=VLOOKUP(H160,Dados!$X:$AB,4,0)),0,1)</f>
        <v>0</v>
      </c>
      <c r="U160" s="4">
        <f>IF(COUNTIFS(F:F,F160,H:H,H160)&lt;=VLOOKUP(H160,Dados!$X:$AB,5,0),0,1)</f>
        <v>0</v>
      </c>
      <c r="W160" s="4">
        <v>839</v>
      </c>
      <c r="X160" s="4">
        <v>1</v>
      </c>
      <c r="Y160" s="4">
        <v>12</v>
      </c>
      <c r="Z160" s="4">
        <v>18</v>
      </c>
      <c r="AA160" s="4">
        <v>1</v>
      </c>
      <c r="AB160" s="4">
        <v>3</v>
      </c>
      <c r="AD160" s="4">
        <f>VLOOKUP(Z160,Dados!$S$3:$W$55,4,FALSE)</f>
        <v>5206</v>
      </c>
      <c r="AE160" s="4">
        <f t="shared" si="128"/>
        <v>12</v>
      </c>
      <c r="AF160" s="4">
        <f t="shared" si="129"/>
        <v>5206</v>
      </c>
      <c r="AI160" s="13">
        <f>VLOOKUP(Z160,Dados!$S$3:$V$55,2,FALSE)*VLOOKUP(Z160,Dados!$S$3:$V$55,3,FALSE)*VLOOKUP(Z160,Dados!$S$3:$V$55,4,FALSE)*0.00000785</f>
        <v>61.096314499999998</v>
      </c>
      <c r="AJ160" s="13">
        <f t="shared" si="130"/>
        <v>61.096314499999998</v>
      </c>
      <c r="AK160" s="13">
        <f t="shared" si="131"/>
        <v>0.14082899999999998</v>
      </c>
      <c r="AL160" s="13">
        <f t="shared" si="132"/>
        <v>0.14082899999999998</v>
      </c>
      <c r="AW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/>
      <c r="BR160" s="15"/>
      <c r="BS160" s="15"/>
      <c r="BT160" s="15"/>
      <c r="BU160" s="15"/>
      <c r="BV160" s="15"/>
      <c r="BW160" s="15"/>
      <c r="BX160" s="15"/>
      <c r="BY160" s="15"/>
      <c r="BZ160" s="15"/>
      <c r="CA160" s="16"/>
      <c r="CD160" s="15"/>
      <c r="CE160" s="15"/>
      <c r="CF160" s="15"/>
      <c r="CG160" s="16"/>
    </row>
    <row r="161" spans="6:85">
      <c r="F161" s="4">
        <v>159</v>
      </c>
      <c r="G161" s="4">
        <v>64</v>
      </c>
      <c r="H161" s="4">
        <v>3</v>
      </c>
      <c r="I161" s="4">
        <v>21</v>
      </c>
      <c r="J161" s="4">
        <v>7</v>
      </c>
      <c r="K161" s="4">
        <f t="shared" si="134"/>
        <v>0</v>
      </c>
      <c r="L161" s="4">
        <f t="shared" si="134"/>
        <v>0</v>
      </c>
      <c r="M161" s="4">
        <f t="shared" si="134"/>
        <v>0</v>
      </c>
      <c r="N161" s="4">
        <f t="shared" si="134"/>
        <v>0</v>
      </c>
      <c r="O161" s="4">
        <f t="shared" si="135"/>
        <v>0</v>
      </c>
      <c r="P161" s="4">
        <f t="shared" si="136"/>
        <v>0</v>
      </c>
      <c r="Q161" s="4">
        <f t="shared" si="137"/>
        <v>0</v>
      </c>
      <c r="R161" s="4">
        <f t="shared" si="138"/>
        <v>0</v>
      </c>
      <c r="S161" s="4">
        <f>IF(AND(VLOOKUP(G161,Dados!$D:$L,2,0)=VLOOKUP(I161,Dados!$S:$V,2,0),VLOOKUP(G161,Dados!$D:$L,3,0)=VLOOKUP(I161,Dados!$S:$V,3,0)),0,1)</f>
        <v>0</v>
      </c>
      <c r="T161" s="4">
        <f>IF(AND(VLOOKUP(G161,Dados!$D:$L,3,0)&lt;=VLOOKUP(H161,Dados!$X:$AB,2,0),VLOOKUP(G161,Dados!$D:$L,4,0)&gt;=VLOOKUP(H161,Dados!$X:$AB,3,0),VLOOKUP(G161,Dados!$D:$L,4,0)&lt;=VLOOKUP(H161,Dados!$X:$AB,4,0)),0,1)</f>
        <v>0</v>
      </c>
      <c r="U161" s="4">
        <f>IF(COUNTIFS(F:F,F161,H:H,H161)&lt;=VLOOKUP(H161,Dados!$X:$AB,5,0),0,1)</f>
        <v>0</v>
      </c>
      <c r="W161" s="4">
        <v>1002</v>
      </c>
      <c r="X161" s="4">
        <v>1</v>
      </c>
      <c r="Y161" s="4">
        <v>6</v>
      </c>
      <c r="Z161" s="4">
        <v>18</v>
      </c>
      <c r="AA161" s="4">
        <v>1</v>
      </c>
      <c r="AB161" s="4">
        <v>3</v>
      </c>
      <c r="AD161" s="4">
        <f>VLOOKUP(Z161,Dados!$S$3:$W$55,4,FALSE)</f>
        <v>5206</v>
      </c>
      <c r="AE161" s="4">
        <f t="shared" si="128"/>
        <v>6</v>
      </c>
      <c r="AF161" s="4">
        <f t="shared" si="129"/>
        <v>5206</v>
      </c>
      <c r="AI161" s="13">
        <f>VLOOKUP(Z161,Dados!$S$3:$V$55,2,FALSE)*VLOOKUP(Z161,Dados!$S$3:$V$55,3,FALSE)*VLOOKUP(Z161,Dados!$S$3:$V$55,4,FALSE)*0.00000785</f>
        <v>61.096314499999998</v>
      </c>
      <c r="AJ161" s="13">
        <f t="shared" si="130"/>
        <v>61.096314499999998</v>
      </c>
      <c r="AK161" s="13">
        <f t="shared" si="131"/>
        <v>7.0414499999999991E-2</v>
      </c>
      <c r="AL161" s="13">
        <f t="shared" si="132"/>
        <v>7.0414499999999991E-2</v>
      </c>
      <c r="AW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/>
      <c r="BZ161" s="15"/>
      <c r="CA161" s="16"/>
      <c r="CD161" s="15"/>
      <c r="CE161" s="15"/>
      <c r="CF161" s="15"/>
      <c r="CG161" s="16"/>
    </row>
    <row r="162" spans="6:85">
      <c r="F162" s="4">
        <v>160</v>
      </c>
      <c r="G162" s="4">
        <v>65</v>
      </c>
      <c r="H162" s="4">
        <v>1</v>
      </c>
      <c r="I162" s="4">
        <v>21</v>
      </c>
      <c r="J162" s="4">
        <v>7</v>
      </c>
      <c r="K162" s="4">
        <f t="shared" si="134"/>
        <v>0</v>
      </c>
      <c r="L162" s="4">
        <f t="shared" si="134"/>
        <v>0</v>
      </c>
      <c r="M162" s="4">
        <f t="shared" si="134"/>
        <v>0</v>
      </c>
      <c r="N162" s="4">
        <f t="shared" si="134"/>
        <v>0</v>
      </c>
      <c r="O162" s="4">
        <f t="shared" si="135"/>
        <v>0</v>
      </c>
      <c r="P162" s="4">
        <f t="shared" si="136"/>
        <v>0</v>
      </c>
      <c r="Q162" s="4">
        <f t="shared" si="137"/>
        <v>0</v>
      </c>
      <c r="R162" s="4">
        <f t="shared" si="138"/>
        <v>0</v>
      </c>
      <c r="S162" s="4">
        <f>IF(AND(VLOOKUP(G162,Dados!$D:$L,2,0)=VLOOKUP(I162,Dados!$S:$V,2,0),VLOOKUP(G162,Dados!$D:$L,3,0)=VLOOKUP(I162,Dados!$S:$V,3,0)),0,1)</f>
        <v>0</v>
      </c>
      <c r="T162" s="4">
        <f>IF(AND(VLOOKUP(G162,Dados!$D:$L,3,0)&lt;=VLOOKUP(H162,Dados!$X:$AB,2,0),VLOOKUP(G162,Dados!$D:$L,4,0)&gt;=VLOOKUP(H162,Dados!$X:$AB,3,0),VLOOKUP(G162,Dados!$D:$L,4,0)&lt;=VLOOKUP(H162,Dados!$X:$AB,4,0)),0,1)</f>
        <v>0</v>
      </c>
      <c r="U162" s="4">
        <f>IF(COUNTIFS(F:F,F162,H:H,H162)&lt;=VLOOKUP(H162,Dados!$X:$AB,5,0),0,1)</f>
        <v>0</v>
      </c>
      <c r="W162" s="4">
        <v>345</v>
      </c>
      <c r="X162" s="4">
        <v>26</v>
      </c>
      <c r="Y162" s="4">
        <v>81</v>
      </c>
      <c r="Z162" s="4">
        <v>19</v>
      </c>
      <c r="AA162" s="4">
        <v>3</v>
      </c>
      <c r="AB162" s="4">
        <v>3</v>
      </c>
      <c r="AD162" s="4">
        <f>VLOOKUP(Z162,Dados!$S$3:$W$55,4,FALSE)</f>
        <v>6032</v>
      </c>
      <c r="AE162" s="4">
        <f t="shared" si="128"/>
        <v>2106</v>
      </c>
      <c r="AF162" s="4">
        <f t="shared" si="129"/>
        <v>156832</v>
      </c>
      <c r="AI162" s="13">
        <f>VLOOKUP(Z162,Dados!$S$3:$V$55,2,FALSE)*VLOOKUP(Z162,Dados!$S$3:$V$55,3,FALSE)*VLOOKUP(Z162,Dados!$S$3:$V$55,4,FALSE)*0.00000785</f>
        <v>70.790043999999995</v>
      </c>
      <c r="AJ162" s="13">
        <f t="shared" si="130"/>
        <v>1840.5411439999998</v>
      </c>
      <c r="AK162" s="13">
        <f t="shared" si="131"/>
        <v>0.95059574999999996</v>
      </c>
      <c r="AL162" s="13">
        <f t="shared" si="132"/>
        <v>24.7154895</v>
      </c>
      <c r="AW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  <c r="BZ162" s="15"/>
      <c r="CA162" s="16"/>
      <c r="CD162" s="15"/>
      <c r="CE162" s="15"/>
      <c r="CF162" s="15"/>
      <c r="CG162" s="16"/>
    </row>
    <row r="163" spans="6:85">
      <c r="F163" s="4">
        <v>161</v>
      </c>
      <c r="G163" s="4">
        <v>65</v>
      </c>
      <c r="H163" s="4">
        <v>2</v>
      </c>
      <c r="I163" s="4">
        <v>21</v>
      </c>
      <c r="J163" s="4">
        <v>7</v>
      </c>
      <c r="K163" s="4">
        <f t="shared" ref="K163:N226" si="139">SUMIFS($X:$X,$W:$W,$F163,$Z:$Z,$I163,$AA:$AA,$H163,$AB:$AB,K$2)</f>
        <v>0</v>
      </c>
      <c r="L163" s="4">
        <f t="shared" si="139"/>
        <v>6</v>
      </c>
      <c r="M163" s="4">
        <f t="shared" si="139"/>
        <v>0</v>
      </c>
      <c r="N163" s="4">
        <f t="shared" si="139"/>
        <v>0</v>
      </c>
      <c r="O163" s="4">
        <f t="shared" si="135"/>
        <v>0</v>
      </c>
      <c r="P163" s="4">
        <f t="shared" si="136"/>
        <v>42</v>
      </c>
      <c r="Q163" s="4">
        <f t="shared" si="137"/>
        <v>0</v>
      </c>
      <c r="R163" s="4">
        <f t="shared" si="138"/>
        <v>0</v>
      </c>
      <c r="S163" s="4">
        <f>IF(AND(VLOOKUP(G163,Dados!$D:$L,2,0)=VLOOKUP(I163,Dados!$S:$V,2,0),VLOOKUP(G163,Dados!$D:$L,3,0)=VLOOKUP(I163,Dados!$S:$V,3,0)),0,1)</f>
        <v>0</v>
      </c>
      <c r="T163" s="4">
        <f>IF(AND(VLOOKUP(G163,Dados!$D:$L,3,0)&lt;=VLOOKUP(H163,Dados!$X:$AB,2,0),VLOOKUP(G163,Dados!$D:$L,4,0)&gt;=VLOOKUP(H163,Dados!$X:$AB,3,0),VLOOKUP(G163,Dados!$D:$L,4,0)&lt;=VLOOKUP(H163,Dados!$X:$AB,4,0)),0,1)</f>
        <v>0</v>
      </c>
      <c r="U163" s="4">
        <f>IF(COUNTIFS(F:F,F163,H:H,H163)&lt;=VLOOKUP(H163,Dados!$X:$AB,5,0),0,1)</f>
        <v>0</v>
      </c>
      <c r="W163" s="4">
        <v>929</v>
      </c>
      <c r="X163" s="4">
        <v>5</v>
      </c>
      <c r="Y163" s="4">
        <v>187</v>
      </c>
      <c r="Z163" s="4">
        <v>20</v>
      </c>
      <c r="AA163" s="4">
        <v>1</v>
      </c>
      <c r="AB163" s="4">
        <v>3</v>
      </c>
      <c r="AD163" s="4">
        <f>VLOOKUP(Z163,Dados!$S$3:$W$55,4,FALSE)</f>
        <v>5418</v>
      </c>
      <c r="AE163" s="4">
        <f t="shared" si="128"/>
        <v>935</v>
      </c>
      <c r="AF163" s="4">
        <f t="shared" si="129"/>
        <v>27090</v>
      </c>
      <c r="AI163" s="13">
        <f>VLOOKUP(Z163,Dados!$S$3:$V$55,2,FALSE)*VLOOKUP(Z163,Dados!$S$3:$V$55,3,FALSE)*VLOOKUP(Z163,Dados!$S$3:$V$55,4,FALSE)*0.00000785</f>
        <v>82.93603499999999</v>
      </c>
      <c r="AJ163" s="13">
        <f t="shared" si="130"/>
        <v>414.68017499999996</v>
      </c>
      <c r="AK163" s="13">
        <f t="shared" si="131"/>
        <v>2.8625024999999997</v>
      </c>
      <c r="AL163" s="13">
        <f t="shared" si="132"/>
        <v>14.312512499999999</v>
      </c>
      <c r="AW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  <c r="CA163" s="16"/>
      <c r="CD163" s="15"/>
      <c r="CE163" s="15"/>
      <c r="CF163" s="15"/>
      <c r="CG163" s="16"/>
    </row>
    <row r="164" spans="6:85">
      <c r="F164" s="4">
        <v>162</v>
      </c>
      <c r="G164" s="4">
        <v>65</v>
      </c>
      <c r="H164" s="4">
        <v>3</v>
      </c>
      <c r="I164" s="4">
        <v>21</v>
      </c>
      <c r="J164" s="4">
        <v>7</v>
      </c>
      <c r="K164" s="4">
        <f t="shared" si="139"/>
        <v>0</v>
      </c>
      <c r="L164" s="4">
        <f t="shared" si="139"/>
        <v>22</v>
      </c>
      <c r="M164" s="4">
        <f t="shared" si="139"/>
        <v>0</v>
      </c>
      <c r="N164" s="4">
        <f t="shared" si="139"/>
        <v>0</v>
      </c>
      <c r="O164" s="4">
        <f t="shared" si="135"/>
        <v>0</v>
      </c>
      <c r="P164" s="4">
        <f t="shared" si="136"/>
        <v>154</v>
      </c>
      <c r="Q164" s="4">
        <f t="shared" si="137"/>
        <v>0</v>
      </c>
      <c r="R164" s="4">
        <f t="shared" si="138"/>
        <v>0</v>
      </c>
      <c r="S164" s="4">
        <f>IF(AND(VLOOKUP(G164,Dados!$D:$L,2,0)=VLOOKUP(I164,Dados!$S:$V,2,0),VLOOKUP(G164,Dados!$D:$L,3,0)=VLOOKUP(I164,Dados!$S:$V,3,0)),0,1)</f>
        <v>0</v>
      </c>
      <c r="T164" s="4">
        <f>IF(AND(VLOOKUP(G164,Dados!$D:$L,3,0)&lt;=VLOOKUP(H164,Dados!$X:$AB,2,0),VLOOKUP(G164,Dados!$D:$L,4,0)&gt;=VLOOKUP(H164,Dados!$X:$AB,3,0),VLOOKUP(G164,Dados!$D:$L,4,0)&lt;=VLOOKUP(H164,Dados!$X:$AB,4,0)),0,1)</f>
        <v>0</v>
      </c>
      <c r="U164" s="4">
        <f>IF(COUNTIFS(F:F,F164,H:H,H164)&lt;=VLOOKUP(H164,Dados!$X:$AB,5,0),0,1)</f>
        <v>0</v>
      </c>
      <c r="W164" s="4">
        <v>137</v>
      </c>
      <c r="X164" s="4">
        <v>5</v>
      </c>
      <c r="Y164" s="4">
        <v>105</v>
      </c>
      <c r="Z164" s="4">
        <v>20</v>
      </c>
      <c r="AA164" s="4">
        <v>3</v>
      </c>
      <c r="AB164" s="4">
        <v>3</v>
      </c>
      <c r="AD164" s="4">
        <f>VLOOKUP(Z164,Dados!$S$3:$W$55,4,FALSE)</f>
        <v>5418</v>
      </c>
      <c r="AE164" s="4">
        <f t="shared" si="128"/>
        <v>525</v>
      </c>
      <c r="AF164" s="4">
        <f t="shared" si="129"/>
        <v>27090</v>
      </c>
      <c r="AI164" s="13">
        <f>VLOOKUP(Z164,Dados!$S$3:$V$55,2,FALSE)*VLOOKUP(Z164,Dados!$S$3:$V$55,3,FALSE)*VLOOKUP(Z164,Dados!$S$3:$V$55,4,FALSE)*0.00000785</f>
        <v>82.93603499999999</v>
      </c>
      <c r="AJ164" s="13">
        <f t="shared" si="130"/>
        <v>414.68017499999996</v>
      </c>
      <c r="AK164" s="13">
        <f t="shared" si="131"/>
        <v>1.6072874999999998</v>
      </c>
      <c r="AL164" s="13">
        <f t="shared" si="132"/>
        <v>8.0364374999999981</v>
      </c>
      <c r="AW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/>
      <c r="BZ164" s="15"/>
      <c r="CA164" s="16"/>
      <c r="CD164" s="15"/>
      <c r="CE164" s="15"/>
      <c r="CF164" s="15"/>
      <c r="CG164" s="16"/>
    </row>
    <row r="165" spans="6:85">
      <c r="F165" s="4">
        <v>163</v>
      </c>
      <c r="G165" s="4">
        <v>66</v>
      </c>
      <c r="H165" s="4">
        <v>1</v>
      </c>
      <c r="I165" s="4">
        <v>21</v>
      </c>
      <c r="J165" s="4">
        <v>7</v>
      </c>
      <c r="K165" s="4">
        <f t="shared" si="139"/>
        <v>0</v>
      </c>
      <c r="L165" s="4">
        <f t="shared" si="139"/>
        <v>0</v>
      </c>
      <c r="M165" s="4">
        <f t="shared" si="139"/>
        <v>0</v>
      </c>
      <c r="N165" s="4">
        <f t="shared" si="139"/>
        <v>0</v>
      </c>
      <c r="O165" s="4">
        <f t="shared" si="135"/>
        <v>0</v>
      </c>
      <c r="P165" s="4">
        <f t="shared" si="136"/>
        <v>0</v>
      </c>
      <c r="Q165" s="4">
        <f t="shared" si="137"/>
        <v>0</v>
      </c>
      <c r="R165" s="4">
        <f t="shared" si="138"/>
        <v>0</v>
      </c>
      <c r="S165" s="4">
        <f>IF(AND(VLOOKUP(G165,Dados!$D:$L,2,0)=VLOOKUP(I165,Dados!$S:$V,2,0),VLOOKUP(G165,Dados!$D:$L,3,0)=VLOOKUP(I165,Dados!$S:$V,3,0)),0,1)</f>
        <v>0</v>
      </c>
      <c r="T165" s="4">
        <f>IF(AND(VLOOKUP(G165,Dados!$D:$L,3,0)&lt;=VLOOKUP(H165,Dados!$X:$AB,2,0),VLOOKUP(G165,Dados!$D:$L,4,0)&gt;=VLOOKUP(H165,Dados!$X:$AB,3,0),VLOOKUP(G165,Dados!$D:$L,4,0)&lt;=VLOOKUP(H165,Dados!$X:$AB,4,0)),0,1)</f>
        <v>0</v>
      </c>
      <c r="U165" s="4">
        <f>IF(COUNTIFS(F:F,F165,H:H,H165)&lt;=VLOOKUP(H165,Dados!$X:$AB,5,0),0,1)</f>
        <v>0</v>
      </c>
      <c r="W165" s="4">
        <v>530</v>
      </c>
      <c r="X165" s="4">
        <v>13</v>
      </c>
      <c r="Y165" s="4">
        <v>69</v>
      </c>
      <c r="Z165" s="4">
        <v>20</v>
      </c>
      <c r="AA165" s="4">
        <v>3</v>
      </c>
      <c r="AB165" s="4">
        <v>3</v>
      </c>
      <c r="AD165" s="4">
        <f>VLOOKUP(Z165,Dados!$S$3:$W$55,4,FALSE)</f>
        <v>5418</v>
      </c>
      <c r="AE165" s="4">
        <f t="shared" si="128"/>
        <v>897</v>
      </c>
      <c r="AF165" s="4">
        <f t="shared" si="129"/>
        <v>70434</v>
      </c>
      <c r="AI165" s="13">
        <f>VLOOKUP(Z165,Dados!$S$3:$V$55,2,FALSE)*VLOOKUP(Z165,Dados!$S$3:$V$55,3,FALSE)*VLOOKUP(Z165,Dados!$S$3:$V$55,4,FALSE)*0.00000785</f>
        <v>82.93603499999999</v>
      </c>
      <c r="AJ165" s="13">
        <f t="shared" si="130"/>
        <v>1078.1684549999998</v>
      </c>
      <c r="AK165" s="13">
        <f t="shared" si="131"/>
        <v>1.0562174999999998</v>
      </c>
      <c r="AL165" s="13">
        <f t="shared" si="132"/>
        <v>13.730827499999997</v>
      </c>
      <c r="AW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/>
      <c r="CA165" s="16"/>
      <c r="CD165" s="15"/>
      <c r="CE165" s="15"/>
      <c r="CF165" s="15"/>
      <c r="CG165" s="16"/>
    </row>
    <row r="166" spans="6:85">
      <c r="F166" s="4">
        <v>164</v>
      </c>
      <c r="G166" s="4">
        <v>66</v>
      </c>
      <c r="H166" s="4">
        <v>2</v>
      </c>
      <c r="I166" s="4">
        <v>21</v>
      </c>
      <c r="J166" s="4">
        <v>7</v>
      </c>
      <c r="K166" s="4">
        <f t="shared" si="139"/>
        <v>0</v>
      </c>
      <c r="L166" s="4">
        <f t="shared" si="139"/>
        <v>0</v>
      </c>
      <c r="M166" s="4">
        <f t="shared" si="139"/>
        <v>0</v>
      </c>
      <c r="N166" s="4">
        <f t="shared" si="139"/>
        <v>0</v>
      </c>
      <c r="O166" s="4">
        <f t="shared" ref="O166:O213" si="140">$J166*K166</f>
        <v>0</v>
      </c>
      <c r="P166" s="4">
        <f t="shared" ref="P166:P213" si="141">$J166*L166</f>
        <v>0</v>
      </c>
      <c r="Q166" s="4">
        <f t="shared" ref="Q166:Q213" si="142">$J166*M166</f>
        <v>0</v>
      </c>
      <c r="R166" s="4">
        <f t="shared" ref="R166:R213" si="143">$J166*N166</f>
        <v>0</v>
      </c>
      <c r="S166" s="4">
        <f>IF(AND(VLOOKUP(G166,Dados!$D:$L,2,0)=VLOOKUP(I166,Dados!$S:$V,2,0),VLOOKUP(G166,Dados!$D:$L,3,0)=VLOOKUP(I166,Dados!$S:$V,3,0)),0,1)</f>
        <v>0</v>
      </c>
      <c r="T166" s="4">
        <f>IF(AND(VLOOKUP(G166,Dados!$D:$L,3,0)&lt;=VLOOKUP(H166,Dados!$X:$AB,2,0),VLOOKUP(G166,Dados!$D:$L,4,0)&gt;=VLOOKUP(H166,Dados!$X:$AB,3,0),VLOOKUP(G166,Dados!$D:$L,4,0)&lt;=VLOOKUP(H166,Dados!$X:$AB,4,0)),0,1)</f>
        <v>0</v>
      </c>
      <c r="U166" s="4">
        <f>IF(COUNTIFS(F:F,F166,H:H,H166)&lt;=VLOOKUP(H166,Dados!$X:$AB,5,0),0,1)</f>
        <v>0</v>
      </c>
      <c r="W166" s="4">
        <v>766</v>
      </c>
      <c r="X166" s="4">
        <v>3</v>
      </c>
      <c r="Y166" s="4">
        <v>9</v>
      </c>
      <c r="Z166" s="4">
        <v>24</v>
      </c>
      <c r="AA166" s="4">
        <v>1</v>
      </c>
      <c r="AB166" s="4">
        <v>3</v>
      </c>
      <c r="AD166" s="4">
        <f>VLOOKUP(Z166,Dados!$S$3:$W$55,4,FALSE)</f>
        <v>5245</v>
      </c>
      <c r="AE166" s="4">
        <f t="shared" si="128"/>
        <v>27</v>
      </c>
      <c r="AF166" s="4">
        <f t="shared" si="129"/>
        <v>15735</v>
      </c>
      <c r="AI166" s="13">
        <f>VLOOKUP(Z166,Dados!$S$3:$V$55,2,FALSE)*VLOOKUP(Z166,Dados!$S$3:$V$55,3,FALSE)*VLOOKUP(Z166,Dados!$S$3:$V$55,4,FALSE)*0.00000785</f>
        <v>78.393867999999998</v>
      </c>
      <c r="AJ166" s="13">
        <f t="shared" si="130"/>
        <v>235.18160399999999</v>
      </c>
      <c r="AK166" s="13">
        <f t="shared" si="131"/>
        <v>0.13451760000000001</v>
      </c>
      <c r="AL166" s="13">
        <f t="shared" si="132"/>
        <v>0.40355280000000004</v>
      </c>
      <c r="AW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  <c r="BZ166" s="15"/>
      <c r="CA166" s="16"/>
      <c r="CD166" s="15"/>
      <c r="CE166" s="15"/>
      <c r="CF166" s="15"/>
      <c r="CG166" s="16"/>
    </row>
    <row r="167" spans="6:85">
      <c r="F167" s="4">
        <v>165</v>
      </c>
      <c r="G167" s="4">
        <v>66</v>
      </c>
      <c r="H167" s="4">
        <v>3</v>
      </c>
      <c r="I167" s="4">
        <v>21</v>
      </c>
      <c r="J167" s="4">
        <v>7</v>
      </c>
      <c r="K167" s="4">
        <f t="shared" si="139"/>
        <v>0</v>
      </c>
      <c r="L167" s="4">
        <f t="shared" si="139"/>
        <v>0</v>
      </c>
      <c r="M167" s="4">
        <f t="shared" si="139"/>
        <v>0</v>
      </c>
      <c r="N167" s="4">
        <f t="shared" si="139"/>
        <v>0</v>
      </c>
      <c r="O167" s="4">
        <f t="shared" si="140"/>
        <v>0</v>
      </c>
      <c r="P167" s="4">
        <f t="shared" si="141"/>
        <v>0</v>
      </c>
      <c r="Q167" s="4">
        <f t="shared" si="142"/>
        <v>0</v>
      </c>
      <c r="R167" s="4">
        <f t="shared" si="143"/>
        <v>0</v>
      </c>
      <c r="S167" s="4">
        <f>IF(AND(VLOOKUP(G167,Dados!$D:$L,2,0)=VLOOKUP(I167,Dados!$S:$V,2,0),VLOOKUP(G167,Dados!$D:$L,3,0)=VLOOKUP(I167,Dados!$S:$V,3,0)),0,1)</f>
        <v>0</v>
      </c>
      <c r="T167" s="4">
        <f>IF(AND(VLOOKUP(G167,Dados!$D:$L,3,0)&lt;=VLOOKUP(H167,Dados!$X:$AB,2,0),VLOOKUP(G167,Dados!$D:$L,4,0)&gt;=VLOOKUP(H167,Dados!$X:$AB,3,0),VLOOKUP(G167,Dados!$D:$L,4,0)&lt;=VLOOKUP(H167,Dados!$X:$AB,4,0)),0,1)</f>
        <v>0</v>
      </c>
      <c r="U167" s="4">
        <f>IF(COUNTIFS(F:F,F167,H:H,H167)&lt;=VLOOKUP(H167,Dados!$X:$AB,5,0),0,1)</f>
        <v>0</v>
      </c>
      <c r="W167" s="4">
        <v>1089</v>
      </c>
      <c r="X167" s="4">
        <v>3</v>
      </c>
      <c r="Y167" s="4">
        <v>3</v>
      </c>
      <c r="Z167" s="4">
        <v>25</v>
      </c>
      <c r="AA167" s="4">
        <v>2</v>
      </c>
      <c r="AB167" s="4">
        <v>3</v>
      </c>
      <c r="AD167" s="4">
        <f>VLOOKUP(Z167,Dados!$S$3:$W$55,4,FALSE)</f>
        <v>6135</v>
      </c>
      <c r="AE167" s="4">
        <f t="shared" ref="AE167:AE177" si="144">Y167*X167</f>
        <v>9</v>
      </c>
      <c r="AF167" s="4">
        <f t="shared" ref="AF167:AF177" si="145">AD167*X167</f>
        <v>18405</v>
      </c>
      <c r="AI167" s="13">
        <f>VLOOKUP(Z167,Dados!$S$3:$V$55,2,FALSE)*VLOOKUP(Z167,Dados!$S$3:$V$55,3,FALSE)*VLOOKUP(Z167,Dados!$S$3:$V$55,4,FALSE)*0.00000785</f>
        <v>91.696163999999996</v>
      </c>
      <c r="AJ167" s="13">
        <f t="shared" ref="AJ167:AJ177" si="146">AI167*X167</f>
        <v>275.08849199999997</v>
      </c>
      <c r="AK167" s="13">
        <f t="shared" ref="AK167:AK177" si="147">(AI167/AD167)*Y167</f>
        <v>4.4839199999999996E-2</v>
      </c>
      <c r="AL167" s="13">
        <f t="shared" ref="AL167:AL177" si="148">AK167*X167</f>
        <v>0.13451759999999999</v>
      </c>
      <c r="AW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5"/>
      <c r="BQ167" s="15"/>
      <c r="BR167" s="15"/>
      <c r="BS167" s="15"/>
      <c r="BT167" s="15"/>
      <c r="BU167" s="15"/>
      <c r="BV167" s="15"/>
      <c r="BW167" s="15"/>
      <c r="BX167" s="15"/>
      <c r="BY167" s="15"/>
      <c r="BZ167" s="15"/>
      <c r="CA167" s="16"/>
      <c r="CD167" s="15"/>
      <c r="CE167" s="15"/>
      <c r="CF167" s="15"/>
      <c r="CG167" s="16"/>
    </row>
    <row r="168" spans="6:85">
      <c r="F168" s="4">
        <v>166</v>
      </c>
      <c r="G168" s="4">
        <v>67</v>
      </c>
      <c r="H168" s="4">
        <v>1</v>
      </c>
      <c r="I168" s="4">
        <v>21</v>
      </c>
      <c r="J168" s="4">
        <v>8</v>
      </c>
      <c r="K168" s="4">
        <f t="shared" si="139"/>
        <v>0</v>
      </c>
      <c r="L168" s="4">
        <f t="shared" si="139"/>
        <v>2</v>
      </c>
      <c r="M168" s="4">
        <f t="shared" si="139"/>
        <v>0</v>
      </c>
      <c r="N168" s="4">
        <f t="shared" si="139"/>
        <v>0</v>
      </c>
      <c r="O168" s="4">
        <f t="shared" si="140"/>
        <v>0</v>
      </c>
      <c r="P168" s="4">
        <f t="shared" si="141"/>
        <v>16</v>
      </c>
      <c r="Q168" s="4">
        <f t="shared" si="142"/>
        <v>0</v>
      </c>
      <c r="R168" s="4">
        <f t="shared" si="143"/>
        <v>0</v>
      </c>
      <c r="S168" s="4">
        <f>IF(AND(VLOOKUP(G168,Dados!$D:$L,2,0)=VLOOKUP(I168,Dados!$S:$V,2,0),VLOOKUP(G168,Dados!$D:$L,3,0)=VLOOKUP(I168,Dados!$S:$V,3,0)),0,1)</f>
        <v>0</v>
      </c>
      <c r="T168" s="4">
        <f>IF(AND(VLOOKUP(G168,Dados!$D:$L,3,0)&lt;=VLOOKUP(H168,Dados!$X:$AB,2,0),VLOOKUP(G168,Dados!$D:$L,4,0)&gt;=VLOOKUP(H168,Dados!$X:$AB,3,0),VLOOKUP(G168,Dados!$D:$L,4,0)&lt;=VLOOKUP(H168,Dados!$X:$AB,4,0)),0,1)</f>
        <v>0</v>
      </c>
      <c r="U168" s="4">
        <f>IF(COUNTIFS(F:F,F168,H:H,H168)&lt;=VLOOKUP(H168,Dados!$X:$AB,5,0),0,1)</f>
        <v>0</v>
      </c>
      <c r="W168" s="4">
        <v>863</v>
      </c>
      <c r="X168" s="4">
        <v>8</v>
      </c>
      <c r="Y168" s="4">
        <v>8</v>
      </c>
      <c r="Z168" s="4">
        <v>28</v>
      </c>
      <c r="AA168" s="4">
        <v>1</v>
      </c>
      <c r="AB168" s="4">
        <v>3</v>
      </c>
      <c r="AD168" s="4">
        <f>VLOOKUP(Z168,Dados!$S$3:$W$55,4,FALSE)</f>
        <v>6280</v>
      </c>
      <c r="AE168" s="4">
        <f t="shared" si="144"/>
        <v>64</v>
      </c>
      <c r="AF168" s="4">
        <f t="shared" si="145"/>
        <v>50240</v>
      </c>
      <c r="AI168" s="13">
        <f>VLOOKUP(Z168,Dados!$S$3:$V$55,2,FALSE)*VLOOKUP(Z168,Dados!$S$3:$V$55,3,FALSE)*VLOOKUP(Z168,Dados!$S$3:$V$55,4,FALSE)*0.00000785</f>
        <v>93.86339199999999</v>
      </c>
      <c r="AJ168" s="13">
        <f t="shared" si="146"/>
        <v>750.90713599999992</v>
      </c>
      <c r="AK168" s="13">
        <f t="shared" si="147"/>
        <v>0.11957119999999999</v>
      </c>
      <c r="AL168" s="13">
        <f t="shared" si="148"/>
        <v>0.95656959999999991</v>
      </c>
      <c r="AW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5"/>
      <c r="BQ168" s="15"/>
      <c r="BR168" s="15"/>
      <c r="BS168" s="15"/>
      <c r="BT168" s="15"/>
      <c r="BU168" s="15"/>
      <c r="BV168" s="15"/>
      <c r="BW168" s="15"/>
      <c r="BX168" s="15"/>
      <c r="BY168" s="15"/>
      <c r="BZ168" s="15"/>
      <c r="CA168" s="16"/>
      <c r="CD168" s="15"/>
      <c r="CE168" s="15"/>
      <c r="CF168" s="15"/>
      <c r="CG168" s="16"/>
    </row>
    <row r="169" spans="6:85">
      <c r="F169" s="4">
        <v>167</v>
      </c>
      <c r="G169" s="4">
        <v>67</v>
      </c>
      <c r="H169" s="4">
        <v>2</v>
      </c>
      <c r="I169" s="4">
        <v>21</v>
      </c>
      <c r="J169" s="4">
        <v>8</v>
      </c>
      <c r="K169" s="4">
        <f t="shared" si="139"/>
        <v>0</v>
      </c>
      <c r="L169" s="4">
        <f t="shared" si="139"/>
        <v>0</v>
      </c>
      <c r="M169" s="4">
        <f t="shared" si="139"/>
        <v>0</v>
      </c>
      <c r="N169" s="4">
        <f t="shared" si="139"/>
        <v>0</v>
      </c>
      <c r="O169" s="4">
        <f t="shared" si="140"/>
        <v>0</v>
      </c>
      <c r="P169" s="4">
        <f t="shared" si="141"/>
        <v>0</v>
      </c>
      <c r="Q169" s="4">
        <f t="shared" si="142"/>
        <v>0</v>
      </c>
      <c r="R169" s="4">
        <f t="shared" si="143"/>
        <v>0</v>
      </c>
      <c r="S169" s="4">
        <f>IF(AND(VLOOKUP(G169,Dados!$D:$L,2,0)=VLOOKUP(I169,Dados!$S:$V,2,0),VLOOKUP(G169,Dados!$D:$L,3,0)=VLOOKUP(I169,Dados!$S:$V,3,0)),0,1)</f>
        <v>0</v>
      </c>
      <c r="T169" s="4">
        <f>IF(AND(VLOOKUP(G169,Dados!$D:$L,3,0)&lt;=VLOOKUP(H169,Dados!$X:$AB,2,0),VLOOKUP(G169,Dados!$D:$L,4,0)&gt;=VLOOKUP(H169,Dados!$X:$AB,3,0),VLOOKUP(G169,Dados!$D:$L,4,0)&lt;=VLOOKUP(H169,Dados!$X:$AB,4,0)),0,1)</f>
        <v>0</v>
      </c>
      <c r="U169" s="4">
        <f>IF(COUNTIFS(F:F,F169,H:H,H169)&lt;=VLOOKUP(H169,Dados!$X:$AB,5,0),0,1)</f>
        <v>0</v>
      </c>
      <c r="W169" s="4">
        <v>1008</v>
      </c>
      <c r="X169" s="4">
        <v>55</v>
      </c>
      <c r="Y169" s="4">
        <v>0</v>
      </c>
      <c r="Z169" s="4">
        <v>28</v>
      </c>
      <c r="AA169" s="4">
        <v>3</v>
      </c>
      <c r="AB169" s="4">
        <v>3</v>
      </c>
      <c r="AD169" s="4">
        <f>VLOOKUP(Z169,Dados!$S$3:$W$55,4,FALSE)</f>
        <v>6280</v>
      </c>
      <c r="AE169" s="4">
        <f t="shared" si="144"/>
        <v>0</v>
      </c>
      <c r="AF169" s="4">
        <f t="shared" si="145"/>
        <v>345400</v>
      </c>
      <c r="AI169" s="13">
        <f>VLOOKUP(Z169,Dados!$S$3:$V$55,2,FALSE)*VLOOKUP(Z169,Dados!$S$3:$V$55,3,FALSE)*VLOOKUP(Z169,Dados!$S$3:$V$55,4,FALSE)*0.00000785</f>
        <v>93.86339199999999</v>
      </c>
      <c r="AJ169" s="13">
        <f t="shared" si="146"/>
        <v>5162.4865599999994</v>
      </c>
      <c r="AK169" s="13">
        <f t="shared" si="147"/>
        <v>0</v>
      </c>
      <c r="AL169" s="13">
        <f t="shared" si="148"/>
        <v>0</v>
      </c>
      <c r="AW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5"/>
      <c r="BQ169" s="15"/>
      <c r="BR169" s="15"/>
      <c r="BS169" s="15"/>
      <c r="BT169" s="15"/>
      <c r="BU169" s="15"/>
      <c r="BV169" s="15"/>
      <c r="BW169" s="15"/>
      <c r="BX169" s="15"/>
      <c r="BY169" s="15"/>
      <c r="BZ169" s="15"/>
      <c r="CA169" s="16"/>
      <c r="CD169" s="15"/>
      <c r="CE169" s="15"/>
      <c r="CF169" s="15"/>
      <c r="CG169" s="16"/>
    </row>
    <row r="170" spans="6:85">
      <c r="F170" s="4">
        <v>168</v>
      </c>
      <c r="G170" s="4">
        <v>67</v>
      </c>
      <c r="H170" s="4">
        <v>3</v>
      </c>
      <c r="I170" s="4">
        <v>21</v>
      </c>
      <c r="J170" s="4">
        <v>8</v>
      </c>
      <c r="K170" s="4">
        <f t="shared" si="139"/>
        <v>0</v>
      </c>
      <c r="L170" s="4">
        <f t="shared" si="139"/>
        <v>27</v>
      </c>
      <c r="M170" s="4">
        <f t="shared" si="139"/>
        <v>0</v>
      </c>
      <c r="N170" s="4">
        <f t="shared" si="139"/>
        <v>0</v>
      </c>
      <c r="O170" s="4">
        <f t="shared" si="140"/>
        <v>0</v>
      </c>
      <c r="P170" s="4">
        <f t="shared" si="141"/>
        <v>216</v>
      </c>
      <c r="Q170" s="4">
        <f t="shared" si="142"/>
        <v>0</v>
      </c>
      <c r="R170" s="4">
        <f t="shared" si="143"/>
        <v>0</v>
      </c>
      <c r="S170" s="4">
        <f>IF(AND(VLOOKUP(G170,Dados!$D:$L,2,0)=VLOOKUP(I170,Dados!$S:$V,2,0),VLOOKUP(G170,Dados!$D:$L,3,0)=VLOOKUP(I170,Dados!$S:$V,3,0)),0,1)</f>
        <v>0</v>
      </c>
      <c r="T170" s="4">
        <f>IF(AND(VLOOKUP(G170,Dados!$D:$L,3,0)&lt;=VLOOKUP(H170,Dados!$X:$AB,2,0),VLOOKUP(G170,Dados!$D:$L,4,0)&gt;=VLOOKUP(H170,Dados!$X:$AB,3,0),VLOOKUP(G170,Dados!$D:$L,4,0)&lt;=VLOOKUP(H170,Dados!$X:$AB,4,0)),0,1)</f>
        <v>0</v>
      </c>
      <c r="U170" s="4">
        <f>IF(COUNTIFS(F:F,F170,H:H,H170)&lt;=VLOOKUP(H170,Dados!$X:$AB,5,0),0,1)</f>
        <v>0</v>
      </c>
      <c r="W170" s="4">
        <v>371</v>
      </c>
      <c r="X170" s="4">
        <v>1</v>
      </c>
      <c r="Y170" s="4">
        <v>4</v>
      </c>
      <c r="Z170" s="4">
        <v>29</v>
      </c>
      <c r="AA170" s="4">
        <v>2</v>
      </c>
      <c r="AB170" s="4">
        <v>3</v>
      </c>
      <c r="AD170" s="4">
        <f>VLOOKUP(Z170,Dados!$S$3:$W$55,4,FALSE)</f>
        <v>6369</v>
      </c>
      <c r="AE170" s="4">
        <f t="shared" si="144"/>
        <v>4</v>
      </c>
      <c r="AF170" s="4">
        <f t="shared" si="145"/>
        <v>6369</v>
      </c>
      <c r="AI170" s="13">
        <f>VLOOKUP(Z170,Dados!$S$3:$V$55,2,FALSE)*VLOOKUP(Z170,Dados!$S$3:$V$55,3,FALSE)*VLOOKUP(Z170,Dados!$S$3:$V$55,4,FALSE)*0.00000785</f>
        <v>95.193621599999986</v>
      </c>
      <c r="AJ170" s="13">
        <f t="shared" si="146"/>
        <v>95.193621599999986</v>
      </c>
      <c r="AK170" s="13">
        <f t="shared" si="147"/>
        <v>5.9785599999999994E-2</v>
      </c>
      <c r="AL170" s="13">
        <f t="shared" si="148"/>
        <v>5.9785599999999994E-2</v>
      </c>
      <c r="AW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5"/>
      <c r="BQ170" s="15"/>
      <c r="BR170" s="15"/>
      <c r="BS170" s="15"/>
      <c r="BT170" s="15"/>
      <c r="BU170" s="15"/>
      <c r="BV170" s="15"/>
      <c r="BW170" s="15"/>
      <c r="BX170" s="15"/>
      <c r="BY170" s="15"/>
      <c r="BZ170" s="15"/>
      <c r="CA170" s="16"/>
      <c r="CD170" s="15"/>
      <c r="CE170" s="15"/>
      <c r="CF170" s="15"/>
      <c r="CG170" s="16"/>
    </row>
    <row r="171" spans="6:85">
      <c r="F171" s="4">
        <v>169</v>
      </c>
      <c r="G171" s="4">
        <v>68</v>
      </c>
      <c r="H171" s="4">
        <v>1</v>
      </c>
      <c r="I171" s="4">
        <v>30</v>
      </c>
      <c r="J171" s="4">
        <v>6</v>
      </c>
      <c r="K171" s="4">
        <f t="shared" si="139"/>
        <v>0</v>
      </c>
      <c r="L171" s="4">
        <f t="shared" si="139"/>
        <v>0</v>
      </c>
      <c r="M171" s="4">
        <f t="shared" si="139"/>
        <v>0</v>
      </c>
      <c r="N171" s="4">
        <f t="shared" si="139"/>
        <v>0</v>
      </c>
      <c r="O171" s="4">
        <f t="shared" si="140"/>
        <v>0</v>
      </c>
      <c r="P171" s="4">
        <f t="shared" si="141"/>
        <v>0</v>
      </c>
      <c r="Q171" s="4">
        <f t="shared" si="142"/>
        <v>0</v>
      </c>
      <c r="R171" s="4">
        <f t="shared" si="143"/>
        <v>0</v>
      </c>
      <c r="S171" s="4">
        <f>IF(AND(VLOOKUP(G171,Dados!$D:$L,2,0)=VLOOKUP(I171,Dados!$S:$V,2,0),VLOOKUP(G171,Dados!$D:$L,3,0)=VLOOKUP(I171,Dados!$S:$V,3,0)),0,1)</f>
        <v>0</v>
      </c>
      <c r="T171" s="4">
        <f>IF(AND(VLOOKUP(G171,Dados!$D:$L,3,0)&lt;=VLOOKUP(H171,Dados!$X:$AB,2,0),VLOOKUP(G171,Dados!$D:$L,4,0)&gt;=VLOOKUP(H171,Dados!$X:$AB,3,0),VLOOKUP(G171,Dados!$D:$L,4,0)&lt;=VLOOKUP(H171,Dados!$X:$AB,4,0)),0,1)</f>
        <v>0</v>
      </c>
      <c r="U171" s="4">
        <f>IF(COUNTIFS(F:F,F171,H:H,H171)&lt;=VLOOKUP(H171,Dados!$X:$AB,5,0),0,1)</f>
        <v>0</v>
      </c>
      <c r="W171" s="4">
        <v>1010</v>
      </c>
      <c r="X171" s="4">
        <v>1</v>
      </c>
      <c r="Y171" s="4">
        <v>6</v>
      </c>
      <c r="Z171" s="4">
        <v>29</v>
      </c>
      <c r="AA171" s="4">
        <v>2</v>
      </c>
      <c r="AB171" s="4">
        <v>3</v>
      </c>
      <c r="AD171" s="4">
        <f>VLOOKUP(Z171,Dados!$S$3:$W$55,4,FALSE)</f>
        <v>6369</v>
      </c>
      <c r="AE171" s="4">
        <f t="shared" si="144"/>
        <v>6</v>
      </c>
      <c r="AF171" s="4">
        <f t="shared" si="145"/>
        <v>6369</v>
      </c>
      <c r="AI171" s="13">
        <f>VLOOKUP(Z171,Dados!$S$3:$V$55,2,FALSE)*VLOOKUP(Z171,Dados!$S$3:$V$55,3,FALSE)*VLOOKUP(Z171,Dados!$S$3:$V$55,4,FALSE)*0.00000785</f>
        <v>95.193621599999986</v>
      </c>
      <c r="AJ171" s="13">
        <f t="shared" si="146"/>
        <v>95.193621599999986</v>
      </c>
      <c r="AK171" s="13">
        <f t="shared" si="147"/>
        <v>8.9678399999999991E-2</v>
      </c>
      <c r="AL171" s="13">
        <f t="shared" si="148"/>
        <v>8.9678399999999991E-2</v>
      </c>
      <c r="AW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5"/>
      <c r="BQ171" s="15"/>
      <c r="BR171" s="15"/>
      <c r="BS171" s="15"/>
      <c r="BT171" s="15"/>
      <c r="BU171" s="15"/>
      <c r="BV171" s="15"/>
      <c r="BW171" s="15"/>
      <c r="BX171" s="15"/>
      <c r="BY171" s="15"/>
      <c r="BZ171" s="15"/>
      <c r="CA171" s="16"/>
      <c r="CD171" s="15"/>
      <c r="CE171" s="15"/>
      <c r="CF171" s="15"/>
      <c r="CG171" s="16"/>
    </row>
    <row r="172" spans="6:85">
      <c r="F172" s="4">
        <v>170</v>
      </c>
      <c r="G172" s="4">
        <v>68</v>
      </c>
      <c r="H172" s="4">
        <v>3</v>
      </c>
      <c r="I172" s="4">
        <v>30</v>
      </c>
      <c r="J172" s="4">
        <v>6</v>
      </c>
      <c r="K172" s="4">
        <f t="shared" si="139"/>
        <v>0</v>
      </c>
      <c r="L172" s="4">
        <f t="shared" si="139"/>
        <v>0</v>
      </c>
      <c r="M172" s="4">
        <f t="shared" si="139"/>
        <v>0</v>
      </c>
      <c r="N172" s="4">
        <f t="shared" si="139"/>
        <v>0</v>
      </c>
      <c r="O172" s="4">
        <f t="shared" si="140"/>
        <v>0</v>
      </c>
      <c r="P172" s="4">
        <f t="shared" si="141"/>
        <v>0</v>
      </c>
      <c r="Q172" s="4">
        <f t="shared" si="142"/>
        <v>0</v>
      </c>
      <c r="R172" s="4">
        <f t="shared" si="143"/>
        <v>0</v>
      </c>
      <c r="S172" s="4">
        <f>IF(AND(VLOOKUP(G172,Dados!$D:$L,2,0)=VLOOKUP(I172,Dados!$S:$V,2,0),VLOOKUP(G172,Dados!$D:$L,3,0)=VLOOKUP(I172,Dados!$S:$V,3,0)),0,1)</f>
        <v>0</v>
      </c>
      <c r="T172" s="4">
        <f>IF(AND(VLOOKUP(G172,Dados!$D:$L,3,0)&lt;=VLOOKUP(H172,Dados!$X:$AB,2,0),VLOOKUP(G172,Dados!$D:$L,4,0)&gt;=VLOOKUP(H172,Dados!$X:$AB,3,0),VLOOKUP(G172,Dados!$D:$L,4,0)&lt;=VLOOKUP(H172,Dados!$X:$AB,4,0)),0,1)</f>
        <v>0</v>
      </c>
      <c r="U172" s="4">
        <f>IF(COUNTIFS(F:F,F172,H:H,H172)&lt;=VLOOKUP(H172,Dados!$X:$AB,5,0),0,1)</f>
        <v>0</v>
      </c>
      <c r="W172" s="4">
        <v>506</v>
      </c>
      <c r="X172" s="4">
        <v>7</v>
      </c>
      <c r="Y172" s="4">
        <v>15</v>
      </c>
      <c r="Z172" s="4">
        <v>1</v>
      </c>
      <c r="AA172" s="4">
        <v>1</v>
      </c>
      <c r="AB172" s="4">
        <v>4</v>
      </c>
      <c r="AD172" s="4">
        <f>VLOOKUP(Z172,Dados!$S$3:$W$55,4,FALSE)</f>
        <v>5349</v>
      </c>
      <c r="AE172" s="4">
        <f t="shared" si="144"/>
        <v>105</v>
      </c>
      <c r="AF172" s="4">
        <f t="shared" si="145"/>
        <v>37443</v>
      </c>
      <c r="AI172" s="13">
        <f>VLOOKUP(Z172,Dados!$S$3:$V$55,2,FALSE)*VLOOKUP(Z172,Dados!$S$3:$V$55,3,FALSE)*VLOOKUP(Z172,Dados!$S$3:$V$55,4,FALSE)*0.00000785</f>
        <v>30.484485899999999</v>
      </c>
      <c r="AJ172" s="13">
        <f t="shared" si="146"/>
        <v>213.39140129999998</v>
      </c>
      <c r="AK172" s="13">
        <f t="shared" si="147"/>
        <v>8.5486499999999993E-2</v>
      </c>
      <c r="AL172" s="13">
        <f t="shared" si="148"/>
        <v>0.59840549999999992</v>
      </c>
      <c r="AW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5"/>
      <c r="BQ172" s="15"/>
      <c r="BR172" s="15"/>
      <c r="BS172" s="15"/>
      <c r="BT172" s="15"/>
      <c r="BU172" s="15"/>
      <c r="BV172" s="15"/>
      <c r="BW172" s="15"/>
      <c r="BX172" s="15"/>
      <c r="BY172" s="15"/>
      <c r="BZ172" s="15"/>
      <c r="CA172" s="16"/>
      <c r="CD172" s="15"/>
      <c r="CE172" s="15"/>
      <c r="CF172" s="15"/>
      <c r="CG172" s="16"/>
    </row>
    <row r="173" spans="6:85">
      <c r="F173" s="4">
        <v>171</v>
      </c>
      <c r="G173" s="4">
        <v>69</v>
      </c>
      <c r="H173" s="4">
        <v>1</v>
      </c>
      <c r="I173" s="4">
        <v>30</v>
      </c>
      <c r="J173" s="4">
        <v>7</v>
      </c>
      <c r="K173" s="4">
        <f t="shared" si="139"/>
        <v>0</v>
      </c>
      <c r="L173" s="4">
        <f t="shared" si="139"/>
        <v>10</v>
      </c>
      <c r="M173" s="4">
        <f t="shared" si="139"/>
        <v>0</v>
      </c>
      <c r="N173" s="4">
        <f t="shared" si="139"/>
        <v>0</v>
      </c>
      <c r="O173" s="4">
        <f t="shared" si="140"/>
        <v>0</v>
      </c>
      <c r="P173" s="4">
        <f t="shared" si="141"/>
        <v>70</v>
      </c>
      <c r="Q173" s="4">
        <f t="shared" si="142"/>
        <v>0</v>
      </c>
      <c r="R173" s="4">
        <f t="shared" si="143"/>
        <v>0</v>
      </c>
      <c r="S173" s="4">
        <f>IF(AND(VLOOKUP(G173,Dados!$D:$L,2,0)=VLOOKUP(I173,Dados!$S:$V,2,0),VLOOKUP(G173,Dados!$D:$L,3,0)=VLOOKUP(I173,Dados!$S:$V,3,0)),0,1)</f>
        <v>0</v>
      </c>
      <c r="T173" s="4">
        <f>IF(AND(VLOOKUP(G173,Dados!$D:$L,3,0)&lt;=VLOOKUP(H173,Dados!$X:$AB,2,0),VLOOKUP(G173,Dados!$D:$L,4,0)&gt;=VLOOKUP(H173,Dados!$X:$AB,3,0),VLOOKUP(G173,Dados!$D:$L,4,0)&lt;=VLOOKUP(H173,Dados!$X:$AB,4,0)),0,1)</f>
        <v>0</v>
      </c>
      <c r="U173" s="4">
        <f>IF(COUNTIFS(F:F,F173,H:H,H173)&lt;=VLOOKUP(H173,Dados!$X:$AB,5,0),0,1)</f>
        <v>0</v>
      </c>
      <c r="W173" s="4">
        <v>707</v>
      </c>
      <c r="X173" s="4">
        <v>1</v>
      </c>
      <c r="Y173" s="4">
        <v>15</v>
      </c>
      <c r="Z173" s="4">
        <v>1</v>
      </c>
      <c r="AA173" s="4">
        <v>2</v>
      </c>
      <c r="AB173" s="4">
        <v>4</v>
      </c>
      <c r="AD173" s="4">
        <f>VLOOKUP(Z173,Dados!$S$3:$W$55,4,FALSE)</f>
        <v>5349</v>
      </c>
      <c r="AE173" s="4">
        <f t="shared" si="144"/>
        <v>15</v>
      </c>
      <c r="AF173" s="4">
        <f t="shared" si="145"/>
        <v>5349</v>
      </c>
      <c r="AI173" s="13">
        <f>VLOOKUP(Z173,Dados!$S$3:$V$55,2,FALSE)*VLOOKUP(Z173,Dados!$S$3:$V$55,3,FALSE)*VLOOKUP(Z173,Dados!$S$3:$V$55,4,FALSE)*0.00000785</f>
        <v>30.484485899999999</v>
      </c>
      <c r="AJ173" s="13">
        <f t="shared" si="146"/>
        <v>30.484485899999999</v>
      </c>
      <c r="AK173" s="13">
        <f t="shared" si="147"/>
        <v>8.5486499999999993E-2</v>
      </c>
      <c r="AL173" s="13">
        <f t="shared" si="148"/>
        <v>8.5486499999999993E-2</v>
      </c>
      <c r="AW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/>
      <c r="BZ173" s="15"/>
      <c r="CA173" s="16"/>
      <c r="CD173" s="15"/>
      <c r="CE173" s="15"/>
      <c r="CF173" s="15"/>
      <c r="CG173" s="16"/>
    </row>
    <row r="174" spans="6:85">
      <c r="F174" s="4">
        <v>172</v>
      </c>
      <c r="G174" s="4">
        <v>69</v>
      </c>
      <c r="H174" s="4">
        <v>3</v>
      </c>
      <c r="I174" s="4">
        <v>30</v>
      </c>
      <c r="J174" s="4">
        <v>7</v>
      </c>
      <c r="K174" s="4">
        <f t="shared" si="139"/>
        <v>0</v>
      </c>
      <c r="L174" s="4">
        <f t="shared" si="139"/>
        <v>0</v>
      </c>
      <c r="M174" s="4">
        <f t="shared" si="139"/>
        <v>0</v>
      </c>
      <c r="N174" s="4">
        <f t="shared" si="139"/>
        <v>26</v>
      </c>
      <c r="O174" s="4">
        <f t="shared" si="140"/>
        <v>0</v>
      </c>
      <c r="P174" s="4">
        <f t="shared" si="141"/>
        <v>0</v>
      </c>
      <c r="Q174" s="4">
        <f t="shared" si="142"/>
        <v>0</v>
      </c>
      <c r="R174" s="4">
        <f t="shared" si="143"/>
        <v>182</v>
      </c>
      <c r="S174" s="4">
        <f>IF(AND(VLOOKUP(G174,Dados!$D:$L,2,0)=VLOOKUP(I174,Dados!$S:$V,2,0),VLOOKUP(G174,Dados!$D:$L,3,0)=VLOOKUP(I174,Dados!$S:$V,3,0)),0,1)</f>
        <v>0</v>
      </c>
      <c r="T174" s="4">
        <f>IF(AND(VLOOKUP(G174,Dados!$D:$L,3,0)&lt;=VLOOKUP(H174,Dados!$X:$AB,2,0),VLOOKUP(G174,Dados!$D:$L,4,0)&gt;=VLOOKUP(H174,Dados!$X:$AB,3,0),VLOOKUP(G174,Dados!$D:$L,4,0)&lt;=VLOOKUP(H174,Dados!$X:$AB,4,0)),0,1)</f>
        <v>0</v>
      </c>
      <c r="U174" s="4">
        <f>IF(COUNTIFS(F:F,F174,H:H,H174)&lt;=VLOOKUP(H174,Dados!$X:$AB,5,0),0,1)</f>
        <v>0</v>
      </c>
      <c r="W174" s="4">
        <v>1067</v>
      </c>
      <c r="X174" s="4">
        <v>4</v>
      </c>
      <c r="Y174" s="4">
        <v>144</v>
      </c>
      <c r="Z174" s="4">
        <v>1</v>
      </c>
      <c r="AA174" s="4">
        <v>2</v>
      </c>
      <c r="AB174" s="4">
        <v>4</v>
      </c>
      <c r="AD174" s="4">
        <f>VLOOKUP(Z174,Dados!$S$3:$W$55,4,FALSE)</f>
        <v>5349</v>
      </c>
      <c r="AE174" s="4">
        <f t="shared" si="144"/>
        <v>576</v>
      </c>
      <c r="AF174" s="4">
        <f t="shared" si="145"/>
        <v>21396</v>
      </c>
      <c r="AI174" s="13">
        <f>VLOOKUP(Z174,Dados!$S$3:$V$55,2,FALSE)*VLOOKUP(Z174,Dados!$S$3:$V$55,3,FALSE)*VLOOKUP(Z174,Dados!$S$3:$V$55,4,FALSE)*0.00000785</f>
        <v>30.484485899999999</v>
      </c>
      <c r="AJ174" s="13">
        <f t="shared" si="146"/>
        <v>121.9379436</v>
      </c>
      <c r="AK174" s="13">
        <f t="shared" si="147"/>
        <v>0.82067039999999991</v>
      </c>
      <c r="AL174" s="13">
        <f t="shared" si="148"/>
        <v>3.2826815999999996</v>
      </c>
      <c r="AW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  <c r="BZ174" s="15"/>
      <c r="CA174" s="16"/>
      <c r="CD174" s="15"/>
      <c r="CE174" s="15"/>
      <c r="CF174" s="15"/>
      <c r="CG174" s="16"/>
    </row>
    <row r="175" spans="6:85">
      <c r="F175" s="4">
        <v>173</v>
      </c>
      <c r="G175" s="4">
        <v>70</v>
      </c>
      <c r="H175" s="4">
        <v>1</v>
      </c>
      <c r="I175" s="4">
        <v>30</v>
      </c>
      <c r="J175" s="4">
        <v>7</v>
      </c>
      <c r="K175" s="4">
        <f t="shared" si="139"/>
        <v>0</v>
      </c>
      <c r="L175" s="4">
        <f t="shared" si="139"/>
        <v>0</v>
      </c>
      <c r="M175" s="4">
        <f t="shared" si="139"/>
        <v>0</v>
      </c>
      <c r="N175" s="4">
        <f t="shared" si="139"/>
        <v>0</v>
      </c>
      <c r="O175" s="4">
        <f t="shared" si="140"/>
        <v>0</v>
      </c>
      <c r="P175" s="4">
        <f t="shared" si="141"/>
        <v>0</v>
      </c>
      <c r="Q175" s="4">
        <f t="shared" si="142"/>
        <v>0</v>
      </c>
      <c r="R175" s="4">
        <f t="shared" si="143"/>
        <v>0</v>
      </c>
      <c r="S175" s="4">
        <f>IF(AND(VLOOKUP(G175,Dados!$D:$L,2,0)=VLOOKUP(I175,Dados!$S:$V,2,0),VLOOKUP(G175,Dados!$D:$L,3,0)=VLOOKUP(I175,Dados!$S:$V,3,0)),0,1)</f>
        <v>0</v>
      </c>
      <c r="T175" s="4">
        <f>IF(AND(VLOOKUP(G175,Dados!$D:$L,3,0)&lt;=VLOOKUP(H175,Dados!$X:$AB,2,0),VLOOKUP(G175,Dados!$D:$L,4,0)&gt;=VLOOKUP(H175,Dados!$X:$AB,3,0),VLOOKUP(G175,Dados!$D:$L,4,0)&lt;=VLOOKUP(H175,Dados!$X:$AB,4,0)),0,1)</f>
        <v>0</v>
      </c>
      <c r="U175" s="4">
        <f>IF(COUNTIFS(F:F,F175,H:H,H175)&lt;=VLOOKUP(H175,Dados!$X:$AB,5,0),0,1)</f>
        <v>0</v>
      </c>
      <c r="W175" s="4">
        <v>178</v>
      </c>
      <c r="X175" s="4">
        <v>3</v>
      </c>
      <c r="Y175" s="4">
        <v>40</v>
      </c>
      <c r="Z175" s="4">
        <v>2</v>
      </c>
      <c r="AA175" s="4">
        <v>1</v>
      </c>
      <c r="AB175" s="4">
        <v>4</v>
      </c>
      <c r="AD175" s="4">
        <f>VLOOKUP(Z175,Dados!$S$3:$W$55,4,FALSE)</f>
        <v>5211</v>
      </c>
      <c r="AE175" s="4">
        <f t="shared" si="144"/>
        <v>120</v>
      </c>
      <c r="AF175" s="4">
        <f t="shared" si="145"/>
        <v>15633</v>
      </c>
      <c r="AI175" s="13">
        <f>VLOOKUP(Z175,Dados!$S$3:$V$55,2,FALSE)*VLOOKUP(Z175,Dados!$S$3:$V$55,3,FALSE)*VLOOKUP(Z175,Dados!$S$3:$V$55,4,FALSE)*0.00000785</f>
        <v>83.694392099999988</v>
      </c>
      <c r="AJ175" s="13">
        <f t="shared" si="146"/>
        <v>251.08317629999996</v>
      </c>
      <c r="AK175" s="13">
        <f t="shared" si="147"/>
        <v>0.6424439999999999</v>
      </c>
      <c r="AL175" s="13">
        <f t="shared" si="148"/>
        <v>1.9273319999999998</v>
      </c>
      <c r="AW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  <c r="BZ175" s="15"/>
      <c r="CA175" s="16"/>
      <c r="CD175" s="15"/>
      <c r="CE175" s="15"/>
      <c r="CF175" s="15"/>
      <c r="CG175" s="16"/>
    </row>
    <row r="176" spans="6:85">
      <c r="F176" s="4">
        <v>174</v>
      </c>
      <c r="G176" s="4">
        <v>70</v>
      </c>
      <c r="H176" s="4">
        <v>3</v>
      </c>
      <c r="I176" s="4">
        <v>30</v>
      </c>
      <c r="J176" s="4">
        <v>7</v>
      </c>
      <c r="K176" s="4">
        <f t="shared" si="139"/>
        <v>7</v>
      </c>
      <c r="L176" s="4">
        <f t="shared" si="139"/>
        <v>8</v>
      </c>
      <c r="M176" s="4">
        <f t="shared" si="139"/>
        <v>0</v>
      </c>
      <c r="N176" s="4">
        <f t="shared" si="139"/>
        <v>0</v>
      </c>
      <c r="O176" s="4">
        <f t="shared" si="140"/>
        <v>49</v>
      </c>
      <c r="P176" s="4">
        <f t="shared" si="141"/>
        <v>56</v>
      </c>
      <c r="Q176" s="4">
        <f t="shared" si="142"/>
        <v>0</v>
      </c>
      <c r="R176" s="4">
        <f t="shared" si="143"/>
        <v>0</v>
      </c>
      <c r="S176" s="4">
        <f>IF(AND(VLOOKUP(G176,Dados!$D:$L,2,0)=VLOOKUP(I176,Dados!$S:$V,2,0),VLOOKUP(G176,Dados!$D:$L,3,0)=VLOOKUP(I176,Dados!$S:$V,3,0)),0,1)</f>
        <v>0</v>
      </c>
      <c r="T176" s="4">
        <f>IF(AND(VLOOKUP(G176,Dados!$D:$L,3,0)&lt;=VLOOKUP(H176,Dados!$X:$AB,2,0),VLOOKUP(G176,Dados!$D:$L,4,0)&gt;=VLOOKUP(H176,Dados!$X:$AB,3,0),VLOOKUP(G176,Dados!$D:$L,4,0)&lt;=VLOOKUP(H176,Dados!$X:$AB,4,0)),0,1)</f>
        <v>0</v>
      </c>
      <c r="U176" s="4">
        <f>IF(COUNTIFS(F:F,F176,H:H,H176)&lt;=VLOOKUP(H176,Dados!$X:$AB,5,0),0,1)</f>
        <v>0</v>
      </c>
      <c r="W176" s="4">
        <v>424</v>
      </c>
      <c r="X176" s="4">
        <v>37</v>
      </c>
      <c r="Y176" s="4">
        <v>54</v>
      </c>
      <c r="Z176" s="4">
        <v>2</v>
      </c>
      <c r="AA176" s="4">
        <v>1</v>
      </c>
      <c r="AB176" s="4">
        <v>4</v>
      </c>
      <c r="AD176" s="4">
        <f>VLOOKUP(Z176,Dados!$S$3:$W$55,4,FALSE)</f>
        <v>5211</v>
      </c>
      <c r="AE176" s="4">
        <f t="shared" si="144"/>
        <v>1998</v>
      </c>
      <c r="AF176" s="4">
        <f t="shared" si="145"/>
        <v>192807</v>
      </c>
      <c r="AI176" s="13">
        <f>VLOOKUP(Z176,Dados!$S$3:$V$55,2,FALSE)*VLOOKUP(Z176,Dados!$S$3:$V$55,3,FALSE)*VLOOKUP(Z176,Dados!$S$3:$V$55,4,FALSE)*0.00000785</f>
        <v>83.694392099999988</v>
      </c>
      <c r="AJ176" s="13">
        <f t="shared" si="146"/>
        <v>3096.6925076999996</v>
      </c>
      <c r="AK176" s="13">
        <f t="shared" si="147"/>
        <v>0.86729939999999994</v>
      </c>
      <c r="AL176" s="13">
        <f t="shared" si="148"/>
        <v>32.090077799999996</v>
      </c>
      <c r="AW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  <c r="BZ176" s="15"/>
      <c r="CA176" s="16"/>
      <c r="CD176" s="15"/>
      <c r="CE176" s="15"/>
      <c r="CF176" s="15"/>
      <c r="CG176" s="16"/>
    </row>
    <row r="177" spans="6:85">
      <c r="F177" s="4">
        <v>175</v>
      </c>
      <c r="G177" s="4">
        <v>3</v>
      </c>
      <c r="H177" s="4">
        <v>1</v>
      </c>
      <c r="I177" s="4">
        <v>1</v>
      </c>
      <c r="J177" s="4">
        <v>5</v>
      </c>
      <c r="K177" s="4">
        <f t="shared" si="139"/>
        <v>0</v>
      </c>
      <c r="L177" s="4">
        <f t="shared" si="139"/>
        <v>0</v>
      </c>
      <c r="M177" s="4">
        <f t="shared" si="139"/>
        <v>0</v>
      </c>
      <c r="N177" s="4">
        <f t="shared" si="139"/>
        <v>0</v>
      </c>
      <c r="O177" s="4">
        <f t="shared" si="140"/>
        <v>0</v>
      </c>
      <c r="P177" s="4">
        <f t="shared" si="141"/>
        <v>0</v>
      </c>
      <c r="Q177" s="4">
        <f t="shared" si="142"/>
        <v>0</v>
      </c>
      <c r="R177" s="4">
        <f t="shared" si="143"/>
        <v>0</v>
      </c>
      <c r="S177" s="4">
        <f>IF(AND(VLOOKUP(G177,Dados!$D:$L,2,0)=VLOOKUP(I177,Dados!$S:$V,2,0),VLOOKUP(G177,Dados!$D:$L,3,0)=VLOOKUP(I177,Dados!$S:$V,3,0)),0,1)</f>
        <v>0</v>
      </c>
      <c r="T177" s="4">
        <f>IF(AND(VLOOKUP(G177,Dados!$D:$L,3,0)&lt;=VLOOKUP(H177,Dados!$X:$AB,2,0),VLOOKUP(G177,Dados!$D:$L,4,0)&gt;=VLOOKUP(H177,Dados!$X:$AB,3,0),VLOOKUP(G177,Dados!$D:$L,4,0)&lt;=VLOOKUP(H177,Dados!$X:$AB,4,0)),0,1)</f>
        <v>0</v>
      </c>
      <c r="U177" s="4">
        <f>IF(COUNTIFS(F:F,F177,H:H,H177)&lt;=VLOOKUP(H177,Dados!$X:$AB,5,0),0,1)</f>
        <v>0</v>
      </c>
      <c r="W177" s="4">
        <v>611</v>
      </c>
      <c r="X177" s="4">
        <v>6</v>
      </c>
      <c r="Y177" s="4">
        <v>4</v>
      </c>
      <c r="Z177" s="4">
        <v>2</v>
      </c>
      <c r="AA177" s="4">
        <v>1</v>
      </c>
      <c r="AB177" s="4">
        <v>4</v>
      </c>
      <c r="AD177" s="4">
        <f>VLOOKUP(Z177,Dados!$S$3:$W$55,4,FALSE)</f>
        <v>5211</v>
      </c>
      <c r="AE177" s="4">
        <f t="shared" si="144"/>
        <v>24</v>
      </c>
      <c r="AF177" s="4">
        <f t="shared" si="145"/>
        <v>31266</v>
      </c>
      <c r="AI177" s="13">
        <f>VLOOKUP(Z177,Dados!$S$3:$V$55,2,FALSE)*VLOOKUP(Z177,Dados!$S$3:$V$55,3,FALSE)*VLOOKUP(Z177,Dados!$S$3:$V$55,4,FALSE)*0.00000785</f>
        <v>83.694392099999988</v>
      </c>
      <c r="AJ177" s="13">
        <f t="shared" si="146"/>
        <v>502.16635259999993</v>
      </c>
      <c r="AK177" s="13">
        <f t="shared" si="147"/>
        <v>6.4244399999999993E-2</v>
      </c>
      <c r="AL177" s="13">
        <f t="shared" si="148"/>
        <v>0.38546639999999999</v>
      </c>
      <c r="AW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/>
      <c r="CA177" s="16"/>
      <c r="CD177" s="15"/>
      <c r="CE177" s="15"/>
      <c r="CF177" s="15"/>
      <c r="CG177" s="16"/>
    </row>
    <row r="178" spans="6:85">
      <c r="F178" s="4">
        <v>175</v>
      </c>
      <c r="G178" s="4">
        <v>4</v>
      </c>
      <c r="H178" s="4">
        <v>1</v>
      </c>
      <c r="I178" s="4">
        <v>1</v>
      </c>
      <c r="J178" s="4">
        <v>1</v>
      </c>
      <c r="K178" s="4">
        <f t="shared" si="139"/>
        <v>0</v>
      </c>
      <c r="L178" s="4">
        <f t="shared" si="139"/>
        <v>0</v>
      </c>
      <c r="M178" s="4">
        <f t="shared" si="139"/>
        <v>0</v>
      </c>
      <c r="N178" s="4">
        <f t="shared" si="139"/>
        <v>0</v>
      </c>
      <c r="O178" s="4">
        <f t="shared" si="140"/>
        <v>0</v>
      </c>
      <c r="P178" s="4">
        <f t="shared" si="141"/>
        <v>0</v>
      </c>
      <c r="Q178" s="4">
        <f t="shared" si="142"/>
        <v>0</v>
      </c>
      <c r="R178" s="4">
        <f t="shared" si="143"/>
        <v>0</v>
      </c>
      <c r="S178" s="4">
        <f>IF(AND(VLOOKUP(G178,Dados!$D:$L,2,0)=VLOOKUP(I178,Dados!$S:$V,2,0),VLOOKUP(G178,Dados!$D:$L,3,0)=VLOOKUP(I178,Dados!$S:$V,3,0)),0,1)</f>
        <v>0</v>
      </c>
      <c r="T178" s="4">
        <f>IF(AND(VLOOKUP(G178,Dados!$D:$L,3,0)&lt;=VLOOKUP(H178,Dados!$X:$AB,2,0),VLOOKUP(G178,Dados!$D:$L,4,0)&gt;=VLOOKUP(H178,Dados!$X:$AB,3,0),VLOOKUP(G178,Dados!$D:$L,4,0)&lt;=VLOOKUP(H178,Dados!$X:$AB,4,0)),0,1)</f>
        <v>0</v>
      </c>
      <c r="U178" s="4">
        <f>IF(COUNTIFS(F:F,F178,H:H,H178)&lt;=VLOOKUP(H178,Dados!$X:$AB,5,0),0,1)</f>
        <v>0</v>
      </c>
      <c r="W178" s="4">
        <v>739</v>
      </c>
      <c r="X178" s="4">
        <v>5</v>
      </c>
      <c r="Y178" s="4">
        <v>44</v>
      </c>
      <c r="Z178" s="4">
        <v>2</v>
      </c>
      <c r="AA178" s="4">
        <v>1</v>
      </c>
      <c r="AB178" s="4">
        <v>4</v>
      </c>
      <c r="AD178" s="4">
        <f>VLOOKUP(Z178,Dados!$S$3:$W$55,4,FALSE)</f>
        <v>5211</v>
      </c>
      <c r="AE178" s="4">
        <f t="shared" ref="AE178:AE181" si="149">Y178*X178</f>
        <v>220</v>
      </c>
      <c r="AF178" s="4">
        <f t="shared" ref="AF178:AF181" si="150">AD178*X178</f>
        <v>26055</v>
      </c>
      <c r="AI178" s="13">
        <f>VLOOKUP(Z178,Dados!$S$3:$V$55,2,FALSE)*VLOOKUP(Z178,Dados!$S$3:$V$55,3,FALSE)*VLOOKUP(Z178,Dados!$S$3:$V$55,4,FALSE)*0.00000785</f>
        <v>83.694392099999988</v>
      </c>
      <c r="AJ178" s="13">
        <f t="shared" ref="AJ178:AJ181" si="151">AI178*X178</f>
        <v>418.47196049999991</v>
      </c>
      <c r="AK178" s="13">
        <f t="shared" ref="AK178:AK181" si="152">(AI178/AD178)*Y178</f>
        <v>0.70668839999999988</v>
      </c>
      <c r="AL178" s="13">
        <f t="shared" ref="AL178:AL181" si="153">AK178*X178</f>
        <v>3.5334419999999995</v>
      </c>
      <c r="AW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  <c r="BZ178" s="15"/>
      <c r="CA178" s="16"/>
      <c r="CD178" s="15"/>
      <c r="CE178" s="15"/>
      <c r="CF178" s="15"/>
      <c r="CG178" s="16"/>
    </row>
    <row r="179" spans="6:85">
      <c r="F179" s="4">
        <v>176</v>
      </c>
      <c r="G179" s="4">
        <v>3</v>
      </c>
      <c r="H179" s="4">
        <v>2</v>
      </c>
      <c r="I179" s="4">
        <v>1</v>
      </c>
      <c r="J179" s="4">
        <v>5</v>
      </c>
      <c r="K179" s="4">
        <f t="shared" si="139"/>
        <v>60</v>
      </c>
      <c r="L179" s="4">
        <f t="shared" si="139"/>
        <v>0</v>
      </c>
      <c r="M179" s="4">
        <f t="shared" si="139"/>
        <v>0</v>
      </c>
      <c r="N179" s="4">
        <f t="shared" si="139"/>
        <v>0</v>
      </c>
      <c r="O179" s="4">
        <f t="shared" si="140"/>
        <v>300</v>
      </c>
      <c r="P179" s="4">
        <f t="shared" si="141"/>
        <v>0</v>
      </c>
      <c r="Q179" s="4">
        <f t="shared" si="142"/>
        <v>0</v>
      </c>
      <c r="R179" s="4">
        <f t="shared" si="143"/>
        <v>0</v>
      </c>
      <c r="S179" s="4">
        <f>IF(AND(VLOOKUP(G179,Dados!$D:$L,2,0)=VLOOKUP(I179,Dados!$S:$V,2,0),VLOOKUP(G179,Dados!$D:$L,3,0)=VLOOKUP(I179,Dados!$S:$V,3,0)),0,1)</f>
        <v>0</v>
      </c>
      <c r="T179" s="4">
        <f>IF(AND(VLOOKUP(G179,Dados!$D:$L,3,0)&lt;=VLOOKUP(H179,Dados!$X:$AB,2,0),VLOOKUP(G179,Dados!$D:$L,4,0)&gt;=VLOOKUP(H179,Dados!$X:$AB,3,0),VLOOKUP(G179,Dados!$D:$L,4,0)&lt;=VLOOKUP(H179,Dados!$X:$AB,4,0)),0,1)</f>
        <v>0</v>
      </c>
      <c r="U179" s="4">
        <f>IF(COUNTIFS(F:F,F179,H:H,H179)&lt;=VLOOKUP(H179,Dados!$X:$AB,5,0),0,1)</f>
        <v>0</v>
      </c>
      <c r="W179" s="4">
        <v>267</v>
      </c>
      <c r="X179" s="4">
        <v>1</v>
      </c>
      <c r="Y179" s="4">
        <v>31</v>
      </c>
      <c r="Z179" s="4">
        <v>8</v>
      </c>
      <c r="AA179" s="4">
        <v>1</v>
      </c>
      <c r="AB179" s="4">
        <v>4</v>
      </c>
      <c r="AD179" s="4">
        <f>VLOOKUP(Z179,Dados!$S$3:$W$55,4,FALSE)</f>
        <v>6548</v>
      </c>
      <c r="AE179" s="4">
        <f t="shared" si="149"/>
        <v>31</v>
      </c>
      <c r="AF179" s="4">
        <f t="shared" si="150"/>
        <v>6548</v>
      </c>
      <c r="AI179" s="13">
        <f>VLOOKUP(Z179,Dados!$S$3:$V$55,2,FALSE)*VLOOKUP(Z179,Dados!$S$3:$V$55,3,FALSE)*VLOOKUP(Z179,Dados!$S$3:$V$55,4,FALSE)*0.00000785</f>
        <v>78.644753999999992</v>
      </c>
      <c r="AJ179" s="13">
        <f t="shared" si="151"/>
        <v>78.644753999999992</v>
      </c>
      <c r="AK179" s="13">
        <f t="shared" si="152"/>
        <v>0.37232549999999998</v>
      </c>
      <c r="AL179" s="13">
        <f t="shared" si="153"/>
        <v>0.37232549999999998</v>
      </c>
      <c r="AW179" s="15"/>
      <c r="BH179" s="15"/>
      <c r="BI179" s="15"/>
      <c r="BJ179" s="15"/>
      <c r="BK179" s="15"/>
      <c r="BL179" s="15"/>
      <c r="BM179" s="15"/>
      <c r="BN179" s="15"/>
      <c r="BO179" s="15"/>
    </row>
    <row r="180" spans="6:85">
      <c r="F180" s="4">
        <v>176</v>
      </c>
      <c r="G180" s="4">
        <v>4</v>
      </c>
      <c r="H180" s="4">
        <v>2</v>
      </c>
      <c r="I180" s="4">
        <v>1</v>
      </c>
      <c r="J180" s="4">
        <v>1</v>
      </c>
      <c r="K180" s="4">
        <f t="shared" si="139"/>
        <v>60</v>
      </c>
      <c r="L180" s="4">
        <f t="shared" si="139"/>
        <v>0</v>
      </c>
      <c r="M180" s="4">
        <f t="shared" si="139"/>
        <v>0</v>
      </c>
      <c r="N180" s="4">
        <f t="shared" si="139"/>
        <v>0</v>
      </c>
      <c r="O180" s="4">
        <f t="shared" si="140"/>
        <v>60</v>
      </c>
      <c r="P180" s="4">
        <f t="shared" si="141"/>
        <v>0</v>
      </c>
      <c r="Q180" s="4">
        <f t="shared" si="142"/>
        <v>0</v>
      </c>
      <c r="R180" s="4">
        <f t="shared" si="143"/>
        <v>0</v>
      </c>
      <c r="S180" s="4">
        <f>IF(AND(VLOOKUP(G180,Dados!$D:$L,2,0)=VLOOKUP(I180,Dados!$S:$V,2,0),VLOOKUP(G180,Dados!$D:$L,3,0)=VLOOKUP(I180,Dados!$S:$V,3,0)),0,1)</f>
        <v>0</v>
      </c>
      <c r="T180" s="4">
        <f>IF(AND(VLOOKUP(G180,Dados!$D:$L,3,0)&lt;=VLOOKUP(H180,Dados!$X:$AB,2,0),VLOOKUP(G180,Dados!$D:$L,4,0)&gt;=VLOOKUP(H180,Dados!$X:$AB,3,0),VLOOKUP(G180,Dados!$D:$L,4,0)&lt;=VLOOKUP(H180,Dados!$X:$AB,4,0)),0,1)</f>
        <v>0</v>
      </c>
      <c r="U180" s="4">
        <f>IF(COUNTIFS(F:F,F180,H:H,H180)&lt;=VLOOKUP(H180,Dados!$X:$AB,5,0),0,1)</f>
        <v>0</v>
      </c>
      <c r="W180" s="4">
        <v>740</v>
      </c>
      <c r="X180" s="4">
        <v>1</v>
      </c>
      <c r="Y180" s="4">
        <v>2</v>
      </c>
      <c r="Z180" s="4">
        <v>8</v>
      </c>
      <c r="AA180" s="4">
        <v>1</v>
      </c>
      <c r="AB180" s="4">
        <v>4</v>
      </c>
      <c r="AD180" s="4">
        <f>VLOOKUP(Z180,Dados!$S$3:$W$55,4,FALSE)</f>
        <v>6548</v>
      </c>
      <c r="AE180" s="4">
        <f t="shared" si="149"/>
        <v>2</v>
      </c>
      <c r="AF180" s="4">
        <f t="shared" si="150"/>
        <v>6548</v>
      </c>
      <c r="AI180" s="13">
        <f>VLOOKUP(Z180,Dados!$S$3:$V$55,2,FALSE)*VLOOKUP(Z180,Dados!$S$3:$V$55,3,FALSE)*VLOOKUP(Z180,Dados!$S$3:$V$55,4,FALSE)*0.00000785</f>
        <v>78.644753999999992</v>
      </c>
      <c r="AJ180" s="13">
        <f t="shared" si="151"/>
        <v>78.644753999999992</v>
      </c>
      <c r="AK180" s="13">
        <f t="shared" si="152"/>
        <v>2.4020999999999997E-2</v>
      </c>
      <c r="AL180" s="13">
        <f t="shared" si="153"/>
        <v>2.4020999999999997E-2</v>
      </c>
      <c r="AW180" s="15"/>
      <c r="BH180" s="15"/>
      <c r="BI180" s="15"/>
      <c r="BJ180" s="15"/>
      <c r="BK180" s="15"/>
      <c r="BL180" s="15"/>
      <c r="BM180" s="15"/>
      <c r="BN180" s="15"/>
      <c r="BO180" s="15"/>
    </row>
    <row r="181" spans="6:85">
      <c r="F181" s="4">
        <v>177</v>
      </c>
      <c r="G181" s="4">
        <v>3</v>
      </c>
      <c r="H181" s="4">
        <v>3</v>
      </c>
      <c r="I181" s="4">
        <v>1</v>
      </c>
      <c r="J181" s="4">
        <v>5</v>
      </c>
      <c r="K181" s="4">
        <f t="shared" si="139"/>
        <v>1</v>
      </c>
      <c r="L181" s="4">
        <f t="shared" si="139"/>
        <v>0</v>
      </c>
      <c r="M181" s="4">
        <f t="shared" si="139"/>
        <v>0</v>
      </c>
      <c r="N181" s="4">
        <f t="shared" si="139"/>
        <v>0</v>
      </c>
      <c r="O181" s="4">
        <f t="shared" si="140"/>
        <v>5</v>
      </c>
      <c r="P181" s="4">
        <f t="shared" si="141"/>
        <v>0</v>
      </c>
      <c r="Q181" s="4">
        <f t="shared" si="142"/>
        <v>0</v>
      </c>
      <c r="R181" s="4">
        <f t="shared" si="143"/>
        <v>0</v>
      </c>
      <c r="S181" s="4">
        <f>IF(AND(VLOOKUP(G181,Dados!$D:$L,2,0)=VLOOKUP(I181,Dados!$S:$V,2,0),VLOOKUP(G181,Dados!$D:$L,3,0)=VLOOKUP(I181,Dados!$S:$V,3,0)),0,1)</f>
        <v>0</v>
      </c>
      <c r="T181" s="4">
        <f>IF(AND(VLOOKUP(G181,Dados!$D:$L,3,0)&lt;=VLOOKUP(H181,Dados!$X:$AB,2,0),VLOOKUP(G181,Dados!$D:$L,4,0)&gt;=VLOOKUP(H181,Dados!$X:$AB,3,0),VLOOKUP(G181,Dados!$D:$L,4,0)&lt;=VLOOKUP(H181,Dados!$X:$AB,4,0)),0,1)</f>
        <v>0</v>
      </c>
      <c r="U181" s="4">
        <f>IF(COUNTIFS(F:F,F181,H:H,H181)&lt;=VLOOKUP(H181,Dados!$X:$AB,5,0),0,1)</f>
        <v>0</v>
      </c>
      <c r="W181" s="4">
        <v>374</v>
      </c>
      <c r="X181" s="4">
        <v>3</v>
      </c>
      <c r="Y181" s="4">
        <v>23</v>
      </c>
      <c r="Z181" s="4">
        <v>8</v>
      </c>
      <c r="AA181" s="4">
        <v>3</v>
      </c>
      <c r="AB181" s="4">
        <v>4</v>
      </c>
      <c r="AD181" s="4">
        <f>VLOOKUP(Z181,Dados!$S$3:$W$55,4,FALSE)</f>
        <v>6548</v>
      </c>
      <c r="AE181" s="4">
        <f t="shared" si="149"/>
        <v>69</v>
      </c>
      <c r="AF181" s="4">
        <f t="shared" si="150"/>
        <v>19644</v>
      </c>
      <c r="AI181" s="13">
        <f>VLOOKUP(Z181,Dados!$S$3:$V$55,2,FALSE)*VLOOKUP(Z181,Dados!$S$3:$V$55,3,FALSE)*VLOOKUP(Z181,Dados!$S$3:$V$55,4,FALSE)*0.00000785</f>
        <v>78.644753999999992</v>
      </c>
      <c r="AJ181" s="13">
        <f t="shared" si="151"/>
        <v>235.93426199999999</v>
      </c>
      <c r="AK181" s="13">
        <f t="shared" si="152"/>
        <v>0.27624149999999997</v>
      </c>
      <c r="AL181" s="13">
        <f t="shared" si="153"/>
        <v>0.82872449999999986</v>
      </c>
      <c r="BH181" s="15"/>
      <c r="BI181" s="15"/>
      <c r="BJ181" s="15"/>
      <c r="BK181" s="15"/>
      <c r="BL181" s="15"/>
      <c r="BM181" s="15"/>
      <c r="BN181" s="15"/>
      <c r="BO181" s="15"/>
    </row>
    <row r="182" spans="6:85">
      <c r="F182" s="4">
        <v>177</v>
      </c>
      <c r="G182" s="4">
        <v>4</v>
      </c>
      <c r="H182" s="4">
        <v>3</v>
      </c>
      <c r="I182" s="4">
        <v>1</v>
      </c>
      <c r="J182" s="4">
        <v>1</v>
      </c>
      <c r="K182" s="4">
        <f t="shared" si="139"/>
        <v>1</v>
      </c>
      <c r="L182" s="4">
        <f t="shared" si="139"/>
        <v>0</v>
      </c>
      <c r="M182" s="4">
        <f t="shared" si="139"/>
        <v>0</v>
      </c>
      <c r="N182" s="4">
        <f t="shared" si="139"/>
        <v>0</v>
      </c>
      <c r="O182" s="4">
        <f t="shared" si="140"/>
        <v>1</v>
      </c>
      <c r="P182" s="4">
        <f t="shared" si="141"/>
        <v>0</v>
      </c>
      <c r="Q182" s="4">
        <f t="shared" si="142"/>
        <v>0</v>
      </c>
      <c r="R182" s="4">
        <f t="shared" si="143"/>
        <v>0</v>
      </c>
      <c r="S182" s="4">
        <f>IF(AND(VLOOKUP(G182,Dados!$D:$L,2,0)=VLOOKUP(I182,Dados!$S:$V,2,0),VLOOKUP(G182,Dados!$D:$L,3,0)=VLOOKUP(I182,Dados!$S:$V,3,0)),0,1)</f>
        <v>0</v>
      </c>
      <c r="T182" s="4">
        <f>IF(AND(VLOOKUP(G182,Dados!$D:$L,3,0)&lt;=VLOOKUP(H182,Dados!$X:$AB,2,0),VLOOKUP(G182,Dados!$D:$L,4,0)&gt;=VLOOKUP(H182,Dados!$X:$AB,3,0),VLOOKUP(G182,Dados!$D:$L,4,0)&lt;=VLOOKUP(H182,Dados!$X:$AB,4,0)),0,1)</f>
        <v>0</v>
      </c>
      <c r="U182" s="4">
        <f>IF(COUNTIFS(F:F,F182,H:H,H182)&lt;=VLOOKUP(H182,Dados!$X:$AB,5,0),0,1)</f>
        <v>0</v>
      </c>
      <c r="W182" s="4">
        <v>818</v>
      </c>
      <c r="X182" s="4">
        <v>1</v>
      </c>
      <c r="Y182" s="4">
        <v>8</v>
      </c>
      <c r="Z182" s="4">
        <v>8</v>
      </c>
      <c r="AA182" s="4">
        <v>3</v>
      </c>
      <c r="AB182" s="4">
        <v>4</v>
      </c>
      <c r="AD182" s="4">
        <f>VLOOKUP(Z182,Dados!$S$3:$W$55,4,FALSE)</f>
        <v>6548</v>
      </c>
      <c r="AE182" s="4">
        <f t="shared" ref="AE182:AE209" si="154">Y182*X182</f>
        <v>8</v>
      </c>
      <c r="AF182" s="4">
        <f t="shared" ref="AF182:AF209" si="155">AD182*X182</f>
        <v>6548</v>
      </c>
      <c r="AI182" s="13">
        <f>VLOOKUP(Z182,Dados!$S$3:$V$55,2,FALSE)*VLOOKUP(Z182,Dados!$S$3:$V$55,3,FALSE)*VLOOKUP(Z182,Dados!$S$3:$V$55,4,FALSE)*0.00000785</f>
        <v>78.644753999999992</v>
      </c>
      <c r="AJ182" s="13">
        <f t="shared" ref="AJ182:AJ209" si="156">AI182*X182</f>
        <v>78.644753999999992</v>
      </c>
      <c r="AK182" s="13">
        <f t="shared" ref="AK182:AK209" si="157">(AI182/AD182)*Y182</f>
        <v>9.6083999999999989E-2</v>
      </c>
      <c r="AL182" s="13">
        <f t="shared" ref="AL182:AL209" si="158">AK182*X182</f>
        <v>9.6083999999999989E-2</v>
      </c>
      <c r="BH182" s="15"/>
      <c r="BI182" s="15"/>
      <c r="BJ182" s="15"/>
      <c r="BK182" s="15"/>
      <c r="BL182" s="15"/>
      <c r="BM182" s="15"/>
      <c r="BN182" s="15"/>
      <c r="BO182" s="15"/>
    </row>
    <row r="183" spans="6:85">
      <c r="F183" s="4">
        <v>178</v>
      </c>
      <c r="G183" s="4">
        <v>7</v>
      </c>
      <c r="H183" s="4">
        <v>1</v>
      </c>
      <c r="I183" s="4">
        <v>2</v>
      </c>
      <c r="J183" s="4">
        <v>3</v>
      </c>
      <c r="K183" s="4">
        <f t="shared" si="139"/>
        <v>0</v>
      </c>
      <c r="L183" s="4">
        <f t="shared" si="139"/>
        <v>0</v>
      </c>
      <c r="M183" s="4">
        <f t="shared" si="139"/>
        <v>10</v>
      </c>
      <c r="N183" s="4">
        <f t="shared" si="139"/>
        <v>3</v>
      </c>
      <c r="O183" s="4">
        <f t="shared" si="140"/>
        <v>0</v>
      </c>
      <c r="P183" s="4">
        <f t="shared" si="141"/>
        <v>0</v>
      </c>
      <c r="Q183" s="4">
        <f t="shared" si="142"/>
        <v>30</v>
      </c>
      <c r="R183" s="4">
        <f t="shared" si="143"/>
        <v>9</v>
      </c>
      <c r="S183" s="4">
        <f>IF(AND(VLOOKUP(G183,Dados!$D:$L,2,0)=VLOOKUP(I183,Dados!$S:$V,2,0),VLOOKUP(G183,Dados!$D:$L,3,0)=VLOOKUP(I183,Dados!$S:$V,3,0)),0,1)</f>
        <v>0</v>
      </c>
      <c r="T183" s="4">
        <f>IF(AND(VLOOKUP(G183,Dados!$D:$L,3,0)&lt;=VLOOKUP(H183,Dados!$X:$AB,2,0),VLOOKUP(G183,Dados!$D:$L,4,0)&gt;=VLOOKUP(H183,Dados!$X:$AB,3,0),VLOOKUP(G183,Dados!$D:$L,4,0)&lt;=VLOOKUP(H183,Dados!$X:$AB,4,0)),0,1)</f>
        <v>0</v>
      </c>
      <c r="U183" s="4">
        <f>IF(COUNTIFS(F:F,F183,H:H,H183)&lt;=VLOOKUP(H183,Dados!$X:$AB,5,0),0,1)</f>
        <v>0</v>
      </c>
      <c r="W183" s="4">
        <v>870</v>
      </c>
      <c r="X183" s="4">
        <v>3</v>
      </c>
      <c r="Y183" s="4">
        <v>2</v>
      </c>
      <c r="Z183" s="4">
        <v>8</v>
      </c>
      <c r="AA183" s="4">
        <v>3</v>
      </c>
      <c r="AB183" s="4">
        <v>4</v>
      </c>
      <c r="AD183" s="4">
        <f>VLOOKUP(Z183,Dados!$S$3:$W$55,4,FALSE)</f>
        <v>6548</v>
      </c>
      <c r="AE183" s="4">
        <f t="shared" si="154"/>
        <v>6</v>
      </c>
      <c r="AF183" s="4">
        <f t="shared" si="155"/>
        <v>19644</v>
      </c>
      <c r="AI183" s="13">
        <f>VLOOKUP(Z183,Dados!$S$3:$V$55,2,FALSE)*VLOOKUP(Z183,Dados!$S$3:$V$55,3,FALSE)*VLOOKUP(Z183,Dados!$S$3:$V$55,4,FALSE)*0.00000785</f>
        <v>78.644753999999992</v>
      </c>
      <c r="AJ183" s="13">
        <f t="shared" si="156"/>
        <v>235.93426199999999</v>
      </c>
      <c r="AK183" s="13">
        <f t="shared" si="157"/>
        <v>2.4020999999999997E-2</v>
      </c>
      <c r="AL183" s="13">
        <f t="shared" si="158"/>
        <v>7.2062999999999988E-2</v>
      </c>
      <c r="BH183" s="15"/>
      <c r="BI183" s="15"/>
      <c r="BJ183" s="15"/>
      <c r="BK183" s="15"/>
      <c r="BL183" s="15"/>
      <c r="BM183" s="15"/>
      <c r="BN183" s="15"/>
      <c r="BO183" s="15"/>
    </row>
    <row r="184" spans="6:85">
      <c r="F184" s="4">
        <v>178</v>
      </c>
      <c r="G184" s="4">
        <v>8</v>
      </c>
      <c r="H184" s="4">
        <v>1</v>
      </c>
      <c r="I184" s="4">
        <v>2</v>
      </c>
      <c r="J184" s="4">
        <v>3</v>
      </c>
      <c r="K184" s="4">
        <f t="shared" si="139"/>
        <v>0</v>
      </c>
      <c r="L184" s="4">
        <f t="shared" si="139"/>
        <v>0</v>
      </c>
      <c r="M184" s="4">
        <f t="shared" si="139"/>
        <v>10</v>
      </c>
      <c r="N184" s="4">
        <f t="shared" si="139"/>
        <v>3</v>
      </c>
      <c r="O184" s="4">
        <f t="shared" si="140"/>
        <v>0</v>
      </c>
      <c r="P184" s="4">
        <f t="shared" si="141"/>
        <v>0</v>
      </c>
      <c r="Q184" s="4">
        <f t="shared" si="142"/>
        <v>30</v>
      </c>
      <c r="R184" s="4">
        <f t="shared" si="143"/>
        <v>9</v>
      </c>
      <c r="S184" s="4">
        <f>IF(AND(VLOOKUP(G184,Dados!$D:$L,2,0)=VLOOKUP(I184,Dados!$S:$V,2,0),VLOOKUP(G184,Dados!$D:$L,3,0)=VLOOKUP(I184,Dados!$S:$V,3,0)),0,1)</f>
        <v>0</v>
      </c>
      <c r="T184" s="4">
        <f>IF(AND(VLOOKUP(G184,Dados!$D:$L,3,0)&lt;=VLOOKUP(H184,Dados!$X:$AB,2,0),VLOOKUP(G184,Dados!$D:$L,4,0)&gt;=VLOOKUP(H184,Dados!$X:$AB,3,0),VLOOKUP(G184,Dados!$D:$L,4,0)&lt;=VLOOKUP(H184,Dados!$X:$AB,4,0)),0,1)</f>
        <v>0</v>
      </c>
      <c r="U184" s="4">
        <f>IF(COUNTIFS(F:F,F184,H:H,H184)&lt;=VLOOKUP(H184,Dados!$X:$AB,5,0),0,1)</f>
        <v>0</v>
      </c>
      <c r="W184" s="4">
        <v>1130</v>
      </c>
      <c r="X184" s="4">
        <v>1</v>
      </c>
      <c r="Y184" s="4">
        <v>0</v>
      </c>
      <c r="Z184" s="4">
        <v>8</v>
      </c>
      <c r="AA184" s="4">
        <v>3</v>
      </c>
      <c r="AB184" s="4">
        <v>4</v>
      </c>
      <c r="AD184" s="4">
        <f>VLOOKUP(Z184,Dados!$S$3:$W$55,4,FALSE)</f>
        <v>6548</v>
      </c>
      <c r="AE184" s="4">
        <f t="shared" si="154"/>
        <v>0</v>
      </c>
      <c r="AF184" s="4">
        <f t="shared" si="155"/>
        <v>6548</v>
      </c>
      <c r="AI184" s="13">
        <f>VLOOKUP(Z184,Dados!$S$3:$V$55,2,FALSE)*VLOOKUP(Z184,Dados!$S$3:$V$55,3,FALSE)*VLOOKUP(Z184,Dados!$S$3:$V$55,4,FALSE)*0.00000785</f>
        <v>78.644753999999992</v>
      </c>
      <c r="AJ184" s="13">
        <f t="shared" si="156"/>
        <v>78.644753999999992</v>
      </c>
      <c r="AK184" s="13">
        <f t="shared" si="157"/>
        <v>0</v>
      </c>
      <c r="AL184" s="13">
        <f t="shared" si="158"/>
        <v>0</v>
      </c>
      <c r="BH184" s="15"/>
      <c r="BI184" s="15"/>
      <c r="BJ184" s="15"/>
      <c r="BK184" s="15"/>
      <c r="BL184" s="15"/>
      <c r="BM184" s="15"/>
      <c r="BN184" s="15"/>
      <c r="BO184" s="15"/>
    </row>
    <row r="185" spans="6:85">
      <c r="F185" s="4">
        <v>178</v>
      </c>
      <c r="G185" s="4">
        <v>9</v>
      </c>
      <c r="H185" s="4">
        <v>1</v>
      </c>
      <c r="I185" s="4">
        <v>2</v>
      </c>
      <c r="J185" s="4">
        <v>1</v>
      </c>
      <c r="K185" s="4">
        <f t="shared" si="139"/>
        <v>0</v>
      </c>
      <c r="L185" s="4">
        <f t="shared" si="139"/>
        <v>0</v>
      </c>
      <c r="M185" s="4">
        <f t="shared" si="139"/>
        <v>10</v>
      </c>
      <c r="N185" s="4">
        <f t="shared" si="139"/>
        <v>3</v>
      </c>
      <c r="O185" s="4">
        <f t="shared" si="140"/>
        <v>0</v>
      </c>
      <c r="P185" s="4">
        <f t="shared" si="141"/>
        <v>0</v>
      </c>
      <c r="Q185" s="4">
        <f t="shared" si="142"/>
        <v>10</v>
      </c>
      <c r="R185" s="4">
        <f t="shared" si="143"/>
        <v>3</v>
      </c>
      <c r="S185" s="4">
        <f>IF(AND(VLOOKUP(G185,Dados!$D:$L,2,0)=VLOOKUP(I185,Dados!$S:$V,2,0),VLOOKUP(G185,Dados!$D:$L,3,0)=VLOOKUP(I185,Dados!$S:$V,3,0)),0,1)</f>
        <v>0</v>
      </c>
      <c r="T185" s="4">
        <f>IF(AND(VLOOKUP(G185,Dados!$D:$L,3,0)&lt;=VLOOKUP(H185,Dados!$X:$AB,2,0),VLOOKUP(G185,Dados!$D:$L,4,0)&gt;=VLOOKUP(H185,Dados!$X:$AB,3,0),VLOOKUP(G185,Dados!$D:$L,4,0)&lt;=VLOOKUP(H185,Dados!$X:$AB,4,0)),0,1)</f>
        <v>0</v>
      </c>
      <c r="U185" s="4">
        <f>IF(COUNTIFS(F:F,F185,H:H,H185)&lt;=VLOOKUP(H185,Dados!$X:$AB,5,0),0,1)</f>
        <v>0</v>
      </c>
      <c r="W185" s="4">
        <v>269</v>
      </c>
      <c r="X185" s="4">
        <v>2</v>
      </c>
      <c r="Y185" s="4">
        <v>6</v>
      </c>
      <c r="Z185" s="4">
        <v>9</v>
      </c>
      <c r="AA185" s="4">
        <v>1</v>
      </c>
      <c r="AB185" s="4">
        <v>4</v>
      </c>
      <c r="AD185" s="4">
        <f>VLOOKUP(Z185,Dados!$S$3:$W$55,4,FALSE)</f>
        <v>6388</v>
      </c>
      <c r="AE185" s="4">
        <f t="shared" si="154"/>
        <v>12</v>
      </c>
      <c r="AF185" s="4">
        <f t="shared" si="155"/>
        <v>12776</v>
      </c>
      <c r="AI185" s="13">
        <f>VLOOKUP(Z185,Dados!$S$3:$V$55,2,FALSE)*VLOOKUP(Z185,Dados!$S$3:$V$55,3,FALSE)*VLOOKUP(Z185,Dados!$S$3:$V$55,4,FALSE)*0.00000785</f>
        <v>76.723073999999997</v>
      </c>
      <c r="AJ185" s="13">
        <f t="shared" si="156"/>
        <v>153.44614799999999</v>
      </c>
      <c r="AK185" s="13">
        <f t="shared" si="157"/>
        <v>7.2063000000000002E-2</v>
      </c>
      <c r="AL185" s="13">
        <f t="shared" si="158"/>
        <v>0.144126</v>
      </c>
      <c r="BH185" s="15"/>
      <c r="BI185" s="15"/>
      <c r="BJ185" s="15"/>
      <c r="BK185" s="15"/>
      <c r="BL185" s="15"/>
      <c r="BM185" s="15"/>
      <c r="BN185" s="15"/>
      <c r="BO185" s="15"/>
    </row>
    <row r="186" spans="6:85">
      <c r="F186" s="4">
        <v>179</v>
      </c>
      <c r="G186" s="4">
        <v>10</v>
      </c>
      <c r="H186" s="4">
        <v>1</v>
      </c>
      <c r="I186" s="4">
        <v>3</v>
      </c>
      <c r="J186" s="4">
        <v>3</v>
      </c>
      <c r="K186" s="4">
        <f t="shared" si="139"/>
        <v>0</v>
      </c>
      <c r="L186" s="4">
        <f t="shared" si="139"/>
        <v>0</v>
      </c>
      <c r="M186" s="4">
        <f t="shared" si="139"/>
        <v>0</v>
      </c>
      <c r="N186" s="4">
        <f t="shared" si="139"/>
        <v>0</v>
      </c>
      <c r="O186" s="4">
        <f t="shared" si="140"/>
        <v>0</v>
      </c>
      <c r="P186" s="4">
        <f t="shared" si="141"/>
        <v>0</v>
      </c>
      <c r="Q186" s="4">
        <f t="shared" si="142"/>
        <v>0</v>
      </c>
      <c r="R186" s="4">
        <f t="shared" si="143"/>
        <v>0</v>
      </c>
      <c r="S186" s="4">
        <f>IF(AND(VLOOKUP(G186,Dados!$D:$L,2,0)=VLOOKUP(I186,Dados!$S:$V,2,0),VLOOKUP(G186,Dados!$D:$L,3,0)=VLOOKUP(I186,Dados!$S:$V,3,0)),0,1)</f>
        <v>0</v>
      </c>
      <c r="T186" s="4">
        <f>IF(AND(VLOOKUP(G186,Dados!$D:$L,3,0)&lt;=VLOOKUP(H186,Dados!$X:$AB,2,0),VLOOKUP(G186,Dados!$D:$L,4,0)&gt;=VLOOKUP(H186,Dados!$X:$AB,3,0),VLOOKUP(G186,Dados!$D:$L,4,0)&lt;=VLOOKUP(H186,Dados!$X:$AB,4,0)),0,1)</f>
        <v>0</v>
      </c>
      <c r="U186" s="4">
        <f>IF(COUNTIFS(F:F,F186,H:H,H186)&lt;=VLOOKUP(H186,Dados!$X:$AB,5,0),0,1)</f>
        <v>0</v>
      </c>
      <c r="W186" s="4">
        <v>375</v>
      </c>
      <c r="X186" s="4">
        <v>2</v>
      </c>
      <c r="Y186" s="4">
        <v>2</v>
      </c>
      <c r="Z186" s="4">
        <v>9</v>
      </c>
      <c r="AA186" s="4">
        <v>1</v>
      </c>
      <c r="AB186" s="4">
        <v>4</v>
      </c>
      <c r="AD186" s="4">
        <f>VLOOKUP(Z186,Dados!$S$3:$W$55,4,FALSE)</f>
        <v>6388</v>
      </c>
      <c r="AE186" s="4">
        <f t="shared" si="154"/>
        <v>4</v>
      </c>
      <c r="AF186" s="4">
        <f t="shared" si="155"/>
        <v>12776</v>
      </c>
      <c r="AI186" s="13">
        <f>VLOOKUP(Z186,Dados!$S$3:$V$55,2,FALSE)*VLOOKUP(Z186,Dados!$S$3:$V$55,3,FALSE)*VLOOKUP(Z186,Dados!$S$3:$V$55,4,FALSE)*0.00000785</f>
        <v>76.723073999999997</v>
      </c>
      <c r="AJ186" s="13">
        <f t="shared" si="156"/>
        <v>153.44614799999999</v>
      </c>
      <c r="AK186" s="13">
        <f t="shared" si="157"/>
        <v>2.4021000000000001E-2</v>
      </c>
      <c r="AL186" s="13">
        <f t="shared" si="158"/>
        <v>4.8042000000000001E-2</v>
      </c>
      <c r="BH186" s="15"/>
      <c r="BI186" s="15"/>
      <c r="BJ186" s="15"/>
      <c r="BK186" s="15"/>
      <c r="BL186" s="15"/>
      <c r="BM186" s="15"/>
      <c r="BN186" s="15"/>
      <c r="BO186" s="15"/>
    </row>
    <row r="187" spans="6:85">
      <c r="F187" s="4">
        <v>179</v>
      </c>
      <c r="G187" s="4">
        <v>11</v>
      </c>
      <c r="H187" s="4">
        <v>1</v>
      </c>
      <c r="I187" s="4">
        <v>3</v>
      </c>
      <c r="J187" s="4">
        <v>5</v>
      </c>
      <c r="K187" s="4">
        <f t="shared" si="139"/>
        <v>0</v>
      </c>
      <c r="L187" s="4">
        <f t="shared" si="139"/>
        <v>0</v>
      </c>
      <c r="M187" s="4">
        <f t="shared" si="139"/>
        <v>0</v>
      </c>
      <c r="N187" s="4">
        <f t="shared" si="139"/>
        <v>0</v>
      </c>
      <c r="O187" s="4">
        <f t="shared" si="140"/>
        <v>0</v>
      </c>
      <c r="P187" s="4">
        <f t="shared" si="141"/>
        <v>0</v>
      </c>
      <c r="Q187" s="4">
        <f t="shared" si="142"/>
        <v>0</v>
      </c>
      <c r="R187" s="4">
        <f t="shared" si="143"/>
        <v>0</v>
      </c>
      <c r="S187" s="4">
        <f>IF(AND(VLOOKUP(G187,Dados!$D:$L,2,0)=VLOOKUP(I187,Dados!$S:$V,2,0),VLOOKUP(G187,Dados!$D:$L,3,0)=VLOOKUP(I187,Dados!$S:$V,3,0)),0,1)</f>
        <v>0</v>
      </c>
      <c r="T187" s="4">
        <f>IF(AND(VLOOKUP(G187,Dados!$D:$L,3,0)&lt;=VLOOKUP(H187,Dados!$X:$AB,2,0),VLOOKUP(G187,Dados!$D:$L,4,0)&gt;=VLOOKUP(H187,Dados!$X:$AB,3,0),VLOOKUP(G187,Dados!$D:$L,4,0)&lt;=VLOOKUP(H187,Dados!$X:$AB,4,0)),0,1)</f>
        <v>0</v>
      </c>
      <c r="U187" s="4">
        <f>IF(COUNTIFS(F:F,F187,H:H,H187)&lt;=VLOOKUP(H187,Dados!$X:$AB,5,0),0,1)</f>
        <v>0</v>
      </c>
      <c r="W187" s="4">
        <v>560</v>
      </c>
      <c r="X187" s="4">
        <v>5</v>
      </c>
      <c r="Y187" s="4">
        <v>32</v>
      </c>
      <c r="Z187" s="4">
        <v>9</v>
      </c>
      <c r="AA187" s="4">
        <v>1</v>
      </c>
      <c r="AB187" s="4">
        <v>4</v>
      </c>
      <c r="AD187" s="4">
        <f>VLOOKUP(Z187,Dados!$S$3:$W$55,4,FALSE)</f>
        <v>6388</v>
      </c>
      <c r="AE187" s="4">
        <f t="shared" si="154"/>
        <v>160</v>
      </c>
      <c r="AF187" s="4">
        <f t="shared" si="155"/>
        <v>31940</v>
      </c>
      <c r="AI187" s="13">
        <f>VLOOKUP(Z187,Dados!$S$3:$V$55,2,FALSE)*VLOOKUP(Z187,Dados!$S$3:$V$55,3,FALSE)*VLOOKUP(Z187,Dados!$S$3:$V$55,4,FALSE)*0.00000785</f>
        <v>76.723073999999997</v>
      </c>
      <c r="AJ187" s="13">
        <f t="shared" si="156"/>
        <v>383.61536999999998</v>
      </c>
      <c r="AK187" s="13">
        <f t="shared" si="157"/>
        <v>0.38433600000000001</v>
      </c>
      <c r="AL187" s="13">
        <f t="shared" si="158"/>
        <v>1.9216800000000001</v>
      </c>
      <c r="BH187" s="15"/>
      <c r="BI187" s="15"/>
      <c r="BJ187" s="15"/>
      <c r="BK187" s="15"/>
      <c r="BL187" s="15"/>
      <c r="BM187" s="15"/>
      <c r="BN187" s="15"/>
      <c r="BO187" s="15"/>
    </row>
    <row r="188" spans="6:85">
      <c r="F188" s="4">
        <v>180</v>
      </c>
      <c r="G188" s="4">
        <v>10</v>
      </c>
      <c r="H188" s="4">
        <v>2</v>
      </c>
      <c r="I188" s="4">
        <v>3</v>
      </c>
      <c r="J188" s="4">
        <v>3</v>
      </c>
      <c r="K188" s="4">
        <f t="shared" si="139"/>
        <v>0</v>
      </c>
      <c r="L188" s="4">
        <f t="shared" si="139"/>
        <v>0</v>
      </c>
      <c r="M188" s="4">
        <f t="shared" si="139"/>
        <v>0</v>
      </c>
      <c r="N188" s="4">
        <f t="shared" si="139"/>
        <v>0</v>
      </c>
      <c r="O188" s="4">
        <f t="shared" si="140"/>
        <v>0</v>
      </c>
      <c r="P188" s="4">
        <f t="shared" si="141"/>
        <v>0</v>
      </c>
      <c r="Q188" s="4">
        <f t="shared" si="142"/>
        <v>0</v>
      </c>
      <c r="R188" s="4">
        <f t="shared" si="143"/>
        <v>0</v>
      </c>
      <c r="S188" s="4">
        <f>IF(AND(VLOOKUP(G188,Dados!$D:$L,2,0)=VLOOKUP(I188,Dados!$S:$V,2,0),VLOOKUP(G188,Dados!$D:$L,3,0)=VLOOKUP(I188,Dados!$S:$V,3,0)),0,1)</f>
        <v>0</v>
      </c>
      <c r="T188" s="4">
        <f>IF(AND(VLOOKUP(G188,Dados!$D:$L,3,0)&lt;=VLOOKUP(H188,Dados!$X:$AB,2,0),VLOOKUP(G188,Dados!$D:$L,4,0)&gt;=VLOOKUP(H188,Dados!$X:$AB,3,0),VLOOKUP(G188,Dados!$D:$L,4,0)&lt;=VLOOKUP(H188,Dados!$X:$AB,4,0)),0,1)</f>
        <v>0</v>
      </c>
      <c r="U188" s="4">
        <f>IF(COUNTIFS(F:F,F188,H:H,H188)&lt;=VLOOKUP(H188,Dados!$X:$AB,5,0),0,1)</f>
        <v>0</v>
      </c>
      <c r="W188" s="4">
        <v>828</v>
      </c>
      <c r="X188" s="4">
        <v>2</v>
      </c>
      <c r="Y188" s="4">
        <v>2</v>
      </c>
      <c r="Z188" s="4">
        <v>9</v>
      </c>
      <c r="AA188" s="4">
        <v>3</v>
      </c>
      <c r="AB188" s="4">
        <v>4</v>
      </c>
      <c r="AD188" s="4">
        <f>VLOOKUP(Z188,Dados!$S$3:$W$55,4,FALSE)</f>
        <v>6388</v>
      </c>
      <c r="AE188" s="4">
        <f t="shared" si="154"/>
        <v>4</v>
      </c>
      <c r="AF188" s="4">
        <f t="shared" si="155"/>
        <v>12776</v>
      </c>
      <c r="AI188" s="13">
        <f>VLOOKUP(Z188,Dados!$S$3:$V$55,2,FALSE)*VLOOKUP(Z188,Dados!$S$3:$V$55,3,FALSE)*VLOOKUP(Z188,Dados!$S$3:$V$55,4,FALSE)*0.00000785</f>
        <v>76.723073999999997</v>
      </c>
      <c r="AJ188" s="13">
        <f t="shared" si="156"/>
        <v>153.44614799999999</v>
      </c>
      <c r="AK188" s="13">
        <f t="shared" si="157"/>
        <v>2.4021000000000001E-2</v>
      </c>
      <c r="AL188" s="13">
        <f t="shared" si="158"/>
        <v>4.8042000000000001E-2</v>
      </c>
      <c r="BH188" s="15"/>
      <c r="BI188" s="15"/>
      <c r="BJ188" s="15"/>
      <c r="BK188" s="15"/>
      <c r="BL188" s="15"/>
      <c r="BM188" s="15"/>
      <c r="BN188" s="15"/>
      <c r="BO188" s="15"/>
    </row>
    <row r="189" spans="6:85">
      <c r="F189" s="4">
        <v>180</v>
      </c>
      <c r="G189" s="4">
        <v>11</v>
      </c>
      <c r="H189" s="4">
        <v>2</v>
      </c>
      <c r="I189" s="4">
        <v>3</v>
      </c>
      <c r="J189" s="4">
        <v>5</v>
      </c>
      <c r="K189" s="4">
        <f t="shared" si="139"/>
        <v>0</v>
      </c>
      <c r="L189" s="4">
        <f t="shared" si="139"/>
        <v>0</v>
      </c>
      <c r="M189" s="4">
        <f t="shared" si="139"/>
        <v>0</v>
      </c>
      <c r="N189" s="4">
        <f t="shared" si="139"/>
        <v>0</v>
      </c>
      <c r="O189" s="4">
        <f t="shared" si="140"/>
        <v>0</v>
      </c>
      <c r="P189" s="4">
        <f t="shared" si="141"/>
        <v>0</v>
      </c>
      <c r="Q189" s="4">
        <f t="shared" si="142"/>
        <v>0</v>
      </c>
      <c r="R189" s="4">
        <f t="shared" si="143"/>
        <v>0</v>
      </c>
      <c r="S189" s="4">
        <f>IF(AND(VLOOKUP(G189,Dados!$D:$L,2,0)=VLOOKUP(I189,Dados!$S:$V,2,0),VLOOKUP(G189,Dados!$D:$L,3,0)=VLOOKUP(I189,Dados!$S:$V,3,0)),0,1)</f>
        <v>0</v>
      </c>
      <c r="T189" s="4">
        <f>IF(AND(VLOOKUP(G189,Dados!$D:$L,3,0)&lt;=VLOOKUP(H189,Dados!$X:$AB,2,0),VLOOKUP(G189,Dados!$D:$L,4,0)&gt;=VLOOKUP(H189,Dados!$X:$AB,3,0),VLOOKUP(G189,Dados!$D:$L,4,0)&lt;=VLOOKUP(H189,Dados!$X:$AB,4,0)),0,1)</f>
        <v>0</v>
      </c>
      <c r="U189" s="4">
        <f>IF(COUNTIFS(F:F,F189,H:H,H189)&lt;=VLOOKUP(H189,Dados!$X:$AB,5,0),0,1)</f>
        <v>0</v>
      </c>
      <c r="W189" s="4">
        <v>377</v>
      </c>
      <c r="X189" s="4">
        <v>1</v>
      </c>
      <c r="Y189" s="4">
        <v>23</v>
      </c>
      <c r="Z189" s="4">
        <v>10</v>
      </c>
      <c r="AA189" s="4">
        <v>1</v>
      </c>
      <c r="AB189" s="4">
        <v>4</v>
      </c>
      <c r="AD189" s="4">
        <f>VLOOKUP(Z189,Dados!$S$3:$W$55,4,FALSE)</f>
        <v>6034</v>
      </c>
      <c r="AE189" s="4">
        <f t="shared" si="154"/>
        <v>23</v>
      </c>
      <c r="AF189" s="4">
        <f t="shared" si="155"/>
        <v>6034</v>
      </c>
      <c r="AI189" s="13">
        <f>VLOOKUP(Z189,Dados!$S$3:$V$55,2,FALSE)*VLOOKUP(Z189,Dados!$S$3:$V$55,3,FALSE)*VLOOKUP(Z189,Dados!$S$3:$V$55,4,FALSE)*0.00000785</f>
        <v>72.471356999999998</v>
      </c>
      <c r="AJ189" s="13">
        <f t="shared" si="156"/>
        <v>72.471356999999998</v>
      </c>
      <c r="AK189" s="13">
        <f t="shared" si="157"/>
        <v>0.27624150000000003</v>
      </c>
      <c r="AL189" s="13">
        <f t="shared" si="158"/>
        <v>0.27624150000000003</v>
      </c>
      <c r="BH189" s="15"/>
      <c r="BI189" s="15"/>
      <c r="BJ189" s="15"/>
      <c r="BK189" s="15"/>
      <c r="BL189" s="15"/>
      <c r="BM189" s="15"/>
      <c r="BN189" s="15"/>
      <c r="BO189" s="15"/>
    </row>
    <row r="190" spans="6:85">
      <c r="F190" s="4">
        <v>181</v>
      </c>
      <c r="G190" s="4">
        <v>10</v>
      </c>
      <c r="H190" s="4">
        <v>3</v>
      </c>
      <c r="I190" s="4">
        <v>3</v>
      </c>
      <c r="J190" s="4">
        <v>3</v>
      </c>
      <c r="K190" s="4">
        <f t="shared" si="139"/>
        <v>0</v>
      </c>
      <c r="L190" s="4">
        <f t="shared" si="139"/>
        <v>0</v>
      </c>
      <c r="M190" s="4">
        <f t="shared" si="139"/>
        <v>0</v>
      </c>
      <c r="N190" s="4">
        <f t="shared" si="139"/>
        <v>0</v>
      </c>
      <c r="O190" s="4">
        <f t="shared" si="140"/>
        <v>0</v>
      </c>
      <c r="P190" s="4">
        <f t="shared" si="141"/>
        <v>0</v>
      </c>
      <c r="Q190" s="4">
        <f t="shared" si="142"/>
        <v>0</v>
      </c>
      <c r="R190" s="4">
        <f t="shared" si="143"/>
        <v>0</v>
      </c>
      <c r="S190" s="4">
        <f>IF(AND(VLOOKUP(G190,Dados!$D:$L,2,0)=VLOOKUP(I190,Dados!$S:$V,2,0),VLOOKUP(G190,Dados!$D:$L,3,0)=VLOOKUP(I190,Dados!$S:$V,3,0)),0,1)</f>
        <v>0</v>
      </c>
      <c r="T190" s="4">
        <f>IF(AND(VLOOKUP(G190,Dados!$D:$L,3,0)&lt;=VLOOKUP(H190,Dados!$X:$AB,2,0),VLOOKUP(G190,Dados!$D:$L,4,0)&gt;=VLOOKUP(H190,Dados!$X:$AB,3,0),VLOOKUP(G190,Dados!$D:$L,4,0)&lt;=VLOOKUP(H190,Dados!$X:$AB,4,0)),0,1)</f>
        <v>0</v>
      </c>
      <c r="U190" s="4">
        <f>IF(COUNTIFS(F:F,F190,H:H,H190)&lt;=VLOOKUP(H190,Dados!$X:$AB,5,0),0,1)</f>
        <v>0</v>
      </c>
      <c r="W190" s="4">
        <v>562</v>
      </c>
      <c r="X190" s="4">
        <v>1</v>
      </c>
      <c r="Y190" s="4">
        <v>4</v>
      </c>
      <c r="Z190" s="4">
        <v>10</v>
      </c>
      <c r="AA190" s="4">
        <v>1</v>
      </c>
      <c r="AB190" s="4">
        <v>4</v>
      </c>
      <c r="AD190" s="4">
        <f>VLOOKUP(Z190,Dados!$S$3:$W$55,4,FALSE)</f>
        <v>6034</v>
      </c>
      <c r="AE190" s="4">
        <f t="shared" si="154"/>
        <v>4</v>
      </c>
      <c r="AF190" s="4">
        <f t="shared" si="155"/>
        <v>6034</v>
      </c>
      <c r="AI190" s="13">
        <f>VLOOKUP(Z190,Dados!$S$3:$V$55,2,FALSE)*VLOOKUP(Z190,Dados!$S$3:$V$55,3,FALSE)*VLOOKUP(Z190,Dados!$S$3:$V$55,4,FALSE)*0.00000785</f>
        <v>72.471356999999998</v>
      </c>
      <c r="AJ190" s="13">
        <f t="shared" si="156"/>
        <v>72.471356999999998</v>
      </c>
      <c r="AK190" s="13">
        <f t="shared" si="157"/>
        <v>4.8042000000000001E-2</v>
      </c>
      <c r="AL190" s="13">
        <f t="shared" si="158"/>
        <v>4.8042000000000001E-2</v>
      </c>
      <c r="BH190" s="15"/>
      <c r="BI190" s="15"/>
      <c r="BJ190" s="15"/>
      <c r="BK190" s="15"/>
      <c r="BL190" s="15"/>
      <c r="BM190" s="15"/>
      <c r="BN190" s="15"/>
      <c r="BO190" s="15"/>
    </row>
    <row r="191" spans="6:85">
      <c r="F191" s="4">
        <v>181</v>
      </c>
      <c r="G191" s="4">
        <v>11</v>
      </c>
      <c r="H191" s="4">
        <v>3</v>
      </c>
      <c r="I191" s="4">
        <v>3</v>
      </c>
      <c r="J191" s="4">
        <v>5</v>
      </c>
      <c r="K191" s="4">
        <f t="shared" si="139"/>
        <v>0</v>
      </c>
      <c r="L191" s="4">
        <f t="shared" si="139"/>
        <v>0</v>
      </c>
      <c r="M191" s="4">
        <f t="shared" si="139"/>
        <v>0</v>
      </c>
      <c r="N191" s="4">
        <f t="shared" si="139"/>
        <v>0</v>
      </c>
      <c r="O191" s="4">
        <f t="shared" si="140"/>
        <v>0</v>
      </c>
      <c r="P191" s="4">
        <f t="shared" si="141"/>
        <v>0</v>
      </c>
      <c r="Q191" s="4">
        <f t="shared" si="142"/>
        <v>0</v>
      </c>
      <c r="R191" s="4">
        <f t="shared" si="143"/>
        <v>0</v>
      </c>
      <c r="S191" s="4">
        <f>IF(AND(VLOOKUP(G191,Dados!$D:$L,2,0)=VLOOKUP(I191,Dados!$S:$V,2,0),VLOOKUP(G191,Dados!$D:$L,3,0)=VLOOKUP(I191,Dados!$S:$V,3,0)),0,1)</f>
        <v>0</v>
      </c>
      <c r="T191" s="4">
        <f>IF(AND(VLOOKUP(G191,Dados!$D:$L,3,0)&lt;=VLOOKUP(H191,Dados!$X:$AB,2,0),VLOOKUP(G191,Dados!$D:$L,4,0)&gt;=VLOOKUP(H191,Dados!$X:$AB,3,0),VLOOKUP(G191,Dados!$D:$L,4,0)&lt;=VLOOKUP(H191,Dados!$X:$AB,4,0)),0,1)</f>
        <v>0</v>
      </c>
      <c r="U191" s="4">
        <f>IF(COUNTIFS(F:F,F191,H:H,H191)&lt;=VLOOKUP(H191,Dados!$X:$AB,5,0),0,1)</f>
        <v>0</v>
      </c>
      <c r="W191" s="4">
        <v>714</v>
      </c>
      <c r="X191" s="4">
        <v>1</v>
      </c>
      <c r="Y191" s="4">
        <v>0</v>
      </c>
      <c r="Z191" s="4">
        <v>10</v>
      </c>
      <c r="AA191" s="4">
        <v>1</v>
      </c>
      <c r="AB191" s="4">
        <v>4</v>
      </c>
      <c r="AD191" s="4">
        <f>VLOOKUP(Z191,Dados!$S$3:$W$55,4,FALSE)</f>
        <v>6034</v>
      </c>
      <c r="AE191" s="4">
        <f t="shared" si="154"/>
        <v>0</v>
      </c>
      <c r="AF191" s="4">
        <f t="shared" si="155"/>
        <v>6034</v>
      </c>
      <c r="AI191" s="13">
        <f>VLOOKUP(Z191,Dados!$S$3:$V$55,2,FALSE)*VLOOKUP(Z191,Dados!$S$3:$V$55,3,FALSE)*VLOOKUP(Z191,Dados!$S$3:$V$55,4,FALSE)*0.00000785</f>
        <v>72.471356999999998</v>
      </c>
      <c r="AJ191" s="13">
        <f t="shared" si="156"/>
        <v>72.471356999999998</v>
      </c>
      <c r="AK191" s="13">
        <f t="shared" si="157"/>
        <v>0</v>
      </c>
      <c r="AL191" s="13">
        <f t="shared" si="158"/>
        <v>0</v>
      </c>
      <c r="BH191" s="15"/>
      <c r="BI191" s="15"/>
      <c r="BJ191" s="15"/>
      <c r="BK191" s="15"/>
      <c r="BL191" s="15"/>
      <c r="BM191" s="15"/>
      <c r="BN191" s="15"/>
      <c r="BO191" s="15"/>
    </row>
    <row r="192" spans="6:85">
      <c r="F192" s="4">
        <v>182</v>
      </c>
      <c r="G192" s="4">
        <v>10</v>
      </c>
      <c r="H192" s="4">
        <v>1</v>
      </c>
      <c r="I192" s="4">
        <v>4</v>
      </c>
      <c r="J192" s="4">
        <v>1</v>
      </c>
      <c r="K192" s="4">
        <f t="shared" si="139"/>
        <v>0</v>
      </c>
      <c r="L192" s="4">
        <f t="shared" si="139"/>
        <v>0</v>
      </c>
      <c r="M192" s="4">
        <f t="shared" si="139"/>
        <v>0</v>
      </c>
      <c r="N192" s="4">
        <f t="shared" si="139"/>
        <v>0</v>
      </c>
      <c r="O192" s="4">
        <f t="shared" si="140"/>
        <v>0</v>
      </c>
      <c r="P192" s="4">
        <f t="shared" si="141"/>
        <v>0</v>
      </c>
      <c r="Q192" s="4">
        <f t="shared" si="142"/>
        <v>0</v>
      </c>
      <c r="R192" s="4">
        <f t="shared" si="143"/>
        <v>0</v>
      </c>
      <c r="S192" s="4">
        <f>IF(AND(VLOOKUP(G192,Dados!$D:$L,2,0)=VLOOKUP(I192,Dados!$S:$V,2,0),VLOOKUP(G192,Dados!$D:$L,3,0)=VLOOKUP(I192,Dados!$S:$V,3,0)),0,1)</f>
        <v>0</v>
      </c>
      <c r="T192" s="4">
        <f>IF(AND(VLOOKUP(G192,Dados!$D:$L,3,0)&lt;=VLOOKUP(H192,Dados!$X:$AB,2,0),VLOOKUP(G192,Dados!$D:$L,4,0)&gt;=VLOOKUP(H192,Dados!$X:$AB,3,0),VLOOKUP(G192,Dados!$D:$L,4,0)&lt;=VLOOKUP(H192,Dados!$X:$AB,4,0)),0,1)</f>
        <v>0</v>
      </c>
      <c r="U192" s="4">
        <f>IF(COUNTIFS(F:F,F192,H:H,H192)&lt;=VLOOKUP(H192,Dados!$X:$AB,5,0),0,1)</f>
        <v>0</v>
      </c>
      <c r="W192" s="4">
        <v>621</v>
      </c>
      <c r="X192" s="4">
        <v>4</v>
      </c>
      <c r="Y192" s="4">
        <v>6</v>
      </c>
      <c r="Z192" s="4">
        <v>13</v>
      </c>
      <c r="AA192" s="4">
        <v>2</v>
      </c>
      <c r="AB192" s="4">
        <v>4</v>
      </c>
      <c r="AD192" s="4">
        <f>VLOOKUP(Z192,Dados!$S$3:$W$55,4,FALSE)</f>
        <v>6370</v>
      </c>
      <c r="AE192" s="4">
        <f t="shared" si="154"/>
        <v>24</v>
      </c>
      <c r="AF192" s="4">
        <f t="shared" si="155"/>
        <v>25480</v>
      </c>
      <c r="AI192" s="13">
        <f>VLOOKUP(Z192,Dados!$S$3:$V$55,2,FALSE)*VLOOKUP(Z192,Dados!$S$3:$V$55,3,FALSE)*VLOOKUP(Z192,Dados!$S$3:$V$55,4,FALSE)*0.00000785</f>
        <v>54.604913999999994</v>
      </c>
      <c r="AJ192" s="13">
        <f t="shared" si="156"/>
        <v>218.41965599999997</v>
      </c>
      <c r="AK192" s="13">
        <f t="shared" si="157"/>
        <v>5.1433199999999991E-2</v>
      </c>
      <c r="AL192" s="13">
        <f t="shared" si="158"/>
        <v>0.20573279999999997</v>
      </c>
      <c r="BH192" s="15"/>
      <c r="BI192" s="15"/>
      <c r="BJ192" s="15"/>
      <c r="BK192" s="15"/>
      <c r="BL192" s="15"/>
      <c r="BM192" s="15"/>
      <c r="BN192" s="15"/>
      <c r="BO192" s="15"/>
    </row>
    <row r="193" spans="6:67">
      <c r="F193" s="4">
        <v>182</v>
      </c>
      <c r="G193" s="4">
        <v>11</v>
      </c>
      <c r="H193" s="4">
        <v>1</v>
      </c>
      <c r="I193" s="4">
        <v>4</v>
      </c>
      <c r="J193" s="4">
        <v>10</v>
      </c>
      <c r="K193" s="4">
        <f t="shared" si="139"/>
        <v>0</v>
      </c>
      <c r="L193" s="4">
        <f t="shared" si="139"/>
        <v>0</v>
      </c>
      <c r="M193" s="4">
        <f t="shared" si="139"/>
        <v>0</v>
      </c>
      <c r="N193" s="4">
        <f t="shared" si="139"/>
        <v>0</v>
      </c>
      <c r="O193" s="4">
        <f t="shared" si="140"/>
        <v>0</v>
      </c>
      <c r="P193" s="4">
        <f t="shared" si="141"/>
        <v>0</v>
      </c>
      <c r="Q193" s="4">
        <f t="shared" si="142"/>
        <v>0</v>
      </c>
      <c r="R193" s="4">
        <f t="shared" si="143"/>
        <v>0</v>
      </c>
      <c r="S193" s="4">
        <f>IF(AND(VLOOKUP(G193,Dados!$D:$L,2,0)=VLOOKUP(I193,Dados!$S:$V,2,0),VLOOKUP(G193,Dados!$D:$L,3,0)=VLOOKUP(I193,Dados!$S:$V,3,0)),0,1)</f>
        <v>0</v>
      </c>
      <c r="T193" s="4">
        <f>IF(AND(VLOOKUP(G193,Dados!$D:$L,3,0)&lt;=VLOOKUP(H193,Dados!$X:$AB,2,0),VLOOKUP(G193,Dados!$D:$L,4,0)&gt;=VLOOKUP(H193,Dados!$X:$AB,3,0),VLOOKUP(G193,Dados!$D:$L,4,0)&lt;=VLOOKUP(H193,Dados!$X:$AB,4,0)),0,1)</f>
        <v>0</v>
      </c>
      <c r="U193" s="4">
        <f>IF(COUNTIFS(F:F,F193,H:H,H193)&lt;=VLOOKUP(H193,Dados!$X:$AB,5,0),0,1)</f>
        <v>0</v>
      </c>
      <c r="W193" s="4">
        <v>747</v>
      </c>
      <c r="X193" s="4">
        <v>16</v>
      </c>
      <c r="Y193" s="4">
        <v>12</v>
      </c>
      <c r="Z193" s="4">
        <v>13</v>
      </c>
      <c r="AA193" s="4">
        <v>2</v>
      </c>
      <c r="AB193" s="4">
        <v>4</v>
      </c>
      <c r="AD193" s="4">
        <f>VLOOKUP(Z193,Dados!$S$3:$W$55,4,FALSE)</f>
        <v>6370</v>
      </c>
      <c r="AE193" s="4">
        <f t="shared" si="154"/>
        <v>192</v>
      </c>
      <c r="AF193" s="4">
        <f t="shared" si="155"/>
        <v>101920</v>
      </c>
      <c r="AI193" s="13">
        <f>VLOOKUP(Z193,Dados!$S$3:$V$55,2,FALSE)*VLOOKUP(Z193,Dados!$S$3:$V$55,3,FALSE)*VLOOKUP(Z193,Dados!$S$3:$V$55,4,FALSE)*0.00000785</f>
        <v>54.604913999999994</v>
      </c>
      <c r="AJ193" s="13">
        <f t="shared" si="156"/>
        <v>873.6786239999999</v>
      </c>
      <c r="AK193" s="13">
        <f t="shared" si="157"/>
        <v>0.10286639999999998</v>
      </c>
      <c r="AL193" s="13">
        <f t="shared" si="158"/>
        <v>1.6458623999999997</v>
      </c>
      <c r="BH193" s="15"/>
      <c r="BI193" s="15"/>
      <c r="BJ193" s="15"/>
      <c r="BK193" s="15"/>
      <c r="BL193" s="15"/>
      <c r="BM193" s="15"/>
      <c r="BN193" s="15"/>
      <c r="BO193" s="15"/>
    </row>
    <row r="194" spans="6:67">
      <c r="F194" s="4">
        <v>183</v>
      </c>
      <c r="G194" s="4">
        <v>10</v>
      </c>
      <c r="H194" s="4">
        <v>2</v>
      </c>
      <c r="I194" s="4">
        <v>4</v>
      </c>
      <c r="J194" s="4">
        <v>1</v>
      </c>
      <c r="K194" s="4">
        <f t="shared" si="139"/>
        <v>0</v>
      </c>
      <c r="L194" s="4">
        <f t="shared" si="139"/>
        <v>0</v>
      </c>
      <c r="M194" s="4">
        <f t="shared" si="139"/>
        <v>0</v>
      </c>
      <c r="N194" s="4">
        <f t="shared" si="139"/>
        <v>0</v>
      </c>
      <c r="O194" s="4">
        <f t="shared" si="140"/>
        <v>0</v>
      </c>
      <c r="P194" s="4">
        <f t="shared" si="141"/>
        <v>0</v>
      </c>
      <c r="Q194" s="4">
        <f t="shared" si="142"/>
        <v>0</v>
      </c>
      <c r="R194" s="4">
        <f t="shared" si="143"/>
        <v>0</v>
      </c>
      <c r="S194" s="4">
        <f>IF(AND(VLOOKUP(G194,Dados!$D:$L,2,0)=VLOOKUP(I194,Dados!$S:$V,2,0),VLOOKUP(G194,Dados!$D:$L,3,0)=VLOOKUP(I194,Dados!$S:$V,3,0)),0,1)</f>
        <v>0</v>
      </c>
      <c r="T194" s="4">
        <f>IF(AND(VLOOKUP(G194,Dados!$D:$L,3,0)&lt;=VLOOKUP(H194,Dados!$X:$AB,2,0),VLOOKUP(G194,Dados!$D:$L,4,0)&gt;=VLOOKUP(H194,Dados!$X:$AB,3,0),VLOOKUP(G194,Dados!$D:$L,4,0)&lt;=VLOOKUP(H194,Dados!$X:$AB,4,0)),0,1)</f>
        <v>0</v>
      </c>
      <c r="U194" s="4">
        <f>IF(COUNTIFS(F:F,F194,H:H,H194)&lt;=VLOOKUP(H194,Dados!$X:$AB,5,0),0,1)</f>
        <v>0</v>
      </c>
      <c r="W194" s="4">
        <v>874</v>
      </c>
      <c r="X194" s="4">
        <v>27</v>
      </c>
      <c r="Y194" s="4">
        <v>9</v>
      </c>
      <c r="Z194" s="4">
        <v>13</v>
      </c>
      <c r="AA194" s="4">
        <v>2</v>
      </c>
      <c r="AB194" s="4">
        <v>4</v>
      </c>
      <c r="AD194" s="4">
        <f>VLOOKUP(Z194,Dados!$S$3:$W$55,4,FALSE)</f>
        <v>6370</v>
      </c>
      <c r="AE194" s="4">
        <f t="shared" si="154"/>
        <v>243</v>
      </c>
      <c r="AF194" s="4">
        <f t="shared" si="155"/>
        <v>171990</v>
      </c>
      <c r="AI194" s="13">
        <f>VLOOKUP(Z194,Dados!$S$3:$V$55,2,FALSE)*VLOOKUP(Z194,Dados!$S$3:$V$55,3,FALSE)*VLOOKUP(Z194,Dados!$S$3:$V$55,4,FALSE)*0.00000785</f>
        <v>54.604913999999994</v>
      </c>
      <c r="AJ194" s="13">
        <f t="shared" si="156"/>
        <v>1474.3326779999998</v>
      </c>
      <c r="AK194" s="13">
        <f t="shared" si="157"/>
        <v>7.7149799999999991E-2</v>
      </c>
      <c r="AL194" s="13">
        <f t="shared" si="158"/>
        <v>2.0830445999999996</v>
      </c>
      <c r="BH194" s="15"/>
      <c r="BI194" s="15"/>
      <c r="BJ194" s="15"/>
      <c r="BK194" s="15"/>
      <c r="BL194" s="15"/>
      <c r="BM194" s="15"/>
      <c r="BN194" s="15"/>
      <c r="BO194" s="15"/>
    </row>
    <row r="195" spans="6:67">
      <c r="F195" s="4">
        <v>183</v>
      </c>
      <c r="G195" s="4">
        <v>11</v>
      </c>
      <c r="H195" s="4">
        <v>2</v>
      </c>
      <c r="I195" s="4">
        <v>4</v>
      </c>
      <c r="J195" s="4">
        <v>10</v>
      </c>
      <c r="K195" s="4">
        <f t="shared" si="139"/>
        <v>0</v>
      </c>
      <c r="L195" s="4">
        <f t="shared" si="139"/>
        <v>0</v>
      </c>
      <c r="M195" s="4">
        <f t="shared" si="139"/>
        <v>0</v>
      </c>
      <c r="N195" s="4">
        <f t="shared" si="139"/>
        <v>0</v>
      </c>
      <c r="O195" s="4">
        <f t="shared" si="140"/>
        <v>0</v>
      </c>
      <c r="P195" s="4">
        <f t="shared" si="141"/>
        <v>0</v>
      </c>
      <c r="Q195" s="4">
        <f t="shared" si="142"/>
        <v>0</v>
      </c>
      <c r="R195" s="4">
        <f t="shared" si="143"/>
        <v>0</v>
      </c>
      <c r="S195" s="4">
        <f>IF(AND(VLOOKUP(G195,Dados!$D:$L,2,0)=VLOOKUP(I195,Dados!$S:$V,2,0),VLOOKUP(G195,Dados!$D:$L,3,0)=VLOOKUP(I195,Dados!$S:$V,3,0)),0,1)</f>
        <v>0</v>
      </c>
      <c r="T195" s="4">
        <f>IF(AND(VLOOKUP(G195,Dados!$D:$L,3,0)&lt;=VLOOKUP(H195,Dados!$X:$AB,2,0),VLOOKUP(G195,Dados!$D:$L,4,0)&gt;=VLOOKUP(H195,Dados!$X:$AB,3,0),VLOOKUP(G195,Dados!$D:$L,4,0)&lt;=VLOOKUP(H195,Dados!$X:$AB,4,0)),0,1)</f>
        <v>0</v>
      </c>
      <c r="U195" s="4">
        <f>IF(COUNTIFS(F:F,F195,H:H,H195)&lt;=VLOOKUP(H195,Dados!$X:$AB,5,0),0,1)</f>
        <v>0</v>
      </c>
      <c r="W195" s="4">
        <v>570</v>
      </c>
      <c r="X195" s="4">
        <v>30</v>
      </c>
      <c r="Y195" s="4">
        <v>20</v>
      </c>
      <c r="Z195" s="4">
        <v>14</v>
      </c>
      <c r="AA195" s="4">
        <v>2</v>
      </c>
      <c r="AB195" s="4">
        <v>4</v>
      </c>
      <c r="AD195" s="4">
        <f>VLOOKUP(Z195,Dados!$S$3:$W$55,4,FALSE)</f>
        <v>6039</v>
      </c>
      <c r="AE195" s="4">
        <f t="shared" si="154"/>
        <v>600</v>
      </c>
      <c r="AF195" s="4">
        <f t="shared" si="155"/>
        <v>181170</v>
      </c>
      <c r="AI195" s="13">
        <f>VLOOKUP(Z195,Dados!$S$3:$V$55,2,FALSE)*VLOOKUP(Z195,Dados!$S$3:$V$55,3,FALSE)*VLOOKUP(Z195,Dados!$S$3:$V$55,4,FALSE)*0.00000785</f>
        <v>51.767515799999998</v>
      </c>
      <c r="AJ195" s="13">
        <f t="shared" si="156"/>
        <v>1553.025474</v>
      </c>
      <c r="AK195" s="13">
        <f t="shared" si="157"/>
        <v>0.17144400000000001</v>
      </c>
      <c r="AL195" s="13">
        <f t="shared" si="158"/>
        <v>5.1433200000000001</v>
      </c>
      <c r="BH195" s="15"/>
      <c r="BI195" s="15"/>
      <c r="BJ195" s="15"/>
      <c r="BK195" s="15"/>
      <c r="BL195" s="15"/>
      <c r="BM195" s="15"/>
      <c r="BN195" s="15"/>
      <c r="BO195" s="15"/>
    </row>
    <row r="196" spans="6:67">
      <c r="F196" s="4">
        <v>184</v>
      </c>
      <c r="G196" s="4">
        <v>10</v>
      </c>
      <c r="H196" s="4">
        <v>3</v>
      </c>
      <c r="I196" s="4">
        <v>4</v>
      </c>
      <c r="J196" s="4">
        <v>1</v>
      </c>
      <c r="K196" s="4">
        <f t="shared" si="139"/>
        <v>4</v>
      </c>
      <c r="L196" s="4">
        <f t="shared" si="139"/>
        <v>0</v>
      </c>
      <c r="M196" s="4">
        <f t="shared" si="139"/>
        <v>0</v>
      </c>
      <c r="N196" s="4">
        <f t="shared" si="139"/>
        <v>0</v>
      </c>
      <c r="O196" s="4">
        <f t="shared" si="140"/>
        <v>4</v>
      </c>
      <c r="P196" s="4">
        <f t="shared" si="141"/>
        <v>0</v>
      </c>
      <c r="Q196" s="4">
        <f t="shared" si="142"/>
        <v>0</v>
      </c>
      <c r="R196" s="4">
        <f t="shared" si="143"/>
        <v>0</v>
      </c>
      <c r="S196" s="4">
        <f>IF(AND(VLOOKUP(G196,Dados!$D:$L,2,0)=VLOOKUP(I196,Dados!$S:$V,2,0),VLOOKUP(G196,Dados!$D:$L,3,0)=VLOOKUP(I196,Dados!$S:$V,3,0)),0,1)</f>
        <v>0</v>
      </c>
      <c r="T196" s="4">
        <f>IF(AND(VLOOKUP(G196,Dados!$D:$L,3,0)&lt;=VLOOKUP(H196,Dados!$X:$AB,2,0),VLOOKUP(G196,Dados!$D:$L,4,0)&gt;=VLOOKUP(H196,Dados!$X:$AB,3,0),VLOOKUP(G196,Dados!$D:$L,4,0)&lt;=VLOOKUP(H196,Dados!$X:$AB,4,0)),0,1)</f>
        <v>0</v>
      </c>
      <c r="U196" s="4">
        <f>IF(COUNTIFS(F:F,F196,H:H,H196)&lt;=VLOOKUP(H196,Dados!$X:$AB,5,0),0,1)</f>
        <v>0</v>
      </c>
      <c r="W196" s="4">
        <v>208</v>
      </c>
      <c r="X196" s="4">
        <v>9</v>
      </c>
      <c r="Y196" s="4">
        <v>4</v>
      </c>
      <c r="Z196" s="4">
        <v>15</v>
      </c>
      <c r="AA196" s="4">
        <v>1</v>
      </c>
      <c r="AB196" s="4">
        <v>4</v>
      </c>
      <c r="AD196" s="4">
        <f>VLOOKUP(Z196,Dados!$S$3:$W$55,4,FALSE)</f>
        <v>5248</v>
      </c>
      <c r="AE196" s="4">
        <f t="shared" si="154"/>
        <v>36</v>
      </c>
      <c r="AF196" s="4">
        <f t="shared" si="155"/>
        <v>47232</v>
      </c>
      <c r="AI196" s="13">
        <f>VLOOKUP(Z196,Dados!$S$3:$V$55,2,FALSE)*VLOOKUP(Z196,Dados!$S$3:$V$55,3,FALSE)*VLOOKUP(Z196,Dados!$S$3:$V$55,4,FALSE)*0.00000785</f>
        <v>51.495999999999995</v>
      </c>
      <c r="AJ196" s="13">
        <f t="shared" si="156"/>
        <v>463.46399999999994</v>
      </c>
      <c r="AK196" s="13">
        <f t="shared" si="157"/>
        <v>3.9249999999999993E-2</v>
      </c>
      <c r="AL196" s="13">
        <f t="shared" si="158"/>
        <v>0.35324999999999995</v>
      </c>
    </row>
    <row r="197" spans="6:67">
      <c r="F197" s="4">
        <v>184</v>
      </c>
      <c r="G197" s="4">
        <v>11</v>
      </c>
      <c r="H197" s="4">
        <v>3</v>
      </c>
      <c r="I197" s="4">
        <v>4</v>
      </c>
      <c r="J197" s="4">
        <v>10</v>
      </c>
      <c r="K197" s="4">
        <f t="shared" si="139"/>
        <v>4</v>
      </c>
      <c r="L197" s="4">
        <f t="shared" si="139"/>
        <v>0</v>
      </c>
      <c r="M197" s="4">
        <f t="shared" si="139"/>
        <v>0</v>
      </c>
      <c r="N197" s="4">
        <f t="shared" si="139"/>
        <v>0</v>
      </c>
      <c r="O197" s="4">
        <f t="shared" si="140"/>
        <v>40</v>
      </c>
      <c r="P197" s="4">
        <f t="shared" si="141"/>
        <v>0</v>
      </c>
      <c r="Q197" s="4">
        <f t="shared" si="142"/>
        <v>0</v>
      </c>
      <c r="R197" s="4">
        <f t="shared" si="143"/>
        <v>0</v>
      </c>
      <c r="S197" s="4">
        <f>IF(AND(VLOOKUP(G197,Dados!$D:$L,2,0)=VLOOKUP(I197,Dados!$S:$V,2,0),VLOOKUP(G197,Dados!$D:$L,3,0)=VLOOKUP(I197,Dados!$S:$V,3,0)),0,1)</f>
        <v>0</v>
      </c>
      <c r="T197" s="4">
        <f>IF(AND(VLOOKUP(G197,Dados!$D:$L,3,0)&lt;=VLOOKUP(H197,Dados!$X:$AB,2,0),VLOOKUP(G197,Dados!$D:$L,4,0)&gt;=VLOOKUP(H197,Dados!$X:$AB,3,0),VLOOKUP(G197,Dados!$D:$L,4,0)&lt;=VLOOKUP(H197,Dados!$X:$AB,4,0)),0,1)</f>
        <v>0</v>
      </c>
      <c r="U197" s="4">
        <f>IF(COUNTIFS(F:F,F197,H:H,H197)&lt;=VLOOKUP(H197,Dados!$X:$AB,5,0),0,1)</f>
        <v>0</v>
      </c>
      <c r="W197" s="4">
        <v>876</v>
      </c>
      <c r="X197" s="4">
        <v>16</v>
      </c>
      <c r="Y197" s="4">
        <v>191</v>
      </c>
      <c r="Z197" s="4">
        <v>15</v>
      </c>
      <c r="AA197" s="4">
        <v>1</v>
      </c>
      <c r="AB197" s="4">
        <v>4</v>
      </c>
      <c r="AD197" s="4">
        <f>VLOOKUP(Z197,Dados!$S$3:$W$55,4,FALSE)</f>
        <v>5248</v>
      </c>
      <c r="AE197" s="4">
        <f t="shared" si="154"/>
        <v>3056</v>
      </c>
      <c r="AF197" s="4">
        <f t="shared" si="155"/>
        <v>83968</v>
      </c>
      <c r="AI197" s="13">
        <f>VLOOKUP(Z197,Dados!$S$3:$V$55,2,FALSE)*VLOOKUP(Z197,Dados!$S$3:$V$55,3,FALSE)*VLOOKUP(Z197,Dados!$S$3:$V$55,4,FALSE)*0.00000785</f>
        <v>51.495999999999995</v>
      </c>
      <c r="AJ197" s="13">
        <f t="shared" si="156"/>
        <v>823.93599999999992</v>
      </c>
      <c r="AK197" s="13">
        <f t="shared" si="157"/>
        <v>1.8741874999999997</v>
      </c>
      <c r="AL197" s="13">
        <f t="shared" si="158"/>
        <v>29.986999999999995</v>
      </c>
    </row>
    <row r="198" spans="6:67">
      <c r="F198" s="4">
        <v>185</v>
      </c>
      <c r="G198" s="4">
        <v>10</v>
      </c>
      <c r="H198" s="4">
        <v>1</v>
      </c>
      <c r="I198" s="4">
        <v>5</v>
      </c>
      <c r="J198" s="4">
        <v>2</v>
      </c>
      <c r="K198" s="4">
        <f t="shared" si="139"/>
        <v>0</v>
      </c>
      <c r="L198" s="4">
        <f t="shared" si="139"/>
        <v>12</v>
      </c>
      <c r="M198" s="4">
        <f t="shared" si="139"/>
        <v>0</v>
      </c>
      <c r="N198" s="4">
        <f t="shared" si="139"/>
        <v>0</v>
      </c>
      <c r="O198" s="4">
        <f t="shared" si="140"/>
        <v>0</v>
      </c>
      <c r="P198" s="4">
        <f t="shared" si="141"/>
        <v>24</v>
      </c>
      <c r="Q198" s="4">
        <f t="shared" si="142"/>
        <v>0</v>
      </c>
      <c r="R198" s="4">
        <f t="shared" si="143"/>
        <v>0</v>
      </c>
      <c r="S198" s="4">
        <f>IF(AND(VLOOKUP(G198,Dados!$D:$L,2,0)=VLOOKUP(I198,Dados!$S:$V,2,0),VLOOKUP(G198,Dados!$D:$L,3,0)=VLOOKUP(I198,Dados!$S:$V,3,0)),0,1)</f>
        <v>0</v>
      </c>
      <c r="T198" s="4">
        <f>IF(AND(VLOOKUP(G198,Dados!$D:$L,3,0)&lt;=VLOOKUP(H198,Dados!$X:$AB,2,0),VLOOKUP(G198,Dados!$D:$L,4,0)&gt;=VLOOKUP(H198,Dados!$X:$AB,3,0),VLOOKUP(G198,Dados!$D:$L,4,0)&lt;=VLOOKUP(H198,Dados!$X:$AB,4,0)),0,1)</f>
        <v>0</v>
      </c>
      <c r="U198" s="4">
        <f>IF(COUNTIFS(F:F,F198,H:H,H198)&lt;=VLOOKUP(H198,Dados!$X:$AB,5,0),0,1)</f>
        <v>0</v>
      </c>
      <c r="W198" s="4">
        <v>443</v>
      </c>
      <c r="X198" s="4">
        <v>2</v>
      </c>
      <c r="Y198" s="4">
        <v>54</v>
      </c>
      <c r="Z198" s="4">
        <v>15</v>
      </c>
      <c r="AA198" s="4">
        <v>3</v>
      </c>
      <c r="AB198" s="4">
        <v>4</v>
      </c>
      <c r="AD198" s="4">
        <f>VLOOKUP(Z198,Dados!$S$3:$W$55,4,FALSE)</f>
        <v>5248</v>
      </c>
      <c r="AE198" s="4">
        <f t="shared" si="154"/>
        <v>108</v>
      </c>
      <c r="AF198" s="4">
        <f t="shared" si="155"/>
        <v>10496</v>
      </c>
      <c r="AI198" s="13">
        <f>VLOOKUP(Z198,Dados!$S$3:$V$55,2,FALSE)*VLOOKUP(Z198,Dados!$S$3:$V$55,3,FALSE)*VLOOKUP(Z198,Dados!$S$3:$V$55,4,FALSE)*0.00000785</f>
        <v>51.495999999999995</v>
      </c>
      <c r="AJ198" s="13">
        <f t="shared" si="156"/>
        <v>102.99199999999999</v>
      </c>
      <c r="AK198" s="13">
        <f t="shared" si="157"/>
        <v>0.52987499999999987</v>
      </c>
      <c r="AL198" s="13">
        <f t="shared" si="158"/>
        <v>1.0597499999999997</v>
      </c>
    </row>
    <row r="199" spans="6:67">
      <c r="F199" s="4">
        <v>185</v>
      </c>
      <c r="G199" s="4">
        <v>11</v>
      </c>
      <c r="H199" s="4">
        <v>1</v>
      </c>
      <c r="I199" s="4">
        <v>5</v>
      </c>
      <c r="J199" s="4">
        <v>9</v>
      </c>
      <c r="K199" s="4">
        <f t="shared" si="139"/>
        <v>0</v>
      </c>
      <c r="L199" s="4">
        <f t="shared" si="139"/>
        <v>12</v>
      </c>
      <c r="M199" s="4">
        <f t="shared" si="139"/>
        <v>0</v>
      </c>
      <c r="N199" s="4">
        <f t="shared" si="139"/>
        <v>0</v>
      </c>
      <c r="O199" s="4">
        <f t="shared" si="140"/>
        <v>0</v>
      </c>
      <c r="P199" s="4">
        <f t="shared" si="141"/>
        <v>108</v>
      </c>
      <c r="Q199" s="4">
        <f t="shared" si="142"/>
        <v>0</v>
      </c>
      <c r="R199" s="4">
        <f t="shared" si="143"/>
        <v>0</v>
      </c>
      <c r="S199" s="4">
        <f>IF(AND(VLOOKUP(G199,Dados!$D:$L,2,0)=VLOOKUP(I199,Dados!$S:$V,2,0),VLOOKUP(G199,Dados!$D:$L,3,0)=VLOOKUP(I199,Dados!$S:$V,3,0)),0,1)</f>
        <v>0</v>
      </c>
      <c r="T199" s="4">
        <f>IF(AND(VLOOKUP(G199,Dados!$D:$L,3,0)&lt;=VLOOKUP(H199,Dados!$X:$AB,2,0),VLOOKUP(G199,Dados!$D:$L,4,0)&gt;=VLOOKUP(H199,Dados!$X:$AB,3,0),VLOOKUP(G199,Dados!$D:$L,4,0)&lt;=VLOOKUP(H199,Dados!$X:$AB,4,0)),0,1)</f>
        <v>0</v>
      </c>
      <c r="U199" s="4">
        <f>IF(COUNTIFS(F:F,F199,H:H,H199)&lt;=VLOOKUP(H199,Dados!$X:$AB,5,0),0,1)</f>
        <v>0</v>
      </c>
      <c r="W199" s="4">
        <v>959</v>
      </c>
      <c r="X199" s="4">
        <v>15</v>
      </c>
      <c r="Y199" s="4">
        <v>25</v>
      </c>
      <c r="Z199" s="4">
        <v>16</v>
      </c>
      <c r="AA199" s="4">
        <v>2</v>
      </c>
      <c r="AB199" s="4">
        <v>4</v>
      </c>
      <c r="AD199" s="4">
        <f>VLOOKUP(Z199,Dados!$S$3:$W$55,4,FALSE)</f>
        <v>5273</v>
      </c>
      <c r="AE199" s="4">
        <f t="shared" si="154"/>
        <v>375</v>
      </c>
      <c r="AF199" s="4">
        <f t="shared" si="155"/>
        <v>79095</v>
      </c>
      <c r="AI199" s="13">
        <f>VLOOKUP(Z199,Dados!$S$3:$V$55,2,FALSE)*VLOOKUP(Z199,Dados!$S$3:$V$55,3,FALSE)*VLOOKUP(Z199,Dados!$S$3:$V$55,4,FALSE)*0.00000785</f>
        <v>22.600605299999998</v>
      </c>
      <c r="AJ199" s="13">
        <f t="shared" si="156"/>
        <v>339.00907949999998</v>
      </c>
      <c r="AK199" s="13">
        <f t="shared" si="157"/>
        <v>0.10715249999999998</v>
      </c>
      <c r="AL199" s="13">
        <f t="shared" si="158"/>
        <v>1.6072874999999998</v>
      </c>
    </row>
    <row r="200" spans="6:67">
      <c r="F200" s="4">
        <v>186</v>
      </c>
      <c r="G200" s="4">
        <v>10</v>
      </c>
      <c r="H200" s="4">
        <v>2</v>
      </c>
      <c r="I200" s="4">
        <v>5</v>
      </c>
      <c r="J200" s="4">
        <v>2</v>
      </c>
      <c r="K200" s="4">
        <f t="shared" si="139"/>
        <v>0</v>
      </c>
      <c r="L200" s="4">
        <f t="shared" si="139"/>
        <v>1</v>
      </c>
      <c r="M200" s="4">
        <f t="shared" si="139"/>
        <v>0</v>
      </c>
      <c r="N200" s="4">
        <f t="shared" si="139"/>
        <v>0</v>
      </c>
      <c r="O200" s="4">
        <f t="shared" si="140"/>
        <v>0</v>
      </c>
      <c r="P200" s="4">
        <f t="shared" si="141"/>
        <v>2</v>
      </c>
      <c r="Q200" s="4">
        <f t="shared" si="142"/>
        <v>0</v>
      </c>
      <c r="R200" s="4">
        <f t="shared" si="143"/>
        <v>0</v>
      </c>
      <c r="S200" s="4">
        <f>IF(AND(VLOOKUP(G200,Dados!$D:$L,2,0)=VLOOKUP(I200,Dados!$S:$V,2,0),VLOOKUP(G200,Dados!$D:$L,3,0)=VLOOKUP(I200,Dados!$S:$V,3,0)),0,1)</f>
        <v>0</v>
      </c>
      <c r="T200" s="4">
        <f>IF(AND(VLOOKUP(G200,Dados!$D:$L,3,0)&lt;=VLOOKUP(H200,Dados!$X:$AB,2,0),VLOOKUP(G200,Dados!$D:$L,4,0)&gt;=VLOOKUP(H200,Dados!$X:$AB,3,0),VLOOKUP(G200,Dados!$D:$L,4,0)&lt;=VLOOKUP(H200,Dados!$X:$AB,4,0)),0,1)</f>
        <v>0</v>
      </c>
      <c r="U200" s="4">
        <f>IF(COUNTIFS(F:F,F200,H:H,H200)&lt;=VLOOKUP(H200,Dados!$X:$AB,5,0),0,1)</f>
        <v>0</v>
      </c>
      <c r="W200" s="4">
        <v>1019</v>
      </c>
      <c r="X200" s="4">
        <v>2</v>
      </c>
      <c r="Y200" s="4">
        <v>36</v>
      </c>
      <c r="Z200" s="4">
        <v>16</v>
      </c>
      <c r="AA200" s="4">
        <v>3</v>
      </c>
      <c r="AB200" s="4">
        <v>4</v>
      </c>
      <c r="AD200" s="4">
        <f>VLOOKUP(Z200,Dados!$S$3:$W$55,4,FALSE)</f>
        <v>5273</v>
      </c>
      <c r="AE200" s="4">
        <f t="shared" si="154"/>
        <v>72</v>
      </c>
      <c r="AF200" s="4">
        <f t="shared" si="155"/>
        <v>10546</v>
      </c>
      <c r="AI200" s="13">
        <f>VLOOKUP(Z200,Dados!$S$3:$V$55,2,FALSE)*VLOOKUP(Z200,Dados!$S$3:$V$55,3,FALSE)*VLOOKUP(Z200,Dados!$S$3:$V$55,4,FALSE)*0.00000785</f>
        <v>22.600605299999998</v>
      </c>
      <c r="AJ200" s="13">
        <f t="shared" si="156"/>
        <v>45.201210599999996</v>
      </c>
      <c r="AK200" s="13">
        <f t="shared" si="157"/>
        <v>0.15429959999999998</v>
      </c>
      <c r="AL200" s="13">
        <f t="shared" si="158"/>
        <v>0.30859919999999996</v>
      </c>
    </row>
    <row r="201" spans="6:67">
      <c r="F201" s="4">
        <v>186</v>
      </c>
      <c r="G201" s="4">
        <v>11</v>
      </c>
      <c r="H201" s="4">
        <v>2</v>
      </c>
      <c r="I201" s="4">
        <v>5</v>
      </c>
      <c r="J201" s="4">
        <v>9</v>
      </c>
      <c r="K201" s="4">
        <f t="shared" si="139"/>
        <v>0</v>
      </c>
      <c r="L201" s="4">
        <f t="shared" si="139"/>
        <v>1</v>
      </c>
      <c r="M201" s="4">
        <f t="shared" si="139"/>
        <v>0</v>
      </c>
      <c r="N201" s="4">
        <f t="shared" si="139"/>
        <v>0</v>
      </c>
      <c r="O201" s="4">
        <f t="shared" si="140"/>
        <v>0</v>
      </c>
      <c r="P201" s="4">
        <f t="shared" si="141"/>
        <v>9</v>
      </c>
      <c r="Q201" s="4">
        <f t="shared" si="142"/>
        <v>0</v>
      </c>
      <c r="R201" s="4">
        <f t="shared" si="143"/>
        <v>0</v>
      </c>
      <c r="S201" s="4">
        <f>IF(AND(VLOOKUP(G201,Dados!$D:$L,2,0)=VLOOKUP(I201,Dados!$S:$V,2,0),VLOOKUP(G201,Dados!$D:$L,3,0)=VLOOKUP(I201,Dados!$S:$V,3,0)),0,1)</f>
        <v>0</v>
      </c>
      <c r="T201" s="4">
        <f>IF(AND(VLOOKUP(G201,Dados!$D:$L,3,0)&lt;=VLOOKUP(H201,Dados!$X:$AB,2,0),VLOOKUP(G201,Dados!$D:$L,4,0)&gt;=VLOOKUP(H201,Dados!$X:$AB,3,0),VLOOKUP(G201,Dados!$D:$L,4,0)&lt;=VLOOKUP(H201,Dados!$X:$AB,4,0)),0,1)</f>
        <v>0</v>
      </c>
      <c r="U201" s="4">
        <f>IF(COUNTIFS(F:F,F201,H:H,H201)&lt;=VLOOKUP(H201,Dados!$X:$AB,5,0),0,1)</f>
        <v>0</v>
      </c>
      <c r="W201" s="4">
        <v>1071</v>
      </c>
      <c r="X201" s="4">
        <v>1</v>
      </c>
      <c r="Y201" s="4">
        <v>21</v>
      </c>
      <c r="Z201" s="4">
        <v>16</v>
      </c>
      <c r="AA201" s="4">
        <v>3</v>
      </c>
      <c r="AB201" s="4">
        <v>4</v>
      </c>
      <c r="AD201" s="4">
        <f>VLOOKUP(Z201,Dados!$S$3:$W$55,4,FALSE)</f>
        <v>5273</v>
      </c>
      <c r="AE201" s="4">
        <f t="shared" si="154"/>
        <v>21</v>
      </c>
      <c r="AF201" s="4">
        <f t="shared" si="155"/>
        <v>5273</v>
      </c>
      <c r="AI201" s="13">
        <f>VLOOKUP(Z201,Dados!$S$3:$V$55,2,FALSE)*VLOOKUP(Z201,Dados!$S$3:$V$55,3,FALSE)*VLOOKUP(Z201,Dados!$S$3:$V$55,4,FALSE)*0.00000785</f>
        <v>22.600605299999998</v>
      </c>
      <c r="AJ201" s="13">
        <f t="shared" si="156"/>
        <v>22.600605299999998</v>
      </c>
      <c r="AK201" s="13">
        <f t="shared" si="157"/>
        <v>9.000809999999998E-2</v>
      </c>
      <c r="AL201" s="13">
        <f t="shared" si="158"/>
        <v>9.000809999999998E-2</v>
      </c>
    </row>
    <row r="202" spans="6:67">
      <c r="F202" s="4">
        <v>187</v>
      </c>
      <c r="G202" s="4">
        <v>10</v>
      </c>
      <c r="H202" s="4">
        <v>3</v>
      </c>
      <c r="I202" s="4">
        <v>5</v>
      </c>
      <c r="J202" s="4">
        <v>2</v>
      </c>
      <c r="K202" s="4">
        <f t="shared" si="139"/>
        <v>0</v>
      </c>
      <c r="L202" s="4">
        <f t="shared" si="139"/>
        <v>0</v>
      </c>
      <c r="M202" s="4">
        <f t="shared" si="139"/>
        <v>0</v>
      </c>
      <c r="N202" s="4">
        <f t="shared" si="139"/>
        <v>0</v>
      </c>
      <c r="O202" s="4">
        <f t="shared" si="140"/>
        <v>0</v>
      </c>
      <c r="P202" s="4">
        <f t="shared" si="141"/>
        <v>0</v>
      </c>
      <c r="Q202" s="4">
        <f t="shared" si="142"/>
        <v>0</v>
      </c>
      <c r="R202" s="4">
        <f t="shared" si="143"/>
        <v>0</v>
      </c>
      <c r="S202" s="4">
        <f>IF(AND(VLOOKUP(G202,Dados!$D:$L,2,0)=VLOOKUP(I202,Dados!$S:$V,2,0),VLOOKUP(G202,Dados!$D:$L,3,0)=VLOOKUP(I202,Dados!$S:$V,3,0)),0,1)</f>
        <v>0</v>
      </c>
      <c r="T202" s="4">
        <f>IF(AND(VLOOKUP(G202,Dados!$D:$L,3,0)&lt;=VLOOKUP(H202,Dados!$X:$AB,2,0),VLOOKUP(G202,Dados!$D:$L,4,0)&gt;=VLOOKUP(H202,Dados!$X:$AB,3,0),VLOOKUP(G202,Dados!$D:$L,4,0)&lt;=VLOOKUP(H202,Dados!$X:$AB,4,0)),0,1)</f>
        <v>0</v>
      </c>
      <c r="U202" s="4">
        <f>IF(COUNTIFS(F:F,F202,H:H,H202)&lt;=VLOOKUP(H202,Dados!$X:$AB,5,0),0,1)</f>
        <v>0</v>
      </c>
      <c r="W202" s="4">
        <v>1135</v>
      </c>
      <c r="X202" s="4">
        <v>2</v>
      </c>
      <c r="Y202" s="4">
        <v>23</v>
      </c>
      <c r="Z202" s="4">
        <v>16</v>
      </c>
      <c r="AA202" s="4">
        <v>3</v>
      </c>
      <c r="AB202" s="4">
        <v>4</v>
      </c>
      <c r="AD202" s="4">
        <f>VLOOKUP(Z202,Dados!$S$3:$W$55,4,FALSE)</f>
        <v>5273</v>
      </c>
      <c r="AE202" s="4">
        <f t="shared" si="154"/>
        <v>46</v>
      </c>
      <c r="AF202" s="4">
        <f t="shared" si="155"/>
        <v>10546</v>
      </c>
      <c r="AI202" s="13">
        <f>VLOOKUP(Z202,Dados!$S$3:$V$55,2,FALSE)*VLOOKUP(Z202,Dados!$S$3:$V$55,3,FALSE)*VLOOKUP(Z202,Dados!$S$3:$V$55,4,FALSE)*0.00000785</f>
        <v>22.600605299999998</v>
      </c>
      <c r="AJ202" s="13">
        <f t="shared" si="156"/>
        <v>45.201210599999996</v>
      </c>
      <c r="AK202" s="13">
        <f t="shared" si="157"/>
        <v>9.8580299999999982E-2</v>
      </c>
      <c r="AL202" s="13">
        <f t="shared" si="158"/>
        <v>0.19716059999999996</v>
      </c>
    </row>
    <row r="203" spans="6:67">
      <c r="F203" s="4">
        <v>187</v>
      </c>
      <c r="G203" s="4">
        <v>11</v>
      </c>
      <c r="H203" s="4">
        <v>3</v>
      </c>
      <c r="I203" s="4">
        <v>5</v>
      </c>
      <c r="J203" s="4">
        <v>9</v>
      </c>
      <c r="K203" s="4">
        <f t="shared" si="139"/>
        <v>0</v>
      </c>
      <c r="L203" s="4">
        <f t="shared" si="139"/>
        <v>0</v>
      </c>
      <c r="M203" s="4">
        <f t="shared" si="139"/>
        <v>0</v>
      </c>
      <c r="N203" s="4">
        <f t="shared" si="139"/>
        <v>0</v>
      </c>
      <c r="O203" s="4">
        <f t="shared" si="140"/>
        <v>0</v>
      </c>
      <c r="P203" s="4">
        <f t="shared" si="141"/>
        <v>0</v>
      </c>
      <c r="Q203" s="4">
        <f t="shared" si="142"/>
        <v>0</v>
      </c>
      <c r="R203" s="4">
        <f t="shared" si="143"/>
        <v>0</v>
      </c>
      <c r="S203" s="4">
        <f>IF(AND(VLOOKUP(G203,Dados!$D:$L,2,0)=VLOOKUP(I203,Dados!$S:$V,2,0),VLOOKUP(G203,Dados!$D:$L,3,0)=VLOOKUP(I203,Dados!$S:$V,3,0)),0,1)</f>
        <v>0</v>
      </c>
      <c r="T203" s="4">
        <f>IF(AND(VLOOKUP(G203,Dados!$D:$L,3,0)&lt;=VLOOKUP(H203,Dados!$X:$AB,2,0),VLOOKUP(G203,Dados!$D:$L,4,0)&gt;=VLOOKUP(H203,Dados!$X:$AB,3,0),VLOOKUP(G203,Dados!$D:$L,4,0)&lt;=VLOOKUP(H203,Dados!$X:$AB,4,0)),0,1)</f>
        <v>0</v>
      </c>
      <c r="U203" s="4">
        <f>IF(COUNTIFS(F:F,F203,H:H,H203)&lt;=VLOOKUP(H203,Dados!$X:$AB,5,0),0,1)</f>
        <v>0</v>
      </c>
      <c r="W203" s="4">
        <v>96</v>
      </c>
      <c r="X203" s="4">
        <v>1</v>
      </c>
      <c r="Y203" s="4">
        <v>83</v>
      </c>
      <c r="Z203" s="4">
        <v>17</v>
      </c>
      <c r="AA203" s="4">
        <v>2</v>
      </c>
      <c r="AB203" s="4">
        <v>4</v>
      </c>
      <c r="AD203" s="4">
        <f>VLOOKUP(Z203,Dados!$S$3:$W$55,4,FALSE)</f>
        <v>6041</v>
      </c>
      <c r="AE203" s="4">
        <f t="shared" si="154"/>
        <v>83</v>
      </c>
      <c r="AF203" s="4">
        <f t="shared" si="155"/>
        <v>6041</v>
      </c>
      <c r="AI203" s="13">
        <f>VLOOKUP(Z203,Dados!$S$3:$V$55,2,FALSE)*VLOOKUP(Z203,Dados!$S$3:$V$55,3,FALSE)*VLOOKUP(Z203,Dados!$S$3:$V$55,4,FALSE)*0.00000785</f>
        <v>24.754205699999996</v>
      </c>
      <c r="AJ203" s="13">
        <f t="shared" si="156"/>
        <v>24.754205699999996</v>
      </c>
      <c r="AK203" s="13">
        <f t="shared" si="157"/>
        <v>0.34010909999999994</v>
      </c>
      <c r="AL203" s="13">
        <f t="shared" si="158"/>
        <v>0.34010909999999994</v>
      </c>
    </row>
    <row r="204" spans="6:67">
      <c r="F204" s="4">
        <v>188</v>
      </c>
      <c r="G204" s="4">
        <v>10</v>
      </c>
      <c r="H204" s="4">
        <v>1</v>
      </c>
      <c r="I204" s="4">
        <v>6</v>
      </c>
      <c r="J204" s="4">
        <v>3</v>
      </c>
      <c r="K204" s="4">
        <f t="shared" si="139"/>
        <v>0</v>
      </c>
      <c r="L204" s="4">
        <f t="shared" si="139"/>
        <v>0</v>
      </c>
      <c r="M204" s="4">
        <f t="shared" si="139"/>
        <v>0</v>
      </c>
      <c r="N204" s="4">
        <f t="shared" si="139"/>
        <v>0</v>
      </c>
      <c r="O204" s="4">
        <f t="shared" si="140"/>
        <v>0</v>
      </c>
      <c r="P204" s="4">
        <f t="shared" si="141"/>
        <v>0</v>
      </c>
      <c r="Q204" s="4">
        <f t="shared" si="142"/>
        <v>0</v>
      </c>
      <c r="R204" s="4">
        <f t="shared" si="143"/>
        <v>0</v>
      </c>
      <c r="S204" s="4">
        <f>IF(AND(VLOOKUP(G204,Dados!$D:$L,2,0)=VLOOKUP(I204,Dados!$S:$V,2,0),VLOOKUP(G204,Dados!$D:$L,3,0)=VLOOKUP(I204,Dados!$S:$V,3,0)),0,1)</f>
        <v>0</v>
      </c>
      <c r="T204" s="4">
        <f>IF(AND(VLOOKUP(G204,Dados!$D:$L,3,0)&lt;=VLOOKUP(H204,Dados!$X:$AB,2,0),VLOOKUP(G204,Dados!$D:$L,4,0)&gt;=VLOOKUP(H204,Dados!$X:$AB,3,0),VLOOKUP(G204,Dados!$D:$L,4,0)&lt;=VLOOKUP(H204,Dados!$X:$AB,4,0)),0,1)</f>
        <v>0</v>
      </c>
      <c r="U204" s="4">
        <f>IF(COUNTIFS(F:F,F204,H:H,H204)&lt;=VLOOKUP(H204,Dados!$X:$AB,5,0),0,1)</f>
        <v>0</v>
      </c>
      <c r="W204" s="4">
        <v>754</v>
      </c>
      <c r="X204" s="4">
        <v>50</v>
      </c>
      <c r="Y204" s="4">
        <v>8</v>
      </c>
      <c r="Z204" s="4">
        <v>17</v>
      </c>
      <c r="AA204" s="4">
        <v>2</v>
      </c>
      <c r="AB204" s="4">
        <v>4</v>
      </c>
      <c r="AD204" s="4">
        <f>VLOOKUP(Z204,Dados!$S$3:$W$55,4,FALSE)</f>
        <v>6041</v>
      </c>
      <c r="AE204" s="4">
        <f t="shared" si="154"/>
        <v>400</v>
      </c>
      <c r="AF204" s="4">
        <f t="shared" si="155"/>
        <v>302050</v>
      </c>
      <c r="AI204" s="13">
        <f>VLOOKUP(Z204,Dados!$S$3:$V$55,2,FALSE)*VLOOKUP(Z204,Dados!$S$3:$V$55,3,FALSE)*VLOOKUP(Z204,Dados!$S$3:$V$55,4,FALSE)*0.00000785</f>
        <v>24.754205699999996</v>
      </c>
      <c r="AJ204" s="13">
        <f t="shared" si="156"/>
        <v>1237.7102849999999</v>
      </c>
      <c r="AK204" s="13">
        <f t="shared" si="157"/>
        <v>3.2781599999999994E-2</v>
      </c>
      <c r="AL204" s="13">
        <f t="shared" si="158"/>
        <v>1.6390799999999996</v>
      </c>
    </row>
    <row r="205" spans="6:67">
      <c r="F205" s="4">
        <v>188</v>
      </c>
      <c r="G205" s="4">
        <v>11</v>
      </c>
      <c r="H205" s="4">
        <v>1</v>
      </c>
      <c r="I205" s="4">
        <v>6</v>
      </c>
      <c r="J205" s="4">
        <v>8</v>
      </c>
      <c r="K205" s="4">
        <f t="shared" si="139"/>
        <v>0</v>
      </c>
      <c r="L205" s="4">
        <f t="shared" si="139"/>
        <v>0</v>
      </c>
      <c r="M205" s="4">
        <f t="shared" si="139"/>
        <v>0</v>
      </c>
      <c r="N205" s="4">
        <f t="shared" si="139"/>
        <v>0</v>
      </c>
      <c r="O205" s="4">
        <f t="shared" si="140"/>
        <v>0</v>
      </c>
      <c r="P205" s="4">
        <f t="shared" si="141"/>
        <v>0</v>
      </c>
      <c r="Q205" s="4">
        <f t="shared" si="142"/>
        <v>0</v>
      </c>
      <c r="R205" s="4">
        <f t="shared" si="143"/>
        <v>0</v>
      </c>
      <c r="S205" s="4">
        <f>IF(AND(VLOOKUP(G205,Dados!$D:$L,2,0)=VLOOKUP(I205,Dados!$S:$V,2,0),VLOOKUP(G205,Dados!$D:$L,3,0)=VLOOKUP(I205,Dados!$S:$V,3,0)),0,1)</f>
        <v>0</v>
      </c>
      <c r="T205" s="4">
        <f>IF(AND(VLOOKUP(G205,Dados!$D:$L,3,0)&lt;=VLOOKUP(H205,Dados!$X:$AB,2,0),VLOOKUP(G205,Dados!$D:$L,4,0)&gt;=VLOOKUP(H205,Dados!$X:$AB,3,0),VLOOKUP(G205,Dados!$D:$L,4,0)&lt;=VLOOKUP(H205,Dados!$X:$AB,4,0)),0,1)</f>
        <v>0</v>
      </c>
      <c r="U205" s="4">
        <f>IF(COUNTIFS(F:F,F205,H:H,H205)&lt;=VLOOKUP(H205,Dados!$X:$AB,5,0),0,1)</f>
        <v>0</v>
      </c>
      <c r="W205" s="4">
        <v>893</v>
      </c>
      <c r="X205" s="4">
        <v>3</v>
      </c>
      <c r="Y205" s="4">
        <v>0</v>
      </c>
      <c r="Z205" s="4">
        <v>17</v>
      </c>
      <c r="AA205" s="4">
        <v>2</v>
      </c>
      <c r="AB205" s="4">
        <v>4</v>
      </c>
      <c r="AD205" s="4">
        <f>VLOOKUP(Z205,Dados!$S$3:$W$55,4,FALSE)</f>
        <v>6041</v>
      </c>
      <c r="AE205" s="4">
        <f t="shared" si="154"/>
        <v>0</v>
      </c>
      <c r="AF205" s="4">
        <f t="shared" si="155"/>
        <v>18123</v>
      </c>
      <c r="AI205" s="13">
        <f>VLOOKUP(Z205,Dados!$S$3:$V$55,2,FALSE)*VLOOKUP(Z205,Dados!$S$3:$V$55,3,FALSE)*VLOOKUP(Z205,Dados!$S$3:$V$55,4,FALSE)*0.00000785</f>
        <v>24.754205699999996</v>
      </c>
      <c r="AJ205" s="13">
        <f t="shared" si="156"/>
        <v>74.262617099999986</v>
      </c>
      <c r="AK205" s="13">
        <f t="shared" si="157"/>
        <v>0</v>
      </c>
      <c r="AL205" s="13">
        <f t="shared" si="158"/>
        <v>0</v>
      </c>
    </row>
    <row r="206" spans="6:67">
      <c r="F206" s="4">
        <v>189</v>
      </c>
      <c r="G206" s="4">
        <v>10</v>
      </c>
      <c r="H206" s="4">
        <v>2</v>
      </c>
      <c r="I206" s="4">
        <v>6</v>
      </c>
      <c r="J206" s="4">
        <v>3</v>
      </c>
      <c r="K206" s="4">
        <f t="shared" si="139"/>
        <v>0</v>
      </c>
      <c r="L206" s="4">
        <f t="shared" si="139"/>
        <v>0</v>
      </c>
      <c r="M206" s="4">
        <f t="shared" si="139"/>
        <v>0</v>
      </c>
      <c r="N206" s="4">
        <f t="shared" si="139"/>
        <v>0</v>
      </c>
      <c r="O206" s="4">
        <f t="shared" si="140"/>
        <v>0</v>
      </c>
      <c r="P206" s="4">
        <f t="shared" si="141"/>
        <v>0</v>
      </c>
      <c r="Q206" s="4">
        <f t="shared" si="142"/>
        <v>0</v>
      </c>
      <c r="R206" s="4">
        <f t="shared" si="143"/>
        <v>0</v>
      </c>
      <c r="S206" s="4">
        <f>IF(AND(VLOOKUP(G206,Dados!$D:$L,2,0)=VLOOKUP(I206,Dados!$S:$V,2,0),VLOOKUP(G206,Dados!$D:$L,3,0)=VLOOKUP(I206,Dados!$S:$V,3,0)),0,1)</f>
        <v>0</v>
      </c>
      <c r="T206" s="4">
        <f>IF(AND(VLOOKUP(G206,Dados!$D:$L,3,0)&lt;=VLOOKUP(H206,Dados!$X:$AB,2,0),VLOOKUP(G206,Dados!$D:$L,4,0)&gt;=VLOOKUP(H206,Dados!$X:$AB,3,0),VLOOKUP(G206,Dados!$D:$L,4,0)&lt;=VLOOKUP(H206,Dados!$X:$AB,4,0)),0,1)</f>
        <v>0</v>
      </c>
      <c r="U206" s="4">
        <f>IF(COUNTIFS(F:F,F206,H:H,H206)&lt;=VLOOKUP(H206,Dados!$X:$AB,5,0),0,1)</f>
        <v>0</v>
      </c>
      <c r="W206" s="4">
        <v>1021</v>
      </c>
      <c r="X206" s="4">
        <v>2</v>
      </c>
      <c r="Y206" s="4">
        <v>26</v>
      </c>
      <c r="Z206" s="4">
        <v>17</v>
      </c>
      <c r="AA206" s="4">
        <v>2</v>
      </c>
      <c r="AB206" s="4">
        <v>4</v>
      </c>
      <c r="AD206" s="4">
        <f>VLOOKUP(Z206,Dados!$S$3:$W$55,4,FALSE)</f>
        <v>6041</v>
      </c>
      <c r="AE206" s="4">
        <f t="shared" si="154"/>
        <v>52</v>
      </c>
      <c r="AF206" s="4">
        <f t="shared" si="155"/>
        <v>12082</v>
      </c>
      <c r="AI206" s="13">
        <f>VLOOKUP(Z206,Dados!$S$3:$V$55,2,FALSE)*VLOOKUP(Z206,Dados!$S$3:$V$55,3,FALSE)*VLOOKUP(Z206,Dados!$S$3:$V$55,4,FALSE)*0.00000785</f>
        <v>24.754205699999996</v>
      </c>
      <c r="AJ206" s="13">
        <f t="shared" si="156"/>
        <v>49.508411399999993</v>
      </c>
      <c r="AK206" s="13">
        <f t="shared" si="157"/>
        <v>0.10654019999999997</v>
      </c>
      <c r="AL206" s="13">
        <f t="shared" si="158"/>
        <v>0.21308039999999995</v>
      </c>
    </row>
    <row r="207" spans="6:67">
      <c r="F207" s="4">
        <v>189</v>
      </c>
      <c r="G207" s="4">
        <v>11</v>
      </c>
      <c r="H207" s="4">
        <v>2</v>
      </c>
      <c r="I207" s="4">
        <v>6</v>
      </c>
      <c r="J207" s="4">
        <v>8</v>
      </c>
      <c r="K207" s="4">
        <f t="shared" si="139"/>
        <v>0</v>
      </c>
      <c r="L207" s="4">
        <f t="shared" si="139"/>
        <v>0</v>
      </c>
      <c r="M207" s="4">
        <f t="shared" si="139"/>
        <v>0</v>
      </c>
      <c r="N207" s="4">
        <f t="shared" si="139"/>
        <v>0</v>
      </c>
      <c r="O207" s="4">
        <f t="shared" si="140"/>
        <v>0</v>
      </c>
      <c r="P207" s="4">
        <f t="shared" si="141"/>
        <v>0</v>
      </c>
      <c r="Q207" s="4">
        <f t="shared" si="142"/>
        <v>0</v>
      </c>
      <c r="R207" s="4">
        <f t="shared" si="143"/>
        <v>0</v>
      </c>
      <c r="S207" s="4">
        <f>IF(AND(VLOOKUP(G207,Dados!$D:$L,2,0)=VLOOKUP(I207,Dados!$S:$V,2,0),VLOOKUP(G207,Dados!$D:$L,3,0)=VLOOKUP(I207,Dados!$S:$V,3,0)),0,1)</f>
        <v>0</v>
      </c>
      <c r="T207" s="4">
        <f>IF(AND(VLOOKUP(G207,Dados!$D:$L,3,0)&lt;=VLOOKUP(H207,Dados!$X:$AB,2,0),VLOOKUP(G207,Dados!$D:$L,4,0)&gt;=VLOOKUP(H207,Dados!$X:$AB,3,0),VLOOKUP(G207,Dados!$D:$L,4,0)&lt;=VLOOKUP(H207,Dados!$X:$AB,4,0)),0,1)</f>
        <v>0</v>
      </c>
      <c r="U207" s="4">
        <f>IF(COUNTIFS(F:F,F207,H:H,H207)&lt;=VLOOKUP(H207,Dados!$X:$AB,5,0),0,1)</f>
        <v>0</v>
      </c>
      <c r="W207" s="4">
        <v>1073</v>
      </c>
      <c r="X207" s="4">
        <v>1</v>
      </c>
      <c r="Y207" s="4">
        <v>10</v>
      </c>
      <c r="Z207" s="4">
        <v>17</v>
      </c>
      <c r="AA207" s="4">
        <v>2</v>
      </c>
      <c r="AB207" s="4">
        <v>4</v>
      </c>
      <c r="AD207" s="4">
        <f>VLOOKUP(Z207,Dados!$S$3:$W$55,4,FALSE)</f>
        <v>6041</v>
      </c>
      <c r="AE207" s="4">
        <f t="shared" si="154"/>
        <v>10</v>
      </c>
      <c r="AF207" s="4">
        <f t="shared" si="155"/>
        <v>6041</v>
      </c>
      <c r="AI207" s="13">
        <f>VLOOKUP(Z207,Dados!$S$3:$V$55,2,FALSE)*VLOOKUP(Z207,Dados!$S$3:$V$55,3,FALSE)*VLOOKUP(Z207,Dados!$S$3:$V$55,4,FALSE)*0.00000785</f>
        <v>24.754205699999996</v>
      </c>
      <c r="AJ207" s="13">
        <f t="shared" si="156"/>
        <v>24.754205699999996</v>
      </c>
      <c r="AK207" s="13">
        <f t="shared" si="157"/>
        <v>4.0976999999999993E-2</v>
      </c>
      <c r="AL207" s="13">
        <f t="shared" si="158"/>
        <v>4.0976999999999993E-2</v>
      </c>
    </row>
    <row r="208" spans="6:67">
      <c r="F208" s="4">
        <v>190</v>
      </c>
      <c r="G208" s="4">
        <v>10</v>
      </c>
      <c r="H208" s="4">
        <v>3</v>
      </c>
      <c r="I208" s="4">
        <v>6</v>
      </c>
      <c r="J208" s="4">
        <v>3</v>
      </c>
      <c r="K208" s="4">
        <f t="shared" si="139"/>
        <v>0</v>
      </c>
      <c r="L208" s="4">
        <f t="shared" si="139"/>
        <v>0</v>
      </c>
      <c r="M208" s="4">
        <f t="shared" si="139"/>
        <v>0</v>
      </c>
      <c r="N208" s="4">
        <f t="shared" si="139"/>
        <v>0</v>
      </c>
      <c r="O208" s="4">
        <f t="shared" si="140"/>
        <v>0</v>
      </c>
      <c r="P208" s="4">
        <f t="shared" si="141"/>
        <v>0</v>
      </c>
      <c r="Q208" s="4">
        <f t="shared" si="142"/>
        <v>0</v>
      </c>
      <c r="R208" s="4">
        <f t="shared" si="143"/>
        <v>0</v>
      </c>
      <c r="S208" s="4">
        <f>IF(AND(VLOOKUP(G208,Dados!$D:$L,2,0)=VLOOKUP(I208,Dados!$S:$V,2,0),VLOOKUP(G208,Dados!$D:$L,3,0)=VLOOKUP(I208,Dados!$S:$V,3,0)),0,1)</f>
        <v>0</v>
      </c>
      <c r="T208" s="4">
        <f>IF(AND(VLOOKUP(G208,Dados!$D:$L,3,0)&lt;=VLOOKUP(H208,Dados!$X:$AB,2,0),VLOOKUP(G208,Dados!$D:$L,4,0)&gt;=VLOOKUP(H208,Dados!$X:$AB,3,0),VLOOKUP(G208,Dados!$D:$L,4,0)&lt;=VLOOKUP(H208,Dados!$X:$AB,4,0)),0,1)</f>
        <v>0</v>
      </c>
      <c r="U208" s="4">
        <f>IF(COUNTIFS(F:F,F208,H:H,H208)&lt;=VLOOKUP(H208,Dados!$X:$AB,5,0),0,1)</f>
        <v>0</v>
      </c>
      <c r="W208" s="4">
        <v>1022</v>
      </c>
      <c r="X208" s="4">
        <v>13</v>
      </c>
      <c r="Y208" s="4">
        <v>7</v>
      </c>
      <c r="Z208" s="4">
        <v>17</v>
      </c>
      <c r="AA208" s="4">
        <v>3</v>
      </c>
      <c r="AB208" s="4">
        <v>4</v>
      </c>
      <c r="AD208" s="4">
        <f>VLOOKUP(Z208,Dados!$S$3:$W$55,4,FALSE)</f>
        <v>6041</v>
      </c>
      <c r="AE208" s="4">
        <f t="shared" si="154"/>
        <v>91</v>
      </c>
      <c r="AF208" s="4">
        <f t="shared" si="155"/>
        <v>78533</v>
      </c>
      <c r="AI208" s="13">
        <f>VLOOKUP(Z208,Dados!$S$3:$V$55,2,FALSE)*VLOOKUP(Z208,Dados!$S$3:$V$55,3,FALSE)*VLOOKUP(Z208,Dados!$S$3:$V$55,4,FALSE)*0.00000785</f>
        <v>24.754205699999996</v>
      </c>
      <c r="AJ208" s="13">
        <f t="shared" si="156"/>
        <v>321.80467409999994</v>
      </c>
      <c r="AK208" s="13">
        <f t="shared" si="157"/>
        <v>2.8683899999999995E-2</v>
      </c>
      <c r="AL208" s="13">
        <f t="shared" si="158"/>
        <v>0.37289069999999991</v>
      </c>
    </row>
    <row r="209" spans="6:38">
      <c r="F209" s="4">
        <v>190</v>
      </c>
      <c r="G209" s="4">
        <v>11</v>
      </c>
      <c r="H209" s="4">
        <v>3</v>
      </c>
      <c r="I209" s="4">
        <v>6</v>
      </c>
      <c r="J209" s="4">
        <v>8</v>
      </c>
      <c r="K209" s="4">
        <f t="shared" si="139"/>
        <v>0</v>
      </c>
      <c r="L209" s="4">
        <f t="shared" si="139"/>
        <v>0</v>
      </c>
      <c r="M209" s="4">
        <f t="shared" si="139"/>
        <v>0</v>
      </c>
      <c r="N209" s="4">
        <f t="shared" si="139"/>
        <v>0</v>
      </c>
      <c r="O209" s="4">
        <f t="shared" si="140"/>
        <v>0</v>
      </c>
      <c r="P209" s="4">
        <f t="shared" si="141"/>
        <v>0</v>
      </c>
      <c r="Q209" s="4">
        <f t="shared" si="142"/>
        <v>0</v>
      </c>
      <c r="R209" s="4">
        <f t="shared" si="143"/>
        <v>0</v>
      </c>
      <c r="S209" s="4">
        <f>IF(AND(VLOOKUP(G209,Dados!$D:$L,2,0)=VLOOKUP(I209,Dados!$S:$V,2,0),VLOOKUP(G209,Dados!$D:$L,3,0)=VLOOKUP(I209,Dados!$S:$V,3,0)),0,1)</f>
        <v>0</v>
      </c>
      <c r="T209" s="4">
        <f>IF(AND(VLOOKUP(G209,Dados!$D:$L,3,0)&lt;=VLOOKUP(H209,Dados!$X:$AB,2,0),VLOOKUP(G209,Dados!$D:$L,4,0)&gt;=VLOOKUP(H209,Dados!$X:$AB,3,0),VLOOKUP(G209,Dados!$D:$L,4,0)&lt;=VLOOKUP(H209,Dados!$X:$AB,4,0)),0,1)</f>
        <v>0</v>
      </c>
      <c r="U209" s="4">
        <f>IF(COUNTIFS(F:F,F209,H:H,H209)&lt;=VLOOKUP(H209,Dados!$X:$AB,5,0),0,1)</f>
        <v>0</v>
      </c>
      <c r="W209" s="4">
        <v>724</v>
      </c>
      <c r="X209" s="4">
        <v>1</v>
      </c>
      <c r="Y209" s="4">
        <v>0</v>
      </c>
      <c r="Z209" s="4">
        <v>18</v>
      </c>
      <c r="AA209" s="4">
        <v>1</v>
      </c>
      <c r="AB209" s="4">
        <v>4</v>
      </c>
      <c r="AD209" s="4">
        <f>VLOOKUP(Z209,Dados!$S$3:$W$55,4,FALSE)</f>
        <v>5206</v>
      </c>
      <c r="AE209" s="4">
        <f t="shared" si="154"/>
        <v>0</v>
      </c>
      <c r="AF209" s="4">
        <f t="shared" si="155"/>
        <v>5206</v>
      </c>
      <c r="AI209" s="13">
        <f>VLOOKUP(Z209,Dados!$S$3:$V$55,2,FALSE)*VLOOKUP(Z209,Dados!$S$3:$V$55,3,FALSE)*VLOOKUP(Z209,Dados!$S$3:$V$55,4,FALSE)*0.00000785</f>
        <v>61.096314499999998</v>
      </c>
      <c r="AJ209" s="13">
        <f t="shared" si="156"/>
        <v>61.096314499999998</v>
      </c>
      <c r="AK209" s="13">
        <f t="shared" si="157"/>
        <v>0</v>
      </c>
      <c r="AL209" s="13">
        <f t="shared" si="158"/>
        <v>0</v>
      </c>
    </row>
    <row r="210" spans="6:38">
      <c r="F210" s="4">
        <v>191</v>
      </c>
      <c r="G210" s="4">
        <v>10</v>
      </c>
      <c r="H210" s="4">
        <v>1</v>
      </c>
      <c r="I210" s="4">
        <v>7</v>
      </c>
      <c r="J210" s="4">
        <v>1</v>
      </c>
      <c r="K210" s="4">
        <f t="shared" si="139"/>
        <v>1</v>
      </c>
      <c r="L210" s="4">
        <f t="shared" si="139"/>
        <v>0</v>
      </c>
      <c r="M210" s="4">
        <f t="shared" si="139"/>
        <v>0</v>
      </c>
      <c r="N210" s="4">
        <f t="shared" si="139"/>
        <v>0</v>
      </c>
      <c r="O210" s="4">
        <f t="shared" si="140"/>
        <v>1</v>
      </c>
      <c r="P210" s="4">
        <f t="shared" si="141"/>
        <v>0</v>
      </c>
      <c r="Q210" s="4">
        <f t="shared" si="142"/>
        <v>0</v>
      </c>
      <c r="R210" s="4">
        <f t="shared" si="143"/>
        <v>0</v>
      </c>
      <c r="S210" s="4">
        <f>IF(AND(VLOOKUP(G210,Dados!$D:$L,2,0)=VLOOKUP(I210,Dados!$S:$V,2,0),VLOOKUP(G210,Dados!$D:$L,3,0)=VLOOKUP(I210,Dados!$S:$V,3,0)),0,1)</f>
        <v>0</v>
      </c>
      <c r="T210" s="4">
        <f>IF(AND(VLOOKUP(G210,Dados!$D:$L,3,0)&lt;=VLOOKUP(H210,Dados!$X:$AB,2,0),VLOOKUP(G210,Dados!$D:$L,4,0)&gt;=VLOOKUP(H210,Dados!$X:$AB,3,0),VLOOKUP(G210,Dados!$D:$L,4,0)&lt;=VLOOKUP(H210,Dados!$X:$AB,4,0)),0,1)</f>
        <v>0</v>
      </c>
      <c r="U210" s="4">
        <f>IF(COUNTIFS(F:F,F210,H:H,H210)&lt;=VLOOKUP(H210,Dados!$X:$AB,5,0),0,1)</f>
        <v>0</v>
      </c>
      <c r="W210" s="4">
        <v>884</v>
      </c>
      <c r="X210" s="4">
        <v>1</v>
      </c>
      <c r="Y210" s="4">
        <v>31</v>
      </c>
      <c r="Z210" s="4">
        <v>18</v>
      </c>
      <c r="AA210" s="4">
        <v>1</v>
      </c>
      <c r="AB210" s="4">
        <v>4</v>
      </c>
      <c r="AD210" s="4">
        <f>VLOOKUP(Z210,Dados!$S$3:$W$55,4,FALSE)</f>
        <v>5206</v>
      </c>
      <c r="AE210" s="4">
        <f t="shared" ref="AE210:AE227" si="159">Y210*X210</f>
        <v>31</v>
      </c>
      <c r="AF210" s="4">
        <f t="shared" ref="AF210:AF227" si="160">AD210*X210</f>
        <v>5206</v>
      </c>
      <c r="AI210" s="13">
        <f>VLOOKUP(Z210,Dados!$S$3:$V$55,2,FALSE)*VLOOKUP(Z210,Dados!$S$3:$V$55,3,FALSE)*VLOOKUP(Z210,Dados!$S$3:$V$55,4,FALSE)*0.00000785</f>
        <v>61.096314499999998</v>
      </c>
      <c r="AJ210" s="13">
        <f t="shared" ref="AJ210:AJ227" si="161">AI210*X210</f>
        <v>61.096314499999998</v>
      </c>
      <c r="AK210" s="13">
        <f t="shared" ref="AK210:AK227" si="162">(AI210/AD210)*Y210</f>
        <v>0.36380825</v>
      </c>
      <c r="AL210" s="13">
        <f t="shared" ref="AL210:AL227" si="163">AK210*X210</f>
        <v>0.36380825</v>
      </c>
    </row>
    <row r="211" spans="6:38">
      <c r="F211" s="4">
        <v>191</v>
      </c>
      <c r="G211" s="4">
        <v>11</v>
      </c>
      <c r="H211" s="4">
        <v>1</v>
      </c>
      <c r="I211" s="4">
        <v>7</v>
      </c>
      <c r="J211" s="4">
        <v>9</v>
      </c>
      <c r="K211" s="4">
        <f t="shared" si="139"/>
        <v>1</v>
      </c>
      <c r="L211" s="4">
        <f t="shared" si="139"/>
        <v>0</v>
      </c>
      <c r="M211" s="4">
        <f t="shared" si="139"/>
        <v>0</v>
      </c>
      <c r="N211" s="4">
        <f t="shared" si="139"/>
        <v>0</v>
      </c>
      <c r="O211" s="4">
        <f t="shared" si="140"/>
        <v>9</v>
      </c>
      <c r="P211" s="4">
        <f t="shared" si="141"/>
        <v>0</v>
      </c>
      <c r="Q211" s="4">
        <f t="shared" si="142"/>
        <v>0</v>
      </c>
      <c r="R211" s="4">
        <f t="shared" si="143"/>
        <v>0</v>
      </c>
      <c r="S211" s="4">
        <f>IF(AND(VLOOKUP(G211,Dados!$D:$L,2,0)=VLOOKUP(I211,Dados!$S:$V,2,0),VLOOKUP(G211,Dados!$D:$L,3,0)=VLOOKUP(I211,Dados!$S:$V,3,0)),0,1)</f>
        <v>0</v>
      </c>
      <c r="T211" s="4">
        <f>IF(AND(VLOOKUP(G211,Dados!$D:$L,3,0)&lt;=VLOOKUP(H211,Dados!$X:$AB,2,0),VLOOKUP(G211,Dados!$D:$L,4,0)&gt;=VLOOKUP(H211,Dados!$X:$AB,3,0),VLOOKUP(G211,Dados!$D:$L,4,0)&lt;=VLOOKUP(H211,Dados!$X:$AB,4,0)),0,1)</f>
        <v>0</v>
      </c>
      <c r="U211" s="4">
        <f>IF(COUNTIFS(F:F,F211,H:H,H211)&lt;=VLOOKUP(H211,Dados!$X:$AB,5,0),0,1)</f>
        <v>0</v>
      </c>
      <c r="W211" s="4">
        <v>961</v>
      </c>
      <c r="X211" s="4">
        <v>2</v>
      </c>
      <c r="Y211" s="4">
        <v>7</v>
      </c>
      <c r="Z211" s="4">
        <v>18</v>
      </c>
      <c r="AA211" s="4">
        <v>1</v>
      </c>
      <c r="AB211" s="4">
        <v>4</v>
      </c>
      <c r="AD211" s="4">
        <f>VLOOKUP(Z211,Dados!$S$3:$W$55,4,FALSE)</f>
        <v>5206</v>
      </c>
      <c r="AE211" s="4">
        <f t="shared" si="159"/>
        <v>14</v>
      </c>
      <c r="AF211" s="4">
        <f t="shared" si="160"/>
        <v>10412</v>
      </c>
      <c r="AI211" s="13">
        <f>VLOOKUP(Z211,Dados!$S$3:$V$55,2,FALSE)*VLOOKUP(Z211,Dados!$S$3:$V$55,3,FALSE)*VLOOKUP(Z211,Dados!$S$3:$V$55,4,FALSE)*0.00000785</f>
        <v>61.096314499999998</v>
      </c>
      <c r="AJ211" s="13">
        <f t="shared" si="161"/>
        <v>122.192629</v>
      </c>
      <c r="AK211" s="13">
        <f t="shared" si="162"/>
        <v>8.2150249999999994E-2</v>
      </c>
      <c r="AL211" s="13">
        <f t="shared" si="163"/>
        <v>0.16430049999999999</v>
      </c>
    </row>
    <row r="212" spans="6:38">
      <c r="F212" s="4">
        <v>192</v>
      </c>
      <c r="G212" s="4">
        <v>10</v>
      </c>
      <c r="H212" s="4">
        <v>2</v>
      </c>
      <c r="I212" s="4">
        <v>7</v>
      </c>
      <c r="J212" s="4">
        <v>1</v>
      </c>
      <c r="K212" s="4">
        <f t="shared" si="139"/>
        <v>0</v>
      </c>
      <c r="L212" s="4">
        <f t="shared" si="139"/>
        <v>0</v>
      </c>
      <c r="M212" s="4">
        <f t="shared" si="139"/>
        <v>0</v>
      </c>
      <c r="N212" s="4">
        <f t="shared" si="139"/>
        <v>0</v>
      </c>
      <c r="O212" s="4">
        <f t="shared" si="140"/>
        <v>0</v>
      </c>
      <c r="P212" s="4">
        <f t="shared" si="141"/>
        <v>0</v>
      </c>
      <c r="Q212" s="4">
        <f t="shared" si="142"/>
        <v>0</v>
      </c>
      <c r="R212" s="4">
        <f t="shared" si="143"/>
        <v>0</v>
      </c>
      <c r="S212" s="4">
        <f>IF(AND(VLOOKUP(G212,Dados!$D:$L,2,0)=VLOOKUP(I212,Dados!$S:$V,2,0),VLOOKUP(G212,Dados!$D:$L,3,0)=VLOOKUP(I212,Dados!$S:$V,3,0)),0,1)</f>
        <v>0</v>
      </c>
      <c r="T212" s="4">
        <f>IF(AND(VLOOKUP(G212,Dados!$D:$L,3,0)&lt;=VLOOKUP(H212,Dados!$X:$AB,2,0),VLOOKUP(G212,Dados!$D:$L,4,0)&gt;=VLOOKUP(H212,Dados!$X:$AB,3,0),VLOOKUP(G212,Dados!$D:$L,4,0)&lt;=VLOOKUP(H212,Dados!$X:$AB,4,0)),0,1)</f>
        <v>0</v>
      </c>
      <c r="U212" s="4">
        <f>IF(COUNTIFS(F:F,F212,H:H,H212)&lt;=VLOOKUP(H212,Dados!$X:$AB,5,0),0,1)</f>
        <v>0</v>
      </c>
      <c r="W212" s="4">
        <v>1023</v>
      </c>
      <c r="X212" s="4">
        <v>1</v>
      </c>
      <c r="Y212" s="4">
        <v>78</v>
      </c>
      <c r="Z212" s="4">
        <v>18</v>
      </c>
      <c r="AA212" s="4">
        <v>1</v>
      </c>
      <c r="AB212" s="4">
        <v>4</v>
      </c>
      <c r="AD212" s="4">
        <f>VLOOKUP(Z212,Dados!$S$3:$W$55,4,FALSE)</f>
        <v>5206</v>
      </c>
      <c r="AE212" s="4">
        <f t="shared" si="159"/>
        <v>78</v>
      </c>
      <c r="AF212" s="4">
        <f t="shared" si="160"/>
        <v>5206</v>
      </c>
      <c r="AI212" s="13">
        <f>VLOOKUP(Z212,Dados!$S$3:$V$55,2,FALSE)*VLOOKUP(Z212,Dados!$S$3:$V$55,3,FALSE)*VLOOKUP(Z212,Dados!$S$3:$V$55,4,FALSE)*0.00000785</f>
        <v>61.096314499999998</v>
      </c>
      <c r="AJ212" s="13">
        <f t="shared" si="161"/>
        <v>61.096314499999998</v>
      </c>
      <c r="AK212" s="13">
        <f t="shared" si="162"/>
        <v>0.91538849999999994</v>
      </c>
      <c r="AL212" s="13">
        <f t="shared" si="163"/>
        <v>0.91538849999999994</v>
      </c>
    </row>
    <row r="213" spans="6:38">
      <c r="F213" s="4">
        <v>192</v>
      </c>
      <c r="G213" s="4">
        <v>11</v>
      </c>
      <c r="H213" s="4">
        <v>2</v>
      </c>
      <c r="I213" s="4">
        <v>7</v>
      </c>
      <c r="J213" s="4">
        <v>9</v>
      </c>
      <c r="K213" s="4">
        <f t="shared" si="139"/>
        <v>0</v>
      </c>
      <c r="L213" s="4">
        <f t="shared" si="139"/>
        <v>0</v>
      </c>
      <c r="M213" s="4">
        <f t="shared" si="139"/>
        <v>0</v>
      </c>
      <c r="N213" s="4">
        <f t="shared" si="139"/>
        <v>0</v>
      </c>
      <c r="O213" s="4">
        <f t="shared" si="140"/>
        <v>0</v>
      </c>
      <c r="P213" s="4">
        <f t="shared" si="141"/>
        <v>0</v>
      </c>
      <c r="Q213" s="4">
        <f t="shared" si="142"/>
        <v>0</v>
      </c>
      <c r="R213" s="4">
        <f t="shared" si="143"/>
        <v>0</v>
      </c>
      <c r="S213" s="4">
        <f>IF(AND(VLOOKUP(G213,Dados!$D:$L,2,0)=VLOOKUP(I213,Dados!$S:$V,2,0),VLOOKUP(G213,Dados!$D:$L,3,0)=VLOOKUP(I213,Dados!$S:$V,3,0)),0,1)</f>
        <v>0</v>
      </c>
      <c r="T213" s="4">
        <f>IF(AND(VLOOKUP(G213,Dados!$D:$L,3,0)&lt;=VLOOKUP(H213,Dados!$X:$AB,2,0),VLOOKUP(G213,Dados!$D:$L,4,0)&gt;=VLOOKUP(H213,Dados!$X:$AB,3,0),VLOOKUP(G213,Dados!$D:$L,4,0)&lt;=VLOOKUP(H213,Dados!$X:$AB,4,0)),0,1)</f>
        <v>0</v>
      </c>
      <c r="U213" s="4">
        <f>IF(COUNTIFS(F:F,F213,H:H,H213)&lt;=VLOOKUP(H213,Dados!$X:$AB,5,0),0,1)</f>
        <v>0</v>
      </c>
      <c r="W213" s="4">
        <v>725</v>
      </c>
      <c r="X213" s="4">
        <v>2</v>
      </c>
      <c r="Y213" s="4">
        <v>0</v>
      </c>
      <c r="Z213" s="4">
        <v>18</v>
      </c>
      <c r="AA213" s="4">
        <v>3</v>
      </c>
      <c r="AB213" s="4">
        <v>4</v>
      </c>
      <c r="AD213" s="4">
        <f>VLOOKUP(Z213,Dados!$S$3:$W$55,4,FALSE)</f>
        <v>5206</v>
      </c>
      <c r="AE213" s="4">
        <f t="shared" si="159"/>
        <v>0</v>
      </c>
      <c r="AF213" s="4">
        <f t="shared" si="160"/>
        <v>10412</v>
      </c>
      <c r="AI213" s="13">
        <f>VLOOKUP(Z213,Dados!$S$3:$V$55,2,FALSE)*VLOOKUP(Z213,Dados!$S$3:$V$55,3,FALSE)*VLOOKUP(Z213,Dados!$S$3:$V$55,4,FALSE)*0.00000785</f>
        <v>61.096314499999998</v>
      </c>
      <c r="AJ213" s="13">
        <f t="shared" si="161"/>
        <v>122.192629</v>
      </c>
      <c r="AK213" s="13">
        <f t="shared" si="162"/>
        <v>0</v>
      </c>
      <c r="AL213" s="13">
        <f t="shared" si="163"/>
        <v>0</v>
      </c>
    </row>
    <row r="214" spans="6:38">
      <c r="F214" s="4">
        <v>193</v>
      </c>
      <c r="G214" s="4">
        <v>10</v>
      </c>
      <c r="H214" s="4">
        <v>3</v>
      </c>
      <c r="I214" s="4">
        <v>7</v>
      </c>
      <c r="J214" s="4">
        <v>1</v>
      </c>
      <c r="K214" s="4">
        <f t="shared" si="139"/>
        <v>0</v>
      </c>
      <c r="L214" s="4">
        <f t="shared" si="139"/>
        <v>0</v>
      </c>
      <c r="M214" s="4">
        <f t="shared" si="139"/>
        <v>0</v>
      </c>
      <c r="N214" s="4">
        <f t="shared" si="139"/>
        <v>0</v>
      </c>
      <c r="O214" s="4">
        <f t="shared" ref="O214:O234" si="164">$J214*K214</f>
        <v>0</v>
      </c>
      <c r="P214" s="4">
        <f t="shared" ref="P214:P234" si="165">$J214*L214</f>
        <v>0</v>
      </c>
      <c r="Q214" s="4">
        <f t="shared" ref="Q214:Q234" si="166">$J214*M214</f>
        <v>0</v>
      </c>
      <c r="R214" s="4">
        <f t="shared" ref="R214:R234" si="167">$J214*N214</f>
        <v>0</v>
      </c>
      <c r="S214" s="4">
        <f>IF(AND(VLOOKUP(G214,Dados!$D:$L,2,0)=VLOOKUP(I214,Dados!$S:$V,2,0),VLOOKUP(G214,Dados!$D:$L,3,0)=VLOOKUP(I214,Dados!$S:$V,3,0)),0,1)</f>
        <v>0</v>
      </c>
      <c r="T214" s="4">
        <f>IF(AND(VLOOKUP(G214,Dados!$D:$L,3,0)&lt;=VLOOKUP(H214,Dados!$X:$AB,2,0),VLOOKUP(G214,Dados!$D:$L,4,0)&gt;=VLOOKUP(H214,Dados!$X:$AB,3,0),VLOOKUP(G214,Dados!$D:$L,4,0)&lt;=VLOOKUP(H214,Dados!$X:$AB,4,0)),0,1)</f>
        <v>0</v>
      </c>
      <c r="U214" s="4">
        <f>IF(COUNTIFS(F:F,F214,H:H,H214)&lt;=VLOOKUP(H214,Dados!$X:$AB,5,0),0,1)</f>
        <v>0</v>
      </c>
      <c r="W214" s="4">
        <v>840</v>
      </c>
      <c r="X214" s="4">
        <v>4</v>
      </c>
      <c r="Y214" s="4">
        <v>12</v>
      </c>
      <c r="Z214" s="4">
        <v>18</v>
      </c>
      <c r="AA214" s="4">
        <v>3</v>
      </c>
      <c r="AB214" s="4">
        <v>4</v>
      </c>
      <c r="AD214" s="4">
        <f>VLOOKUP(Z214,Dados!$S$3:$W$55,4,FALSE)</f>
        <v>5206</v>
      </c>
      <c r="AE214" s="4">
        <f t="shared" si="159"/>
        <v>48</v>
      </c>
      <c r="AF214" s="4">
        <f t="shared" si="160"/>
        <v>20824</v>
      </c>
      <c r="AI214" s="13">
        <f>VLOOKUP(Z214,Dados!$S$3:$V$55,2,FALSE)*VLOOKUP(Z214,Dados!$S$3:$V$55,3,FALSE)*VLOOKUP(Z214,Dados!$S$3:$V$55,4,FALSE)*0.00000785</f>
        <v>61.096314499999998</v>
      </c>
      <c r="AJ214" s="13">
        <f t="shared" si="161"/>
        <v>244.38525799999999</v>
      </c>
      <c r="AK214" s="13">
        <f t="shared" si="162"/>
        <v>0.14082899999999998</v>
      </c>
      <c r="AL214" s="13">
        <f t="shared" si="163"/>
        <v>0.56331599999999993</v>
      </c>
    </row>
    <row r="215" spans="6:38">
      <c r="F215" s="4">
        <v>193</v>
      </c>
      <c r="G215" s="4">
        <v>11</v>
      </c>
      <c r="H215" s="4">
        <v>3</v>
      </c>
      <c r="I215" s="4">
        <v>7</v>
      </c>
      <c r="J215" s="4">
        <v>9</v>
      </c>
      <c r="K215" s="4">
        <f t="shared" si="139"/>
        <v>0</v>
      </c>
      <c r="L215" s="4">
        <f t="shared" si="139"/>
        <v>0</v>
      </c>
      <c r="M215" s="4">
        <f t="shared" si="139"/>
        <v>0</v>
      </c>
      <c r="N215" s="4">
        <f t="shared" si="139"/>
        <v>0</v>
      </c>
      <c r="O215" s="4">
        <f t="shared" si="164"/>
        <v>0</v>
      </c>
      <c r="P215" s="4">
        <f t="shared" si="165"/>
        <v>0</v>
      </c>
      <c r="Q215" s="4">
        <f t="shared" si="166"/>
        <v>0</v>
      </c>
      <c r="R215" s="4">
        <f t="shared" si="167"/>
        <v>0</v>
      </c>
      <c r="S215" s="4">
        <f>IF(AND(VLOOKUP(G215,Dados!$D:$L,2,0)=VLOOKUP(I215,Dados!$S:$V,2,0),VLOOKUP(G215,Dados!$D:$L,3,0)=VLOOKUP(I215,Dados!$S:$V,3,0)),0,1)</f>
        <v>0</v>
      </c>
      <c r="T215" s="4">
        <f>IF(AND(VLOOKUP(G215,Dados!$D:$L,3,0)&lt;=VLOOKUP(H215,Dados!$X:$AB,2,0),VLOOKUP(G215,Dados!$D:$L,4,0)&gt;=VLOOKUP(H215,Dados!$X:$AB,3,0),VLOOKUP(G215,Dados!$D:$L,4,0)&lt;=VLOOKUP(H215,Dados!$X:$AB,4,0)),0,1)</f>
        <v>0</v>
      </c>
      <c r="U215" s="4">
        <f>IF(COUNTIFS(F:F,F215,H:H,H215)&lt;=VLOOKUP(H215,Dados!$X:$AB,5,0),0,1)</f>
        <v>0</v>
      </c>
      <c r="W215" s="4">
        <v>962</v>
      </c>
      <c r="X215" s="4">
        <v>38</v>
      </c>
      <c r="Y215" s="4">
        <v>0</v>
      </c>
      <c r="Z215" s="4">
        <v>18</v>
      </c>
      <c r="AA215" s="4">
        <v>3</v>
      </c>
      <c r="AB215" s="4">
        <v>4</v>
      </c>
      <c r="AD215" s="4">
        <f>VLOOKUP(Z215,Dados!$S$3:$W$55,4,FALSE)</f>
        <v>5206</v>
      </c>
      <c r="AE215" s="4">
        <f t="shared" si="159"/>
        <v>0</v>
      </c>
      <c r="AF215" s="4">
        <f t="shared" si="160"/>
        <v>197828</v>
      </c>
      <c r="AI215" s="13">
        <f>VLOOKUP(Z215,Dados!$S$3:$V$55,2,FALSE)*VLOOKUP(Z215,Dados!$S$3:$V$55,3,FALSE)*VLOOKUP(Z215,Dados!$S$3:$V$55,4,FALSE)*0.00000785</f>
        <v>61.096314499999998</v>
      </c>
      <c r="AJ215" s="13">
        <f t="shared" si="161"/>
        <v>2321.6599510000001</v>
      </c>
      <c r="AK215" s="13">
        <f t="shared" si="162"/>
        <v>0</v>
      </c>
      <c r="AL215" s="13">
        <f t="shared" si="163"/>
        <v>0</v>
      </c>
    </row>
    <row r="216" spans="6:38">
      <c r="F216" s="4">
        <v>194</v>
      </c>
      <c r="G216" s="4">
        <v>12</v>
      </c>
      <c r="H216" s="4">
        <v>1</v>
      </c>
      <c r="I216" s="4">
        <v>8</v>
      </c>
      <c r="J216" s="4">
        <v>1</v>
      </c>
      <c r="K216" s="4">
        <f t="shared" si="139"/>
        <v>0</v>
      </c>
      <c r="L216" s="4">
        <f t="shared" si="139"/>
        <v>0</v>
      </c>
      <c r="M216" s="4">
        <f t="shared" si="139"/>
        <v>0</v>
      </c>
      <c r="N216" s="4">
        <f t="shared" si="139"/>
        <v>0</v>
      </c>
      <c r="O216" s="4">
        <f t="shared" si="164"/>
        <v>0</v>
      </c>
      <c r="P216" s="4">
        <f t="shared" si="165"/>
        <v>0</v>
      </c>
      <c r="Q216" s="4">
        <f t="shared" si="166"/>
        <v>0</v>
      </c>
      <c r="R216" s="4">
        <f t="shared" si="167"/>
        <v>0</v>
      </c>
      <c r="S216" s="4">
        <f>IF(AND(VLOOKUP(G216,Dados!$D:$L,2,0)=VLOOKUP(I216,Dados!$S:$V,2,0),VLOOKUP(G216,Dados!$D:$L,3,0)=VLOOKUP(I216,Dados!$S:$V,3,0)),0,1)</f>
        <v>0</v>
      </c>
      <c r="T216" s="4">
        <f>IF(AND(VLOOKUP(G216,Dados!$D:$L,3,0)&lt;=VLOOKUP(H216,Dados!$X:$AB,2,0),VLOOKUP(G216,Dados!$D:$L,4,0)&gt;=VLOOKUP(H216,Dados!$X:$AB,3,0),VLOOKUP(G216,Dados!$D:$L,4,0)&lt;=VLOOKUP(H216,Dados!$X:$AB,4,0)),0,1)</f>
        <v>0</v>
      </c>
      <c r="U216" s="4">
        <f>IF(COUNTIFS(F:F,F216,H:H,H216)&lt;=VLOOKUP(H216,Dados!$X:$AB,5,0),0,1)</f>
        <v>0</v>
      </c>
      <c r="W216" s="4">
        <v>579</v>
      </c>
      <c r="X216" s="4">
        <v>4</v>
      </c>
      <c r="Y216" s="4">
        <v>4</v>
      </c>
      <c r="Z216" s="4">
        <v>19</v>
      </c>
      <c r="AA216" s="4">
        <v>1</v>
      </c>
      <c r="AB216" s="4">
        <v>4</v>
      </c>
      <c r="AD216" s="4">
        <f>VLOOKUP(Z216,Dados!$S$3:$W$55,4,FALSE)</f>
        <v>6032</v>
      </c>
      <c r="AE216" s="4">
        <f t="shared" si="159"/>
        <v>16</v>
      </c>
      <c r="AF216" s="4">
        <f t="shared" si="160"/>
        <v>24128</v>
      </c>
      <c r="AI216" s="13">
        <f>VLOOKUP(Z216,Dados!$S$3:$V$55,2,FALSE)*VLOOKUP(Z216,Dados!$S$3:$V$55,3,FALSE)*VLOOKUP(Z216,Dados!$S$3:$V$55,4,FALSE)*0.00000785</f>
        <v>70.790043999999995</v>
      </c>
      <c r="AJ216" s="13">
        <f t="shared" si="161"/>
        <v>283.16017599999998</v>
      </c>
      <c r="AK216" s="13">
        <f t="shared" si="162"/>
        <v>4.6942999999999999E-2</v>
      </c>
      <c r="AL216" s="13">
        <f t="shared" si="163"/>
        <v>0.18777199999999999</v>
      </c>
    </row>
    <row r="217" spans="6:38">
      <c r="F217" s="4">
        <v>194</v>
      </c>
      <c r="G217" s="4">
        <v>14</v>
      </c>
      <c r="H217" s="4">
        <v>1</v>
      </c>
      <c r="I217" s="4">
        <v>8</v>
      </c>
      <c r="J217" s="4">
        <v>1</v>
      </c>
      <c r="K217" s="4">
        <f t="shared" si="139"/>
        <v>0</v>
      </c>
      <c r="L217" s="4">
        <f t="shared" si="139"/>
        <v>0</v>
      </c>
      <c r="M217" s="4">
        <f t="shared" si="139"/>
        <v>0</v>
      </c>
      <c r="N217" s="4">
        <f t="shared" si="139"/>
        <v>0</v>
      </c>
      <c r="O217" s="4">
        <f t="shared" si="164"/>
        <v>0</v>
      </c>
      <c r="P217" s="4">
        <f t="shared" si="165"/>
        <v>0</v>
      </c>
      <c r="Q217" s="4">
        <f t="shared" si="166"/>
        <v>0</v>
      </c>
      <c r="R217" s="4">
        <f t="shared" si="167"/>
        <v>0</v>
      </c>
      <c r="S217" s="4">
        <f>IF(AND(VLOOKUP(G217,Dados!$D:$L,2,0)=VLOOKUP(I217,Dados!$S:$V,2,0),VLOOKUP(G217,Dados!$D:$L,3,0)=VLOOKUP(I217,Dados!$S:$V,3,0)),0,1)</f>
        <v>0</v>
      </c>
      <c r="T217" s="4">
        <f>IF(AND(VLOOKUP(G217,Dados!$D:$L,3,0)&lt;=VLOOKUP(H217,Dados!$X:$AB,2,0),VLOOKUP(G217,Dados!$D:$L,4,0)&gt;=VLOOKUP(H217,Dados!$X:$AB,3,0),VLOOKUP(G217,Dados!$D:$L,4,0)&lt;=VLOOKUP(H217,Dados!$X:$AB,4,0)),0,1)</f>
        <v>0</v>
      </c>
      <c r="U217" s="4">
        <f>IF(COUNTIFS(F:F,F217,H:H,H217)&lt;=VLOOKUP(H217,Dados!$X:$AB,5,0),0,1)</f>
        <v>0</v>
      </c>
      <c r="W217" s="4">
        <v>758</v>
      </c>
      <c r="X217" s="4">
        <v>2</v>
      </c>
      <c r="Y217" s="4">
        <v>188</v>
      </c>
      <c r="Z217" s="4">
        <v>19</v>
      </c>
      <c r="AA217" s="4">
        <v>1</v>
      </c>
      <c r="AB217" s="4">
        <v>4</v>
      </c>
      <c r="AD217" s="4">
        <f>VLOOKUP(Z217,Dados!$S$3:$W$55,4,FALSE)</f>
        <v>6032</v>
      </c>
      <c r="AE217" s="4">
        <f t="shared" si="159"/>
        <v>376</v>
      </c>
      <c r="AF217" s="4">
        <f t="shared" si="160"/>
        <v>12064</v>
      </c>
      <c r="AI217" s="13">
        <f>VLOOKUP(Z217,Dados!$S$3:$V$55,2,FALSE)*VLOOKUP(Z217,Dados!$S$3:$V$55,3,FALSE)*VLOOKUP(Z217,Dados!$S$3:$V$55,4,FALSE)*0.00000785</f>
        <v>70.790043999999995</v>
      </c>
      <c r="AJ217" s="13">
        <f t="shared" si="161"/>
        <v>141.58008799999999</v>
      </c>
      <c r="AK217" s="13">
        <f t="shared" si="162"/>
        <v>2.206321</v>
      </c>
      <c r="AL217" s="13">
        <f t="shared" si="163"/>
        <v>4.412642</v>
      </c>
    </row>
    <row r="218" spans="6:38">
      <c r="F218" s="4">
        <v>194</v>
      </c>
      <c r="G218" s="4">
        <v>15</v>
      </c>
      <c r="H218" s="4">
        <v>1</v>
      </c>
      <c r="I218" s="4">
        <v>8</v>
      </c>
      <c r="J218" s="4">
        <v>7</v>
      </c>
      <c r="K218" s="4">
        <f t="shared" si="139"/>
        <v>0</v>
      </c>
      <c r="L218" s="4">
        <f t="shared" si="139"/>
        <v>0</v>
      </c>
      <c r="M218" s="4">
        <f t="shared" si="139"/>
        <v>0</v>
      </c>
      <c r="N218" s="4">
        <f t="shared" si="139"/>
        <v>0</v>
      </c>
      <c r="O218" s="4">
        <f t="shared" si="164"/>
        <v>0</v>
      </c>
      <c r="P218" s="4">
        <f t="shared" si="165"/>
        <v>0</v>
      </c>
      <c r="Q218" s="4">
        <f t="shared" si="166"/>
        <v>0</v>
      </c>
      <c r="R218" s="4">
        <f t="shared" si="167"/>
        <v>0</v>
      </c>
      <c r="S218" s="4">
        <f>IF(AND(VLOOKUP(G218,Dados!$D:$L,2,0)=VLOOKUP(I218,Dados!$S:$V,2,0),VLOOKUP(G218,Dados!$D:$L,3,0)=VLOOKUP(I218,Dados!$S:$V,3,0)),0,1)</f>
        <v>0</v>
      </c>
      <c r="T218" s="4">
        <f>IF(AND(VLOOKUP(G218,Dados!$D:$L,3,0)&lt;=VLOOKUP(H218,Dados!$X:$AB,2,0),VLOOKUP(G218,Dados!$D:$L,4,0)&gt;=VLOOKUP(H218,Dados!$X:$AB,3,0),VLOOKUP(G218,Dados!$D:$L,4,0)&lt;=VLOOKUP(H218,Dados!$X:$AB,4,0)),0,1)</f>
        <v>0</v>
      </c>
      <c r="U218" s="4">
        <f>IF(COUNTIFS(F:F,F218,H:H,H218)&lt;=VLOOKUP(H218,Dados!$X:$AB,5,0),0,1)</f>
        <v>0</v>
      </c>
      <c r="W218" s="4">
        <v>963</v>
      </c>
      <c r="X218" s="4">
        <v>7</v>
      </c>
      <c r="Y218" s="4">
        <v>5</v>
      </c>
      <c r="Z218" s="4">
        <v>19</v>
      </c>
      <c r="AA218" s="4">
        <v>1</v>
      </c>
      <c r="AB218" s="4">
        <v>4</v>
      </c>
      <c r="AD218" s="4">
        <f>VLOOKUP(Z218,Dados!$S$3:$W$55,4,FALSE)</f>
        <v>6032</v>
      </c>
      <c r="AE218" s="4">
        <f t="shared" si="159"/>
        <v>35</v>
      </c>
      <c r="AF218" s="4">
        <f t="shared" si="160"/>
        <v>42224</v>
      </c>
      <c r="AI218" s="13">
        <f>VLOOKUP(Z218,Dados!$S$3:$V$55,2,FALSE)*VLOOKUP(Z218,Dados!$S$3:$V$55,3,FALSE)*VLOOKUP(Z218,Dados!$S$3:$V$55,4,FALSE)*0.00000785</f>
        <v>70.790043999999995</v>
      </c>
      <c r="AJ218" s="13">
        <f t="shared" si="161"/>
        <v>495.53030799999999</v>
      </c>
      <c r="AK218" s="13">
        <f t="shared" si="162"/>
        <v>5.8678750000000002E-2</v>
      </c>
      <c r="AL218" s="13">
        <f t="shared" si="163"/>
        <v>0.41075125000000001</v>
      </c>
    </row>
    <row r="219" spans="6:38">
      <c r="F219" s="4">
        <v>195</v>
      </c>
      <c r="G219" s="4">
        <v>12</v>
      </c>
      <c r="H219" s="4">
        <v>3</v>
      </c>
      <c r="I219" s="4">
        <v>8</v>
      </c>
      <c r="J219" s="4">
        <v>1</v>
      </c>
      <c r="K219" s="4">
        <f t="shared" si="139"/>
        <v>0</v>
      </c>
      <c r="L219" s="4">
        <f t="shared" si="139"/>
        <v>0</v>
      </c>
      <c r="M219" s="4">
        <f t="shared" si="139"/>
        <v>0</v>
      </c>
      <c r="N219" s="4">
        <f t="shared" si="139"/>
        <v>0</v>
      </c>
      <c r="O219" s="4">
        <f t="shared" si="164"/>
        <v>0</v>
      </c>
      <c r="P219" s="4">
        <f t="shared" si="165"/>
        <v>0</v>
      </c>
      <c r="Q219" s="4">
        <f t="shared" si="166"/>
        <v>0</v>
      </c>
      <c r="R219" s="4">
        <f t="shared" si="167"/>
        <v>0</v>
      </c>
      <c r="S219" s="4">
        <f>IF(AND(VLOOKUP(G219,Dados!$D:$L,2,0)=VLOOKUP(I219,Dados!$S:$V,2,0),VLOOKUP(G219,Dados!$D:$L,3,0)=VLOOKUP(I219,Dados!$S:$V,3,0)),0,1)</f>
        <v>0</v>
      </c>
      <c r="T219" s="4">
        <f>IF(AND(VLOOKUP(G219,Dados!$D:$L,3,0)&lt;=VLOOKUP(H219,Dados!$X:$AB,2,0),VLOOKUP(G219,Dados!$D:$L,4,0)&gt;=VLOOKUP(H219,Dados!$X:$AB,3,0),VLOOKUP(G219,Dados!$D:$L,4,0)&lt;=VLOOKUP(H219,Dados!$X:$AB,4,0)),0,1)</f>
        <v>0</v>
      </c>
      <c r="U219" s="4">
        <f>IF(COUNTIFS(F:F,F219,H:H,H219)&lt;=VLOOKUP(H219,Dados!$X:$AB,5,0),0,1)</f>
        <v>0</v>
      </c>
      <c r="W219" s="4">
        <v>1026</v>
      </c>
      <c r="X219" s="4">
        <v>47</v>
      </c>
      <c r="Y219" s="4">
        <v>69</v>
      </c>
      <c r="Z219" s="4">
        <v>19</v>
      </c>
      <c r="AA219" s="4">
        <v>3</v>
      </c>
      <c r="AB219" s="4">
        <v>4</v>
      </c>
      <c r="AD219" s="4">
        <f>VLOOKUP(Z219,Dados!$S$3:$W$55,4,FALSE)</f>
        <v>6032</v>
      </c>
      <c r="AE219" s="4">
        <f t="shared" si="159"/>
        <v>3243</v>
      </c>
      <c r="AF219" s="4">
        <f t="shared" si="160"/>
        <v>283504</v>
      </c>
      <c r="AI219" s="13">
        <f>VLOOKUP(Z219,Dados!$S$3:$V$55,2,FALSE)*VLOOKUP(Z219,Dados!$S$3:$V$55,3,FALSE)*VLOOKUP(Z219,Dados!$S$3:$V$55,4,FALSE)*0.00000785</f>
        <v>70.790043999999995</v>
      </c>
      <c r="AJ219" s="13">
        <f t="shared" si="161"/>
        <v>3327.1320679999999</v>
      </c>
      <c r="AK219" s="13">
        <f t="shared" si="162"/>
        <v>0.80976674999999998</v>
      </c>
      <c r="AL219" s="13">
        <f t="shared" si="163"/>
        <v>38.059037249999996</v>
      </c>
    </row>
    <row r="220" spans="6:38">
      <c r="F220" s="4">
        <v>195</v>
      </c>
      <c r="G220" s="4">
        <v>14</v>
      </c>
      <c r="H220" s="4">
        <v>3</v>
      </c>
      <c r="I220" s="4">
        <v>8</v>
      </c>
      <c r="J220" s="4">
        <v>1</v>
      </c>
      <c r="K220" s="4">
        <f t="shared" si="139"/>
        <v>0</v>
      </c>
      <c r="L220" s="4">
        <f t="shared" si="139"/>
        <v>0</v>
      </c>
      <c r="M220" s="4">
        <f t="shared" si="139"/>
        <v>0</v>
      </c>
      <c r="N220" s="4">
        <f t="shared" si="139"/>
        <v>0</v>
      </c>
      <c r="O220" s="4">
        <f t="shared" si="164"/>
        <v>0</v>
      </c>
      <c r="P220" s="4">
        <f t="shared" si="165"/>
        <v>0</v>
      </c>
      <c r="Q220" s="4">
        <f t="shared" si="166"/>
        <v>0</v>
      </c>
      <c r="R220" s="4">
        <f t="shared" si="167"/>
        <v>0</v>
      </c>
      <c r="S220" s="4">
        <f>IF(AND(VLOOKUP(G220,Dados!$D:$L,2,0)=VLOOKUP(I220,Dados!$S:$V,2,0),VLOOKUP(G220,Dados!$D:$L,3,0)=VLOOKUP(I220,Dados!$S:$V,3,0)),0,1)</f>
        <v>0</v>
      </c>
      <c r="T220" s="4">
        <f>IF(AND(VLOOKUP(G220,Dados!$D:$L,3,0)&lt;=VLOOKUP(H220,Dados!$X:$AB,2,0),VLOOKUP(G220,Dados!$D:$L,4,0)&gt;=VLOOKUP(H220,Dados!$X:$AB,3,0),VLOOKUP(G220,Dados!$D:$L,4,0)&lt;=VLOOKUP(H220,Dados!$X:$AB,4,0)),0,1)</f>
        <v>0</v>
      </c>
      <c r="U220" s="4">
        <f>IF(COUNTIFS(F:F,F220,H:H,H220)&lt;=VLOOKUP(H220,Dados!$X:$AB,5,0),0,1)</f>
        <v>0</v>
      </c>
      <c r="W220" s="4">
        <v>132</v>
      </c>
      <c r="X220" s="4">
        <v>18</v>
      </c>
      <c r="Y220" s="4">
        <v>2</v>
      </c>
      <c r="Z220" s="4">
        <v>20</v>
      </c>
      <c r="AA220" s="4">
        <v>1</v>
      </c>
      <c r="AB220" s="4">
        <v>4</v>
      </c>
      <c r="AD220" s="4">
        <f>VLOOKUP(Z220,Dados!$S$3:$W$55,4,FALSE)</f>
        <v>5418</v>
      </c>
      <c r="AE220" s="4">
        <f t="shared" si="159"/>
        <v>36</v>
      </c>
      <c r="AF220" s="4">
        <f t="shared" si="160"/>
        <v>97524</v>
      </c>
      <c r="AI220" s="13">
        <f>VLOOKUP(Z220,Dados!$S$3:$V$55,2,FALSE)*VLOOKUP(Z220,Dados!$S$3:$V$55,3,FALSE)*VLOOKUP(Z220,Dados!$S$3:$V$55,4,FALSE)*0.00000785</f>
        <v>82.93603499999999</v>
      </c>
      <c r="AJ220" s="13">
        <f t="shared" si="161"/>
        <v>1492.8486299999997</v>
      </c>
      <c r="AK220" s="13">
        <f t="shared" si="162"/>
        <v>3.0614999999999996E-2</v>
      </c>
      <c r="AL220" s="13">
        <f t="shared" si="163"/>
        <v>0.55106999999999995</v>
      </c>
    </row>
    <row r="221" spans="6:38">
      <c r="F221" s="4">
        <v>195</v>
      </c>
      <c r="G221" s="4">
        <v>15</v>
      </c>
      <c r="H221" s="4">
        <v>3</v>
      </c>
      <c r="I221" s="4">
        <v>8</v>
      </c>
      <c r="J221" s="4">
        <v>7</v>
      </c>
      <c r="K221" s="4">
        <f t="shared" si="139"/>
        <v>0</v>
      </c>
      <c r="L221" s="4">
        <f t="shared" si="139"/>
        <v>0</v>
      </c>
      <c r="M221" s="4">
        <f t="shared" si="139"/>
        <v>0</v>
      </c>
      <c r="N221" s="4">
        <f t="shared" si="139"/>
        <v>0</v>
      </c>
      <c r="O221" s="4">
        <f t="shared" si="164"/>
        <v>0</v>
      </c>
      <c r="P221" s="4">
        <f t="shared" si="165"/>
        <v>0</v>
      </c>
      <c r="Q221" s="4">
        <f t="shared" si="166"/>
        <v>0</v>
      </c>
      <c r="R221" s="4">
        <f t="shared" si="167"/>
        <v>0</v>
      </c>
      <c r="S221" s="4">
        <f>IF(AND(VLOOKUP(G221,Dados!$D:$L,2,0)=VLOOKUP(I221,Dados!$S:$V,2,0),VLOOKUP(G221,Dados!$D:$L,3,0)=VLOOKUP(I221,Dados!$S:$V,3,0)),0,1)</f>
        <v>0</v>
      </c>
      <c r="T221" s="4">
        <f>IF(AND(VLOOKUP(G221,Dados!$D:$L,3,0)&lt;=VLOOKUP(H221,Dados!$X:$AB,2,0),VLOOKUP(G221,Dados!$D:$L,4,0)&gt;=VLOOKUP(H221,Dados!$X:$AB,3,0),VLOOKUP(G221,Dados!$D:$L,4,0)&lt;=VLOOKUP(H221,Dados!$X:$AB,4,0)),0,1)</f>
        <v>0</v>
      </c>
      <c r="U221" s="4">
        <f>IF(COUNTIFS(F:F,F221,H:H,H221)&lt;=VLOOKUP(H221,Dados!$X:$AB,5,0),0,1)</f>
        <v>0</v>
      </c>
      <c r="W221" s="4">
        <v>396</v>
      </c>
      <c r="X221" s="4">
        <v>4</v>
      </c>
      <c r="Y221" s="4">
        <v>2</v>
      </c>
      <c r="Z221" s="4">
        <v>22</v>
      </c>
      <c r="AA221" s="4">
        <v>2</v>
      </c>
      <c r="AB221" s="4">
        <v>4</v>
      </c>
      <c r="AD221" s="4">
        <f>VLOOKUP(Z221,Dados!$S$3:$W$55,4,FALSE)</f>
        <v>5270</v>
      </c>
      <c r="AE221" s="4">
        <f t="shared" si="159"/>
        <v>8</v>
      </c>
      <c r="AF221" s="4">
        <f t="shared" si="160"/>
        <v>21080</v>
      </c>
      <c r="AI221" s="13">
        <f>VLOOKUP(Z221,Dados!$S$3:$V$55,2,FALSE)*VLOOKUP(Z221,Dados!$S$3:$V$55,3,FALSE)*VLOOKUP(Z221,Dados!$S$3:$V$55,4,FALSE)*0.00000785</f>
        <v>78.767527999999999</v>
      </c>
      <c r="AJ221" s="13">
        <f t="shared" si="161"/>
        <v>315.07011199999999</v>
      </c>
      <c r="AK221" s="13">
        <f t="shared" si="162"/>
        <v>2.9892800000000001E-2</v>
      </c>
      <c r="AL221" s="13">
        <f t="shared" si="163"/>
        <v>0.1195712</v>
      </c>
    </row>
    <row r="222" spans="6:38">
      <c r="F222" s="4">
        <v>196</v>
      </c>
      <c r="G222" s="4">
        <v>12</v>
      </c>
      <c r="H222" s="4">
        <v>1</v>
      </c>
      <c r="I222" s="4">
        <v>9</v>
      </c>
      <c r="J222" s="4">
        <v>1</v>
      </c>
      <c r="K222" s="4">
        <f t="shared" si="139"/>
        <v>1</v>
      </c>
      <c r="L222" s="4">
        <f t="shared" si="139"/>
        <v>0</v>
      </c>
      <c r="M222" s="4">
        <f t="shared" si="139"/>
        <v>0</v>
      </c>
      <c r="N222" s="4">
        <f t="shared" si="139"/>
        <v>0</v>
      </c>
      <c r="O222" s="4">
        <f t="shared" si="164"/>
        <v>1</v>
      </c>
      <c r="P222" s="4">
        <f t="shared" si="165"/>
        <v>0</v>
      </c>
      <c r="Q222" s="4">
        <f t="shared" si="166"/>
        <v>0</v>
      </c>
      <c r="R222" s="4">
        <f t="shared" si="167"/>
        <v>0</v>
      </c>
      <c r="S222" s="4">
        <f>IF(AND(VLOOKUP(G222,Dados!$D:$L,2,0)=VLOOKUP(I222,Dados!$S:$V,2,0),VLOOKUP(G222,Dados!$D:$L,3,0)=VLOOKUP(I222,Dados!$S:$V,3,0)),0,1)</f>
        <v>0</v>
      </c>
      <c r="T222" s="4">
        <f>IF(AND(VLOOKUP(G222,Dados!$D:$L,3,0)&lt;=VLOOKUP(H222,Dados!$X:$AB,2,0),VLOOKUP(G222,Dados!$D:$L,4,0)&gt;=VLOOKUP(H222,Dados!$X:$AB,3,0),VLOOKUP(G222,Dados!$D:$L,4,0)&lt;=VLOOKUP(H222,Dados!$X:$AB,4,0)),0,1)</f>
        <v>0</v>
      </c>
      <c r="U222" s="4">
        <f>IF(COUNTIFS(F:F,F222,H:H,H222)&lt;=VLOOKUP(H222,Dados!$X:$AB,5,0),0,1)</f>
        <v>0</v>
      </c>
      <c r="W222" s="4">
        <v>399</v>
      </c>
      <c r="X222" s="4">
        <v>1</v>
      </c>
      <c r="Y222" s="4">
        <v>11</v>
      </c>
      <c r="Z222" s="4">
        <v>23</v>
      </c>
      <c r="AA222" s="4">
        <v>2</v>
      </c>
      <c r="AB222" s="4">
        <v>4</v>
      </c>
      <c r="AD222" s="4">
        <f>VLOOKUP(Z222,Dados!$S$3:$W$55,4,FALSE)</f>
        <v>5580</v>
      </c>
      <c r="AE222" s="4">
        <f t="shared" si="159"/>
        <v>11</v>
      </c>
      <c r="AF222" s="4">
        <f t="shared" si="160"/>
        <v>5580</v>
      </c>
      <c r="AI222" s="13">
        <f>VLOOKUP(Z222,Dados!$S$3:$V$55,2,FALSE)*VLOOKUP(Z222,Dados!$S$3:$V$55,3,FALSE)*VLOOKUP(Z222,Dados!$S$3:$V$55,4,FALSE)*0.00000785</f>
        <v>83.400911999999991</v>
      </c>
      <c r="AJ222" s="13">
        <f t="shared" si="161"/>
        <v>83.400911999999991</v>
      </c>
      <c r="AK222" s="13">
        <f t="shared" si="162"/>
        <v>0.16441039999999998</v>
      </c>
      <c r="AL222" s="13">
        <f t="shared" si="163"/>
        <v>0.16441039999999998</v>
      </c>
    </row>
    <row r="223" spans="6:38">
      <c r="F223" s="4">
        <v>196</v>
      </c>
      <c r="G223" s="4">
        <v>14</v>
      </c>
      <c r="H223" s="4">
        <v>1</v>
      </c>
      <c r="I223" s="4">
        <v>9</v>
      </c>
      <c r="J223" s="4">
        <v>2</v>
      </c>
      <c r="K223" s="4">
        <f t="shared" si="139"/>
        <v>1</v>
      </c>
      <c r="L223" s="4">
        <f t="shared" si="139"/>
        <v>0</v>
      </c>
      <c r="M223" s="4">
        <f t="shared" si="139"/>
        <v>0</v>
      </c>
      <c r="N223" s="4">
        <f t="shared" si="139"/>
        <v>0</v>
      </c>
      <c r="O223" s="4">
        <f t="shared" si="164"/>
        <v>2</v>
      </c>
      <c r="P223" s="4">
        <f t="shared" si="165"/>
        <v>0</v>
      </c>
      <c r="Q223" s="4">
        <f t="shared" si="166"/>
        <v>0</v>
      </c>
      <c r="R223" s="4">
        <f t="shared" si="167"/>
        <v>0</v>
      </c>
      <c r="S223" s="4">
        <f>IF(AND(VLOOKUP(G223,Dados!$D:$L,2,0)=VLOOKUP(I223,Dados!$S:$V,2,0),VLOOKUP(G223,Dados!$D:$L,3,0)=VLOOKUP(I223,Dados!$S:$V,3,0)),0,1)</f>
        <v>0</v>
      </c>
      <c r="T223" s="4">
        <f>IF(AND(VLOOKUP(G223,Dados!$D:$L,3,0)&lt;=VLOOKUP(H223,Dados!$X:$AB,2,0),VLOOKUP(G223,Dados!$D:$L,4,0)&gt;=VLOOKUP(H223,Dados!$X:$AB,3,0),VLOOKUP(G223,Dados!$D:$L,4,0)&lt;=VLOOKUP(H223,Dados!$X:$AB,4,0)),0,1)</f>
        <v>0</v>
      </c>
      <c r="U223" s="4">
        <f>IF(COUNTIFS(F:F,F223,H:H,H223)&lt;=VLOOKUP(H223,Dados!$X:$AB,5,0),0,1)</f>
        <v>0</v>
      </c>
      <c r="W223" s="4">
        <v>402</v>
      </c>
      <c r="X223" s="4">
        <v>3</v>
      </c>
      <c r="Y223" s="4">
        <v>2</v>
      </c>
      <c r="Z223" s="4">
        <v>24</v>
      </c>
      <c r="AA223" s="4">
        <v>2</v>
      </c>
      <c r="AB223" s="4">
        <v>4</v>
      </c>
      <c r="AD223" s="4">
        <f>VLOOKUP(Z223,Dados!$S$3:$W$55,4,FALSE)</f>
        <v>5245</v>
      </c>
      <c r="AE223" s="4">
        <f t="shared" si="159"/>
        <v>6</v>
      </c>
      <c r="AF223" s="4">
        <f t="shared" si="160"/>
        <v>15735</v>
      </c>
      <c r="AI223" s="13">
        <f>VLOOKUP(Z223,Dados!$S$3:$V$55,2,FALSE)*VLOOKUP(Z223,Dados!$S$3:$V$55,3,FALSE)*VLOOKUP(Z223,Dados!$S$3:$V$55,4,FALSE)*0.00000785</f>
        <v>78.393867999999998</v>
      </c>
      <c r="AJ223" s="13">
        <f t="shared" si="161"/>
        <v>235.18160399999999</v>
      </c>
      <c r="AK223" s="13">
        <f t="shared" si="162"/>
        <v>2.9892800000000001E-2</v>
      </c>
      <c r="AL223" s="13">
        <f t="shared" si="163"/>
        <v>8.9678400000000005E-2</v>
      </c>
    </row>
    <row r="224" spans="6:38">
      <c r="F224" s="4">
        <v>196</v>
      </c>
      <c r="G224" s="4">
        <v>15</v>
      </c>
      <c r="H224" s="4">
        <v>1</v>
      </c>
      <c r="I224" s="4">
        <v>9</v>
      </c>
      <c r="J224" s="4">
        <v>6</v>
      </c>
      <c r="K224" s="4">
        <f t="shared" si="139"/>
        <v>1</v>
      </c>
      <c r="L224" s="4">
        <f t="shared" si="139"/>
        <v>0</v>
      </c>
      <c r="M224" s="4">
        <f t="shared" si="139"/>
        <v>0</v>
      </c>
      <c r="N224" s="4">
        <f t="shared" si="139"/>
        <v>0</v>
      </c>
      <c r="O224" s="4">
        <f t="shared" si="164"/>
        <v>6</v>
      </c>
      <c r="P224" s="4">
        <f t="shared" si="165"/>
        <v>0</v>
      </c>
      <c r="Q224" s="4">
        <f t="shared" si="166"/>
        <v>0</v>
      </c>
      <c r="R224" s="4">
        <f t="shared" si="167"/>
        <v>0</v>
      </c>
      <c r="S224" s="4">
        <f>IF(AND(VLOOKUP(G224,Dados!$D:$L,2,0)=VLOOKUP(I224,Dados!$S:$V,2,0),VLOOKUP(G224,Dados!$D:$L,3,0)=VLOOKUP(I224,Dados!$S:$V,3,0)),0,1)</f>
        <v>0</v>
      </c>
      <c r="T224" s="4">
        <f>IF(AND(VLOOKUP(G224,Dados!$D:$L,3,0)&lt;=VLOOKUP(H224,Dados!$X:$AB,2,0),VLOOKUP(G224,Dados!$D:$L,4,0)&gt;=VLOOKUP(H224,Dados!$X:$AB,3,0),VLOOKUP(G224,Dados!$D:$L,4,0)&lt;=VLOOKUP(H224,Dados!$X:$AB,4,0)),0,1)</f>
        <v>0</v>
      </c>
      <c r="U224" s="4">
        <f>IF(COUNTIFS(F:F,F224,H:H,H224)&lt;=VLOOKUP(H224,Dados!$X:$AB,5,0),0,1)</f>
        <v>0</v>
      </c>
      <c r="W224" s="4">
        <v>781</v>
      </c>
      <c r="X224" s="4">
        <v>5</v>
      </c>
      <c r="Y224" s="4">
        <v>17</v>
      </c>
      <c r="Z224" s="4">
        <v>29</v>
      </c>
      <c r="AA224" s="4">
        <v>1</v>
      </c>
      <c r="AB224" s="4">
        <v>4</v>
      </c>
      <c r="AD224" s="4">
        <f>VLOOKUP(Z224,Dados!$S$3:$W$55,4,FALSE)</f>
        <v>6369</v>
      </c>
      <c r="AE224" s="4">
        <f t="shared" si="159"/>
        <v>85</v>
      </c>
      <c r="AF224" s="4">
        <f t="shared" si="160"/>
        <v>31845</v>
      </c>
      <c r="AI224" s="13">
        <f>VLOOKUP(Z224,Dados!$S$3:$V$55,2,FALSE)*VLOOKUP(Z224,Dados!$S$3:$V$55,3,FALSE)*VLOOKUP(Z224,Dados!$S$3:$V$55,4,FALSE)*0.00000785</f>
        <v>95.193621599999986</v>
      </c>
      <c r="AJ224" s="13">
        <f t="shared" si="161"/>
        <v>475.96810799999992</v>
      </c>
      <c r="AK224" s="13">
        <f t="shared" si="162"/>
        <v>0.2540888</v>
      </c>
      <c r="AL224" s="13">
        <f t="shared" si="163"/>
        <v>1.2704439999999999</v>
      </c>
    </row>
    <row r="225" spans="6:38">
      <c r="F225" s="4">
        <v>197</v>
      </c>
      <c r="G225" s="4">
        <v>12</v>
      </c>
      <c r="H225" s="4">
        <v>3</v>
      </c>
      <c r="I225" s="4">
        <v>9</v>
      </c>
      <c r="J225" s="4">
        <v>1</v>
      </c>
      <c r="K225" s="4">
        <f t="shared" si="139"/>
        <v>0</v>
      </c>
      <c r="L225" s="4">
        <f t="shared" si="139"/>
        <v>0</v>
      </c>
      <c r="M225" s="4">
        <f t="shared" si="139"/>
        <v>0</v>
      </c>
      <c r="N225" s="4">
        <f t="shared" si="139"/>
        <v>0</v>
      </c>
      <c r="O225" s="4">
        <f t="shared" si="164"/>
        <v>0</v>
      </c>
      <c r="P225" s="4">
        <f t="shared" si="165"/>
        <v>0</v>
      </c>
      <c r="Q225" s="4">
        <f t="shared" si="166"/>
        <v>0</v>
      </c>
      <c r="R225" s="4">
        <f t="shared" si="167"/>
        <v>0</v>
      </c>
      <c r="S225" s="4">
        <f>IF(AND(VLOOKUP(G225,Dados!$D:$L,2,0)=VLOOKUP(I225,Dados!$S:$V,2,0),VLOOKUP(G225,Dados!$D:$L,3,0)=VLOOKUP(I225,Dados!$S:$V,3,0)),0,1)</f>
        <v>0</v>
      </c>
      <c r="T225" s="4">
        <f>IF(AND(VLOOKUP(G225,Dados!$D:$L,3,0)&lt;=VLOOKUP(H225,Dados!$X:$AB,2,0),VLOOKUP(G225,Dados!$D:$L,4,0)&gt;=VLOOKUP(H225,Dados!$X:$AB,3,0),VLOOKUP(G225,Dados!$D:$L,4,0)&lt;=VLOOKUP(H225,Dados!$X:$AB,4,0)),0,1)</f>
        <v>0</v>
      </c>
      <c r="U225" s="4">
        <f>IF(COUNTIFS(F:F,F225,H:H,H225)&lt;=VLOOKUP(H225,Dados!$X:$AB,5,0),0,1)</f>
        <v>0</v>
      </c>
      <c r="W225" s="4">
        <v>172</v>
      </c>
      <c r="X225" s="4">
        <v>26</v>
      </c>
      <c r="Y225" s="4">
        <v>592</v>
      </c>
      <c r="Z225" s="4">
        <v>30</v>
      </c>
      <c r="AA225" s="4">
        <v>3</v>
      </c>
      <c r="AB225" s="4">
        <v>4</v>
      </c>
      <c r="AD225" s="4">
        <f>VLOOKUP(Z225,Dados!$S$3:$W$55,4,FALSE)</f>
        <v>5646</v>
      </c>
      <c r="AE225" s="4">
        <f t="shared" si="159"/>
        <v>15392</v>
      </c>
      <c r="AF225" s="4">
        <f t="shared" si="160"/>
        <v>146796</v>
      </c>
      <c r="AI225" s="13">
        <f>VLOOKUP(Z225,Dados!$S$3:$V$55,2,FALSE)*VLOOKUP(Z225,Dados!$S$3:$V$55,3,FALSE)*VLOOKUP(Z225,Dados!$S$3:$V$55,4,FALSE)*0.00000785</f>
        <v>132.8303367</v>
      </c>
      <c r="AJ225" s="13">
        <f t="shared" si="161"/>
        <v>3453.5887542</v>
      </c>
      <c r="AK225" s="13">
        <f t="shared" si="162"/>
        <v>13.9276584</v>
      </c>
      <c r="AL225" s="13">
        <f t="shared" si="163"/>
        <v>362.11911839999999</v>
      </c>
    </row>
    <row r="226" spans="6:38">
      <c r="F226" s="4">
        <v>197</v>
      </c>
      <c r="G226" s="4">
        <v>14</v>
      </c>
      <c r="H226" s="4">
        <v>3</v>
      </c>
      <c r="I226" s="4">
        <v>9</v>
      </c>
      <c r="J226" s="4">
        <v>2</v>
      </c>
      <c r="K226" s="4">
        <f t="shared" si="139"/>
        <v>0</v>
      </c>
      <c r="L226" s="4">
        <f t="shared" si="139"/>
        <v>0</v>
      </c>
      <c r="M226" s="4">
        <f t="shared" si="139"/>
        <v>0</v>
      </c>
      <c r="N226" s="4">
        <f t="shared" ref="K226:N289" si="168">SUMIFS($X:$X,$W:$W,$F226,$Z:$Z,$I226,$AA:$AA,$H226,$AB:$AB,N$2)</f>
        <v>0</v>
      </c>
      <c r="O226" s="4">
        <f t="shared" si="164"/>
        <v>0</v>
      </c>
      <c r="P226" s="4">
        <f t="shared" si="165"/>
        <v>0</v>
      </c>
      <c r="Q226" s="4">
        <f t="shared" si="166"/>
        <v>0</v>
      </c>
      <c r="R226" s="4">
        <f t="shared" si="167"/>
        <v>0</v>
      </c>
      <c r="S226" s="4">
        <f>IF(AND(VLOOKUP(G226,Dados!$D:$L,2,0)=VLOOKUP(I226,Dados!$S:$V,2,0),VLOOKUP(G226,Dados!$D:$L,3,0)=VLOOKUP(I226,Dados!$S:$V,3,0)),0,1)</f>
        <v>0</v>
      </c>
      <c r="T226" s="4">
        <f>IF(AND(VLOOKUP(G226,Dados!$D:$L,3,0)&lt;=VLOOKUP(H226,Dados!$X:$AB,2,0),VLOOKUP(G226,Dados!$D:$L,4,0)&gt;=VLOOKUP(H226,Dados!$X:$AB,3,0),VLOOKUP(G226,Dados!$D:$L,4,0)&lt;=VLOOKUP(H226,Dados!$X:$AB,4,0)),0,1)</f>
        <v>0</v>
      </c>
      <c r="U226" s="4">
        <f>IF(COUNTIFS(F:F,F226,H:H,H226)&lt;=VLOOKUP(H226,Dados!$X:$AB,5,0),0,1)</f>
        <v>0</v>
      </c>
      <c r="W226" s="4">
        <v>420</v>
      </c>
      <c r="X226" s="4">
        <v>30</v>
      </c>
      <c r="Y226" s="4">
        <v>64</v>
      </c>
      <c r="Z226" s="4">
        <v>30</v>
      </c>
      <c r="AA226" s="4">
        <v>3</v>
      </c>
      <c r="AB226" s="4">
        <v>4</v>
      </c>
      <c r="AD226" s="4">
        <f>VLOOKUP(Z226,Dados!$S$3:$W$55,4,FALSE)</f>
        <v>5646</v>
      </c>
      <c r="AE226" s="4">
        <f t="shared" si="159"/>
        <v>1920</v>
      </c>
      <c r="AF226" s="4">
        <f t="shared" si="160"/>
        <v>169380</v>
      </c>
      <c r="AI226" s="13">
        <f>VLOOKUP(Z226,Dados!$S$3:$V$55,2,FALSE)*VLOOKUP(Z226,Dados!$S$3:$V$55,3,FALSE)*VLOOKUP(Z226,Dados!$S$3:$V$55,4,FALSE)*0.00000785</f>
        <v>132.8303367</v>
      </c>
      <c r="AJ226" s="13">
        <f t="shared" si="161"/>
        <v>3984.9101009999999</v>
      </c>
      <c r="AK226" s="13">
        <f t="shared" si="162"/>
        <v>1.5056928000000001</v>
      </c>
      <c r="AL226" s="13">
        <f t="shared" si="163"/>
        <v>45.170784000000005</v>
      </c>
    </row>
    <row r="227" spans="6:38">
      <c r="F227" s="4">
        <v>197</v>
      </c>
      <c r="G227" s="4">
        <v>15</v>
      </c>
      <c r="H227" s="4">
        <v>3</v>
      </c>
      <c r="I227" s="4">
        <v>9</v>
      </c>
      <c r="J227" s="4">
        <v>6</v>
      </c>
      <c r="K227" s="4">
        <f t="shared" si="168"/>
        <v>0</v>
      </c>
      <c r="L227" s="4">
        <f t="shared" si="168"/>
        <v>0</v>
      </c>
      <c r="M227" s="4">
        <f t="shared" si="168"/>
        <v>0</v>
      </c>
      <c r="N227" s="4">
        <f t="shared" si="168"/>
        <v>0</v>
      </c>
      <c r="O227" s="4">
        <f t="shared" si="164"/>
        <v>0</v>
      </c>
      <c r="P227" s="4">
        <f t="shared" si="165"/>
        <v>0</v>
      </c>
      <c r="Q227" s="4">
        <f t="shared" si="166"/>
        <v>0</v>
      </c>
      <c r="R227" s="4">
        <f t="shared" si="167"/>
        <v>0</v>
      </c>
      <c r="S227" s="4">
        <f>IF(AND(VLOOKUP(G227,Dados!$D:$L,2,0)=VLOOKUP(I227,Dados!$S:$V,2,0),VLOOKUP(G227,Dados!$D:$L,3,0)=VLOOKUP(I227,Dados!$S:$V,3,0)),0,1)</f>
        <v>0</v>
      </c>
      <c r="T227" s="4">
        <f>IF(AND(VLOOKUP(G227,Dados!$D:$L,3,0)&lt;=VLOOKUP(H227,Dados!$X:$AB,2,0),VLOOKUP(G227,Dados!$D:$L,4,0)&gt;=VLOOKUP(H227,Dados!$X:$AB,3,0),VLOOKUP(G227,Dados!$D:$L,4,0)&lt;=VLOOKUP(H227,Dados!$X:$AB,4,0)),0,1)</f>
        <v>0</v>
      </c>
      <c r="U227" s="4">
        <f>IF(COUNTIFS(F:F,F227,H:H,H227)&lt;=VLOOKUP(H227,Dados!$X:$AB,5,0),0,1)</f>
        <v>0</v>
      </c>
      <c r="W227" s="4">
        <v>663</v>
      </c>
      <c r="X227" s="4">
        <v>5</v>
      </c>
      <c r="Y227" s="4">
        <v>31</v>
      </c>
      <c r="Z227" s="4">
        <v>30</v>
      </c>
      <c r="AA227" s="4">
        <v>3</v>
      </c>
      <c r="AB227" s="4">
        <v>4</v>
      </c>
      <c r="AD227" s="4">
        <f>VLOOKUP(Z227,Dados!$S$3:$W$55,4,FALSE)</f>
        <v>5646</v>
      </c>
      <c r="AE227" s="4">
        <f t="shared" si="159"/>
        <v>155</v>
      </c>
      <c r="AF227" s="4">
        <f t="shared" si="160"/>
        <v>28230</v>
      </c>
      <c r="AI227" s="13">
        <f>VLOOKUP(Z227,Dados!$S$3:$V$55,2,FALSE)*VLOOKUP(Z227,Dados!$S$3:$V$55,3,FALSE)*VLOOKUP(Z227,Dados!$S$3:$V$55,4,FALSE)*0.00000785</f>
        <v>132.8303367</v>
      </c>
      <c r="AJ227" s="13">
        <f t="shared" si="161"/>
        <v>664.15168349999999</v>
      </c>
      <c r="AK227" s="13">
        <f t="shared" si="162"/>
        <v>0.72931995000000005</v>
      </c>
      <c r="AL227" s="13">
        <f t="shared" si="163"/>
        <v>3.64659975</v>
      </c>
    </row>
    <row r="228" spans="6:38">
      <c r="F228" s="4">
        <v>198</v>
      </c>
      <c r="G228" s="4">
        <v>14</v>
      </c>
      <c r="H228" s="4">
        <v>1</v>
      </c>
      <c r="I228" s="4">
        <v>10</v>
      </c>
      <c r="J228" s="4">
        <v>4</v>
      </c>
      <c r="K228" s="4">
        <f t="shared" si="168"/>
        <v>2</v>
      </c>
      <c r="L228" s="4">
        <f t="shared" si="168"/>
        <v>0</v>
      </c>
      <c r="M228" s="4">
        <f t="shared" si="168"/>
        <v>0</v>
      </c>
      <c r="N228" s="4">
        <f t="shared" si="168"/>
        <v>0</v>
      </c>
      <c r="O228" s="4">
        <f t="shared" si="164"/>
        <v>8</v>
      </c>
      <c r="P228" s="4">
        <f t="shared" si="165"/>
        <v>0</v>
      </c>
      <c r="Q228" s="4">
        <f t="shared" si="166"/>
        <v>0</v>
      </c>
      <c r="R228" s="4">
        <f t="shared" si="167"/>
        <v>0</v>
      </c>
      <c r="S228" s="4">
        <f>IF(AND(VLOOKUP(G228,Dados!$D:$L,2,0)=VLOOKUP(I228,Dados!$S:$V,2,0),VLOOKUP(G228,Dados!$D:$L,3,0)=VLOOKUP(I228,Dados!$S:$V,3,0)),0,1)</f>
        <v>0</v>
      </c>
      <c r="T228" s="4">
        <f>IF(AND(VLOOKUP(G228,Dados!$D:$L,3,0)&lt;=VLOOKUP(H228,Dados!$X:$AB,2,0),VLOOKUP(G228,Dados!$D:$L,4,0)&gt;=VLOOKUP(H228,Dados!$X:$AB,3,0),VLOOKUP(G228,Dados!$D:$L,4,0)&lt;=VLOOKUP(H228,Dados!$X:$AB,4,0)),0,1)</f>
        <v>0</v>
      </c>
      <c r="U228" s="4">
        <f>IF(COUNTIFS(F:F,F228,H:H,H228)&lt;=VLOOKUP(H228,Dados!$X:$AB,5,0),0,1)</f>
        <v>0</v>
      </c>
      <c r="AI228" s="13"/>
      <c r="AJ228" s="13"/>
      <c r="AK228" s="13"/>
      <c r="AL228" s="13"/>
    </row>
    <row r="229" spans="6:38">
      <c r="F229" s="4">
        <v>198</v>
      </c>
      <c r="G229" s="4">
        <v>15</v>
      </c>
      <c r="H229" s="4">
        <v>1</v>
      </c>
      <c r="I229" s="4">
        <v>10</v>
      </c>
      <c r="J229" s="4">
        <v>4</v>
      </c>
      <c r="K229" s="4">
        <f t="shared" si="168"/>
        <v>2</v>
      </c>
      <c r="L229" s="4">
        <f t="shared" si="168"/>
        <v>0</v>
      </c>
      <c r="M229" s="4">
        <f t="shared" si="168"/>
        <v>0</v>
      </c>
      <c r="N229" s="4">
        <f t="shared" si="168"/>
        <v>0</v>
      </c>
      <c r="O229" s="4">
        <f t="shared" si="164"/>
        <v>8</v>
      </c>
      <c r="P229" s="4">
        <f t="shared" si="165"/>
        <v>0</v>
      </c>
      <c r="Q229" s="4">
        <f t="shared" si="166"/>
        <v>0</v>
      </c>
      <c r="R229" s="4">
        <f t="shared" si="167"/>
        <v>0</v>
      </c>
      <c r="S229" s="4">
        <f>IF(AND(VLOOKUP(G229,Dados!$D:$L,2,0)=VLOOKUP(I229,Dados!$S:$V,2,0),VLOOKUP(G229,Dados!$D:$L,3,0)=VLOOKUP(I229,Dados!$S:$V,3,0)),0,1)</f>
        <v>0</v>
      </c>
      <c r="T229" s="4">
        <f>IF(AND(VLOOKUP(G229,Dados!$D:$L,3,0)&lt;=VLOOKUP(H229,Dados!$X:$AB,2,0),VLOOKUP(G229,Dados!$D:$L,4,0)&gt;=VLOOKUP(H229,Dados!$X:$AB,3,0),VLOOKUP(G229,Dados!$D:$L,4,0)&lt;=VLOOKUP(H229,Dados!$X:$AB,4,0)),0,1)</f>
        <v>0</v>
      </c>
      <c r="U229" s="4">
        <f>IF(COUNTIFS(F:F,F229,H:H,H229)&lt;=VLOOKUP(H229,Dados!$X:$AB,5,0),0,1)</f>
        <v>0</v>
      </c>
      <c r="AI229" s="13"/>
      <c r="AJ229" s="13"/>
      <c r="AK229" s="13"/>
      <c r="AL229" s="13"/>
    </row>
    <row r="230" spans="6:38">
      <c r="F230" s="4">
        <v>198</v>
      </c>
      <c r="G230" s="4">
        <v>17</v>
      </c>
      <c r="H230" s="4">
        <v>1</v>
      </c>
      <c r="I230" s="4">
        <v>10</v>
      </c>
      <c r="J230" s="4">
        <v>1</v>
      </c>
      <c r="K230" s="4">
        <f t="shared" si="168"/>
        <v>2</v>
      </c>
      <c r="L230" s="4">
        <f t="shared" si="168"/>
        <v>0</v>
      </c>
      <c r="M230" s="4">
        <f t="shared" si="168"/>
        <v>0</v>
      </c>
      <c r="N230" s="4">
        <f t="shared" si="168"/>
        <v>0</v>
      </c>
      <c r="O230" s="4">
        <f t="shared" si="164"/>
        <v>2</v>
      </c>
      <c r="P230" s="4">
        <f t="shared" si="165"/>
        <v>0</v>
      </c>
      <c r="Q230" s="4">
        <f t="shared" si="166"/>
        <v>0</v>
      </c>
      <c r="R230" s="4">
        <f t="shared" si="167"/>
        <v>0</v>
      </c>
      <c r="S230" s="4">
        <f>IF(AND(VLOOKUP(G230,Dados!$D:$L,2,0)=VLOOKUP(I230,Dados!$S:$V,2,0),VLOOKUP(G230,Dados!$D:$L,3,0)=VLOOKUP(I230,Dados!$S:$V,3,0)),0,1)</f>
        <v>0</v>
      </c>
      <c r="T230" s="4">
        <f>IF(AND(VLOOKUP(G230,Dados!$D:$L,3,0)&lt;=VLOOKUP(H230,Dados!$X:$AB,2,0),VLOOKUP(G230,Dados!$D:$L,4,0)&gt;=VLOOKUP(H230,Dados!$X:$AB,3,0),VLOOKUP(G230,Dados!$D:$L,4,0)&lt;=VLOOKUP(H230,Dados!$X:$AB,4,0)),0,1)</f>
        <v>0</v>
      </c>
      <c r="U230" s="4">
        <f>IF(COUNTIFS(F:F,F230,H:H,H230)&lt;=VLOOKUP(H230,Dados!$X:$AB,5,0),0,1)</f>
        <v>0</v>
      </c>
      <c r="AI230" s="13"/>
      <c r="AJ230" s="13"/>
      <c r="AK230" s="13"/>
      <c r="AL230" s="13"/>
    </row>
    <row r="231" spans="6:38">
      <c r="F231" s="4">
        <v>199</v>
      </c>
      <c r="G231" s="4">
        <v>14</v>
      </c>
      <c r="H231" s="4">
        <v>3</v>
      </c>
      <c r="I231" s="4">
        <v>10</v>
      </c>
      <c r="J231" s="4">
        <v>4</v>
      </c>
      <c r="K231" s="4">
        <f t="shared" si="168"/>
        <v>0</v>
      </c>
      <c r="L231" s="4">
        <f t="shared" si="168"/>
        <v>0</v>
      </c>
      <c r="M231" s="4">
        <f t="shared" si="168"/>
        <v>0</v>
      </c>
      <c r="N231" s="4">
        <f t="shared" si="168"/>
        <v>0</v>
      </c>
      <c r="O231" s="4">
        <f t="shared" si="164"/>
        <v>0</v>
      </c>
      <c r="P231" s="4">
        <f t="shared" si="165"/>
        <v>0</v>
      </c>
      <c r="Q231" s="4">
        <f t="shared" si="166"/>
        <v>0</v>
      </c>
      <c r="R231" s="4">
        <f t="shared" si="167"/>
        <v>0</v>
      </c>
      <c r="S231" s="4">
        <f>IF(AND(VLOOKUP(G231,Dados!$D:$L,2,0)=VLOOKUP(I231,Dados!$S:$V,2,0),VLOOKUP(G231,Dados!$D:$L,3,0)=VLOOKUP(I231,Dados!$S:$V,3,0)),0,1)</f>
        <v>0</v>
      </c>
      <c r="T231" s="4">
        <f>IF(AND(VLOOKUP(G231,Dados!$D:$L,3,0)&lt;=VLOOKUP(H231,Dados!$X:$AB,2,0),VLOOKUP(G231,Dados!$D:$L,4,0)&gt;=VLOOKUP(H231,Dados!$X:$AB,3,0),VLOOKUP(G231,Dados!$D:$L,4,0)&lt;=VLOOKUP(H231,Dados!$X:$AB,4,0)),0,1)</f>
        <v>0</v>
      </c>
      <c r="U231" s="4">
        <f>IF(COUNTIFS(F:F,F231,H:H,H231)&lt;=VLOOKUP(H231,Dados!$X:$AB,5,0),0,1)</f>
        <v>0</v>
      </c>
      <c r="AI231" s="13"/>
      <c r="AJ231" s="13"/>
      <c r="AK231" s="13"/>
      <c r="AL231" s="13"/>
    </row>
    <row r="232" spans="6:38">
      <c r="F232" s="4">
        <v>199</v>
      </c>
      <c r="G232" s="4">
        <v>15</v>
      </c>
      <c r="H232" s="4">
        <v>3</v>
      </c>
      <c r="I232" s="4">
        <v>10</v>
      </c>
      <c r="J232" s="4">
        <v>4</v>
      </c>
      <c r="K232" s="4">
        <f t="shared" si="168"/>
        <v>0</v>
      </c>
      <c r="L232" s="4">
        <f t="shared" si="168"/>
        <v>0</v>
      </c>
      <c r="M232" s="4">
        <f t="shared" si="168"/>
        <v>0</v>
      </c>
      <c r="N232" s="4">
        <f t="shared" si="168"/>
        <v>0</v>
      </c>
      <c r="O232" s="4">
        <f t="shared" si="164"/>
        <v>0</v>
      </c>
      <c r="P232" s="4">
        <f t="shared" si="165"/>
        <v>0</v>
      </c>
      <c r="Q232" s="4">
        <f t="shared" si="166"/>
        <v>0</v>
      </c>
      <c r="R232" s="4">
        <f t="shared" si="167"/>
        <v>0</v>
      </c>
      <c r="S232" s="4">
        <f>IF(AND(VLOOKUP(G232,Dados!$D:$L,2,0)=VLOOKUP(I232,Dados!$S:$V,2,0),VLOOKUP(G232,Dados!$D:$L,3,0)=VLOOKUP(I232,Dados!$S:$V,3,0)),0,1)</f>
        <v>0</v>
      </c>
      <c r="T232" s="4">
        <f>IF(AND(VLOOKUP(G232,Dados!$D:$L,3,0)&lt;=VLOOKUP(H232,Dados!$X:$AB,2,0),VLOOKUP(G232,Dados!$D:$L,4,0)&gt;=VLOOKUP(H232,Dados!$X:$AB,3,0),VLOOKUP(G232,Dados!$D:$L,4,0)&lt;=VLOOKUP(H232,Dados!$X:$AB,4,0)),0,1)</f>
        <v>0</v>
      </c>
      <c r="U232" s="4">
        <f>IF(COUNTIFS(F:F,F232,H:H,H232)&lt;=VLOOKUP(H232,Dados!$X:$AB,5,0),0,1)</f>
        <v>0</v>
      </c>
      <c r="AI232" s="13"/>
      <c r="AJ232" s="13"/>
      <c r="AK232" s="13"/>
      <c r="AL232" s="13"/>
    </row>
    <row r="233" spans="6:38">
      <c r="F233" s="4">
        <v>199</v>
      </c>
      <c r="G233" s="4">
        <v>17</v>
      </c>
      <c r="H233" s="4">
        <v>3</v>
      </c>
      <c r="I233" s="4">
        <v>10</v>
      </c>
      <c r="J233" s="4">
        <v>1</v>
      </c>
      <c r="K233" s="4">
        <f t="shared" si="168"/>
        <v>0</v>
      </c>
      <c r="L233" s="4">
        <f t="shared" si="168"/>
        <v>0</v>
      </c>
      <c r="M233" s="4">
        <f t="shared" si="168"/>
        <v>0</v>
      </c>
      <c r="N233" s="4">
        <f t="shared" si="168"/>
        <v>0</v>
      </c>
      <c r="O233" s="4">
        <f t="shared" si="164"/>
        <v>0</v>
      </c>
      <c r="P233" s="4">
        <f t="shared" si="165"/>
        <v>0</v>
      </c>
      <c r="Q233" s="4">
        <f t="shared" si="166"/>
        <v>0</v>
      </c>
      <c r="R233" s="4">
        <f t="shared" si="167"/>
        <v>0</v>
      </c>
      <c r="S233" s="4">
        <f>IF(AND(VLOOKUP(G233,Dados!$D:$L,2,0)=VLOOKUP(I233,Dados!$S:$V,2,0),VLOOKUP(G233,Dados!$D:$L,3,0)=VLOOKUP(I233,Dados!$S:$V,3,0)),0,1)</f>
        <v>0</v>
      </c>
      <c r="T233" s="4">
        <f>IF(AND(VLOOKUP(G233,Dados!$D:$L,3,0)&lt;=VLOOKUP(H233,Dados!$X:$AB,2,0),VLOOKUP(G233,Dados!$D:$L,4,0)&gt;=VLOOKUP(H233,Dados!$X:$AB,3,0),VLOOKUP(G233,Dados!$D:$L,4,0)&lt;=VLOOKUP(H233,Dados!$X:$AB,4,0)),0,1)</f>
        <v>0</v>
      </c>
      <c r="U233" s="4">
        <f>IF(COUNTIFS(F:F,F233,H:H,H233)&lt;=VLOOKUP(H233,Dados!$X:$AB,5,0),0,1)</f>
        <v>0</v>
      </c>
      <c r="AI233" s="13"/>
      <c r="AJ233" s="13"/>
      <c r="AK233" s="13"/>
      <c r="AL233" s="13"/>
    </row>
    <row r="234" spans="6:38">
      <c r="F234" s="4">
        <v>200</v>
      </c>
      <c r="G234" s="4">
        <v>14</v>
      </c>
      <c r="H234" s="4">
        <v>1</v>
      </c>
      <c r="I234" s="4">
        <v>11</v>
      </c>
      <c r="J234" s="4">
        <v>1</v>
      </c>
      <c r="K234" s="4">
        <f t="shared" si="168"/>
        <v>0</v>
      </c>
      <c r="L234" s="4">
        <f t="shared" si="168"/>
        <v>0</v>
      </c>
      <c r="M234" s="4">
        <f t="shared" si="168"/>
        <v>0</v>
      </c>
      <c r="N234" s="4">
        <f t="shared" si="168"/>
        <v>0</v>
      </c>
      <c r="O234" s="4">
        <f t="shared" si="164"/>
        <v>0</v>
      </c>
      <c r="P234" s="4">
        <f t="shared" si="165"/>
        <v>0</v>
      </c>
      <c r="Q234" s="4">
        <f t="shared" si="166"/>
        <v>0</v>
      </c>
      <c r="R234" s="4">
        <f t="shared" si="167"/>
        <v>0</v>
      </c>
      <c r="S234" s="4">
        <f>IF(AND(VLOOKUP(G234,Dados!$D:$L,2,0)=VLOOKUP(I234,Dados!$S:$V,2,0),VLOOKUP(G234,Dados!$D:$L,3,0)=VLOOKUP(I234,Dados!$S:$V,3,0)),0,1)</f>
        <v>0</v>
      </c>
      <c r="T234" s="4">
        <f>IF(AND(VLOOKUP(G234,Dados!$D:$L,3,0)&lt;=VLOOKUP(H234,Dados!$X:$AB,2,0),VLOOKUP(G234,Dados!$D:$L,4,0)&gt;=VLOOKUP(H234,Dados!$X:$AB,3,0),VLOOKUP(G234,Dados!$D:$L,4,0)&lt;=VLOOKUP(H234,Dados!$X:$AB,4,0)),0,1)</f>
        <v>0</v>
      </c>
      <c r="U234" s="4">
        <f>IF(COUNTIFS(F:F,F234,H:H,H234)&lt;=VLOOKUP(H234,Dados!$X:$AB,5,0),0,1)</f>
        <v>0</v>
      </c>
      <c r="AI234" s="13"/>
      <c r="AJ234" s="13"/>
      <c r="AK234" s="13"/>
      <c r="AL234" s="13"/>
    </row>
    <row r="235" spans="6:38">
      <c r="F235" s="4">
        <v>200</v>
      </c>
      <c r="G235" s="4">
        <v>15</v>
      </c>
      <c r="H235" s="4">
        <v>1</v>
      </c>
      <c r="I235" s="4">
        <v>11</v>
      </c>
      <c r="J235" s="4">
        <v>6</v>
      </c>
      <c r="K235" s="4">
        <f t="shared" si="168"/>
        <v>0</v>
      </c>
      <c r="L235" s="4">
        <f t="shared" si="168"/>
        <v>0</v>
      </c>
      <c r="M235" s="4">
        <f t="shared" si="168"/>
        <v>0</v>
      </c>
      <c r="N235" s="4">
        <f t="shared" si="168"/>
        <v>0</v>
      </c>
      <c r="O235" s="4">
        <f t="shared" ref="O235:O258" si="169">$J235*K235</f>
        <v>0</v>
      </c>
      <c r="P235" s="4">
        <f t="shared" ref="P235:P258" si="170">$J235*L235</f>
        <v>0</v>
      </c>
      <c r="Q235" s="4">
        <f t="shared" ref="Q235:Q258" si="171">$J235*M235</f>
        <v>0</v>
      </c>
      <c r="R235" s="4">
        <f t="shared" ref="R235:R258" si="172">$J235*N235</f>
        <v>0</v>
      </c>
      <c r="S235" s="4">
        <f>IF(AND(VLOOKUP(G235,Dados!$D:$L,2,0)=VLOOKUP(I235,Dados!$S:$V,2,0),VLOOKUP(G235,Dados!$D:$L,3,0)=VLOOKUP(I235,Dados!$S:$V,3,0)),0,1)</f>
        <v>0</v>
      </c>
      <c r="T235" s="4">
        <f>IF(AND(VLOOKUP(G235,Dados!$D:$L,3,0)&lt;=VLOOKUP(H235,Dados!$X:$AB,2,0),VLOOKUP(G235,Dados!$D:$L,4,0)&gt;=VLOOKUP(H235,Dados!$X:$AB,3,0),VLOOKUP(G235,Dados!$D:$L,4,0)&lt;=VLOOKUP(H235,Dados!$X:$AB,4,0)),0,1)</f>
        <v>0</v>
      </c>
      <c r="U235" s="4">
        <f>IF(COUNTIFS(F:F,F235,H:H,H235)&lt;=VLOOKUP(H235,Dados!$X:$AB,5,0),0,1)</f>
        <v>0</v>
      </c>
      <c r="AI235" s="13"/>
      <c r="AJ235" s="13"/>
      <c r="AK235" s="13"/>
      <c r="AL235" s="13"/>
    </row>
    <row r="236" spans="6:38">
      <c r="F236" s="4">
        <v>200</v>
      </c>
      <c r="G236" s="4">
        <v>17</v>
      </c>
      <c r="H236" s="4">
        <v>1</v>
      </c>
      <c r="I236" s="4">
        <v>11</v>
      </c>
      <c r="J236" s="4">
        <v>1</v>
      </c>
      <c r="K236" s="4">
        <f t="shared" si="168"/>
        <v>0</v>
      </c>
      <c r="L236" s="4">
        <f t="shared" si="168"/>
        <v>0</v>
      </c>
      <c r="M236" s="4">
        <f t="shared" si="168"/>
        <v>0</v>
      </c>
      <c r="N236" s="4">
        <f t="shared" si="168"/>
        <v>0</v>
      </c>
      <c r="O236" s="4">
        <f t="shared" si="169"/>
        <v>0</v>
      </c>
      <c r="P236" s="4">
        <f t="shared" si="170"/>
        <v>0</v>
      </c>
      <c r="Q236" s="4">
        <f t="shared" si="171"/>
        <v>0</v>
      </c>
      <c r="R236" s="4">
        <f t="shared" si="172"/>
        <v>0</v>
      </c>
      <c r="S236" s="4">
        <f>IF(AND(VLOOKUP(G236,Dados!$D:$L,2,0)=VLOOKUP(I236,Dados!$S:$V,2,0),VLOOKUP(G236,Dados!$D:$L,3,0)=VLOOKUP(I236,Dados!$S:$V,3,0)),0,1)</f>
        <v>0</v>
      </c>
      <c r="T236" s="4">
        <f>IF(AND(VLOOKUP(G236,Dados!$D:$L,3,0)&lt;=VLOOKUP(H236,Dados!$X:$AB,2,0),VLOOKUP(G236,Dados!$D:$L,4,0)&gt;=VLOOKUP(H236,Dados!$X:$AB,3,0),VLOOKUP(G236,Dados!$D:$L,4,0)&lt;=VLOOKUP(H236,Dados!$X:$AB,4,0)),0,1)</f>
        <v>0</v>
      </c>
      <c r="U236" s="4">
        <f>IF(COUNTIFS(F:F,F236,H:H,H236)&lt;=VLOOKUP(H236,Dados!$X:$AB,5,0),0,1)</f>
        <v>0</v>
      </c>
      <c r="AI236" s="13"/>
      <c r="AJ236" s="13"/>
      <c r="AK236" s="13"/>
      <c r="AL236" s="13"/>
    </row>
    <row r="237" spans="6:38">
      <c r="F237" s="4">
        <v>201</v>
      </c>
      <c r="G237" s="4">
        <v>14</v>
      </c>
      <c r="H237" s="4">
        <v>3</v>
      </c>
      <c r="I237" s="4">
        <v>11</v>
      </c>
      <c r="J237" s="4">
        <v>1</v>
      </c>
      <c r="K237" s="4">
        <f t="shared" si="168"/>
        <v>2</v>
      </c>
      <c r="L237" s="4">
        <f t="shared" si="168"/>
        <v>0</v>
      </c>
      <c r="M237" s="4">
        <f t="shared" si="168"/>
        <v>0</v>
      </c>
      <c r="N237" s="4">
        <f t="shared" si="168"/>
        <v>0</v>
      </c>
      <c r="O237" s="4">
        <f t="shared" si="169"/>
        <v>2</v>
      </c>
      <c r="P237" s="4">
        <f t="shared" si="170"/>
        <v>0</v>
      </c>
      <c r="Q237" s="4">
        <f t="shared" si="171"/>
        <v>0</v>
      </c>
      <c r="R237" s="4">
        <f t="shared" si="172"/>
        <v>0</v>
      </c>
      <c r="S237" s="4">
        <f>IF(AND(VLOOKUP(G237,Dados!$D:$L,2,0)=VLOOKUP(I237,Dados!$S:$V,2,0),VLOOKUP(G237,Dados!$D:$L,3,0)=VLOOKUP(I237,Dados!$S:$V,3,0)),0,1)</f>
        <v>0</v>
      </c>
      <c r="T237" s="4">
        <f>IF(AND(VLOOKUP(G237,Dados!$D:$L,3,0)&lt;=VLOOKUP(H237,Dados!$X:$AB,2,0),VLOOKUP(G237,Dados!$D:$L,4,0)&gt;=VLOOKUP(H237,Dados!$X:$AB,3,0),VLOOKUP(G237,Dados!$D:$L,4,0)&lt;=VLOOKUP(H237,Dados!$X:$AB,4,0)),0,1)</f>
        <v>0</v>
      </c>
      <c r="U237" s="4">
        <f>IF(COUNTIFS(F:F,F237,H:H,H237)&lt;=VLOOKUP(H237,Dados!$X:$AB,5,0),0,1)</f>
        <v>0</v>
      </c>
      <c r="AI237" s="13"/>
      <c r="AJ237" s="13"/>
      <c r="AK237" s="13"/>
      <c r="AL237" s="13"/>
    </row>
    <row r="238" spans="6:38">
      <c r="F238" s="4">
        <v>201</v>
      </c>
      <c r="G238" s="4">
        <v>15</v>
      </c>
      <c r="H238" s="4">
        <v>3</v>
      </c>
      <c r="I238" s="4">
        <v>11</v>
      </c>
      <c r="J238" s="4">
        <v>6</v>
      </c>
      <c r="K238" s="4">
        <f t="shared" si="168"/>
        <v>2</v>
      </c>
      <c r="L238" s="4">
        <f t="shared" si="168"/>
        <v>0</v>
      </c>
      <c r="M238" s="4">
        <f t="shared" si="168"/>
        <v>0</v>
      </c>
      <c r="N238" s="4">
        <f t="shared" si="168"/>
        <v>0</v>
      </c>
      <c r="O238" s="4">
        <f t="shared" si="169"/>
        <v>12</v>
      </c>
      <c r="P238" s="4">
        <f t="shared" si="170"/>
        <v>0</v>
      </c>
      <c r="Q238" s="4">
        <f t="shared" si="171"/>
        <v>0</v>
      </c>
      <c r="R238" s="4">
        <f t="shared" si="172"/>
        <v>0</v>
      </c>
      <c r="S238" s="4">
        <f>IF(AND(VLOOKUP(G238,Dados!$D:$L,2,0)=VLOOKUP(I238,Dados!$S:$V,2,0),VLOOKUP(G238,Dados!$D:$L,3,0)=VLOOKUP(I238,Dados!$S:$V,3,0)),0,1)</f>
        <v>0</v>
      </c>
      <c r="T238" s="4">
        <f>IF(AND(VLOOKUP(G238,Dados!$D:$L,3,0)&lt;=VLOOKUP(H238,Dados!$X:$AB,2,0),VLOOKUP(G238,Dados!$D:$L,4,0)&gt;=VLOOKUP(H238,Dados!$X:$AB,3,0),VLOOKUP(G238,Dados!$D:$L,4,0)&lt;=VLOOKUP(H238,Dados!$X:$AB,4,0)),0,1)</f>
        <v>0</v>
      </c>
      <c r="U238" s="4">
        <f>IF(COUNTIFS(F:F,F238,H:H,H238)&lt;=VLOOKUP(H238,Dados!$X:$AB,5,0),0,1)</f>
        <v>0</v>
      </c>
      <c r="AI238" s="13"/>
      <c r="AJ238" s="13"/>
      <c r="AK238" s="13"/>
      <c r="AL238" s="13"/>
    </row>
    <row r="239" spans="6:38">
      <c r="F239" s="4">
        <v>201</v>
      </c>
      <c r="G239" s="4">
        <v>17</v>
      </c>
      <c r="H239" s="4">
        <v>3</v>
      </c>
      <c r="I239" s="4">
        <v>11</v>
      </c>
      <c r="J239" s="4">
        <v>1</v>
      </c>
      <c r="K239" s="4">
        <f t="shared" si="168"/>
        <v>2</v>
      </c>
      <c r="L239" s="4">
        <f t="shared" si="168"/>
        <v>0</v>
      </c>
      <c r="M239" s="4">
        <f t="shared" si="168"/>
        <v>0</v>
      </c>
      <c r="N239" s="4">
        <f t="shared" si="168"/>
        <v>0</v>
      </c>
      <c r="O239" s="4">
        <f t="shared" si="169"/>
        <v>2</v>
      </c>
      <c r="P239" s="4">
        <f t="shared" si="170"/>
        <v>0</v>
      </c>
      <c r="Q239" s="4">
        <f t="shared" si="171"/>
        <v>0</v>
      </c>
      <c r="R239" s="4">
        <f t="shared" si="172"/>
        <v>0</v>
      </c>
      <c r="S239" s="4">
        <f>IF(AND(VLOOKUP(G239,Dados!$D:$L,2,0)=VLOOKUP(I239,Dados!$S:$V,2,0),VLOOKUP(G239,Dados!$D:$L,3,0)=VLOOKUP(I239,Dados!$S:$V,3,0)),0,1)</f>
        <v>0</v>
      </c>
      <c r="T239" s="4">
        <f>IF(AND(VLOOKUP(G239,Dados!$D:$L,3,0)&lt;=VLOOKUP(H239,Dados!$X:$AB,2,0),VLOOKUP(G239,Dados!$D:$L,4,0)&gt;=VLOOKUP(H239,Dados!$X:$AB,3,0),VLOOKUP(G239,Dados!$D:$L,4,0)&lt;=VLOOKUP(H239,Dados!$X:$AB,4,0)),0,1)</f>
        <v>0</v>
      </c>
      <c r="U239" s="4">
        <f>IF(COUNTIFS(F:F,F239,H:H,H239)&lt;=VLOOKUP(H239,Dados!$X:$AB,5,0),0,1)</f>
        <v>0</v>
      </c>
      <c r="AI239" s="13"/>
      <c r="AJ239" s="13"/>
      <c r="AK239" s="13"/>
      <c r="AL239" s="13"/>
    </row>
    <row r="240" spans="6:38">
      <c r="F240" s="4">
        <v>202</v>
      </c>
      <c r="G240" s="4">
        <v>20</v>
      </c>
      <c r="H240" s="4">
        <v>1</v>
      </c>
      <c r="I240" s="4">
        <v>13</v>
      </c>
      <c r="J240" s="4">
        <v>6</v>
      </c>
      <c r="K240" s="4">
        <f t="shared" si="168"/>
        <v>0</v>
      </c>
      <c r="L240" s="4">
        <f t="shared" si="168"/>
        <v>0</v>
      </c>
      <c r="M240" s="4">
        <f t="shared" si="168"/>
        <v>0</v>
      </c>
      <c r="N240" s="4">
        <f t="shared" si="168"/>
        <v>0</v>
      </c>
      <c r="O240" s="4">
        <f t="shared" si="169"/>
        <v>0</v>
      </c>
      <c r="P240" s="4">
        <f t="shared" si="170"/>
        <v>0</v>
      </c>
      <c r="Q240" s="4">
        <f t="shared" si="171"/>
        <v>0</v>
      </c>
      <c r="R240" s="4">
        <f t="shared" si="172"/>
        <v>0</v>
      </c>
      <c r="S240" s="4">
        <f>IF(AND(VLOOKUP(G240,Dados!$D:$L,2,0)=VLOOKUP(I240,Dados!$S:$V,2,0),VLOOKUP(G240,Dados!$D:$L,3,0)=VLOOKUP(I240,Dados!$S:$V,3,0)),0,1)</f>
        <v>0</v>
      </c>
      <c r="T240" s="4">
        <f>IF(AND(VLOOKUP(G240,Dados!$D:$L,3,0)&lt;=VLOOKUP(H240,Dados!$X:$AB,2,0),VLOOKUP(G240,Dados!$D:$L,4,0)&gt;=VLOOKUP(H240,Dados!$X:$AB,3,0),VLOOKUP(G240,Dados!$D:$L,4,0)&lt;=VLOOKUP(H240,Dados!$X:$AB,4,0)),0,1)</f>
        <v>0</v>
      </c>
      <c r="U240" s="4">
        <f>IF(COUNTIFS(F:F,F240,H:H,H240)&lt;=VLOOKUP(H240,Dados!$X:$AB,5,0),0,1)</f>
        <v>0</v>
      </c>
      <c r="AI240" s="13"/>
      <c r="AJ240" s="13"/>
      <c r="AK240" s="13"/>
      <c r="AL240" s="13"/>
    </row>
    <row r="241" spans="6:38">
      <c r="F241" s="4">
        <v>202</v>
      </c>
      <c r="G241" s="4">
        <v>21</v>
      </c>
      <c r="H241" s="4">
        <v>1</v>
      </c>
      <c r="I241" s="4">
        <v>13</v>
      </c>
      <c r="J241" s="4">
        <v>1</v>
      </c>
      <c r="K241" s="4">
        <f t="shared" si="168"/>
        <v>0</v>
      </c>
      <c r="L241" s="4">
        <f t="shared" si="168"/>
        <v>0</v>
      </c>
      <c r="M241" s="4">
        <f t="shared" si="168"/>
        <v>0</v>
      </c>
      <c r="N241" s="4">
        <f t="shared" si="168"/>
        <v>0</v>
      </c>
      <c r="O241" s="4">
        <f t="shared" si="169"/>
        <v>0</v>
      </c>
      <c r="P241" s="4">
        <f t="shared" si="170"/>
        <v>0</v>
      </c>
      <c r="Q241" s="4">
        <f t="shared" si="171"/>
        <v>0</v>
      </c>
      <c r="R241" s="4">
        <f t="shared" si="172"/>
        <v>0</v>
      </c>
      <c r="S241" s="4">
        <f>IF(AND(VLOOKUP(G241,Dados!$D:$L,2,0)=VLOOKUP(I241,Dados!$S:$V,2,0),VLOOKUP(G241,Dados!$D:$L,3,0)=VLOOKUP(I241,Dados!$S:$V,3,0)),0,1)</f>
        <v>0</v>
      </c>
      <c r="T241" s="4">
        <f>IF(AND(VLOOKUP(G241,Dados!$D:$L,3,0)&lt;=VLOOKUP(H241,Dados!$X:$AB,2,0),VLOOKUP(G241,Dados!$D:$L,4,0)&gt;=VLOOKUP(H241,Dados!$X:$AB,3,0),VLOOKUP(G241,Dados!$D:$L,4,0)&lt;=VLOOKUP(H241,Dados!$X:$AB,4,0)),0,1)</f>
        <v>0</v>
      </c>
      <c r="U241" s="4">
        <f>IF(COUNTIFS(F:F,F241,H:H,H241)&lt;=VLOOKUP(H241,Dados!$X:$AB,5,0),0,1)</f>
        <v>0</v>
      </c>
      <c r="AI241" s="13"/>
      <c r="AJ241" s="13"/>
      <c r="AK241" s="13"/>
      <c r="AL241" s="13"/>
    </row>
    <row r="242" spans="6:38">
      <c r="F242" s="4">
        <v>202</v>
      </c>
      <c r="G242" s="4">
        <v>23</v>
      </c>
      <c r="H242" s="4">
        <v>1</v>
      </c>
      <c r="I242" s="4">
        <v>13</v>
      </c>
      <c r="J242" s="4">
        <v>1</v>
      </c>
      <c r="K242" s="4">
        <f t="shared" si="168"/>
        <v>0</v>
      </c>
      <c r="L242" s="4">
        <f t="shared" si="168"/>
        <v>0</v>
      </c>
      <c r="M242" s="4">
        <f t="shared" si="168"/>
        <v>0</v>
      </c>
      <c r="N242" s="4">
        <f t="shared" si="168"/>
        <v>0</v>
      </c>
      <c r="O242" s="4">
        <f t="shared" si="169"/>
        <v>0</v>
      </c>
      <c r="P242" s="4">
        <f t="shared" si="170"/>
        <v>0</v>
      </c>
      <c r="Q242" s="4">
        <f t="shared" si="171"/>
        <v>0</v>
      </c>
      <c r="R242" s="4">
        <f t="shared" si="172"/>
        <v>0</v>
      </c>
      <c r="S242" s="4">
        <f>IF(AND(VLOOKUP(G242,Dados!$D:$L,2,0)=VLOOKUP(I242,Dados!$S:$V,2,0),VLOOKUP(G242,Dados!$D:$L,3,0)=VLOOKUP(I242,Dados!$S:$V,3,0)),0,1)</f>
        <v>0</v>
      </c>
      <c r="T242" s="4">
        <f>IF(AND(VLOOKUP(G242,Dados!$D:$L,3,0)&lt;=VLOOKUP(H242,Dados!$X:$AB,2,0),VLOOKUP(G242,Dados!$D:$L,4,0)&gt;=VLOOKUP(H242,Dados!$X:$AB,3,0),VLOOKUP(G242,Dados!$D:$L,4,0)&lt;=VLOOKUP(H242,Dados!$X:$AB,4,0)),0,1)</f>
        <v>0</v>
      </c>
      <c r="U242" s="4">
        <f>IF(COUNTIFS(F:F,F242,H:H,H242)&lt;=VLOOKUP(H242,Dados!$X:$AB,5,0),0,1)</f>
        <v>0</v>
      </c>
      <c r="AI242" s="13"/>
      <c r="AJ242" s="13"/>
      <c r="AK242" s="13"/>
      <c r="AL242" s="13"/>
    </row>
    <row r="243" spans="6:38">
      <c r="F243" s="4">
        <v>203</v>
      </c>
      <c r="G243" s="4">
        <v>20</v>
      </c>
      <c r="H243" s="4">
        <v>2</v>
      </c>
      <c r="I243" s="4">
        <v>13</v>
      </c>
      <c r="J243" s="4">
        <v>6</v>
      </c>
      <c r="K243" s="4">
        <f t="shared" si="168"/>
        <v>6</v>
      </c>
      <c r="L243" s="4">
        <f t="shared" si="168"/>
        <v>0</v>
      </c>
      <c r="M243" s="4">
        <f t="shared" si="168"/>
        <v>0</v>
      </c>
      <c r="N243" s="4">
        <f t="shared" si="168"/>
        <v>0</v>
      </c>
      <c r="O243" s="4">
        <f t="shared" si="169"/>
        <v>36</v>
      </c>
      <c r="P243" s="4">
        <f t="shared" si="170"/>
        <v>0</v>
      </c>
      <c r="Q243" s="4">
        <f t="shared" si="171"/>
        <v>0</v>
      </c>
      <c r="R243" s="4">
        <f t="shared" si="172"/>
        <v>0</v>
      </c>
      <c r="S243" s="4">
        <f>IF(AND(VLOOKUP(G243,Dados!$D:$L,2,0)=VLOOKUP(I243,Dados!$S:$V,2,0),VLOOKUP(G243,Dados!$D:$L,3,0)=VLOOKUP(I243,Dados!$S:$V,3,0)),0,1)</f>
        <v>0</v>
      </c>
      <c r="T243" s="4">
        <f>IF(AND(VLOOKUP(G243,Dados!$D:$L,3,0)&lt;=VLOOKUP(H243,Dados!$X:$AB,2,0),VLOOKUP(G243,Dados!$D:$L,4,0)&gt;=VLOOKUP(H243,Dados!$X:$AB,3,0),VLOOKUP(G243,Dados!$D:$L,4,0)&lt;=VLOOKUP(H243,Dados!$X:$AB,4,0)),0,1)</f>
        <v>0</v>
      </c>
      <c r="U243" s="4">
        <f>IF(COUNTIFS(F:F,F243,H:H,H243)&lt;=VLOOKUP(H243,Dados!$X:$AB,5,0),0,1)</f>
        <v>0</v>
      </c>
      <c r="AI243" s="13"/>
      <c r="AJ243" s="13"/>
      <c r="AK243" s="13"/>
      <c r="AL243" s="13"/>
    </row>
    <row r="244" spans="6:38">
      <c r="F244" s="4">
        <v>203</v>
      </c>
      <c r="G244" s="4">
        <v>21</v>
      </c>
      <c r="H244" s="4">
        <v>2</v>
      </c>
      <c r="I244" s="4">
        <v>13</v>
      </c>
      <c r="J244" s="4">
        <v>1</v>
      </c>
      <c r="K244" s="4">
        <f t="shared" si="168"/>
        <v>6</v>
      </c>
      <c r="L244" s="4">
        <f t="shared" si="168"/>
        <v>0</v>
      </c>
      <c r="M244" s="4">
        <f t="shared" si="168"/>
        <v>0</v>
      </c>
      <c r="N244" s="4">
        <f t="shared" si="168"/>
        <v>0</v>
      </c>
      <c r="O244" s="4">
        <f t="shared" si="169"/>
        <v>6</v>
      </c>
      <c r="P244" s="4">
        <f t="shared" si="170"/>
        <v>0</v>
      </c>
      <c r="Q244" s="4">
        <f t="shared" si="171"/>
        <v>0</v>
      </c>
      <c r="R244" s="4">
        <f t="shared" si="172"/>
        <v>0</v>
      </c>
      <c r="S244" s="4">
        <f>IF(AND(VLOOKUP(G244,Dados!$D:$L,2,0)=VLOOKUP(I244,Dados!$S:$V,2,0),VLOOKUP(G244,Dados!$D:$L,3,0)=VLOOKUP(I244,Dados!$S:$V,3,0)),0,1)</f>
        <v>0</v>
      </c>
      <c r="T244" s="4">
        <f>IF(AND(VLOOKUP(G244,Dados!$D:$L,3,0)&lt;=VLOOKUP(H244,Dados!$X:$AB,2,0),VLOOKUP(G244,Dados!$D:$L,4,0)&gt;=VLOOKUP(H244,Dados!$X:$AB,3,0),VLOOKUP(G244,Dados!$D:$L,4,0)&lt;=VLOOKUP(H244,Dados!$X:$AB,4,0)),0,1)</f>
        <v>0</v>
      </c>
      <c r="U244" s="4">
        <f>IF(COUNTIFS(F:F,F244,H:H,H244)&lt;=VLOOKUP(H244,Dados!$X:$AB,5,0),0,1)</f>
        <v>0</v>
      </c>
      <c r="AI244" s="13"/>
      <c r="AJ244" s="13"/>
      <c r="AK244" s="13"/>
      <c r="AL244" s="13"/>
    </row>
    <row r="245" spans="6:38">
      <c r="F245" s="4">
        <v>203</v>
      </c>
      <c r="G245" s="4">
        <v>23</v>
      </c>
      <c r="H245" s="4">
        <v>2</v>
      </c>
      <c r="I245" s="4">
        <v>13</v>
      </c>
      <c r="J245" s="4">
        <v>1</v>
      </c>
      <c r="K245" s="4">
        <f t="shared" si="168"/>
        <v>6</v>
      </c>
      <c r="L245" s="4">
        <f t="shared" si="168"/>
        <v>0</v>
      </c>
      <c r="M245" s="4">
        <f t="shared" si="168"/>
        <v>0</v>
      </c>
      <c r="N245" s="4">
        <f t="shared" si="168"/>
        <v>0</v>
      </c>
      <c r="O245" s="4">
        <f t="shared" si="169"/>
        <v>6</v>
      </c>
      <c r="P245" s="4">
        <f t="shared" si="170"/>
        <v>0</v>
      </c>
      <c r="Q245" s="4">
        <f t="shared" si="171"/>
        <v>0</v>
      </c>
      <c r="R245" s="4">
        <f t="shared" si="172"/>
        <v>0</v>
      </c>
      <c r="S245" s="4">
        <f>IF(AND(VLOOKUP(G245,Dados!$D:$L,2,0)=VLOOKUP(I245,Dados!$S:$V,2,0),VLOOKUP(G245,Dados!$D:$L,3,0)=VLOOKUP(I245,Dados!$S:$V,3,0)),0,1)</f>
        <v>0</v>
      </c>
      <c r="T245" s="4">
        <f>IF(AND(VLOOKUP(G245,Dados!$D:$L,3,0)&lt;=VLOOKUP(H245,Dados!$X:$AB,2,0),VLOOKUP(G245,Dados!$D:$L,4,0)&gt;=VLOOKUP(H245,Dados!$X:$AB,3,0),VLOOKUP(G245,Dados!$D:$L,4,0)&lt;=VLOOKUP(H245,Dados!$X:$AB,4,0)),0,1)</f>
        <v>0</v>
      </c>
      <c r="U245" s="4">
        <f>IF(COUNTIFS(F:F,F245,H:H,H245)&lt;=VLOOKUP(H245,Dados!$X:$AB,5,0),0,1)</f>
        <v>0</v>
      </c>
      <c r="AI245" s="13"/>
      <c r="AJ245" s="13"/>
      <c r="AK245" s="13"/>
      <c r="AL245" s="13"/>
    </row>
    <row r="246" spans="6:38">
      <c r="F246" s="4">
        <v>204</v>
      </c>
      <c r="G246" s="4">
        <v>20</v>
      </c>
      <c r="H246" s="4">
        <v>3</v>
      </c>
      <c r="I246" s="4">
        <v>13</v>
      </c>
      <c r="J246" s="4">
        <v>6</v>
      </c>
      <c r="K246" s="4">
        <f t="shared" si="168"/>
        <v>0</v>
      </c>
      <c r="L246" s="4">
        <f t="shared" si="168"/>
        <v>0</v>
      </c>
      <c r="M246" s="4">
        <f t="shared" si="168"/>
        <v>0</v>
      </c>
      <c r="N246" s="4">
        <f t="shared" si="168"/>
        <v>0</v>
      </c>
      <c r="O246" s="4">
        <f t="shared" si="169"/>
        <v>0</v>
      </c>
      <c r="P246" s="4">
        <f t="shared" si="170"/>
        <v>0</v>
      </c>
      <c r="Q246" s="4">
        <f t="shared" si="171"/>
        <v>0</v>
      </c>
      <c r="R246" s="4">
        <f t="shared" si="172"/>
        <v>0</v>
      </c>
      <c r="S246" s="4">
        <f>IF(AND(VLOOKUP(G246,Dados!$D:$L,2,0)=VLOOKUP(I246,Dados!$S:$V,2,0),VLOOKUP(G246,Dados!$D:$L,3,0)=VLOOKUP(I246,Dados!$S:$V,3,0)),0,1)</f>
        <v>0</v>
      </c>
      <c r="T246" s="4">
        <f>IF(AND(VLOOKUP(G246,Dados!$D:$L,3,0)&lt;=VLOOKUP(H246,Dados!$X:$AB,2,0),VLOOKUP(G246,Dados!$D:$L,4,0)&gt;=VLOOKUP(H246,Dados!$X:$AB,3,0),VLOOKUP(G246,Dados!$D:$L,4,0)&lt;=VLOOKUP(H246,Dados!$X:$AB,4,0)),0,1)</f>
        <v>0</v>
      </c>
      <c r="U246" s="4">
        <f>IF(COUNTIFS(F:F,F246,H:H,H246)&lt;=VLOOKUP(H246,Dados!$X:$AB,5,0),0,1)</f>
        <v>0</v>
      </c>
      <c r="AI246" s="13"/>
      <c r="AJ246" s="13"/>
      <c r="AK246" s="13"/>
      <c r="AL246" s="13"/>
    </row>
    <row r="247" spans="6:38">
      <c r="F247" s="4">
        <v>204</v>
      </c>
      <c r="G247" s="4">
        <v>21</v>
      </c>
      <c r="H247" s="4">
        <v>3</v>
      </c>
      <c r="I247" s="4">
        <v>13</v>
      </c>
      <c r="J247" s="4">
        <v>1</v>
      </c>
      <c r="K247" s="4">
        <f t="shared" si="168"/>
        <v>0</v>
      </c>
      <c r="L247" s="4">
        <f t="shared" si="168"/>
        <v>0</v>
      </c>
      <c r="M247" s="4">
        <f t="shared" si="168"/>
        <v>0</v>
      </c>
      <c r="N247" s="4">
        <f t="shared" si="168"/>
        <v>0</v>
      </c>
      <c r="O247" s="4">
        <f t="shared" si="169"/>
        <v>0</v>
      </c>
      <c r="P247" s="4">
        <f t="shared" si="170"/>
        <v>0</v>
      </c>
      <c r="Q247" s="4">
        <f t="shared" si="171"/>
        <v>0</v>
      </c>
      <c r="R247" s="4">
        <f t="shared" si="172"/>
        <v>0</v>
      </c>
      <c r="S247" s="4">
        <f>IF(AND(VLOOKUP(G247,Dados!$D:$L,2,0)=VLOOKUP(I247,Dados!$S:$V,2,0),VLOOKUP(G247,Dados!$D:$L,3,0)=VLOOKUP(I247,Dados!$S:$V,3,0)),0,1)</f>
        <v>0</v>
      </c>
      <c r="T247" s="4">
        <f>IF(AND(VLOOKUP(G247,Dados!$D:$L,3,0)&lt;=VLOOKUP(H247,Dados!$X:$AB,2,0),VLOOKUP(G247,Dados!$D:$L,4,0)&gt;=VLOOKUP(H247,Dados!$X:$AB,3,0),VLOOKUP(G247,Dados!$D:$L,4,0)&lt;=VLOOKUP(H247,Dados!$X:$AB,4,0)),0,1)</f>
        <v>0</v>
      </c>
      <c r="U247" s="4">
        <f>IF(COUNTIFS(F:F,F247,H:H,H247)&lt;=VLOOKUP(H247,Dados!$X:$AB,5,0),0,1)</f>
        <v>0</v>
      </c>
      <c r="AI247" s="13"/>
      <c r="AJ247" s="13"/>
      <c r="AK247" s="13"/>
      <c r="AL247" s="13"/>
    </row>
    <row r="248" spans="6:38">
      <c r="F248" s="4">
        <v>204</v>
      </c>
      <c r="G248" s="4">
        <v>23</v>
      </c>
      <c r="H248" s="4">
        <v>3</v>
      </c>
      <c r="I248" s="4">
        <v>13</v>
      </c>
      <c r="J248" s="4">
        <v>1</v>
      </c>
      <c r="K248" s="4">
        <f t="shared" si="168"/>
        <v>0</v>
      </c>
      <c r="L248" s="4">
        <f t="shared" si="168"/>
        <v>0</v>
      </c>
      <c r="M248" s="4">
        <f t="shared" si="168"/>
        <v>0</v>
      </c>
      <c r="N248" s="4">
        <f t="shared" si="168"/>
        <v>0</v>
      </c>
      <c r="O248" s="4">
        <f t="shared" si="169"/>
        <v>0</v>
      </c>
      <c r="P248" s="4">
        <f t="shared" si="170"/>
        <v>0</v>
      </c>
      <c r="Q248" s="4">
        <f t="shared" si="171"/>
        <v>0</v>
      </c>
      <c r="R248" s="4">
        <f t="shared" si="172"/>
        <v>0</v>
      </c>
      <c r="S248" s="4">
        <f>IF(AND(VLOOKUP(G248,Dados!$D:$L,2,0)=VLOOKUP(I248,Dados!$S:$V,2,0),VLOOKUP(G248,Dados!$D:$L,3,0)=VLOOKUP(I248,Dados!$S:$V,3,0)),0,1)</f>
        <v>0</v>
      </c>
      <c r="T248" s="4">
        <f>IF(AND(VLOOKUP(G248,Dados!$D:$L,3,0)&lt;=VLOOKUP(H248,Dados!$X:$AB,2,0),VLOOKUP(G248,Dados!$D:$L,4,0)&gt;=VLOOKUP(H248,Dados!$X:$AB,3,0),VLOOKUP(G248,Dados!$D:$L,4,0)&lt;=VLOOKUP(H248,Dados!$X:$AB,4,0)),0,1)</f>
        <v>0</v>
      </c>
      <c r="U248" s="4">
        <f>IF(COUNTIFS(F:F,F248,H:H,H248)&lt;=VLOOKUP(H248,Dados!$X:$AB,5,0),0,1)</f>
        <v>0</v>
      </c>
      <c r="AI248" s="13"/>
      <c r="AJ248" s="13"/>
      <c r="AK248" s="13"/>
      <c r="AL248" s="13"/>
    </row>
    <row r="249" spans="6:38">
      <c r="F249" s="4">
        <v>205</v>
      </c>
      <c r="G249" s="4">
        <v>20</v>
      </c>
      <c r="H249" s="4">
        <v>1</v>
      </c>
      <c r="I249" s="4">
        <v>14</v>
      </c>
      <c r="J249" s="4">
        <v>4</v>
      </c>
      <c r="K249" s="4">
        <f t="shared" si="168"/>
        <v>10</v>
      </c>
      <c r="L249" s="4">
        <f t="shared" si="168"/>
        <v>0</v>
      </c>
      <c r="M249" s="4">
        <f t="shared" si="168"/>
        <v>0</v>
      </c>
      <c r="N249" s="4">
        <f t="shared" si="168"/>
        <v>0</v>
      </c>
      <c r="O249" s="4">
        <f t="shared" si="169"/>
        <v>40</v>
      </c>
      <c r="P249" s="4">
        <f t="shared" si="170"/>
        <v>0</v>
      </c>
      <c r="Q249" s="4">
        <f t="shared" si="171"/>
        <v>0</v>
      </c>
      <c r="R249" s="4">
        <f t="shared" si="172"/>
        <v>0</v>
      </c>
      <c r="S249" s="4">
        <f>IF(AND(VLOOKUP(G249,Dados!$D:$L,2,0)=VLOOKUP(I249,Dados!$S:$V,2,0),VLOOKUP(G249,Dados!$D:$L,3,0)=VLOOKUP(I249,Dados!$S:$V,3,0)),0,1)</f>
        <v>0</v>
      </c>
      <c r="T249" s="4">
        <f>IF(AND(VLOOKUP(G249,Dados!$D:$L,3,0)&lt;=VLOOKUP(H249,Dados!$X:$AB,2,0),VLOOKUP(G249,Dados!$D:$L,4,0)&gt;=VLOOKUP(H249,Dados!$X:$AB,3,0),VLOOKUP(G249,Dados!$D:$L,4,0)&lt;=VLOOKUP(H249,Dados!$X:$AB,4,0)),0,1)</f>
        <v>0</v>
      </c>
      <c r="U249" s="4">
        <f>IF(COUNTIFS(F:F,F249,H:H,H249)&lt;=VLOOKUP(H249,Dados!$X:$AB,5,0),0,1)</f>
        <v>0</v>
      </c>
      <c r="AI249" s="13"/>
      <c r="AJ249" s="13"/>
      <c r="AK249" s="13"/>
      <c r="AL249" s="13"/>
    </row>
    <row r="250" spans="6:38">
      <c r="F250" s="4">
        <v>205</v>
      </c>
      <c r="G250" s="4">
        <v>21</v>
      </c>
      <c r="H250" s="4">
        <v>1</v>
      </c>
      <c r="I250" s="4">
        <v>14</v>
      </c>
      <c r="J250" s="4">
        <v>3</v>
      </c>
      <c r="K250" s="4">
        <f t="shared" si="168"/>
        <v>10</v>
      </c>
      <c r="L250" s="4">
        <f t="shared" si="168"/>
        <v>0</v>
      </c>
      <c r="M250" s="4">
        <f t="shared" si="168"/>
        <v>0</v>
      </c>
      <c r="N250" s="4">
        <f t="shared" si="168"/>
        <v>0</v>
      </c>
      <c r="O250" s="4">
        <f t="shared" si="169"/>
        <v>30</v>
      </c>
      <c r="P250" s="4">
        <f t="shared" si="170"/>
        <v>0</v>
      </c>
      <c r="Q250" s="4">
        <f t="shared" si="171"/>
        <v>0</v>
      </c>
      <c r="R250" s="4">
        <f t="shared" si="172"/>
        <v>0</v>
      </c>
      <c r="S250" s="4">
        <f>IF(AND(VLOOKUP(G250,Dados!$D:$L,2,0)=VLOOKUP(I250,Dados!$S:$V,2,0),VLOOKUP(G250,Dados!$D:$L,3,0)=VLOOKUP(I250,Dados!$S:$V,3,0)),0,1)</f>
        <v>0</v>
      </c>
      <c r="T250" s="4">
        <f>IF(AND(VLOOKUP(G250,Dados!$D:$L,3,0)&lt;=VLOOKUP(H250,Dados!$X:$AB,2,0),VLOOKUP(G250,Dados!$D:$L,4,0)&gt;=VLOOKUP(H250,Dados!$X:$AB,3,0),VLOOKUP(G250,Dados!$D:$L,4,0)&lt;=VLOOKUP(H250,Dados!$X:$AB,4,0)),0,1)</f>
        <v>0</v>
      </c>
      <c r="U250" s="4">
        <f>IF(COUNTIFS(F:F,F250,H:H,H250)&lt;=VLOOKUP(H250,Dados!$X:$AB,5,0),0,1)</f>
        <v>0</v>
      </c>
      <c r="AI250" s="13"/>
      <c r="AJ250" s="13"/>
      <c r="AK250" s="13"/>
      <c r="AL250" s="13"/>
    </row>
    <row r="251" spans="6:38">
      <c r="F251" s="4">
        <v>205</v>
      </c>
      <c r="G251" s="4">
        <v>23</v>
      </c>
      <c r="H251" s="4">
        <v>1</v>
      </c>
      <c r="I251" s="4">
        <v>14</v>
      </c>
      <c r="J251" s="4">
        <v>1</v>
      </c>
      <c r="K251" s="4">
        <f t="shared" si="168"/>
        <v>10</v>
      </c>
      <c r="L251" s="4">
        <f t="shared" si="168"/>
        <v>0</v>
      </c>
      <c r="M251" s="4">
        <f t="shared" si="168"/>
        <v>0</v>
      </c>
      <c r="N251" s="4">
        <f t="shared" si="168"/>
        <v>0</v>
      </c>
      <c r="O251" s="4">
        <f t="shared" si="169"/>
        <v>10</v>
      </c>
      <c r="P251" s="4">
        <f t="shared" si="170"/>
        <v>0</v>
      </c>
      <c r="Q251" s="4">
        <f t="shared" si="171"/>
        <v>0</v>
      </c>
      <c r="R251" s="4">
        <f t="shared" si="172"/>
        <v>0</v>
      </c>
      <c r="S251" s="4">
        <f>IF(AND(VLOOKUP(G251,Dados!$D:$L,2,0)=VLOOKUP(I251,Dados!$S:$V,2,0),VLOOKUP(G251,Dados!$D:$L,3,0)=VLOOKUP(I251,Dados!$S:$V,3,0)),0,1)</f>
        <v>0</v>
      </c>
      <c r="T251" s="4">
        <f>IF(AND(VLOOKUP(G251,Dados!$D:$L,3,0)&lt;=VLOOKUP(H251,Dados!$X:$AB,2,0),VLOOKUP(G251,Dados!$D:$L,4,0)&gt;=VLOOKUP(H251,Dados!$X:$AB,3,0),VLOOKUP(G251,Dados!$D:$L,4,0)&lt;=VLOOKUP(H251,Dados!$X:$AB,4,0)),0,1)</f>
        <v>0</v>
      </c>
      <c r="U251" s="4">
        <f>IF(COUNTIFS(F:F,F251,H:H,H251)&lt;=VLOOKUP(H251,Dados!$X:$AB,5,0),0,1)</f>
        <v>0</v>
      </c>
      <c r="AI251" s="13"/>
      <c r="AJ251" s="13"/>
      <c r="AK251" s="13"/>
      <c r="AL251" s="13"/>
    </row>
    <row r="252" spans="6:38">
      <c r="F252" s="4">
        <v>206</v>
      </c>
      <c r="G252" s="4">
        <v>20</v>
      </c>
      <c r="H252" s="4">
        <v>2</v>
      </c>
      <c r="I252" s="4">
        <v>14</v>
      </c>
      <c r="J252" s="4">
        <v>4</v>
      </c>
      <c r="K252" s="4">
        <f t="shared" si="168"/>
        <v>0</v>
      </c>
      <c r="L252" s="4">
        <f t="shared" si="168"/>
        <v>0</v>
      </c>
      <c r="M252" s="4">
        <f t="shared" si="168"/>
        <v>0</v>
      </c>
      <c r="N252" s="4">
        <f t="shared" si="168"/>
        <v>0</v>
      </c>
      <c r="O252" s="4">
        <f t="shared" si="169"/>
        <v>0</v>
      </c>
      <c r="P252" s="4">
        <f t="shared" si="170"/>
        <v>0</v>
      </c>
      <c r="Q252" s="4">
        <f t="shared" si="171"/>
        <v>0</v>
      </c>
      <c r="R252" s="4">
        <f t="shared" si="172"/>
        <v>0</v>
      </c>
      <c r="S252" s="4">
        <f>IF(AND(VLOOKUP(G252,Dados!$D:$L,2,0)=VLOOKUP(I252,Dados!$S:$V,2,0),VLOOKUP(G252,Dados!$D:$L,3,0)=VLOOKUP(I252,Dados!$S:$V,3,0)),0,1)</f>
        <v>0</v>
      </c>
      <c r="T252" s="4">
        <f>IF(AND(VLOOKUP(G252,Dados!$D:$L,3,0)&lt;=VLOOKUP(H252,Dados!$X:$AB,2,0),VLOOKUP(G252,Dados!$D:$L,4,0)&gt;=VLOOKUP(H252,Dados!$X:$AB,3,0),VLOOKUP(G252,Dados!$D:$L,4,0)&lt;=VLOOKUP(H252,Dados!$X:$AB,4,0)),0,1)</f>
        <v>0</v>
      </c>
      <c r="U252" s="4">
        <f>IF(COUNTIFS(F:F,F252,H:H,H252)&lt;=VLOOKUP(H252,Dados!$X:$AB,5,0),0,1)</f>
        <v>0</v>
      </c>
      <c r="AI252" s="13"/>
      <c r="AJ252" s="13"/>
      <c r="AK252" s="13"/>
      <c r="AL252" s="13"/>
    </row>
    <row r="253" spans="6:38">
      <c r="F253" s="4">
        <v>206</v>
      </c>
      <c r="G253" s="4">
        <v>21</v>
      </c>
      <c r="H253" s="4">
        <v>2</v>
      </c>
      <c r="I253" s="4">
        <v>14</v>
      </c>
      <c r="J253" s="4">
        <v>3</v>
      </c>
      <c r="K253" s="4">
        <f t="shared" si="168"/>
        <v>0</v>
      </c>
      <c r="L253" s="4">
        <f t="shared" si="168"/>
        <v>0</v>
      </c>
      <c r="M253" s="4">
        <f t="shared" si="168"/>
        <v>0</v>
      </c>
      <c r="N253" s="4">
        <f t="shared" si="168"/>
        <v>0</v>
      </c>
      <c r="O253" s="4">
        <f t="shared" si="169"/>
        <v>0</v>
      </c>
      <c r="P253" s="4">
        <f t="shared" si="170"/>
        <v>0</v>
      </c>
      <c r="Q253" s="4">
        <f t="shared" si="171"/>
        <v>0</v>
      </c>
      <c r="R253" s="4">
        <f t="shared" si="172"/>
        <v>0</v>
      </c>
      <c r="S253" s="4">
        <f>IF(AND(VLOOKUP(G253,Dados!$D:$L,2,0)=VLOOKUP(I253,Dados!$S:$V,2,0),VLOOKUP(G253,Dados!$D:$L,3,0)=VLOOKUP(I253,Dados!$S:$V,3,0)),0,1)</f>
        <v>0</v>
      </c>
      <c r="T253" s="4">
        <f>IF(AND(VLOOKUP(G253,Dados!$D:$L,3,0)&lt;=VLOOKUP(H253,Dados!$X:$AB,2,0),VLOOKUP(G253,Dados!$D:$L,4,0)&gt;=VLOOKUP(H253,Dados!$X:$AB,3,0),VLOOKUP(G253,Dados!$D:$L,4,0)&lt;=VLOOKUP(H253,Dados!$X:$AB,4,0)),0,1)</f>
        <v>0</v>
      </c>
      <c r="U253" s="4">
        <f>IF(COUNTIFS(F:F,F253,H:H,H253)&lt;=VLOOKUP(H253,Dados!$X:$AB,5,0),0,1)</f>
        <v>0</v>
      </c>
      <c r="AI253" s="13"/>
      <c r="AJ253" s="13"/>
      <c r="AK253" s="13"/>
      <c r="AL253" s="13"/>
    </row>
    <row r="254" spans="6:38">
      <c r="F254" s="4">
        <v>206</v>
      </c>
      <c r="G254" s="4">
        <v>23</v>
      </c>
      <c r="H254" s="4">
        <v>2</v>
      </c>
      <c r="I254" s="4">
        <v>14</v>
      </c>
      <c r="J254" s="4">
        <v>1</v>
      </c>
      <c r="K254" s="4">
        <f t="shared" si="168"/>
        <v>0</v>
      </c>
      <c r="L254" s="4">
        <f t="shared" si="168"/>
        <v>0</v>
      </c>
      <c r="M254" s="4">
        <f t="shared" si="168"/>
        <v>0</v>
      </c>
      <c r="N254" s="4">
        <f t="shared" si="168"/>
        <v>0</v>
      </c>
      <c r="O254" s="4">
        <f t="shared" si="169"/>
        <v>0</v>
      </c>
      <c r="P254" s="4">
        <f t="shared" si="170"/>
        <v>0</v>
      </c>
      <c r="Q254" s="4">
        <f t="shared" si="171"/>
        <v>0</v>
      </c>
      <c r="R254" s="4">
        <f t="shared" si="172"/>
        <v>0</v>
      </c>
      <c r="S254" s="4">
        <f>IF(AND(VLOOKUP(G254,Dados!$D:$L,2,0)=VLOOKUP(I254,Dados!$S:$V,2,0),VLOOKUP(G254,Dados!$D:$L,3,0)=VLOOKUP(I254,Dados!$S:$V,3,0)),0,1)</f>
        <v>0</v>
      </c>
      <c r="T254" s="4">
        <f>IF(AND(VLOOKUP(G254,Dados!$D:$L,3,0)&lt;=VLOOKUP(H254,Dados!$X:$AB,2,0),VLOOKUP(G254,Dados!$D:$L,4,0)&gt;=VLOOKUP(H254,Dados!$X:$AB,3,0),VLOOKUP(G254,Dados!$D:$L,4,0)&lt;=VLOOKUP(H254,Dados!$X:$AB,4,0)),0,1)</f>
        <v>0</v>
      </c>
      <c r="U254" s="4">
        <f>IF(COUNTIFS(F:F,F254,H:H,H254)&lt;=VLOOKUP(H254,Dados!$X:$AB,5,0),0,1)</f>
        <v>0</v>
      </c>
      <c r="AI254" s="13"/>
      <c r="AJ254" s="13"/>
      <c r="AK254" s="13"/>
      <c r="AL254" s="13"/>
    </row>
    <row r="255" spans="6:38">
      <c r="F255" s="4">
        <v>207</v>
      </c>
      <c r="G255" s="4">
        <v>20</v>
      </c>
      <c r="H255" s="4">
        <v>3</v>
      </c>
      <c r="I255" s="4">
        <v>14</v>
      </c>
      <c r="J255" s="4">
        <v>4</v>
      </c>
      <c r="K255" s="4">
        <f t="shared" si="168"/>
        <v>0</v>
      </c>
      <c r="L255" s="4">
        <f t="shared" si="168"/>
        <v>0</v>
      </c>
      <c r="M255" s="4">
        <f t="shared" si="168"/>
        <v>0</v>
      </c>
      <c r="N255" s="4">
        <f t="shared" si="168"/>
        <v>0</v>
      </c>
      <c r="O255" s="4">
        <f t="shared" si="169"/>
        <v>0</v>
      </c>
      <c r="P255" s="4">
        <f t="shared" si="170"/>
        <v>0</v>
      </c>
      <c r="Q255" s="4">
        <f t="shared" si="171"/>
        <v>0</v>
      </c>
      <c r="R255" s="4">
        <f t="shared" si="172"/>
        <v>0</v>
      </c>
      <c r="S255" s="4">
        <f>IF(AND(VLOOKUP(G255,Dados!$D:$L,2,0)=VLOOKUP(I255,Dados!$S:$V,2,0),VLOOKUP(G255,Dados!$D:$L,3,0)=VLOOKUP(I255,Dados!$S:$V,3,0)),0,1)</f>
        <v>0</v>
      </c>
      <c r="T255" s="4">
        <f>IF(AND(VLOOKUP(G255,Dados!$D:$L,3,0)&lt;=VLOOKUP(H255,Dados!$X:$AB,2,0),VLOOKUP(G255,Dados!$D:$L,4,0)&gt;=VLOOKUP(H255,Dados!$X:$AB,3,0),VLOOKUP(G255,Dados!$D:$L,4,0)&lt;=VLOOKUP(H255,Dados!$X:$AB,4,0)),0,1)</f>
        <v>0</v>
      </c>
      <c r="U255" s="4">
        <f>IF(COUNTIFS(F:F,F255,H:H,H255)&lt;=VLOOKUP(H255,Dados!$X:$AB,5,0),0,1)</f>
        <v>0</v>
      </c>
      <c r="AI255" s="13"/>
      <c r="AJ255" s="13"/>
      <c r="AK255" s="13"/>
      <c r="AL255" s="13"/>
    </row>
    <row r="256" spans="6:38">
      <c r="F256" s="4">
        <v>207</v>
      </c>
      <c r="G256" s="4">
        <v>21</v>
      </c>
      <c r="H256" s="4">
        <v>3</v>
      </c>
      <c r="I256" s="4">
        <v>14</v>
      </c>
      <c r="J256" s="4">
        <v>3</v>
      </c>
      <c r="K256" s="4">
        <f t="shared" si="168"/>
        <v>0</v>
      </c>
      <c r="L256" s="4">
        <f t="shared" si="168"/>
        <v>0</v>
      </c>
      <c r="M256" s="4">
        <f t="shared" si="168"/>
        <v>0</v>
      </c>
      <c r="N256" s="4">
        <f t="shared" si="168"/>
        <v>0</v>
      </c>
      <c r="O256" s="4">
        <f t="shared" si="169"/>
        <v>0</v>
      </c>
      <c r="P256" s="4">
        <f t="shared" si="170"/>
        <v>0</v>
      </c>
      <c r="Q256" s="4">
        <f t="shared" si="171"/>
        <v>0</v>
      </c>
      <c r="R256" s="4">
        <f t="shared" si="172"/>
        <v>0</v>
      </c>
      <c r="S256" s="4">
        <f>IF(AND(VLOOKUP(G256,Dados!$D:$L,2,0)=VLOOKUP(I256,Dados!$S:$V,2,0),VLOOKUP(G256,Dados!$D:$L,3,0)=VLOOKUP(I256,Dados!$S:$V,3,0)),0,1)</f>
        <v>0</v>
      </c>
      <c r="T256" s="4">
        <f>IF(AND(VLOOKUP(G256,Dados!$D:$L,3,0)&lt;=VLOOKUP(H256,Dados!$X:$AB,2,0),VLOOKUP(G256,Dados!$D:$L,4,0)&gt;=VLOOKUP(H256,Dados!$X:$AB,3,0),VLOOKUP(G256,Dados!$D:$L,4,0)&lt;=VLOOKUP(H256,Dados!$X:$AB,4,0)),0,1)</f>
        <v>0</v>
      </c>
      <c r="U256" s="4">
        <f>IF(COUNTIFS(F:F,F256,H:H,H256)&lt;=VLOOKUP(H256,Dados!$X:$AB,5,0),0,1)</f>
        <v>0</v>
      </c>
      <c r="AI256" s="13"/>
      <c r="AJ256" s="13"/>
      <c r="AK256" s="13"/>
      <c r="AL256" s="13"/>
    </row>
    <row r="257" spans="6:38">
      <c r="F257" s="4">
        <v>207</v>
      </c>
      <c r="G257" s="4">
        <v>23</v>
      </c>
      <c r="H257" s="4">
        <v>3</v>
      </c>
      <c r="I257" s="4">
        <v>14</v>
      </c>
      <c r="J257" s="4">
        <v>1</v>
      </c>
      <c r="K257" s="4">
        <f t="shared" si="168"/>
        <v>0</v>
      </c>
      <c r="L257" s="4">
        <f t="shared" si="168"/>
        <v>0</v>
      </c>
      <c r="M257" s="4">
        <f t="shared" si="168"/>
        <v>0</v>
      </c>
      <c r="N257" s="4">
        <f t="shared" si="168"/>
        <v>0</v>
      </c>
      <c r="O257" s="4">
        <f t="shared" si="169"/>
        <v>0</v>
      </c>
      <c r="P257" s="4">
        <f t="shared" si="170"/>
        <v>0</v>
      </c>
      <c r="Q257" s="4">
        <f t="shared" si="171"/>
        <v>0</v>
      </c>
      <c r="R257" s="4">
        <f t="shared" si="172"/>
        <v>0</v>
      </c>
      <c r="S257" s="4">
        <f>IF(AND(VLOOKUP(G257,Dados!$D:$L,2,0)=VLOOKUP(I257,Dados!$S:$V,2,0),VLOOKUP(G257,Dados!$D:$L,3,0)=VLOOKUP(I257,Dados!$S:$V,3,0)),0,1)</f>
        <v>0</v>
      </c>
      <c r="T257" s="4">
        <f>IF(AND(VLOOKUP(G257,Dados!$D:$L,3,0)&lt;=VLOOKUP(H257,Dados!$X:$AB,2,0),VLOOKUP(G257,Dados!$D:$L,4,0)&gt;=VLOOKUP(H257,Dados!$X:$AB,3,0),VLOOKUP(G257,Dados!$D:$L,4,0)&lt;=VLOOKUP(H257,Dados!$X:$AB,4,0)),0,1)</f>
        <v>0</v>
      </c>
      <c r="U257" s="4">
        <f>IF(COUNTIFS(F:F,F257,H:H,H257)&lt;=VLOOKUP(H257,Dados!$X:$AB,5,0),0,1)</f>
        <v>0</v>
      </c>
      <c r="AI257" s="13"/>
      <c r="AJ257" s="13"/>
      <c r="AK257" s="13"/>
      <c r="AL257" s="13"/>
    </row>
    <row r="258" spans="6:38">
      <c r="F258" s="4">
        <v>208</v>
      </c>
      <c r="G258" s="4">
        <v>26</v>
      </c>
      <c r="H258" s="4">
        <v>1</v>
      </c>
      <c r="I258" s="4">
        <v>15</v>
      </c>
      <c r="J258" s="4">
        <v>1</v>
      </c>
      <c r="K258" s="4">
        <f t="shared" si="168"/>
        <v>33</v>
      </c>
      <c r="L258" s="4">
        <f t="shared" si="168"/>
        <v>0</v>
      </c>
      <c r="M258" s="4">
        <f t="shared" si="168"/>
        <v>0</v>
      </c>
      <c r="N258" s="4">
        <f t="shared" si="168"/>
        <v>9</v>
      </c>
      <c r="O258" s="4">
        <f t="shared" si="169"/>
        <v>33</v>
      </c>
      <c r="P258" s="4">
        <f t="shared" si="170"/>
        <v>0</v>
      </c>
      <c r="Q258" s="4">
        <f t="shared" si="171"/>
        <v>0</v>
      </c>
      <c r="R258" s="4">
        <f t="shared" si="172"/>
        <v>9</v>
      </c>
      <c r="S258" s="4">
        <f>IF(AND(VLOOKUP(G258,Dados!$D:$L,2,0)=VLOOKUP(I258,Dados!$S:$V,2,0),VLOOKUP(G258,Dados!$D:$L,3,0)=VLOOKUP(I258,Dados!$S:$V,3,0)),0,1)</f>
        <v>0</v>
      </c>
      <c r="T258" s="4">
        <f>IF(AND(VLOOKUP(G258,Dados!$D:$L,3,0)&lt;=VLOOKUP(H258,Dados!$X:$AB,2,0),VLOOKUP(G258,Dados!$D:$L,4,0)&gt;=VLOOKUP(H258,Dados!$X:$AB,3,0),VLOOKUP(G258,Dados!$D:$L,4,0)&lt;=VLOOKUP(H258,Dados!$X:$AB,4,0)),0,1)</f>
        <v>0</v>
      </c>
      <c r="U258" s="4">
        <f>IF(COUNTIFS(F:F,F258,H:H,H258)&lt;=VLOOKUP(H258,Dados!$X:$AB,5,0),0,1)</f>
        <v>0</v>
      </c>
      <c r="AI258" s="13"/>
      <c r="AJ258" s="13"/>
      <c r="AK258" s="13"/>
      <c r="AL258" s="13"/>
    </row>
    <row r="259" spans="6:38">
      <c r="F259" s="4">
        <v>208</v>
      </c>
      <c r="G259" s="4">
        <v>27</v>
      </c>
      <c r="H259" s="4">
        <v>1</v>
      </c>
      <c r="I259" s="4">
        <v>15</v>
      </c>
      <c r="J259" s="4">
        <v>1</v>
      </c>
      <c r="K259" s="4">
        <f t="shared" si="168"/>
        <v>33</v>
      </c>
      <c r="L259" s="4">
        <f t="shared" si="168"/>
        <v>0</v>
      </c>
      <c r="M259" s="4">
        <f t="shared" si="168"/>
        <v>0</v>
      </c>
      <c r="N259" s="4">
        <f t="shared" si="168"/>
        <v>9</v>
      </c>
      <c r="O259" s="4">
        <f t="shared" ref="O259:O281" si="173">$J259*K259</f>
        <v>33</v>
      </c>
      <c r="P259" s="4">
        <f t="shared" ref="P259:P281" si="174">$J259*L259</f>
        <v>0</v>
      </c>
      <c r="Q259" s="4">
        <f t="shared" ref="Q259:Q281" si="175">$J259*M259</f>
        <v>0</v>
      </c>
      <c r="R259" s="4">
        <f t="shared" ref="R259:R281" si="176">$J259*N259</f>
        <v>9</v>
      </c>
      <c r="S259" s="4">
        <f>IF(AND(VLOOKUP(G259,Dados!$D:$L,2,0)=VLOOKUP(I259,Dados!$S:$V,2,0),VLOOKUP(G259,Dados!$D:$L,3,0)=VLOOKUP(I259,Dados!$S:$V,3,0)),0,1)</f>
        <v>0</v>
      </c>
      <c r="T259" s="4">
        <f>IF(AND(VLOOKUP(G259,Dados!$D:$L,3,0)&lt;=VLOOKUP(H259,Dados!$X:$AB,2,0),VLOOKUP(G259,Dados!$D:$L,4,0)&gt;=VLOOKUP(H259,Dados!$X:$AB,3,0),VLOOKUP(G259,Dados!$D:$L,4,0)&lt;=VLOOKUP(H259,Dados!$X:$AB,4,0)),0,1)</f>
        <v>0</v>
      </c>
      <c r="U259" s="4">
        <f>IF(COUNTIFS(F:F,F259,H:H,H259)&lt;=VLOOKUP(H259,Dados!$X:$AB,5,0),0,1)</f>
        <v>0</v>
      </c>
      <c r="AI259" s="13"/>
      <c r="AJ259" s="13"/>
      <c r="AK259" s="13"/>
      <c r="AL259" s="13"/>
    </row>
    <row r="260" spans="6:38">
      <c r="F260" s="4">
        <v>208</v>
      </c>
      <c r="G260" s="4">
        <v>28</v>
      </c>
      <c r="H260" s="4">
        <v>1</v>
      </c>
      <c r="I260" s="4">
        <v>15</v>
      </c>
      <c r="J260" s="4">
        <v>7</v>
      </c>
      <c r="K260" s="4">
        <f t="shared" si="168"/>
        <v>33</v>
      </c>
      <c r="L260" s="4">
        <f t="shared" si="168"/>
        <v>0</v>
      </c>
      <c r="M260" s="4">
        <f t="shared" si="168"/>
        <v>0</v>
      </c>
      <c r="N260" s="4">
        <f t="shared" si="168"/>
        <v>9</v>
      </c>
      <c r="O260" s="4">
        <f t="shared" si="173"/>
        <v>231</v>
      </c>
      <c r="P260" s="4">
        <f t="shared" si="174"/>
        <v>0</v>
      </c>
      <c r="Q260" s="4">
        <f t="shared" si="175"/>
        <v>0</v>
      </c>
      <c r="R260" s="4">
        <f t="shared" si="176"/>
        <v>63</v>
      </c>
      <c r="S260" s="4">
        <f>IF(AND(VLOOKUP(G260,Dados!$D:$L,2,0)=VLOOKUP(I260,Dados!$S:$V,2,0),VLOOKUP(G260,Dados!$D:$L,3,0)=VLOOKUP(I260,Dados!$S:$V,3,0)),0,1)</f>
        <v>0</v>
      </c>
      <c r="T260" s="4">
        <f>IF(AND(VLOOKUP(G260,Dados!$D:$L,3,0)&lt;=VLOOKUP(H260,Dados!$X:$AB,2,0),VLOOKUP(G260,Dados!$D:$L,4,0)&gt;=VLOOKUP(H260,Dados!$X:$AB,3,0),VLOOKUP(G260,Dados!$D:$L,4,0)&lt;=VLOOKUP(H260,Dados!$X:$AB,4,0)),0,1)</f>
        <v>0</v>
      </c>
      <c r="U260" s="4">
        <f>IF(COUNTIFS(F:F,F260,H:H,H260)&lt;=VLOOKUP(H260,Dados!$X:$AB,5,0),0,1)</f>
        <v>0</v>
      </c>
      <c r="AI260" s="13"/>
      <c r="AJ260" s="13"/>
      <c r="AK260" s="13"/>
      <c r="AL260" s="13"/>
    </row>
    <row r="261" spans="6:38">
      <c r="F261" s="4">
        <v>209</v>
      </c>
      <c r="G261" s="4">
        <v>26</v>
      </c>
      <c r="H261" s="4">
        <v>3</v>
      </c>
      <c r="I261" s="4">
        <v>15</v>
      </c>
      <c r="J261" s="4">
        <v>1</v>
      </c>
      <c r="K261" s="4">
        <f t="shared" si="168"/>
        <v>0</v>
      </c>
      <c r="L261" s="4">
        <f t="shared" si="168"/>
        <v>0</v>
      </c>
      <c r="M261" s="4">
        <f t="shared" si="168"/>
        <v>0</v>
      </c>
      <c r="N261" s="4">
        <f t="shared" si="168"/>
        <v>0</v>
      </c>
      <c r="O261" s="4">
        <f t="shared" si="173"/>
        <v>0</v>
      </c>
      <c r="P261" s="4">
        <f t="shared" si="174"/>
        <v>0</v>
      </c>
      <c r="Q261" s="4">
        <f t="shared" si="175"/>
        <v>0</v>
      </c>
      <c r="R261" s="4">
        <f t="shared" si="176"/>
        <v>0</v>
      </c>
      <c r="S261" s="4">
        <f>IF(AND(VLOOKUP(G261,Dados!$D:$L,2,0)=VLOOKUP(I261,Dados!$S:$V,2,0),VLOOKUP(G261,Dados!$D:$L,3,0)=VLOOKUP(I261,Dados!$S:$V,3,0)),0,1)</f>
        <v>0</v>
      </c>
      <c r="T261" s="4">
        <f>IF(AND(VLOOKUP(G261,Dados!$D:$L,3,0)&lt;=VLOOKUP(H261,Dados!$X:$AB,2,0),VLOOKUP(G261,Dados!$D:$L,4,0)&gt;=VLOOKUP(H261,Dados!$X:$AB,3,0),VLOOKUP(G261,Dados!$D:$L,4,0)&lt;=VLOOKUP(H261,Dados!$X:$AB,4,0)),0,1)</f>
        <v>0</v>
      </c>
      <c r="U261" s="4">
        <f>IF(COUNTIFS(F:F,F261,H:H,H261)&lt;=VLOOKUP(H261,Dados!$X:$AB,5,0),0,1)</f>
        <v>0</v>
      </c>
      <c r="AI261" s="13"/>
      <c r="AJ261" s="13"/>
      <c r="AK261" s="13"/>
      <c r="AL261" s="13"/>
    </row>
    <row r="262" spans="6:38">
      <c r="F262" s="4">
        <v>209</v>
      </c>
      <c r="G262" s="4">
        <v>27</v>
      </c>
      <c r="H262" s="4">
        <v>3</v>
      </c>
      <c r="I262" s="4">
        <v>15</v>
      </c>
      <c r="J262" s="4">
        <v>1</v>
      </c>
      <c r="K262" s="4">
        <f t="shared" si="168"/>
        <v>0</v>
      </c>
      <c r="L262" s="4">
        <f t="shared" si="168"/>
        <v>0</v>
      </c>
      <c r="M262" s="4">
        <f t="shared" si="168"/>
        <v>0</v>
      </c>
      <c r="N262" s="4">
        <f t="shared" si="168"/>
        <v>0</v>
      </c>
      <c r="O262" s="4">
        <f t="shared" si="173"/>
        <v>0</v>
      </c>
      <c r="P262" s="4">
        <f t="shared" si="174"/>
        <v>0</v>
      </c>
      <c r="Q262" s="4">
        <f t="shared" si="175"/>
        <v>0</v>
      </c>
      <c r="R262" s="4">
        <f t="shared" si="176"/>
        <v>0</v>
      </c>
      <c r="S262" s="4">
        <f>IF(AND(VLOOKUP(G262,Dados!$D:$L,2,0)=VLOOKUP(I262,Dados!$S:$V,2,0),VLOOKUP(G262,Dados!$D:$L,3,0)=VLOOKUP(I262,Dados!$S:$V,3,0)),0,1)</f>
        <v>0</v>
      </c>
      <c r="T262" s="4">
        <f>IF(AND(VLOOKUP(G262,Dados!$D:$L,3,0)&lt;=VLOOKUP(H262,Dados!$X:$AB,2,0),VLOOKUP(G262,Dados!$D:$L,4,0)&gt;=VLOOKUP(H262,Dados!$X:$AB,3,0),VLOOKUP(G262,Dados!$D:$L,4,0)&lt;=VLOOKUP(H262,Dados!$X:$AB,4,0)),0,1)</f>
        <v>0</v>
      </c>
      <c r="U262" s="4">
        <f>IF(COUNTIFS(F:F,F262,H:H,H262)&lt;=VLOOKUP(H262,Dados!$X:$AB,5,0),0,1)</f>
        <v>0</v>
      </c>
      <c r="AI262" s="13"/>
      <c r="AJ262" s="13"/>
      <c r="AK262" s="13"/>
      <c r="AL262" s="13"/>
    </row>
    <row r="263" spans="6:38">
      <c r="F263" s="4">
        <v>209</v>
      </c>
      <c r="G263" s="4">
        <v>28</v>
      </c>
      <c r="H263" s="4">
        <v>3</v>
      </c>
      <c r="I263" s="4">
        <v>15</v>
      </c>
      <c r="J263" s="4">
        <v>7</v>
      </c>
      <c r="K263" s="4">
        <f t="shared" si="168"/>
        <v>0</v>
      </c>
      <c r="L263" s="4">
        <f t="shared" si="168"/>
        <v>0</v>
      </c>
      <c r="M263" s="4">
        <f t="shared" si="168"/>
        <v>0</v>
      </c>
      <c r="N263" s="4">
        <f t="shared" si="168"/>
        <v>0</v>
      </c>
      <c r="O263" s="4">
        <f t="shared" si="173"/>
        <v>0</v>
      </c>
      <c r="P263" s="4">
        <f t="shared" si="174"/>
        <v>0</v>
      </c>
      <c r="Q263" s="4">
        <f t="shared" si="175"/>
        <v>0</v>
      </c>
      <c r="R263" s="4">
        <f t="shared" si="176"/>
        <v>0</v>
      </c>
      <c r="S263" s="4">
        <f>IF(AND(VLOOKUP(G263,Dados!$D:$L,2,0)=VLOOKUP(I263,Dados!$S:$V,2,0),VLOOKUP(G263,Dados!$D:$L,3,0)=VLOOKUP(I263,Dados!$S:$V,3,0)),0,1)</f>
        <v>0</v>
      </c>
      <c r="T263" s="4">
        <f>IF(AND(VLOOKUP(G263,Dados!$D:$L,3,0)&lt;=VLOOKUP(H263,Dados!$X:$AB,2,0),VLOOKUP(G263,Dados!$D:$L,4,0)&gt;=VLOOKUP(H263,Dados!$X:$AB,3,0),VLOOKUP(G263,Dados!$D:$L,4,0)&lt;=VLOOKUP(H263,Dados!$X:$AB,4,0)),0,1)</f>
        <v>0</v>
      </c>
      <c r="U263" s="4">
        <f>IF(COUNTIFS(F:F,F263,H:H,H263)&lt;=VLOOKUP(H263,Dados!$X:$AB,5,0),0,1)</f>
        <v>0</v>
      </c>
      <c r="AI263" s="13"/>
      <c r="AJ263" s="13"/>
      <c r="AK263" s="13"/>
      <c r="AL263" s="13"/>
    </row>
    <row r="264" spans="6:38">
      <c r="F264" s="4">
        <v>210</v>
      </c>
      <c r="G264" s="4">
        <v>34</v>
      </c>
      <c r="H264" s="4">
        <v>1</v>
      </c>
      <c r="I264" s="4">
        <v>16</v>
      </c>
      <c r="J264" s="4">
        <v>1</v>
      </c>
      <c r="K264" s="4">
        <f t="shared" si="168"/>
        <v>0</v>
      </c>
      <c r="L264" s="4">
        <f t="shared" si="168"/>
        <v>0</v>
      </c>
      <c r="M264" s="4">
        <f t="shared" si="168"/>
        <v>0</v>
      </c>
      <c r="N264" s="4">
        <f t="shared" si="168"/>
        <v>0</v>
      </c>
      <c r="O264" s="4">
        <f t="shared" si="173"/>
        <v>0</v>
      </c>
      <c r="P264" s="4">
        <f t="shared" si="174"/>
        <v>0</v>
      </c>
      <c r="Q264" s="4">
        <f t="shared" si="175"/>
        <v>0</v>
      </c>
      <c r="R264" s="4">
        <f t="shared" si="176"/>
        <v>0</v>
      </c>
      <c r="S264" s="4">
        <f>IF(AND(VLOOKUP(G264,Dados!$D:$L,2,0)=VLOOKUP(I264,Dados!$S:$V,2,0),VLOOKUP(G264,Dados!$D:$L,3,0)=VLOOKUP(I264,Dados!$S:$V,3,0)),0,1)</f>
        <v>0</v>
      </c>
      <c r="T264" s="4">
        <f>IF(AND(VLOOKUP(G264,Dados!$D:$L,3,0)&lt;=VLOOKUP(H264,Dados!$X:$AB,2,0),VLOOKUP(G264,Dados!$D:$L,4,0)&gt;=VLOOKUP(H264,Dados!$X:$AB,3,0),VLOOKUP(G264,Dados!$D:$L,4,0)&lt;=VLOOKUP(H264,Dados!$X:$AB,4,0)),0,1)</f>
        <v>0</v>
      </c>
      <c r="U264" s="4">
        <f>IF(COUNTIFS(F:F,F264,H:H,H264)&lt;=VLOOKUP(H264,Dados!$X:$AB,5,0),0,1)</f>
        <v>0</v>
      </c>
      <c r="AI264" s="13"/>
      <c r="AJ264" s="13"/>
      <c r="AK264" s="13"/>
      <c r="AL264" s="13"/>
    </row>
    <row r="265" spans="6:38">
      <c r="F265" s="4">
        <v>210</v>
      </c>
      <c r="G265" s="4">
        <v>38</v>
      </c>
      <c r="H265" s="4">
        <v>1</v>
      </c>
      <c r="I265" s="4">
        <v>16</v>
      </c>
      <c r="J265" s="4">
        <v>8</v>
      </c>
      <c r="K265" s="4">
        <f t="shared" si="168"/>
        <v>0</v>
      </c>
      <c r="L265" s="4">
        <f t="shared" si="168"/>
        <v>0</v>
      </c>
      <c r="M265" s="4">
        <f t="shared" si="168"/>
        <v>0</v>
      </c>
      <c r="N265" s="4">
        <f t="shared" si="168"/>
        <v>0</v>
      </c>
      <c r="O265" s="4">
        <f t="shared" si="173"/>
        <v>0</v>
      </c>
      <c r="P265" s="4">
        <f t="shared" si="174"/>
        <v>0</v>
      </c>
      <c r="Q265" s="4">
        <f t="shared" si="175"/>
        <v>0</v>
      </c>
      <c r="R265" s="4">
        <f t="shared" si="176"/>
        <v>0</v>
      </c>
      <c r="S265" s="4">
        <f>IF(AND(VLOOKUP(G265,Dados!$D:$L,2,0)=VLOOKUP(I265,Dados!$S:$V,2,0),VLOOKUP(G265,Dados!$D:$L,3,0)=VLOOKUP(I265,Dados!$S:$V,3,0)),0,1)</f>
        <v>0</v>
      </c>
      <c r="T265" s="4">
        <f>IF(AND(VLOOKUP(G265,Dados!$D:$L,3,0)&lt;=VLOOKUP(H265,Dados!$X:$AB,2,0),VLOOKUP(G265,Dados!$D:$L,4,0)&gt;=VLOOKUP(H265,Dados!$X:$AB,3,0),VLOOKUP(G265,Dados!$D:$L,4,0)&lt;=VLOOKUP(H265,Dados!$X:$AB,4,0)),0,1)</f>
        <v>0</v>
      </c>
      <c r="U265" s="4">
        <f>IF(COUNTIFS(F:F,F265,H:H,H265)&lt;=VLOOKUP(H265,Dados!$X:$AB,5,0),0,1)</f>
        <v>0</v>
      </c>
      <c r="AI265" s="13"/>
      <c r="AJ265" s="13"/>
      <c r="AK265" s="13"/>
      <c r="AL265" s="13"/>
    </row>
    <row r="266" spans="6:38">
      <c r="F266" s="4">
        <v>211</v>
      </c>
      <c r="G266" s="4">
        <v>34</v>
      </c>
      <c r="H266" s="4">
        <v>2</v>
      </c>
      <c r="I266" s="4">
        <v>16</v>
      </c>
      <c r="J266" s="4">
        <v>1</v>
      </c>
      <c r="K266" s="4">
        <f t="shared" si="168"/>
        <v>0</v>
      </c>
      <c r="L266" s="4">
        <f t="shared" si="168"/>
        <v>0</v>
      </c>
      <c r="M266" s="4">
        <f t="shared" si="168"/>
        <v>0</v>
      </c>
      <c r="N266" s="4">
        <f t="shared" si="168"/>
        <v>0</v>
      </c>
      <c r="O266" s="4">
        <f t="shared" si="173"/>
        <v>0</v>
      </c>
      <c r="P266" s="4">
        <f t="shared" si="174"/>
        <v>0</v>
      </c>
      <c r="Q266" s="4">
        <f t="shared" si="175"/>
        <v>0</v>
      </c>
      <c r="R266" s="4">
        <f t="shared" si="176"/>
        <v>0</v>
      </c>
      <c r="S266" s="4">
        <f>IF(AND(VLOOKUP(G266,Dados!$D:$L,2,0)=VLOOKUP(I266,Dados!$S:$V,2,0),VLOOKUP(G266,Dados!$D:$L,3,0)=VLOOKUP(I266,Dados!$S:$V,3,0)),0,1)</f>
        <v>0</v>
      </c>
      <c r="T266" s="4">
        <f>IF(AND(VLOOKUP(G266,Dados!$D:$L,3,0)&lt;=VLOOKUP(H266,Dados!$X:$AB,2,0),VLOOKUP(G266,Dados!$D:$L,4,0)&gt;=VLOOKUP(H266,Dados!$X:$AB,3,0),VLOOKUP(G266,Dados!$D:$L,4,0)&lt;=VLOOKUP(H266,Dados!$X:$AB,4,0)),0,1)</f>
        <v>0</v>
      </c>
      <c r="U266" s="4">
        <f>IF(COUNTIFS(F:F,F266,H:H,H266)&lt;=VLOOKUP(H266,Dados!$X:$AB,5,0),0,1)</f>
        <v>0</v>
      </c>
      <c r="AI266" s="13"/>
      <c r="AJ266" s="13"/>
      <c r="AK266" s="13"/>
      <c r="AL266" s="13"/>
    </row>
    <row r="267" spans="6:38">
      <c r="F267" s="4">
        <v>211</v>
      </c>
      <c r="G267" s="4">
        <v>38</v>
      </c>
      <c r="H267" s="4">
        <v>2</v>
      </c>
      <c r="I267" s="4">
        <v>16</v>
      </c>
      <c r="J267" s="4">
        <v>8</v>
      </c>
      <c r="K267" s="4">
        <f t="shared" si="168"/>
        <v>0</v>
      </c>
      <c r="L267" s="4">
        <f t="shared" si="168"/>
        <v>0</v>
      </c>
      <c r="M267" s="4">
        <f t="shared" si="168"/>
        <v>0</v>
      </c>
      <c r="N267" s="4">
        <f t="shared" si="168"/>
        <v>0</v>
      </c>
      <c r="O267" s="4">
        <f t="shared" si="173"/>
        <v>0</v>
      </c>
      <c r="P267" s="4">
        <f t="shared" si="174"/>
        <v>0</v>
      </c>
      <c r="Q267" s="4">
        <f t="shared" si="175"/>
        <v>0</v>
      </c>
      <c r="R267" s="4">
        <f t="shared" si="176"/>
        <v>0</v>
      </c>
      <c r="S267" s="4">
        <f>IF(AND(VLOOKUP(G267,Dados!$D:$L,2,0)=VLOOKUP(I267,Dados!$S:$V,2,0),VLOOKUP(G267,Dados!$D:$L,3,0)=VLOOKUP(I267,Dados!$S:$V,3,0)),0,1)</f>
        <v>0</v>
      </c>
      <c r="T267" s="4">
        <f>IF(AND(VLOOKUP(G267,Dados!$D:$L,3,0)&lt;=VLOOKUP(H267,Dados!$X:$AB,2,0),VLOOKUP(G267,Dados!$D:$L,4,0)&gt;=VLOOKUP(H267,Dados!$X:$AB,3,0),VLOOKUP(G267,Dados!$D:$L,4,0)&lt;=VLOOKUP(H267,Dados!$X:$AB,4,0)),0,1)</f>
        <v>0</v>
      </c>
      <c r="U267" s="4">
        <f>IF(COUNTIFS(F:F,F267,H:H,H267)&lt;=VLOOKUP(H267,Dados!$X:$AB,5,0),0,1)</f>
        <v>0</v>
      </c>
      <c r="AI267" s="13"/>
      <c r="AJ267" s="13"/>
      <c r="AK267" s="13"/>
      <c r="AL267" s="13"/>
    </row>
    <row r="268" spans="6:38">
      <c r="F268" s="4">
        <v>212</v>
      </c>
      <c r="G268" s="4">
        <v>34</v>
      </c>
      <c r="H268" s="4">
        <v>3</v>
      </c>
      <c r="I268" s="4">
        <v>16</v>
      </c>
      <c r="J268" s="4">
        <v>1</v>
      </c>
      <c r="K268" s="4">
        <f t="shared" si="168"/>
        <v>0</v>
      </c>
      <c r="L268" s="4">
        <f t="shared" si="168"/>
        <v>0</v>
      </c>
      <c r="M268" s="4">
        <f t="shared" si="168"/>
        <v>0</v>
      </c>
      <c r="N268" s="4">
        <f t="shared" si="168"/>
        <v>0</v>
      </c>
      <c r="O268" s="4">
        <f t="shared" si="173"/>
        <v>0</v>
      </c>
      <c r="P268" s="4">
        <f t="shared" si="174"/>
        <v>0</v>
      </c>
      <c r="Q268" s="4">
        <f t="shared" si="175"/>
        <v>0</v>
      </c>
      <c r="R268" s="4">
        <f t="shared" si="176"/>
        <v>0</v>
      </c>
      <c r="S268" s="4">
        <f>IF(AND(VLOOKUP(G268,Dados!$D:$L,2,0)=VLOOKUP(I268,Dados!$S:$V,2,0),VLOOKUP(G268,Dados!$D:$L,3,0)=VLOOKUP(I268,Dados!$S:$V,3,0)),0,1)</f>
        <v>0</v>
      </c>
      <c r="T268" s="4">
        <f>IF(AND(VLOOKUP(G268,Dados!$D:$L,3,0)&lt;=VLOOKUP(H268,Dados!$X:$AB,2,0),VLOOKUP(G268,Dados!$D:$L,4,0)&gt;=VLOOKUP(H268,Dados!$X:$AB,3,0),VLOOKUP(G268,Dados!$D:$L,4,0)&lt;=VLOOKUP(H268,Dados!$X:$AB,4,0)),0,1)</f>
        <v>0</v>
      </c>
      <c r="U268" s="4">
        <f>IF(COUNTIFS(F:F,F268,H:H,H268)&lt;=VLOOKUP(H268,Dados!$X:$AB,5,0),0,1)</f>
        <v>0</v>
      </c>
      <c r="AI268" s="13"/>
      <c r="AJ268" s="13"/>
      <c r="AK268" s="13"/>
      <c r="AL268" s="13"/>
    </row>
    <row r="269" spans="6:38">
      <c r="F269" s="4">
        <v>212</v>
      </c>
      <c r="G269" s="4">
        <v>38</v>
      </c>
      <c r="H269" s="4">
        <v>3</v>
      </c>
      <c r="I269" s="4">
        <v>16</v>
      </c>
      <c r="J269" s="4">
        <v>8</v>
      </c>
      <c r="K269" s="4">
        <f t="shared" si="168"/>
        <v>0</v>
      </c>
      <c r="L269" s="4">
        <f t="shared" si="168"/>
        <v>0</v>
      </c>
      <c r="M269" s="4">
        <f t="shared" si="168"/>
        <v>0</v>
      </c>
      <c r="N269" s="4">
        <f t="shared" si="168"/>
        <v>0</v>
      </c>
      <c r="O269" s="4">
        <f t="shared" si="173"/>
        <v>0</v>
      </c>
      <c r="P269" s="4">
        <f t="shared" si="174"/>
        <v>0</v>
      </c>
      <c r="Q269" s="4">
        <f t="shared" si="175"/>
        <v>0</v>
      </c>
      <c r="R269" s="4">
        <f t="shared" si="176"/>
        <v>0</v>
      </c>
      <c r="S269" s="4">
        <f>IF(AND(VLOOKUP(G269,Dados!$D:$L,2,0)=VLOOKUP(I269,Dados!$S:$V,2,0),VLOOKUP(G269,Dados!$D:$L,3,0)=VLOOKUP(I269,Dados!$S:$V,3,0)),0,1)</f>
        <v>0</v>
      </c>
      <c r="T269" s="4">
        <f>IF(AND(VLOOKUP(G269,Dados!$D:$L,3,0)&lt;=VLOOKUP(H269,Dados!$X:$AB,2,0),VLOOKUP(G269,Dados!$D:$L,4,0)&gt;=VLOOKUP(H269,Dados!$X:$AB,3,0),VLOOKUP(G269,Dados!$D:$L,4,0)&lt;=VLOOKUP(H269,Dados!$X:$AB,4,0)),0,1)</f>
        <v>0</v>
      </c>
      <c r="U269" s="4">
        <f>IF(COUNTIFS(F:F,F269,H:H,H269)&lt;=VLOOKUP(H269,Dados!$X:$AB,5,0),0,1)</f>
        <v>0</v>
      </c>
      <c r="AI269" s="13"/>
      <c r="AJ269" s="13"/>
      <c r="AK269" s="13"/>
      <c r="AL269" s="13"/>
    </row>
    <row r="270" spans="6:38">
      <c r="F270" s="4">
        <v>213</v>
      </c>
      <c r="G270" s="4">
        <v>41</v>
      </c>
      <c r="H270" s="4">
        <v>1</v>
      </c>
      <c r="I270" s="4">
        <v>17</v>
      </c>
      <c r="J270" s="4">
        <v>7</v>
      </c>
      <c r="K270" s="4">
        <f t="shared" si="168"/>
        <v>0</v>
      </c>
      <c r="L270" s="4">
        <f t="shared" si="168"/>
        <v>0</v>
      </c>
      <c r="M270" s="4">
        <f t="shared" si="168"/>
        <v>0</v>
      </c>
      <c r="N270" s="4">
        <f t="shared" si="168"/>
        <v>0</v>
      </c>
      <c r="O270" s="4">
        <f t="shared" si="173"/>
        <v>0</v>
      </c>
      <c r="P270" s="4">
        <f t="shared" si="174"/>
        <v>0</v>
      </c>
      <c r="Q270" s="4">
        <f t="shared" si="175"/>
        <v>0</v>
      </c>
      <c r="R270" s="4">
        <f t="shared" si="176"/>
        <v>0</v>
      </c>
      <c r="S270" s="4">
        <f>IF(AND(VLOOKUP(G270,Dados!$D:$L,2,0)=VLOOKUP(I270,Dados!$S:$V,2,0),VLOOKUP(G270,Dados!$D:$L,3,0)=VLOOKUP(I270,Dados!$S:$V,3,0)),0,1)</f>
        <v>0</v>
      </c>
      <c r="T270" s="4">
        <f>IF(AND(VLOOKUP(G270,Dados!$D:$L,3,0)&lt;=VLOOKUP(H270,Dados!$X:$AB,2,0),VLOOKUP(G270,Dados!$D:$L,4,0)&gt;=VLOOKUP(H270,Dados!$X:$AB,3,0),VLOOKUP(G270,Dados!$D:$L,4,0)&lt;=VLOOKUP(H270,Dados!$X:$AB,4,0)),0,1)</f>
        <v>0</v>
      </c>
      <c r="U270" s="4">
        <f>IF(COUNTIFS(F:F,F270,H:H,H270)&lt;=VLOOKUP(H270,Dados!$X:$AB,5,0),0,1)</f>
        <v>0</v>
      </c>
      <c r="AI270" s="13"/>
      <c r="AJ270" s="13"/>
      <c r="AK270" s="13"/>
      <c r="AL270" s="13"/>
    </row>
    <row r="271" spans="6:38">
      <c r="F271" s="4">
        <v>213</v>
      </c>
      <c r="G271" s="4">
        <v>43</v>
      </c>
      <c r="H271" s="4">
        <v>1</v>
      </c>
      <c r="I271" s="4">
        <v>17</v>
      </c>
      <c r="J271" s="4">
        <v>1</v>
      </c>
      <c r="K271" s="4">
        <f t="shared" si="168"/>
        <v>0</v>
      </c>
      <c r="L271" s="4">
        <f t="shared" si="168"/>
        <v>0</v>
      </c>
      <c r="M271" s="4">
        <f t="shared" si="168"/>
        <v>0</v>
      </c>
      <c r="N271" s="4">
        <f t="shared" si="168"/>
        <v>0</v>
      </c>
      <c r="O271" s="4">
        <f t="shared" si="173"/>
        <v>0</v>
      </c>
      <c r="P271" s="4">
        <f t="shared" si="174"/>
        <v>0</v>
      </c>
      <c r="Q271" s="4">
        <f t="shared" si="175"/>
        <v>0</v>
      </c>
      <c r="R271" s="4">
        <f t="shared" si="176"/>
        <v>0</v>
      </c>
      <c r="S271" s="4">
        <f>IF(AND(VLOOKUP(G271,Dados!$D:$L,2,0)=VLOOKUP(I271,Dados!$S:$V,2,0),VLOOKUP(G271,Dados!$D:$L,3,0)=VLOOKUP(I271,Dados!$S:$V,3,0)),0,1)</f>
        <v>0</v>
      </c>
      <c r="T271" s="4">
        <f>IF(AND(VLOOKUP(G271,Dados!$D:$L,3,0)&lt;=VLOOKUP(H271,Dados!$X:$AB,2,0),VLOOKUP(G271,Dados!$D:$L,4,0)&gt;=VLOOKUP(H271,Dados!$X:$AB,3,0),VLOOKUP(G271,Dados!$D:$L,4,0)&lt;=VLOOKUP(H271,Dados!$X:$AB,4,0)),0,1)</f>
        <v>0</v>
      </c>
      <c r="U271" s="4">
        <f>IF(COUNTIFS(F:F,F271,H:H,H271)&lt;=VLOOKUP(H271,Dados!$X:$AB,5,0),0,1)</f>
        <v>0</v>
      </c>
      <c r="AI271" s="13"/>
      <c r="AJ271" s="13"/>
      <c r="AK271" s="13"/>
      <c r="AL271" s="13"/>
    </row>
    <row r="272" spans="6:38">
      <c r="F272" s="4">
        <v>214</v>
      </c>
      <c r="G272" s="4">
        <v>41</v>
      </c>
      <c r="H272" s="4">
        <v>2</v>
      </c>
      <c r="I272" s="4">
        <v>17</v>
      </c>
      <c r="J272" s="4">
        <v>7</v>
      </c>
      <c r="K272" s="4">
        <f t="shared" si="168"/>
        <v>0</v>
      </c>
      <c r="L272" s="4">
        <f t="shared" si="168"/>
        <v>0</v>
      </c>
      <c r="M272" s="4">
        <f t="shared" si="168"/>
        <v>0</v>
      </c>
      <c r="N272" s="4">
        <f t="shared" si="168"/>
        <v>0</v>
      </c>
      <c r="O272" s="4">
        <f t="shared" si="173"/>
        <v>0</v>
      </c>
      <c r="P272" s="4">
        <f t="shared" si="174"/>
        <v>0</v>
      </c>
      <c r="Q272" s="4">
        <f t="shared" si="175"/>
        <v>0</v>
      </c>
      <c r="R272" s="4">
        <f t="shared" si="176"/>
        <v>0</v>
      </c>
      <c r="S272" s="4">
        <f>IF(AND(VLOOKUP(G272,Dados!$D:$L,2,0)=VLOOKUP(I272,Dados!$S:$V,2,0),VLOOKUP(G272,Dados!$D:$L,3,0)=VLOOKUP(I272,Dados!$S:$V,3,0)),0,1)</f>
        <v>0</v>
      </c>
      <c r="T272" s="4">
        <f>IF(AND(VLOOKUP(G272,Dados!$D:$L,3,0)&lt;=VLOOKUP(H272,Dados!$X:$AB,2,0),VLOOKUP(G272,Dados!$D:$L,4,0)&gt;=VLOOKUP(H272,Dados!$X:$AB,3,0),VLOOKUP(G272,Dados!$D:$L,4,0)&lt;=VLOOKUP(H272,Dados!$X:$AB,4,0)),0,1)</f>
        <v>0</v>
      </c>
      <c r="U272" s="4">
        <f>IF(COUNTIFS(F:F,F272,H:H,H272)&lt;=VLOOKUP(H272,Dados!$X:$AB,5,0),0,1)</f>
        <v>0</v>
      </c>
      <c r="AI272" s="13"/>
      <c r="AJ272" s="13"/>
      <c r="AK272" s="13"/>
      <c r="AL272" s="13"/>
    </row>
    <row r="273" spans="6:38">
      <c r="F273" s="4">
        <v>214</v>
      </c>
      <c r="G273" s="4">
        <v>43</v>
      </c>
      <c r="H273" s="4">
        <v>2</v>
      </c>
      <c r="I273" s="4">
        <v>17</v>
      </c>
      <c r="J273" s="4">
        <v>1</v>
      </c>
      <c r="K273" s="4">
        <f t="shared" si="168"/>
        <v>0</v>
      </c>
      <c r="L273" s="4">
        <f t="shared" si="168"/>
        <v>0</v>
      </c>
      <c r="M273" s="4">
        <f t="shared" si="168"/>
        <v>0</v>
      </c>
      <c r="N273" s="4">
        <f t="shared" si="168"/>
        <v>0</v>
      </c>
      <c r="O273" s="4">
        <f t="shared" si="173"/>
        <v>0</v>
      </c>
      <c r="P273" s="4">
        <f t="shared" si="174"/>
        <v>0</v>
      </c>
      <c r="Q273" s="4">
        <f t="shared" si="175"/>
        <v>0</v>
      </c>
      <c r="R273" s="4">
        <f t="shared" si="176"/>
        <v>0</v>
      </c>
      <c r="S273" s="4">
        <f>IF(AND(VLOOKUP(G273,Dados!$D:$L,2,0)=VLOOKUP(I273,Dados!$S:$V,2,0),VLOOKUP(G273,Dados!$D:$L,3,0)=VLOOKUP(I273,Dados!$S:$V,3,0)),0,1)</f>
        <v>0</v>
      </c>
      <c r="T273" s="4">
        <f>IF(AND(VLOOKUP(G273,Dados!$D:$L,3,0)&lt;=VLOOKUP(H273,Dados!$X:$AB,2,0),VLOOKUP(G273,Dados!$D:$L,4,0)&gt;=VLOOKUP(H273,Dados!$X:$AB,3,0),VLOOKUP(G273,Dados!$D:$L,4,0)&lt;=VLOOKUP(H273,Dados!$X:$AB,4,0)),0,1)</f>
        <v>0</v>
      </c>
      <c r="U273" s="4">
        <f>IF(COUNTIFS(F:F,F273,H:H,H273)&lt;=VLOOKUP(H273,Dados!$X:$AB,5,0),0,1)</f>
        <v>0</v>
      </c>
      <c r="AI273" s="13"/>
      <c r="AJ273" s="13"/>
      <c r="AK273" s="13"/>
      <c r="AL273" s="13"/>
    </row>
    <row r="274" spans="6:38">
      <c r="F274" s="4">
        <v>215</v>
      </c>
      <c r="G274" s="4">
        <v>41</v>
      </c>
      <c r="H274" s="4">
        <v>3</v>
      </c>
      <c r="I274" s="4">
        <v>17</v>
      </c>
      <c r="J274" s="4">
        <v>7</v>
      </c>
      <c r="K274" s="4">
        <f t="shared" si="168"/>
        <v>3</v>
      </c>
      <c r="L274" s="4">
        <f t="shared" si="168"/>
        <v>0</v>
      </c>
      <c r="M274" s="4">
        <f t="shared" si="168"/>
        <v>0</v>
      </c>
      <c r="N274" s="4">
        <f t="shared" si="168"/>
        <v>0</v>
      </c>
      <c r="O274" s="4">
        <f t="shared" si="173"/>
        <v>21</v>
      </c>
      <c r="P274" s="4">
        <f t="shared" si="174"/>
        <v>0</v>
      </c>
      <c r="Q274" s="4">
        <f t="shared" si="175"/>
        <v>0</v>
      </c>
      <c r="R274" s="4">
        <f t="shared" si="176"/>
        <v>0</v>
      </c>
      <c r="S274" s="4">
        <f>IF(AND(VLOOKUP(G274,Dados!$D:$L,2,0)=VLOOKUP(I274,Dados!$S:$V,2,0),VLOOKUP(G274,Dados!$D:$L,3,0)=VLOOKUP(I274,Dados!$S:$V,3,0)),0,1)</f>
        <v>0</v>
      </c>
      <c r="T274" s="4">
        <f>IF(AND(VLOOKUP(G274,Dados!$D:$L,3,0)&lt;=VLOOKUP(H274,Dados!$X:$AB,2,0),VLOOKUP(G274,Dados!$D:$L,4,0)&gt;=VLOOKUP(H274,Dados!$X:$AB,3,0),VLOOKUP(G274,Dados!$D:$L,4,0)&lt;=VLOOKUP(H274,Dados!$X:$AB,4,0)),0,1)</f>
        <v>0</v>
      </c>
      <c r="U274" s="4">
        <f>IF(COUNTIFS(F:F,F274,H:H,H274)&lt;=VLOOKUP(H274,Dados!$X:$AB,5,0),0,1)</f>
        <v>0</v>
      </c>
      <c r="AI274" s="13"/>
      <c r="AJ274" s="13"/>
      <c r="AK274" s="13"/>
      <c r="AL274" s="13"/>
    </row>
    <row r="275" spans="6:38">
      <c r="F275" s="4">
        <v>215</v>
      </c>
      <c r="G275" s="4">
        <v>43</v>
      </c>
      <c r="H275" s="4">
        <v>3</v>
      </c>
      <c r="I275" s="4">
        <v>17</v>
      </c>
      <c r="J275" s="4">
        <v>1</v>
      </c>
      <c r="K275" s="4">
        <f t="shared" si="168"/>
        <v>3</v>
      </c>
      <c r="L275" s="4">
        <f t="shared" si="168"/>
        <v>0</v>
      </c>
      <c r="M275" s="4">
        <f t="shared" si="168"/>
        <v>0</v>
      </c>
      <c r="N275" s="4">
        <f t="shared" si="168"/>
        <v>0</v>
      </c>
      <c r="O275" s="4">
        <f t="shared" si="173"/>
        <v>3</v>
      </c>
      <c r="P275" s="4">
        <f t="shared" si="174"/>
        <v>0</v>
      </c>
      <c r="Q275" s="4">
        <f t="shared" si="175"/>
        <v>0</v>
      </c>
      <c r="R275" s="4">
        <f t="shared" si="176"/>
        <v>0</v>
      </c>
      <c r="S275" s="4">
        <f>IF(AND(VLOOKUP(G275,Dados!$D:$L,2,0)=VLOOKUP(I275,Dados!$S:$V,2,0),VLOOKUP(G275,Dados!$D:$L,3,0)=VLOOKUP(I275,Dados!$S:$V,3,0)),0,1)</f>
        <v>0</v>
      </c>
      <c r="T275" s="4">
        <f>IF(AND(VLOOKUP(G275,Dados!$D:$L,3,0)&lt;=VLOOKUP(H275,Dados!$X:$AB,2,0),VLOOKUP(G275,Dados!$D:$L,4,0)&gt;=VLOOKUP(H275,Dados!$X:$AB,3,0),VLOOKUP(G275,Dados!$D:$L,4,0)&lt;=VLOOKUP(H275,Dados!$X:$AB,4,0)),0,1)</f>
        <v>0</v>
      </c>
      <c r="U275" s="4">
        <f>IF(COUNTIFS(F:F,F275,H:H,H275)&lt;=VLOOKUP(H275,Dados!$X:$AB,5,0),0,1)</f>
        <v>0</v>
      </c>
      <c r="AI275" s="13"/>
      <c r="AJ275" s="13"/>
      <c r="AK275" s="13"/>
      <c r="AL275" s="13"/>
    </row>
    <row r="276" spans="6:38">
      <c r="F276" s="4">
        <v>216</v>
      </c>
      <c r="G276" s="4">
        <v>46</v>
      </c>
      <c r="H276" s="4">
        <v>1</v>
      </c>
      <c r="I276" s="4">
        <v>18</v>
      </c>
      <c r="J276" s="4">
        <v>4</v>
      </c>
      <c r="K276" s="4">
        <f t="shared" si="168"/>
        <v>0</v>
      </c>
      <c r="L276" s="4">
        <f t="shared" si="168"/>
        <v>0</v>
      </c>
      <c r="M276" s="4">
        <f t="shared" si="168"/>
        <v>0</v>
      </c>
      <c r="N276" s="4">
        <f t="shared" si="168"/>
        <v>0</v>
      </c>
      <c r="O276" s="4">
        <f t="shared" si="173"/>
        <v>0</v>
      </c>
      <c r="P276" s="4">
        <f t="shared" si="174"/>
        <v>0</v>
      </c>
      <c r="Q276" s="4">
        <f t="shared" si="175"/>
        <v>0</v>
      </c>
      <c r="R276" s="4">
        <f t="shared" si="176"/>
        <v>0</v>
      </c>
      <c r="S276" s="4">
        <f>IF(AND(VLOOKUP(G276,Dados!$D:$L,2,0)=VLOOKUP(I276,Dados!$S:$V,2,0),VLOOKUP(G276,Dados!$D:$L,3,0)=VLOOKUP(I276,Dados!$S:$V,3,0)),0,1)</f>
        <v>0</v>
      </c>
      <c r="T276" s="4">
        <f>IF(AND(VLOOKUP(G276,Dados!$D:$L,3,0)&lt;=VLOOKUP(H276,Dados!$X:$AB,2,0),VLOOKUP(G276,Dados!$D:$L,4,0)&gt;=VLOOKUP(H276,Dados!$X:$AB,3,0),VLOOKUP(G276,Dados!$D:$L,4,0)&lt;=VLOOKUP(H276,Dados!$X:$AB,4,0)),0,1)</f>
        <v>0</v>
      </c>
      <c r="U276" s="4">
        <f>IF(COUNTIFS(F:F,F276,H:H,H276)&lt;=VLOOKUP(H276,Dados!$X:$AB,5,0),0,1)</f>
        <v>0</v>
      </c>
      <c r="AI276" s="13"/>
      <c r="AJ276" s="13"/>
      <c r="AK276" s="13"/>
      <c r="AL276" s="13"/>
    </row>
    <row r="277" spans="6:38">
      <c r="F277" s="4">
        <v>216</v>
      </c>
      <c r="G277" s="4">
        <v>51</v>
      </c>
      <c r="H277" s="4">
        <v>1</v>
      </c>
      <c r="I277" s="4">
        <v>18</v>
      </c>
      <c r="J277" s="4">
        <v>2</v>
      </c>
      <c r="K277" s="4">
        <f t="shared" si="168"/>
        <v>0</v>
      </c>
      <c r="L277" s="4">
        <f t="shared" si="168"/>
        <v>0</v>
      </c>
      <c r="M277" s="4">
        <f t="shared" si="168"/>
        <v>0</v>
      </c>
      <c r="N277" s="4">
        <f t="shared" si="168"/>
        <v>0</v>
      </c>
      <c r="O277" s="4">
        <f t="shared" si="173"/>
        <v>0</v>
      </c>
      <c r="P277" s="4">
        <f t="shared" si="174"/>
        <v>0</v>
      </c>
      <c r="Q277" s="4">
        <f t="shared" si="175"/>
        <v>0</v>
      </c>
      <c r="R277" s="4">
        <f t="shared" si="176"/>
        <v>0</v>
      </c>
      <c r="S277" s="4">
        <f>IF(AND(VLOOKUP(G277,Dados!$D:$L,2,0)=VLOOKUP(I277,Dados!$S:$V,2,0),VLOOKUP(G277,Dados!$D:$L,3,0)=VLOOKUP(I277,Dados!$S:$V,3,0)),0,1)</f>
        <v>0</v>
      </c>
      <c r="T277" s="4">
        <f>IF(AND(VLOOKUP(G277,Dados!$D:$L,3,0)&lt;=VLOOKUP(H277,Dados!$X:$AB,2,0),VLOOKUP(G277,Dados!$D:$L,4,0)&gt;=VLOOKUP(H277,Dados!$X:$AB,3,0),VLOOKUP(G277,Dados!$D:$L,4,0)&lt;=VLOOKUP(H277,Dados!$X:$AB,4,0)),0,1)</f>
        <v>0</v>
      </c>
      <c r="U277" s="4">
        <f>IF(COUNTIFS(F:F,F277,H:H,H277)&lt;=VLOOKUP(H277,Dados!$X:$AB,5,0),0,1)</f>
        <v>0</v>
      </c>
      <c r="AI277" s="13"/>
      <c r="AJ277" s="13"/>
      <c r="AK277" s="13"/>
      <c r="AL277" s="13"/>
    </row>
    <row r="278" spans="6:38">
      <c r="F278" s="4">
        <v>217</v>
      </c>
      <c r="G278" s="4">
        <v>46</v>
      </c>
      <c r="H278" s="4">
        <v>3</v>
      </c>
      <c r="I278" s="4">
        <v>18</v>
      </c>
      <c r="J278" s="4">
        <v>4</v>
      </c>
      <c r="K278" s="4">
        <f t="shared" si="168"/>
        <v>6</v>
      </c>
      <c r="L278" s="4">
        <f t="shared" si="168"/>
        <v>0</v>
      </c>
      <c r="M278" s="4">
        <f t="shared" si="168"/>
        <v>0</v>
      </c>
      <c r="N278" s="4">
        <f t="shared" si="168"/>
        <v>0</v>
      </c>
      <c r="O278" s="4">
        <f t="shared" si="173"/>
        <v>24</v>
      </c>
      <c r="P278" s="4">
        <f t="shared" si="174"/>
        <v>0</v>
      </c>
      <c r="Q278" s="4">
        <f t="shared" si="175"/>
        <v>0</v>
      </c>
      <c r="R278" s="4">
        <f t="shared" si="176"/>
        <v>0</v>
      </c>
      <c r="S278" s="4">
        <f>IF(AND(VLOOKUP(G278,Dados!$D:$L,2,0)=VLOOKUP(I278,Dados!$S:$V,2,0),VLOOKUP(G278,Dados!$D:$L,3,0)=VLOOKUP(I278,Dados!$S:$V,3,0)),0,1)</f>
        <v>0</v>
      </c>
      <c r="T278" s="4">
        <f>IF(AND(VLOOKUP(G278,Dados!$D:$L,3,0)&lt;=VLOOKUP(H278,Dados!$X:$AB,2,0),VLOOKUP(G278,Dados!$D:$L,4,0)&gt;=VLOOKUP(H278,Dados!$X:$AB,3,0),VLOOKUP(G278,Dados!$D:$L,4,0)&lt;=VLOOKUP(H278,Dados!$X:$AB,4,0)),0,1)</f>
        <v>0</v>
      </c>
      <c r="U278" s="4">
        <f>IF(COUNTIFS(F:F,F278,H:H,H278)&lt;=VLOOKUP(H278,Dados!$X:$AB,5,0),0,1)</f>
        <v>0</v>
      </c>
      <c r="AI278" s="13"/>
      <c r="AJ278" s="13"/>
      <c r="AK278" s="13"/>
      <c r="AL278" s="13"/>
    </row>
    <row r="279" spans="6:38">
      <c r="F279" s="4">
        <v>217</v>
      </c>
      <c r="G279" s="4">
        <v>51</v>
      </c>
      <c r="H279" s="4">
        <v>3</v>
      </c>
      <c r="I279" s="4">
        <v>18</v>
      </c>
      <c r="J279" s="4">
        <v>2</v>
      </c>
      <c r="K279" s="4">
        <f t="shared" si="168"/>
        <v>6</v>
      </c>
      <c r="L279" s="4">
        <f t="shared" si="168"/>
        <v>0</v>
      </c>
      <c r="M279" s="4">
        <f t="shared" si="168"/>
        <v>0</v>
      </c>
      <c r="N279" s="4">
        <f t="shared" si="168"/>
        <v>0</v>
      </c>
      <c r="O279" s="4">
        <f t="shared" si="173"/>
        <v>12</v>
      </c>
      <c r="P279" s="4">
        <f t="shared" si="174"/>
        <v>0</v>
      </c>
      <c r="Q279" s="4">
        <f t="shared" si="175"/>
        <v>0</v>
      </c>
      <c r="R279" s="4">
        <f t="shared" si="176"/>
        <v>0</v>
      </c>
      <c r="S279" s="4">
        <f>IF(AND(VLOOKUP(G279,Dados!$D:$L,2,0)=VLOOKUP(I279,Dados!$S:$V,2,0),VLOOKUP(G279,Dados!$D:$L,3,0)=VLOOKUP(I279,Dados!$S:$V,3,0)),0,1)</f>
        <v>0</v>
      </c>
      <c r="T279" s="4">
        <f>IF(AND(VLOOKUP(G279,Dados!$D:$L,3,0)&lt;=VLOOKUP(H279,Dados!$X:$AB,2,0),VLOOKUP(G279,Dados!$D:$L,4,0)&gt;=VLOOKUP(H279,Dados!$X:$AB,3,0),VLOOKUP(G279,Dados!$D:$L,4,0)&lt;=VLOOKUP(H279,Dados!$X:$AB,4,0)),0,1)</f>
        <v>0</v>
      </c>
      <c r="U279" s="4">
        <f>IF(COUNTIFS(F:F,F279,H:H,H279)&lt;=VLOOKUP(H279,Dados!$X:$AB,5,0),0,1)</f>
        <v>0</v>
      </c>
      <c r="AI279" s="13"/>
      <c r="AJ279" s="13"/>
      <c r="AK279" s="13"/>
      <c r="AL279" s="13"/>
    </row>
    <row r="280" spans="6:38">
      <c r="F280" s="4">
        <v>218</v>
      </c>
      <c r="G280" s="4">
        <v>46</v>
      </c>
      <c r="H280" s="4">
        <v>1</v>
      </c>
      <c r="I280" s="4">
        <v>19</v>
      </c>
      <c r="J280" s="4">
        <v>2</v>
      </c>
      <c r="K280" s="4">
        <f t="shared" si="168"/>
        <v>0</v>
      </c>
      <c r="L280" s="4">
        <f t="shared" si="168"/>
        <v>0</v>
      </c>
      <c r="M280" s="4">
        <f t="shared" si="168"/>
        <v>0</v>
      </c>
      <c r="N280" s="4">
        <f t="shared" si="168"/>
        <v>0</v>
      </c>
      <c r="O280" s="4">
        <f t="shared" si="173"/>
        <v>0</v>
      </c>
      <c r="P280" s="4">
        <f t="shared" si="174"/>
        <v>0</v>
      </c>
      <c r="Q280" s="4">
        <f t="shared" si="175"/>
        <v>0</v>
      </c>
      <c r="R280" s="4">
        <f t="shared" si="176"/>
        <v>0</v>
      </c>
      <c r="S280" s="4">
        <f>IF(AND(VLOOKUP(G280,Dados!$D:$L,2,0)=VLOOKUP(I280,Dados!$S:$V,2,0),VLOOKUP(G280,Dados!$D:$L,3,0)=VLOOKUP(I280,Dados!$S:$V,3,0)),0,1)</f>
        <v>0</v>
      </c>
      <c r="T280" s="4">
        <f>IF(AND(VLOOKUP(G280,Dados!$D:$L,3,0)&lt;=VLOOKUP(H280,Dados!$X:$AB,2,0),VLOOKUP(G280,Dados!$D:$L,4,0)&gt;=VLOOKUP(H280,Dados!$X:$AB,3,0),VLOOKUP(G280,Dados!$D:$L,4,0)&lt;=VLOOKUP(H280,Dados!$X:$AB,4,0)),0,1)</f>
        <v>0</v>
      </c>
      <c r="U280" s="4">
        <f>IF(COUNTIFS(F:F,F280,H:H,H280)&lt;=VLOOKUP(H280,Dados!$X:$AB,5,0),0,1)</f>
        <v>0</v>
      </c>
      <c r="AI280" s="13"/>
      <c r="AJ280" s="13"/>
      <c r="AK280" s="13"/>
      <c r="AL280" s="13"/>
    </row>
    <row r="281" spans="6:38">
      <c r="F281" s="4">
        <v>218</v>
      </c>
      <c r="G281" s="4">
        <v>51</v>
      </c>
      <c r="H281" s="4">
        <v>1</v>
      </c>
      <c r="I281" s="4">
        <v>19</v>
      </c>
      <c r="J281" s="4">
        <v>6</v>
      </c>
      <c r="K281" s="4">
        <f t="shared" si="168"/>
        <v>0</v>
      </c>
      <c r="L281" s="4">
        <f t="shared" si="168"/>
        <v>0</v>
      </c>
      <c r="M281" s="4">
        <f t="shared" si="168"/>
        <v>0</v>
      </c>
      <c r="N281" s="4">
        <f t="shared" si="168"/>
        <v>0</v>
      </c>
      <c r="O281" s="4">
        <f t="shared" si="173"/>
        <v>0</v>
      </c>
      <c r="P281" s="4">
        <f t="shared" si="174"/>
        <v>0</v>
      </c>
      <c r="Q281" s="4">
        <f t="shared" si="175"/>
        <v>0</v>
      </c>
      <c r="R281" s="4">
        <f t="shared" si="176"/>
        <v>0</v>
      </c>
      <c r="S281" s="4">
        <f>IF(AND(VLOOKUP(G281,Dados!$D:$L,2,0)=VLOOKUP(I281,Dados!$S:$V,2,0),VLOOKUP(G281,Dados!$D:$L,3,0)=VLOOKUP(I281,Dados!$S:$V,3,0)),0,1)</f>
        <v>0</v>
      </c>
      <c r="T281" s="4">
        <f>IF(AND(VLOOKUP(G281,Dados!$D:$L,3,0)&lt;=VLOOKUP(H281,Dados!$X:$AB,2,0),VLOOKUP(G281,Dados!$D:$L,4,0)&gt;=VLOOKUP(H281,Dados!$X:$AB,3,0),VLOOKUP(G281,Dados!$D:$L,4,0)&lt;=VLOOKUP(H281,Dados!$X:$AB,4,0)),0,1)</f>
        <v>0</v>
      </c>
      <c r="U281" s="4">
        <f>IF(COUNTIFS(F:F,F281,H:H,H281)&lt;=VLOOKUP(H281,Dados!$X:$AB,5,0),0,1)</f>
        <v>0</v>
      </c>
      <c r="AI281" s="13"/>
      <c r="AJ281" s="13"/>
      <c r="AK281" s="13"/>
      <c r="AL281" s="13"/>
    </row>
    <row r="282" spans="6:38">
      <c r="F282" s="4">
        <v>219</v>
      </c>
      <c r="G282" s="4">
        <v>46</v>
      </c>
      <c r="H282" s="4">
        <v>3</v>
      </c>
      <c r="I282" s="4">
        <v>19</v>
      </c>
      <c r="J282" s="4">
        <v>2</v>
      </c>
      <c r="K282" s="4">
        <f t="shared" si="168"/>
        <v>2</v>
      </c>
      <c r="L282" s="4">
        <f t="shared" si="168"/>
        <v>0</v>
      </c>
      <c r="M282" s="4">
        <f t="shared" si="168"/>
        <v>0</v>
      </c>
      <c r="N282" s="4">
        <f t="shared" si="168"/>
        <v>0</v>
      </c>
      <c r="O282" s="4">
        <f t="shared" ref="O282:O345" si="177">$J282*K282</f>
        <v>4</v>
      </c>
      <c r="P282" s="4">
        <f t="shared" ref="P282:P345" si="178">$J282*L282</f>
        <v>0</v>
      </c>
      <c r="Q282" s="4">
        <f t="shared" ref="Q282:Q345" si="179">$J282*M282</f>
        <v>0</v>
      </c>
      <c r="R282" s="4">
        <f t="shared" ref="R282:R345" si="180">$J282*N282</f>
        <v>0</v>
      </c>
      <c r="S282" s="4">
        <f>IF(AND(VLOOKUP(G282,Dados!$D:$L,2,0)=VLOOKUP(I282,Dados!$S:$V,2,0),VLOOKUP(G282,Dados!$D:$L,3,0)=VLOOKUP(I282,Dados!$S:$V,3,0)),0,1)</f>
        <v>0</v>
      </c>
      <c r="T282" s="4">
        <f>IF(AND(VLOOKUP(G282,Dados!$D:$L,3,0)&lt;=VLOOKUP(H282,Dados!$X:$AB,2,0),VLOOKUP(G282,Dados!$D:$L,4,0)&gt;=VLOOKUP(H282,Dados!$X:$AB,3,0),VLOOKUP(G282,Dados!$D:$L,4,0)&lt;=VLOOKUP(H282,Dados!$X:$AB,4,0)),0,1)</f>
        <v>0</v>
      </c>
      <c r="U282" s="4">
        <f>IF(COUNTIFS(F:F,F282,H:H,H282)&lt;=VLOOKUP(H282,Dados!$X:$AB,5,0),0,1)</f>
        <v>0</v>
      </c>
      <c r="AI282" s="13"/>
      <c r="AJ282" s="13"/>
      <c r="AK282" s="13"/>
      <c r="AL282" s="13"/>
    </row>
    <row r="283" spans="6:38">
      <c r="F283" s="4">
        <v>219</v>
      </c>
      <c r="G283" s="4">
        <v>51</v>
      </c>
      <c r="H283" s="4">
        <v>3</v>
      </c>
      <c r="I283" s="4">
        <v>19</v>
      </c>
      <c r="J283" s="4">
        <v>6</v>
      </c>
      <c r="K283" s="4">
        <f t="shared" si="168"/>
        <v>2</v>
      </c>
      <c r="L283" s="4">
        <f t="shared" si="168"/>
        <v>0</v>
      </c>
      <c r="M283" s="4">
        <f t="shared" si="168"/>
        <v>0</v>
      </c>
      <c r="N283" s="4">
        <f t="shared" si="168"/>
        <v>0</v>
      </c>
      <c r="O283" s="4">
        <f t="shared" si="177"/>
        <v>12</v>
      </c>
      <c r="P283" s="4">
        <f t="shared" si="178"/>
        <v>0</v>
      </c>
      <c r="Q283" s="4">
        <f t="shared" si="179"/>
        <v>0</v>
      </c>
      <c r="R283" s="4">
        <f t="shared" si="180"/>
        <v>0</v>
      </c>
      <c r="S283" s="4">
        <f>IF(AND(VLOOKUP(G283,Dados!$D:$L,2,0)=VLOOKUP(I283,Dados!$S:$V,2,0),VLOOKUP(G283,Dados!$D:$L,3,0)=VLOOKUP(I283,Dados!$S:$V,3,0)),0,1)</f>
        <v>0</v>
      </c>
      <c r="T283" s="4">
        <f>IF(AND(VLOOKUP(G283,Dados!$D:$L,3,0)&lt;=VLOOKUP(H283,Dados!$X:$AB,2,0),VLOOKUP(G283,Dados!$D:$L,4,0)&gt;=VLOOKUP(H283,Dados!$X:$AB,3,0),VLOOKUP(G283,Dados!$D:$L,4,0)&lt;=VLOOKUP(H283,Dados!$X:$AB,4,0)),0,1)</f>
        <v>0</v>
      </c>
      <c r="U283" s="4">
        <f>IF(COUNTIFS(F:F,F283,H:H,H283)&lt;=VLOOKUP(H283,Dados!$X:$AB,5,0),0,1)</f>
        <v>0</v>
      </c>
      <c r="AI283" s="13"/>
      <c r="AJ283" s="13"/>
      <c r="AK283" s="13"/>
      <c r="AL283" s="13"/>
    </row>
    <row r="284" spans="6:38">
      <c r="F284" s="4">
        <v>220</v>
      </c>
      <c r="G284" s="4">
        <v>53</v>
      </c>
      <c r="H284" s="4">
        <v>1</v>
      </c>
      <c r="I284" s="4">
        <v>20</v>
      </c>
      <c r="J284" s="4">
        <v>7</v>
      </c>
      <c r="K284" s="4">
        <f t="shared" si="168"/>
        <v>0</v>
      </c>
      <c r="L284" s="4">
        <f t="shared" si="168"/>
        <v>14</v>
      </c>
      <c r="M284" s="4">
        <f t="shared" si="168"/>
        <v>0</v>
      </c>
      <c r="N284" s="4">
        <f t="shared" si="168"/>
        <v>0</v>
      </c>
      <c r="O284" s="4">
        <f t="shared" si="177"/>
        <v>0</v>
      </c>
      <c r="P284" s="4">
        <f t="shared" si="178"/>
        <v>98</v>
      </c>
      <c r="Q284" s="4">
        <f t="shared" si="179"/>
        <v>0</v>
      </c>
      <c r="R284" s="4">
        <f t="shared" si="180"/>
        <v>0</v>
      </c>
      <c r="S284" s="4">
        <f>IF(AND(VLOOKUP(G284,Dados!$D:$L,2,0)=VLOOKUP(I284,Dados!$S:$V,2,0),VLOOKUP(G284,Dados!$D:$L,3,0)=VLOOKUP(I284,Dados!$S:$V,3,0)),0,1)</f>
        <v>0</v>
      </c>
      <c r="T284" s="4">
        <f>IF(AND(VLOOKUP(G284,Dados!$D:$L,3,0)&lt;=VLOOKUP(H284,Dados!$X:$AB,2,0),VLOOKUP(G284,Dados!$D:$L,4,0)&gt;=VLOOKUP(H284,Dados!$X:$AB,3,0),VLOOKUP(G284,Dados!$D:$L,4,0)&lt;=VLOOKUP(H284,Dados!$X:$AB,4,0)),0,1)</f>
        <v>0</v>
      </c>
      <c r="U284" s="4">
        <f>IF(COUNTIFS(F:F,F284,H:H,H284)&lt;=VLOOKUP(H284,Dados!$X:$AB,5,0),0,1)</f>
        <v>0</v>
      </c>
      <c r="AI284" s="13"/>
      <c r="AJ284" s="13"/>
      <c r="AK284" s="13"/>
      <c r="AL284" s="13"/>
    </row>
    <row r="285" spans="6:38">
      <c r="F285" s="4">
        <v>220</v>
      </c>
      <c r="G285" s="4">
        <v>58</v>
      </c>
      <c r="H285" s="4">
        <v>1</v>
      </c>
      <c r="I285" s="4">
        <v>20</v>
      </c>
      <c r="J285" s="4">
        <v>1</v>
      </c>
      <c r="K285" s="4">
        <f t="shared" si="168"/>
        <v>0</v>
      </c>
      <c r="L285" s="4">
        <f t="shared" si="168"/>
        <v>14</v>
      </c>
      <c r="M285" s="4">
        <f t="shared" si="168"/>
        <v>0</v>
      </c>
      <c r="N285" s="4">
        <f t="shared" si="168"/>
        <v>0</v>
      </c>
      <c r="O285" s="4">
        <f t="shared" si="177"/>
        <v>0</v>
      </c>
      <c r="P285" s="4">
        <f t="shared" si="178"/>
        <v>14</v>
      </c>
      <c r="Q285" s="4">
        <f t="shared" si="179"/>
        <v>0</v>
      </c>
      <c r="R285" s="4">
        <f t="shared" si="180"/>
        <v>0</v>
      </c>
      <c r="S285" s="4">
        <f>IF(AND(VLOOKUP(G285,Dados!$D:$L,2,0)=VLOOKUP(I285,Dados!$S:$V,2,0),VLOOKUP(G285,Dados!$D:$L,3,0)=VLOOKUP(I285,Dados!$S:$V,3,0)),0,1)</f>
        <v>0</v>
      </c>
      <c r="T285" s="4">
        <f>IF(AND(VLOOKUP(G285,Dados!$D:$L,3,0)&lt;=VLOOKUP(H285,Dados!$X:$AB,2,0),VLOOKUP(G285,Dados!$D:$L,4,0)&gt;=VLOOKUP(H285,Dados!$X:$AB,3,0),VLOOKUP(G285,Dados!$D:$L,4,0)&lt;=VLOOKUP(H285,Dados!$X:$AB,4,0)),0,1)</f>
        <v>0</v>
      </c>
      <c r="U285" s="4">
        <f>IF(COUNTIFS(F:F,F285,H:H,H285)&lt;=VLOOKUP(H285,Dados!$X:$AB,5,0),0,1)</f>
        <v>0</v>
      </c>
      <c r="AI285" s="13"/>
      <c r="AJ285" s="13"/>
      <c r="AK285" s="13"/>
      <c r="AL285" s="13"/>
    </row>
    <row r="286" spans="6:38">
      <c r="F286" s="4">
        <v>221</v>
      </c>
      <c r="G286" s="4">
        <v>53</v>
      </c>
      <c r="H286" s="4">
        <v>3</v>
      </c>
      <c r="I286" s="4">
        <v>20</v>
      </c>
      <c r="J286" s="4">
        <v>7</v>
      </c>
      <c r="K286" s="4">
        <f t="shared" si="168"/>
        <v>2</v>
      </c>
      <c r="L286" s="4">
        <f t="shared" si="168"/>
        <v>5</v>
      </c>
      <c r="M286" s="4">
        <f t="shared" si="168"/>
        <v>0</v>
      </c>
      <c r="N286" s="4">
        <f t="shared" si="168"/>
        <v>0</v>
      </c>
      <c r="O286" s="4">
        <f t="shared" si="177"/>
        <v>14</v>
      </c>
      <c r="P286" s="4">
        <f t="shared" si="178"/>
        <v>35</v>
      </c>
      <c r="Q286" s="4">
        <f t="shared" si="179"/>
        <v>0</v>
      </c>
      <c r="R286" s="4">
        <f t="shared" si="180"/>
        <v>0</v>
      </c>
      <c r="S286" s="4">
        <f>IF(AND(VLOOKUP(G286,Dados!$D:$L,2,0)=VLOOKUP(I286,Dados!$S:$V,2,0),VLOOKUP(G286,Dados!$D:$L,3,0)=VLOOKUP(I286,Dados!$S:$V,3,0)),0,1)</f>
        <v>0</v>
      </c>
      <c r="T286" s="4">
        <f>IF(AND(VLOOKUP(G286,Dados!$D:$L,3,0)&lt;=VLOOKUP(H286,Dados!$X:$AB,2,0),VLOOKUP(G286,Dados!$D:$L,4,0)&gt;=VLOOKUP(H286,Dados!$X:$AB,3,0),VLOOKUP(G286,Dados!$D:$L,4,0)&lt;=VLOOKUP(H286,Dados!$X:$AB,4,0)),0,1)</f>
        <v>0</v>
      </c>
      <c r="U286" s="4">
        <f>IF(COUNTIFS(F:F,F286,H:H,H286)&lt;=VLOOKUP(H286,Dados!$X:$AB,5,0),0,1)</f>
        <v>0</v>
      </c>
      <c r="AI286" s="13"/>
      <c r="AJ286" s="13"/>
      <c r="AK286" s="13"/>
      <c r="AL286" s="13"/>
    </row>
    <row r="287" spans="6:38">
      <c r="F287" s="4">
        <v>221</v>
      </c>
      <c r="G287" s="4">
        <v>58</v>
      </c>
      <c r="H287" s="4">
        <v>3</v>
      </c>
      <c r="I287" s="4">
        <v>20</v>
      </c>
      <c r="J287" s="4">
        <v>1</v>
      </c>
      <c r="K287" s="4">
        <f t="shared" si="168"/>
        <v>2</v>
      </c>
      <c r="L287" s="4">
        <f t="shared" si="168"/>
        <v>5</v>
      </c>
      <c r="M287" s="4">
        <f t="shared" si="168"/>
        <v>0</v>
      </c>
      <c r="N287" s="4">
        <f t="shared" si="168"/>
        <v>0</v>
      </c>
      <c r="O287" s="4">
        <f t="shared" si="177"/>
        <v>2</v>
      </c>
      <c r="P287" s="4">
        <f t="shared" si="178"/>
        <v>5</v>
      </c>
      <c r="Q287" s="4">
        <f t="shared" si="179"/>
        <v>0</v>
      </c>
      <c r="R287" s="4">
        <f t="shared" si="180"/>
        <v>0</v>
      </c>
      <c r="S287" s="4">
        <f>IF(AND(VLOOKUP(G287,Dados!$D:$L,2,0)=VLOOKUP(I287,Dados!$S:$V,2,0),VLOOKUP(G287,Dados!$D:$L,3,0)=VLOOKUP(I287,Dados!$S:$V,3,0)),0,1)</f>
        <v>0</v>
      </c>
      <c r="T287" s="4">
        <f>IF(AND(VLOOKUP(G287,Dados!$D:$L,3,0)&lt;=VLOOKUP(H287,Dados!$X:$AB,2,0),VLOOKUP(G287,Dados!$D:$L,4,0)&gt;=VLOOKUP(H287,Dados!$X:$AB,3,0),VLOOKUP(G287,Dados!$D:$L,4,0)&lt;=VLOOKUP(H287,Dados!$X:$AB,4,0)),0,1)</f>
        <v>0</v>
      </c>
      <c r="U287" s="4">
        <f>IF(COUNTIFS(F:F,F287,H:H,H287)&lt;=VLOOKUP(H287,Dados!$X:$AB,5,0),0,1)</f>
        <v>0</v>
      </c>
      <c r="AI287" s="13"/>
      <c r="AJ287" s="13"/>
      <c r="AK287" s="13"/>
      <c r="AL287" s="13"/>
    </row>
    <row r="288" spans="6:38">
      <c r="F288" s="4">
        <v>222</v>
      </c>
      <c r="G288" s="4">
        <v>63</v>
      </c>
      <c r="H288" s="4">
        <v>1</v>
      </c>
      <c r="I288" s="4">
        <v>21</v>
      </c>
      <c r="J288" s="4">
        <v>6</v>
      </c>
      <c r="K288" s="4">
        <f t="shared" si="168"/>
        <v>0</v>
      </c>
      <c r="L288" s="4">
        <f t="shared" si="168"/>
        <v>0</v>
      </c>
      <c r="M288" s="4">
        <f t="shared" si="168"/>
        <v>0</v>
      </c>
      <c r="N288" s="4">
        <f t="shared" si="168"/>
        <v>0</v>
      </c>
      <c r="O288" s="4">
        <f t="shared" si="177"/>
        <v>0</v>
      </c>
      <c r="P288" s="4">
        <f t="shared" si="178"/>
        <v>0</v>
      </c>
      <c r="Q288" s="4">
        <f t="shared" si="179"/>
        <v>0</v>
      </c>
      <c r="R288" s="4">
        <f t="shared" si="180"/>
        <v>0</v>
      </c>
      <c r="S288" s="4">
        <f>IF(AND(VLOOKUP(G288,Dados!$D:$L,2,0)=VLOOKUP(I288,Dados!$S:$V,2,0),VLOOKUP(G288,Dados!$D:$L,3,0)=VLOOKUP(I288,Dados!$S:$V,3,0)),0,1)</f>
        <v>0</v>
      </c>
      <c r="T288" s="4">
        <f>IF(AND(VLOOKUP(G288,Dados!$D:$L,3,0)&lt;=VLOOKUP(H288,Dados!$X:$AB,2,0),VLOOKUP(G288,Dados!$D:$L,4,0)&gt;=VLOOKUP(H288,Dados!$X:$AB,3,0),VLOOKUP(G288,Dados!$D:$L,4,0)&lt;=VLOOKUP(H288,Dados!$X:$AB,4,0)),0,1)</f>
        <v>0</v>
      </c>
      <c r="U288" s="4">
        <f>IF(COUNTIFS(F:F,F288,H:H,H288)&lt;=VLOOKUP(H288,Dados!$X:$AB,5,0),0,1)</f>
        <v>0</v>
      </c>
      <c r="AI288" s="13"/>
      <c r="AJ288" s="13"/>
      <c r="AK288" s="13"/>
      <c r="AL288" s="13"/>
    </row>
    <row r="289" spans="6:38">
      <c r="F289" s="4">
        <v>222</v>
      </c>
      <c r="G289" s="4">
        <v>64</v>
      </c>
      <c r="H289" s="4">
        <v>1</v>
      </c>
      <c r="I289" s="4">
        <v>21</v>
      </c>
      <c r="J289" s="4">
        <v>4</v>
      </c>
      <c r="K289" s="4">
        <f t="shared" si="168"/>
        <v>0</v>
      </c>
      <c r="L289" s="4">
        <f t="shared" si="168"/>
        <v>0</v>
      </c>
      <c r="M289" s="4">
        <f t="shared" si="168"/>
        <v>0</v>
      </c>
      <c r="N289" s="4">
        <f t="shared" si="168"/>
        <v>0</v>
      </c>
      <c r="O289" s="4">
        <f t="shared" si="177"/>
        <v>0</v>
      </c>
      <c r="P289" s="4">
        <f t="shared" si="178"/>
        <v>0</v>
      </c>
      <c r="Q289" s="4">
        <f t="shared" si="179"/>
        <v>0</v>
      </c>
      <c r="R289" s="4">
        <f t="shared" si="180"/>
        <v>0</v>
      </c>
      <c r="S289" s="4">
        <f>IF(AND(VLOOKUP(G289,Dados!$D:$L,2,0)=VLOOKUP(I289,Dados!$S:$V,2,0),VLOOKUP(G289,Dados!$D:$L,3,0)=VLOOKUP(I289,Dados!$S:$V,3,0)),0,1)</f>
        <v>0</v>
      </c>
      <c r="T289" s="4">
        <f>IF(AND(VLOOKUP(G289,Dados!$D:$L,3,0)&lt;=VLOOKUP(H289,Dados!$X:$AB,2,0),VLOOKUP(G289,Dados!$D:$L,4,0)&gt;=VLOOKUP(H289,Dados!$X:$AB,3,0),VLOOKUP(G289,Dados!$D:$L,4,0)&lt;=VLOOKUP(H289,Dados!$X:$AB,4,0)),0,1)</f>
        <v>0</v>
      </c>
      <c r="U289" s="4">
        <f>IF(COUNTIFS(F:F,F289,H:H,H289)&lt;=VLOOKUP(H289,Dados!$X:$AB,5,0),0,1)</f>
        <v>0</v>
      </c>
      <c r="AI289" s="13"/>
      <c r="AJ289" s="13"/>
      <c r="AK289" s="13"/>
      <c r="AL289" s="13"/>
    </row>
    <row r="290" spans="6:38">
      <c r="F290" s="4">
        <v>223</v>
      </c>
      <c r="G290" s="4">
        <v>63</v>
      </c>
      <c r="H290" s="4">
        <v>2</v>
      </c>
      <c r="I290" s="4">
        <v>21</v>
      </c>
      <c r="J290" s="4">
        <v>6</v>
      </c>
      <c r="K290" s="4">
        <f t="shared" ref="K290:N353" si="181">SUMIFS($X:$X,$W:$W,$F290,$Z:$Z,$I290,$AA:$AA,$H290,$AB:$AB,K$2)</f>
        <v>3</v>
      </c>
      <c r="L290" s="4">
        <f t="shared" si="181"/>
        <v>0</v>
      </c>
      <c r="M290" s="4">
        <f t="shared" si="181"/>
        <v>0</v>
      </c>
      <c r="N290" s="4">
        <f t="shared" si="181"/>
        <v>0</v>
      </c>
      <c r="O290" s="4">
        <f t="shared" si="177"/>
        <v>18</v>
      </c>
      <c r="P290" s="4">
        <f t="shared" si="178"/>
        <v>0</v>
      </c>
      <c r="Q290" s="4">
        <f t="shared" si="179"/>
        <v>0</v>
      </c>
      <c r="R290" s="4">
        <f t="shared" si="180"/>
        <v>0</v>
      </c>
      <c r="S290" s="4">
        <f>IF(AND(VLOOKUP(G290,Dados!$D:$L,2,0)=VLOOKUP(I290,Dados!$S:$V,2,0),VLOOKUP(G290,Dados!$D:$L,3,0)=VLOOKUP(I290,Dados!$S:$V,3,0)),0,1)</f>
        <v>0</v>
      </c>
      <c r="T290" s="4">
        <f>IF(AND(VLOOKUP(G290,Dados!$D:$L,3,0)&lt;=VLOOKUP(H290,Dados!$X:$AB,2,0),VLOOKUP(G290,Dados!$D:$L,4,0)&gt;=VLOOKUP(H290,Dados!$X:$AB,3,0),VLOOKUP(G290,Dados!$D:$L,4,0)&lt;=VLOOKUP(H290,Dados!$X:$AB,4,0)),0,1)</f>
        <v>0</v>
      </c>
      <c r="U290" s="4">
        <f>IF(COUNTIFS(F:F,F290,H:H,H290)&lt;=VLOOKUP(H290,Dados!$X:$AB,5,0),0,1)</f>
        <v>0</v>
      </c>
      <c r="AI290" s="13"/>
      <c r="AJ290" s="13"/>
      <c r="AK290" s="13"/>
      <c r="AL290" s="13"/>
    </row>
    <row r="291" spans="6:38">
      <c r="F291" s="4">
        <v>223</v>
      </c>
      <c r="G291" s="4">
        <v>64</v>
      </c>
      <c r="H291" s="4">
        <v>2</v>
      </c>
      <c r="I291" s="4">
        <v>21</v>
      </c>
      <c r="J291" s="4">
        <v>4</v>
      </c>
      <c r="K291" s="4">
        <f t="shared" si="181"/>
        <v>3</v>
      </c>
      <c r="L291" s="4">
        <f t="shared" si="181"/>
        <v>0</v>
      </c>
      <c r="M291" s="4">
        <f t="shared" si="181"/>
        <v>0</v>
      </c>
      <c r="N291" s="4">
        <f t="shared" si="181"/>
        <v>0</v>
      </c>
      <c r="O291" s="4">
        <f t="shared" si="177"/>
        <v>12</v>
      </c>
      <c r="P291" s="4">
        <f t="shared" si="178"/>
        <v>0</v>
      </c>
      <c r="Q291" s="4">
        <f t="shared" si="179"/>
        <v>0</v>
      </c>
      <c r="R291" s="4">
        <f t="shared" si="180"/>
        <v>0</v>
      </c>
      <c r="S291" s="4">
        <f>IF(AND(VLOOKUP(G291,Dados!$D:$L,2,0)=VLOOKUP(I291,Dados!$S:$V,2,0),VLOOKUP(G291,Dados!$D:$L,3,0)=VLOOKUP(I291,Dados!$S:$V,3,0)),0,1)</f>
        <v>0</v>
      </c>
      <c r="T291" s="4">
        <f>IF(AND(VLOOKUP(G291,Dados!$D:$L,3,0)&lt;=VLOOKUP(H291,Dados!$X:$AB,2,0),VLOOKUP(G291,Dados!$D:$L,4,0)&gt;=VLOOKUP(H291,Dados!$X:$AB,3,0),VLOOKUP(G291,Dados!$D:$L,4,0)&lt;=VLOOKUP(H291,Dados!$X:$AB,4,0)),0,1)</f>
        <v>0</v>
      </c>
      <c r="U291" s="4">
        <f>IF(COUNTIFS(F:F,F291,H:H,H291)&lt;=VLOOKUP(H291,Dados!$X:$AB,5,0),0,1)</f>
        <v>0</v>
      </c>
      <c r="AI291" s="13"/>
      <c r="AJ291" s="13"/>
      <c r="AK291" s="13"/>
      <c r="AL291" s="13"/>
    </row>
    <row r="292" spans="6:38">
      <c r="F292" s="4">
        <v>224</v>
      </c>
      <c r="G292" s="4">
        <v>63</v>
      </c>
      <c r="H292" s="4">
        <v>3</v>
      </c>
      <c r="I292" s="4">
        <v>21</v>
      </c>
      <c r="J292" s="4">
        <v>6</v>
      </c>
      <c r="K292" s="4">
        <f t="shared" si="181"/>
        <v>0</v>
      </c>
      <c r="L292" s="4">
        <f t="shared" si="181"/>
        <v>0</v>
      </c>
      <c r="M292" s="4">
        <f t="shared" si="181"/>
        <v>0</v>
      </c>
      <c r="N292" s="4">
        <f t="shared" si="181"/>
        <v>0</v>
      </c>
      <c r="O292" s="4">
        <f t="shared" si="177"/>
        <v>0</v>
      </c>
      <c r="P292" s="4">
        <f t="shared" si="178"/>
        <v>0</v>
      </c>
      <c r="Q292" s="4">
        <f t="shared" si="179"/>
        <v>0</v>
      </c>
      <c r="R292" s="4">
        <f t="shared" si="180"/>
        <v>0</v>
      </c>
      <c r="S292" s="4">
        <f>IF(AND(VLOOKUP(G292,Dados!$D:$L,2,0)=VLOOKUP(I292,Dados!$S:$V,2,0),VLOOKUP(G292,Dados!$D:$L,3,0)=VLOOKUP(I292,Dados!$S:$V,3,0)),0,1)</f>
        <v>0</v>
      </c>
      <c r="T292" s="4">
        <f>IF(AND(VLOOKUP(G292,Dados!$D:$L,3,0)&lt;=VLOOKUP(H292,Dados!$X:$AB,2,0),VLOOKUP(G292,Dados!$D:$L,4,0)&gt;=VLOOKUP(H292,Dados!$X:$AB,3,0),VLOOKUP(G292,Dados!$D:$L,4,0)&lt;=VLOOKUP(H292,Dados!$X:$AB,4,0)),0,1)</f>
        <v>0</v>
      </c>
      <c r="U292" s="4">
        <f>IF(COUNTIFS(F:F,F292,H:H,H292)&lt;=VLOOKUP(H292,Dados!$X:$AB,5,0),0,1)</f>
        <v>0</v>
      </c>
      <c r="AI292" s="13"/>
      <c r="AJ292" s="13"/>
      <c r="AK292" s="13"/>
      <c r="AL292" s="13"/>
    </row>
    <row r="293" spans="6:38">
      <c r="F293" s="4">
        <v>224</v>
      </c>
      <c r="G293" s="4">
        <v>64</v>
      </c>
      <c r="H293" s="4">
        <v>3</v>
      </c>
      <c r="I293" s="4">
        <v>21</v>
      </c>
      <c r="J293" s="4">
        <v>4</v>
      </c>
      <c r="K293" s="4">
        <f t="shared" si="181"/>
        <v>0</v>
      </c>
      <c r="L293" s="4">
        <f t="shared" si="181"/>
        <v>0</v>
      </c>
      <c r="M293" s="4">
        <f t="shared" si="181"/>
        <v>0</v>
      </c>
      <c r="N293" s="4">
        <f t="shared" si="181"/>
        <v>0</v>
      </c>
      <c r="O293" s="4">
        <f t="shared" si="177"/>
        <v>0</v>
      </c>
      <c r="P293" s="4">
        <f t="shared" si="178"/>
        <v>0</v>
      </c>
      <c r="Q293" s="4">
        <f t="shared" si="179"/>
        <v>0</v>
      </c>
      <c r="R293" s="4">
        <f t="shared" si="180"/>
        <v>0</v>
      </c>
      <c r="S293" s="4">
        <f>IF(AND(VLOOKUP(G293,Dados!$D:$L,2,0)=VLOOKUP(I293,Dados!$S:$V,2,0),VLOOKUP(G293,Dados!$D:$L,3,0)=VLOOKUP(I293,Dados!$S:$V,3,0)),0,1)</f>
        <v>0</v>
      </c>
      <c r="T293" s="4">
        <f>IF(AND(VLOOKUP(G293,Dados!$D:$L,3,0)&lt;=VLOOKUP(H293,Dados!$X:$AB,2,0),VLOOKUP(G293,Dados!$D:$L,4,0)&gt;=VLOOKUP(H293,Dados!$X:$AB,3,0),VLOOKUP(G293,Dados!$D:$L,4,0)&lt;=VLOOKUP(H293,Dados!$X:$AB,4,0)),0,1)</f>
        <v>0</v>
      </c>
      <c r="U293" s="4">
        <f>IF(COUNTIFS(F:F,F293,H:H,H293)&lt;=VLOOKUP(H293,Dados!$X:$AB,5,0),0,1)</f>
        <v>0</v>
      </c>
      <c r="AI293" s="13"/>
      <c r="AJ293" s="13"/>
      <c r="AK293" s="13"/>
      <c r="AL293" s="13"/>
    </row>
    <row r="294" spans="6:38">
      <c r="F294" s="4">
        <v>225</v>
      </c>
      <c r="G294" s="4">
        <v>59</v>
      </c>
      <c r="H294" s="4">
        <v>1</v>
      </c>
      <c r="I294" s="4">
        <v>22</v>
      </c>
      <c r="J294" s="4">
        <v>1</v>
      </c>
      <c r="K294" s="4">
        <f t="shared" si="181"/>
        <v>0</v>
      </c>
      <c r="L294" s="4">
        <f t="shared" si="181"/>
        <v>0</v>
      </c>
      <c r="M294" s="4">
        <f t="shared" si="181"/>
        <v>0</v>
      </c>
      <c r="N294" s="4">
        <f t="shared" si="181"/>
        <v>0</v>
      </c>
      <c r="O294" s="4">
        <f t="shared" si="177"/>
        <v>0</v>
      </c>
      <c r="P294" s="4">
        <f t="shared" si="178"/>
        <v>0</v>
      </c>
      <c r="Q294" s="4">
        <f t="shared" si="179"/>
        <v>0</v>
      </c>
      <c r="R294" s="4">
        <f t="shared" si="180"/>
        <v>0</v>
      </c>
      <c r="S294" s="4">
        <f>IF(AND(VLOOKUP(G294,Dados!$D:$L,2,0)=VLOOKUP(I294,Dados!$S:$V,2,0),VLOOKUP(G294,Dados!$D:$L,3,0)=VLOOKUP(I294,Dados!$S:$V,3,0)),0,1)</f>
        <v>0</v>
      </c>
      <c r="T294" s="4">
        <f>IF(AND(VLOOKUP(G294,Dados!$D:$L,3,0)&lt;=VLOOKUP(H294,Dados!$X:$AB,2,0),VLOOKUP(G294,Dados!$D:$L,4,0)&gt;=VLOOKUP(H294,Dados!$X:$AB,3,0),VLOOKUP(G294,Dados!$D:$L,4,0)&lt;=VLOOKUP(H294,Dados!$X:$AB,4,0)),0,1)</f>
        <v>0</v>
      </c>
      <c r="U294" s="4">
        <f>IF(COUNTIFS(F:F,F294,H:H,H294)&lt;=VLOOKUP(H294,Dados!$X:$AB,5,0),0,1)</f>
        <v>0</v>
      </c>
      <c r="AI294" s="13"/>
      <c r="AJ294" s="13"/>
      <c r="AK294" s="13"/>
      <c r="AL294" s="13"/>
    </row>
    <row r="295" spans="6:38">
      <c r="F295" s="4">
        <v>225</v>
      </c>
      <c r="G295" s="4">
        <v>63</v>
      </c>
      <c r="H295" s="4">
        <v>1</v>
      </c>
      <c r="I295" s="4">
        <v>22</v>
      </c>
      <c r="J295" s="4">
        <v>6</v>
      </c>
      <c r="K295" s="4">
        <f t="shared" si="181"/>
        <v>0</v>
      </c>
      <c r="L295" s="4">
        <f t="shared" si="181"/>
        <v>0</v>
      </c>
      <c r="M295" s="4">
        <f t="shared" si="181"/>
        <v>0</v>
      </c>
      <c r="N295" s="4">
        <f t="shared" si="181"/>
        <v>0</v>
      </c>
      <c r="O295" s="4">
        <f t="shared" si="177"/>
        <v>0</v>
      </c>
      <c r="P295" s="4">
        <f t="shared" si="178"/>
        <v>0</v>
      </c>
      <c r="Q295" s="4">
        <f t="shared" si="179"/>
        <v>0</v>
      </c>
      <c r="R295" s="4">
        <f t="shared" si="180"/>
        <v>0</v>
      </c>
      <c r="S295" s="4">
        <f>IF(AND(VLOOKUP(G295,Dados!$D:$L,2,0)=VLOOKUP(I295,Dados!$S:$V,2,0),VLOOKUP(G295,Dados!$D:$L,3,0)=VLOOKUP(I295,Dados!$S:$V,3,0)),0,1)</f>
        <v>0</v>
      </c>
      <c r="T295" s="4">
        <f>IF(AND(VLOOKUP(G295,Dados!$D:$L,3,0)&lt;=VLOOKUP(H295,Dados!$X:$AB,2,0),VLOOKUP(G295,Dados!$D:$L,4,0)&gt;=VLOOKUP(H295,Dados!$X:$AB,3,0),VLOOKUP(G295,Dados!$D:$L,4,0)&lt;=VLOOKUP(H295,Dados!$X:$AB,4,0)),0,1)</f>
        <v>0</v>
      </c>
      <c r="U295" s="4">
        <f>IF(COUNTIFS(F:F,F295,H:H,H295)&lt;=VLOOKUP(H295,Dados!$X:$AB,5,0),0,1)</f>
        <v>0</v>
      </c>
      <c r="AI295" s="13"/>
      <c r="AJ295" s="13"/>
      <c r="AK295" s="13"/>
      <c r="AL295" s="13"/>
    </row>
    <row r="296" spans="6:38">
      <c r="F296" s="4">
        <v>225</v>
      </c>
      <c r="G296" s="4">
        <v>64</v>
      </c>
      <c r="H296" s="4">
        <v>1</v>
      </c>
      <c r="I296" s="4">
        <v>22</v>
      </c>
      <c r="J296" s="4">
        <v>2</v>
      </c>
      <c r="K296" s="4">
        <f t="shared" si="181"/>
        <v>0</v>
      </c>
      <c r="L296" s="4">
        <f t="shared" si="181"/>
        <v>0</v>
      </c>
      <c r="M296" s="4">
        <f t="shared" si="181"/>
        <v>0</v>
      </c>
      <c r="N296" s="4">
        <f t="shared" si="181"/>
        <v>0</v>
      </c>
      <c r="O296" s="4">
        <f t="shared" si="177"/>
        <v>0</v>
      </c>
      <c r="P296" s="4">
        <f t="shared" si="178"/>
        <v>0</v>
      </c>
      <c r="Q296" s="4">
        <f t="shared" si="179"/>
        <v>0</v>
      </c>
      <c r="R296" s="4">
        <f t="shared" si="180"/>
        <v>0</v>
      </c>
      <c r="S296" s="4">
        <f>IF(AND(VLOOKUP(G296,Dados!$D:$L,2,0)=VLOOKUP(I296,Dados!$S:$V,2,0),VLOOKUP(G296,Dados!$D:$L,3,0)=VLOOKUP(I296,Dados!$S:$V,3,0)),0,1)</f>
        <v>0</v>
      </c>
      <c r="T296" s="4">
        <f>IF(AND(VLOOKUP(G296,Dados!$D:$L,3,0)&lt;=VLOOKUP(H296,Dados!$X:$AB,2,0),VLOOKUP(G296,Dados!$D:$L,4,0)&gt;=VLOOKUP(H296,Dados!$X:$AB,3,0),VLOOKUP(G296,Dados!$D:$L,4,0)&lt;=VLOOKUP(H296,Dados!$X:$AB,4,0)),0,1)</f>
        <v>0</v>
      </c>
      <c r="U296" s="4">
        <f>IF(COUNTIFS(F:F,F296,H:H,H296)&lt;=VLOOKUP(H296,Dados!$X:$AB,5,0),0,1)</f>
        <v>0</v>
      </c>
      <c r="AI296" s="13"/>
      <c r="AJ296" s="13"/>
      <c r="AK296" s="13"/>
      <c r="AL296" s="13"/>
    </row>
    <row r="297" spans="6:38">
      <c r="F297" s="4">
        <v>226</v>
      </c>
      <c r="G297" s="4">
        <v>59</v>
      </c>
      <c r="H297" s="4">
        <v>2</v>
      </c>
      <c r="I297" s="4">
        <v>22</v>
      </c>
      <c r="J297" s="4">
        <v>1</v>
      </c>
      <c r="K297" s="4">
        <f t="shared" si="181"/>
        <v>0</v>
      </c>
      <c r="L297" s="4">
        <f t="shared" si="181"/>
        <v>0</v>
      </c>
      <c r="M297" s="4">
        <f t="shared" si="181"/>
        <v>0</v>
      </c>
      <c r="N297" s="4">
        <f t="shared" si="181"/>
        <v>0</v>
      </c>
      <c r="O297" s="4">
        <f t="shared" si="177"/>
        <v>0</v>
      </c>
      <c r="P297" s="4">
        <f t="shared" si="178"/>
        <v>0</v>
      </c>
      <c r="Q297" s="4">
        <f t="shared" si="179"/>
        <v>0</v>
      </c>
      <c r="R297" s="4">
        <f t="shared" si="180"/>
        <v>0</v>
      </c>
      <c r="S297" s="4">
        <f>IF(AND(VLOOKUP(G297,Dados!$D:$L,2,0)=VLOOKUP(I297,Dados!$S:$V,2,0),VLOOKUP(G297,Dados!$D:$L,3,0)=VLOOKUP(I297,Dados!$S:$V,3,0)),0,1)</f>
        <v>0</v>
      </c>
      <c r="T297" s="4">
        <f>IF(AND(VLOOKUP(G297,Dados!$D:$L,3,0)&lt;=VLOOKUP(H297,Dados!$X:$AB,2,0),VLOOKUP(G297,Dados!$D:$L,4,0)&gt;=VLOOKUP(H297,Dados!$X:$AB,3,0),VLOOKUP(G297,Dados!$D:$L,4,0)&lt;=VLOOKUP(H297,Dados!$X:$AB,4,0)),0,1)</f>
        <v>0</v>
      </c>
      <c r="U297" s="4">
        <f>IF(COUNTIFS(F:F,F297,H:H,H297)&lt;=VLOOKUP(H297,Dados!$X:$AB,5,0),0,1)</f>
        <v>0</v>
      </c>
      <c r="AI297" s="13"/>
      <c r="AJ297" s="13"/>
      <c r="AK297" s="13"/>
      <c r="AL297" s="13"/>
    </row>
    <row r="298" spans="6:38">
      <c r="F298" s="4">
        <v>226</v>
      </c>
      <c r="G298" s="4">
        <v>63</v>
      </c>
      <c r="H298" s="4">
        <v>2</v>
      </c>
      <c r="I298" s="4">
        <v>22</v>
      </c>
      <c r="J298" s="4">
        <v>6</v>
      </c>
      <c r="K298" s="4">
        <f t="shared" si="181"/>
        <v>0</v>
      </c>
      <c r="L298" s="4">
        <f t="shared" si="181"/>
        <v>0</v>
      </c>
      <c r="M298" s="4">
        <f t="shared" si="181"/>
        <v>0</v>
      </c>
      <c r="N298" s="4">
        <f t="shared" si="181"/>
        <v>0</v>
      </c>
      <c r="O298" s="4">
        <f t="shared" si="177"/>
        <v>0</v>
      </c>
      <c r="P298" s="4">
        <f t="shared" si="178"/>
        <v>0</v>
      </c>
      <c r="Q298" s="4">
        <f t="shared" si="179"/>
        <v>0</v>
      </c>
      <c r="R298" s="4">
        <f t="shared" si="180"/>
        <v>0</v>
      </c>
      <c r="S298" s="4">
        <f>IF(AND(VLOOKUP(G298,Dados!$D:$L,2,0)=VLOOKUP(I298,Dados!$S:$V,2,0),VLOOKUP(G298,Dados!$D:$L,3,0)=VLOOKUP(I298,Dados!$S:$V,3,0)),0,1)</f>
        <v>0</v>
      </c>
      <c r="T298" s="4">
        <f>IF(AND(VLOOKUP(G298,Dados!$D:$L,3,0)&lt;=VLOOKUP(H298,Dados!$X:$AB,2,0),VLOOKUP(G298,Dados!$D:$L,4,0)&gt;=VLOOKUP(H298,Dados!$X:$AB,3,0),VLOOKUP(G298,Dados!$D:$L,4,0)&lt;=VLOOKUP(H298,Dados!$X:$AB,4,0)),0,1)</f>
        <v>0</v>
      </c>
      <c r="U298" s="4">
        <f>IF(COUNTIFS(F:F,F298,H:H,H298)&lt;=VLOOKUP(H298,Dados!$X:$AB,5,0),0,1)</f>
        <v>0</v>
      </c>
      <c r="AI298" s="13"/>
      <c r="AJ298" s="13"/>
      <c r="AK298" s="13"/>
      <c r="AL298" s="13"/>
    </row>
    <row r="299" spans="6:38">
      <c r="F299" s="4">
        <v>226</v>
      </c>
      <c r="G299" s="4">
        <v>64</v>
      </c>
      <c r="H299" s="4">
        <v>2</v>
      </c>
      <c r="I299" s="4">
        <v>22</v>
      </c>
      <c r="J299" s="4">
        <v>2</v>
      </c>
      <c r="K299" s="4">
        <f t="shared" si="181"/>
        <v>0</v>
      </c>
      <c r="L299" s="4">
        <f t="shared" si="181"/>
        <v>0</v>
      </c>
      <c r="M299" s="4">
        <f t="shared" si="181"/>
        <v>0</v>
      </c>
      <c r="N299" s="4">
        <f t="shared" si="181"/>
        <v>0</v>
      </c>
      <c r="O299" s="4">
        <f t="shared" si="177"/>
        <v>0</v>
      </c>
      <c r="P299" s="4">
        <f t="shared" si="178"/>
        <v>0</v>
      </c>
      <c r="Q299" s="4">
        <f t="shared" si="179"/>
        <v>0</v>
      </c>
      <c r="R299" s="4">
        <f t="shared" si="180"/>
        <v>0</v>
      </c>
      <c r="S299" s="4">
        <f>IF(AND(VLOOKUP(G299,Dados!$D:$L,2,0)=VLOOKUP(I299,Dados!$S:$V,2,0),VLOOKUP(G299,Dados!$D:$L,3,0)=VLOOKUP(I299,Dados!$S:$V,3,0)),0,1)</f>
        <v>0</v>
      </c>
      <c r="T299" s="4">
        <f>IF(AND(VLOOKUP(G299,Dados!$D:$L,3,0)&lt;=VLOOKUP(H299,Dados!$X:$AB,2,0),VLOOKUP(G299,Dados!$D:$L,4,0)&gt;=VLOOKUP(H299,Dados!$X:$AB,3,0),VLOOKUP(G299,Dados!$D:$L,4,0)&lt;=VLOOKUP(H299,Dados!$X:$AB,4,0)),0,1)</f>
        <v>0</v>
      </c>
      <c r="U299" s="4">
        <f>IF(COUNTIFS(F:F,F299,H:H,H299)&lt;=VLOOKUP(H299,Dados!$X:$AB,5,0),0,1)</f>
        <v>0</v>
      </c>
      <c r="AI299" s="13"/>
      <c r="AJ299" s="13"/>
      <c r="AK299" s="13"/>
      <c r="AL299" s="13"/>
    </row>
    <row r="300" spans="6:38">
      <c r="F300" s="4">
        <v>227</v>
      </c>
      <c r="G300" s="4">
        <v>59</v>
      </c>
      <c r="H300" s="4">
        <v>3</v>
      </c>
      <c r="I300" s="4">
        <v>22</v>
      </c>
      <c r="J300" s="4">
        <v>1</v>
      </c>
      <c r="K300" s="4">
        <f t="shared" si="181"/>
        <v>0</v>
      </c>
      <c r="L300" s="4">
        <f t="shared" si="181"/>
        <v>0</v>
      </c>
      <c r="M300" s="4">
        <f t="shared" si="181"/>
        <v>0</v>
      </c>
      <c r="N300" s="4">
        <f t="shared" si="181"/>
        <v>0</v>
      </c>
      <c r="O300" s="4">
        <f t="shared" si="177"/>
        <v>0</v>
      </c>
      <c r="P300" s="4">
        <f t="shared" si="178"/>
        <v>0</v>
      </c>
      <c r="Q300" s="4">
        <f t="shared" si="179"/>
        <v>0</v>
      </c>
      <c r="R300" s="4">
        <f t="shared" si="180"/>
        <v>0</v>
      </c>
      <c r="S300" s="4">
        <f>IF(AND(VLOOKUP(G300,Dados!$D:$L,2,0)=VLOOKUP(I300,Dados!$S:$V,2,0),VLOOKUP(G300,Dados!$D:$L,3,0)=VLOOKUP(I300,Dados!$S:$V,3,0)),0,1)</f>
        <v>0</v>
      </c>
      <c r="T300" s="4">
        <f>IF(AND(VLOOKUP(G300,Dados!$D:$L,3,0)&lt;=VLOOKUP(H300,Dados!$X:$AB,2,0),VLOOKUP(G300,Dados!$D:$L,4,0)&gt;=VLOOKUP(H300,Dados!$X:$AB,3,0),VLOOKUP(G300,Dados!$D:$L,4,0)&lt;=VLOOKUP(H300,Dados!$X:$AB,4,0)),0,1)</f>
        <v>0</v>
      </c>
      <c r="U300" s="4">
        <f>IF(COUNTIFS(F:F,F300,H:H,H300)&lt;=VLOOKUP(H300,Dados!$X:$AB,5,0),0,1)</f>
        <v>0</v>
      </c>
      <c r="AI300" s="13"/>
      <c r="AJ300" s="13"/>
      <c r="AK300" s="13"/>
      <c r="AL300" s="13"/>
    </row>
    <row r="301" spans="6:38">
      <c r="F301" s="4">
        <v>227</v>
      </c>
      <c r="G301" s="4">
        <v>63</v>
      </c>
      <c r="H301" s="4">
        <v>3</v>
      </c>
      <c r="I301" s="4">
        <v>22</v>
      </c>
      <c r="J301" s="4">
        <v>6</v>
      </c>
      <c r="K301" s="4">
        <f t="shared" si="181"/>
        <v>0</v>
      </c>
      <c r="L301" s="4">
        <f t="shared" si="181"/>
        <v>0</v>
      </c>
      <c r="M301" s="4">
        <f t="shared" si="181"/>
        <v>0</v>
      </c>
      <c r="N301" s="4">
        <f t="shared" si="181"/>
        <v>0</v>
      </c>
      <c r="O301" s="4">
        <f t="shared" si="177"/>
        <v>0</v>
      </c>
      <c r="P301" s="4">
        <f t="shared" si="178"/>
        <v>0</v>
      </c>
      <c r="Q301" s="4">
        <f t="shared" si="179"/>
        <v>0</v>
      </c>
      <c r="R301" s="4">
        <f t="shared" si="180"/>
        <v>0</v>
      </c>
      <c r="S301" s="4">
        <f>IF(AND(VLOOKUP(G301,Dados!$D:$L,2,0)=VLOOKUP(I301,Dados!$S:$V,2,0),VLOOKUP(G301,Dados!$D:$L,3,0)=VLOOKUP(I301,Dados!$S:$V,3,0)),0,1)</f>
        <v>0</v>
      </c>
      <c r="T301" s="4">
        <f>IF(AND(VLOOKUP(G301,Dados!$D:$L,3,0)&lt;=VLOOKUP(H301,Dados!$X:$AB,2,0),VLOOKUP(G301,Dados!$D:$L,4,0)&gt;=VLOOKUP(H301,Dados!$X:$AB,3,0),VLOOKUP(G301,Dados!$D:$L,4,0)&lt;=VLOOKUP(H301,Dados!$X:$AB,4,0)),0,1)</f>
        <v>0</v>
      </c>
      <c r="U301" s="4">
        <f>IF(COUNTIFS(F:F,F301,H:H,H301)&lt;=VLOOKUP(H301,Dados!$X:$AB,5,0),0,1)</f>
        <v>0</v>
      </c>
      <c r="AI301" s="13"/>
      <c r="AJ301" s="13"/>
      <c r="AK301" s="13"/>
      <c r="AL301" s="13"/>
    </row>
    <row r="302" spans="6:38">
      <c r="F302" s="4">
        <v>227</v>
      </c>
      <c r="G302" s="4">
        <v>64</v>
      </c>
      <c r="H302" s="4">
        <v>3</v>
      </c>
      <c r="I302" s="4">
        <v>22</v>
      </c>
      <c r="J302" s="4">
        <v>2</v>
      </c>
      <c r="K302" s="4">
        <f t="shared" si="181"/>
        <v>0</v>
      </c>
      <c r="L302" s="4">
        <f t="shared" si="181"/>
        <v>0</v>
      </c>
      <c r="M302" s="4">
        <f t="shared" si="181"/>
        <v>0</v>
      </c>
      <c r="N302" s="4">
        <f t="shared" si="181"/>
        <v>0</v>
      </c>
      <c r="O302" s="4">
        <f t="shared" si="177"/>
        <v>0</v>
      </c>
      <c r="P302" s="4">
        <f t="shared" si="178"/>
        <v>0</v>
      </c>
      <c r="Q302" s="4">
        <f t="shared" si="179"/>
        <v>0</v>
      </c>
      <c r="R302" s="4">
        <f t="shared" si="180"/>
        <v>0</v>
      </c>
      <c r="S302" s="4">
        <f>IF(AND(VLOOKUP(G302,Dados!$D:$L,2,0)=VLOOKUP(I302,Dados!$S:$V,2,0),VLOOKUP(G302,Dados!$D:$L,3,0)=VLOOKUP(I302,Dados!$S:$V,3,0)),0,1)</f>
        <v>0</v>
      </c>
      <c r="T302" s="4">
        <f>IF(AND(VLOOKUP(G302,Dados!$D:$L,3,0)&lt;=VLOOKUP(H302,Dados!$X:$AB,2,0),VLOOKUP(G302,Dados!$D:$L,4,0)&gt;=VLOOKUP(H302,Dados!$X:$AB,3,0),VLOOKUP(G302,Dados!$D:$L,4,0)&lt;=VLOOKUP(H302,Dados!$X:$AB,4,0)),0,1)</f>
        <v>0</v>
      </c>
      <c r="U302" s="4">
        <f>IF(COUNTIFS(F:F,F302,H:H,H302)&lt;=VLOOKUP(H302,Dados!$X:$AB,5,0),0,1)</f>
        <v>0</v>
      </c>
      <c r="AI302" s="13"/>
      <c r="AJ302" s="13"/>
      <c r="AK302" s="13"/>
      <c r="AL302" s="13"/>
    </row>
    <row r="303" spans="6:38">
      <c r="F303" s="4">
        <v>228</v>
      </c>
      <c r="G303" s="4">
        <v>63</v>
      </c>
      <c r="H303" s="4">
        <v>1</v>
      </c>
      <c r="I303" s="4">
        <v>23</v>
      </c>
      <c r="J303" s="4">
        <v>6</v>
      </c>
      <c r="K303" s="4">
        <f t="shared" si="181"/>
        <v>0</v>
      </c>
      <c r="L303" s="4">
        <f t="shared" si="181"/>
        <v>0</v>
      </c>
      <c r="M303" s="4">
        <f t="shared" si="181"/>
        <v>0</v>
      </c>
      <c r="N303" s="4">
        <f t="shared" si="181"/>
        <v>0</v>
      </c>
      <c r="O303" s="4">
        <f t="shared" si="177"/>
        <v>0</v>
      </c>
      <c r="P303" s="4">
        <f t="shared" si="178"/>
        <v>0</v>
      </c>
      <c r="Q303" s="4">
        <f t="shared" si="179"/>
        <v>0</v>
      </c>
      <c r="R303" s="4">
        <f t="shared" si="180"/>
        <v>0</v>
      </c>
      <c r="S303" s="4">
        <f>IF(AND(VLOOKUP(G303,Dados!$D:$L,2,0)=VLOOKUP(I303,Dados!$S:$V,2,0),VLOOKUP(G303,Dados!$D:$L,3,0)=VLOOKUP(I303,Dados!$S:$V,3,0)),0,1)</f>
        <v>0</v>
      </c>
      <c r="T303" s="4">
        <f>IF(AND(VLOOKUP(G303,Dados!$D:$L,3,0)&lt;=VLOOKUP(H303,Dados!$X:$AB,2,0),VLOOKUP(G303,Dados!$D:$L,4,0)&gt;=VLOOKUP(H303,Dados!$X:$AB,3,0),VLOOKUP(G303,Dados!$D:$L,4,0)&lt;=VLOOKUP(H303,Dados!$X:$AB,4,0)),0,1)</f>
        <v>0</v>
      </c>
      <c r="U303" s="4">
        <f>IF(COUNTIFS(F:F,F303,H:H,H303)&lt;=VLOOKUP(H303,Dados!$X:$AB,5,0),0,1)</f>
        <v>0</v>
      </c>
      <c r="AI303" s="13"/>
      <c r="AJ303" s="13"/>
      <c r="AK303" s="13"/>
      <c r="AL303" s="13"/>
    </row>
    <row r="304" spans="6:38">
      <c r="F304" s="4">
        <v>228</v>
      </c>
      <c r="G304" s="4">
        <v>64</v>
      </c>
      <c r="H304" s="4">
        <v>1</v>
      </c>
      <c r="I304" s="4">
        <v>23</v>
      </c>
      <c r="J304" s="4">
        <v>3</v>
      </c>
      <c r="K304" s="4">
        <f t="shared" si="181"/>
        <v>0</v>
      </c>
      <c r="L304" s="4">
        <f t="shared" si="181"/>
        <v>0</v>
      </c>
      <c r="M304" s="4">
        <f t="shared" si="181"/>
        <v>0</v>
      </c>
      <c r="N304" s="4">
        <f t="shared" si="181"/>
        <v>0</v>
      </c>
      <c r="O304" s="4">
        <f t="shared" si="177"/>
        <v>0</v>
      </c>
      <c r="P304" s="4">
        <f t="shared" si="178"/>
        <v>0</v>
      </c>
      <c r="Q304" s="4">
        <f t="shared" si="179"/>
        <v>0</v>
      </c>
      <c r="R304" s="4">
        <f t="shared" si="180"/>
        <v>0</v>
      </c>
      <c r="S304" s="4">
        <f>IF(AND(VLOOKUP(G304,Dados!$D:$L,2,0)=VLOOKUP(I304,Dados!$S:$V,2,0),VLOOKUP(G304,Dados!$D:$L,3,0)=VLOOKUP(I304,Dados!$S:$V,3,0)),0,1)</f>
        <v>0</v>
      </c>
      <c r="T304" s="4">
        <f>IF(AND(VLOOKUP(G304,Dados!$D:$L,3,0)&lt;=VLOOKUP(H304,Dados!$X:$AB,2,0),VLOOKUP(G304,Dados!$D:$L,4,0)&gt;=VLOOKUP(H304,Dados!$X:$AB,3,0),VLOOKUP(G304,Dados!$D:$L,4,0)&lt;=VLOOKUP(H304,Dados!$X:$AB,4,0)),0,1)</f>
        <v>0</v>
      </c>
      <c r="U304" s="4">
        <f>IF(COUNTIFS(F:F,F304,H:H,H304)&lt;=VLOOKUP(H304,Dados!$X:$AB,5,0),0,1)</f>
        <v>0</v>
      </c>
      <c r="AI304" s="13"/>
      <c r="AJ304" s="13"/>
      <c r="AK304" s="13"/>
      <c r="AL304" s="13"/>
    </row>
    <row r="305" spans="6:38">
      <c r="F305" s="4">
        <v>229</v>
      </c>
      <c r="G305" s="4">
        <v>63</v>
      </c>
      <c r="H305" s="4">
        <v>2</v>
      </c>
      <c r="I305" s="4">
        <v>23</v>
      </c>
      <c r="J305" s="4">
        <v>6</v>
      </c>
      <c r="K305" s="4">
        <f t="shared" si="181"/>
        <v>5</v>
      </c>
      <c r="L305" s="4">
        <f t="shared" si="181"/>
        <v>0</v>
      </c>
      <c r="M305" s="4">
        <f t="shared" si="181"/>
        <v>0</v>
      </c>
      <c r="N305" s="4">
        <f t="shared" si="181"/>
        <v>0</v>
      </c>
      <c r="O305" s="4">
        <f t="shared" si="177"/>
        <v>30</v>
      </c>
      <c r="P305" s="4">
        <f t="shared" si="178"/>
        <v>0</v>
      </c>
      <c r="Q305" s="4">
        <f t="shared" si="179"/>
        <v>0</v>
      </c>
      <c r="R305" s="4">
        <f t="shared" si="180"/>
        <v>0</v>
      </c>
      <c r="S305" s="4">
        <f>IF(AND(VLOOKUP(G305,Dados!$D:$L,2,0)=VLOOKUP(I305,Dados!$S:$V,2,0),VLOOKUP(G305,Dados!$D:$L,3,0)=VLOOKUP(I305,Dados!$S:$V,3,0)),0,1)</f>
        <v>0</v>
      </c>
      <c r="T305" s="4">
        <f>IF(AND(VLOOKUP(G305,Dados!$D:$L,3,0)&lt;=VLOOKUP(H305,Dados!$X:$AB,2,0),VLOOKUP(G305,Dados!$D:$L,4,0)&gt;=VLOOKUP(H305,Dados!$X:$AB,3,0),VLOOKUP(G305,Dados!$D:$L,4,0)&lt;=VLOOKUP(H305,Dados!$X:$AB,4,0)),0,1)</f>
        <v>0</v>
      </c>
      <c r="U305" s="4">
        <f>IF(COUNTIFS(F:F,F305,H:H,H305)&lt;=VLOOKUP(H305,Dados!$X:$AB,5,0),0,1)</f>
        <v>0</v>
      </c>
      <c r="AI305" s="13"/>
      <c r="AJ305" s="13"/>
      <c r="AK305" s="13"/>
      <c r="AL305" s="13"/>
    </row>
    <row r="306" spans="6:38">
      <c r="F306" s="4">
        <v>229</v>
      </c>
      <c r="G306" s="4">
        <v>64</v>
      </c>
      <c r="H306" s="4">
        <v>2</v>
      </c>
      <c r="I306" s="4">
        <v>23</v>
      </c>
      <c r="J306" s="4">
        <v>3</v>
      </c>
      <c r="K306" s="4">
        <f t="shared" si="181"/>
        <v>5</v>
      </c>
      <c r="L306" s="4">
        <f t="shared" si="181"/>
        <v>0</v>
      </c>
      <c r="M306" s="4">
        <f t="shared" si="181"/>
        <v>0</v>
      </c>
      <c r="N306" s="4">
        <f t="shared" si="181"/>
        <v>0</v>
      </c>
      <c r="O306" s="4">
        <f t="shared" si="177"/>
        <v>15</v>
      </c>
      <c r="P306" s="4">
        <f t="shared" si="178"/>
        <v>0</v>
      </c>
      <c r="Q306" s="4">
        <f t="shared" si="179"/>
        <v>0</v>
      </c>
      <c r="R306" s="4">
        <f t="shared" si="180"/>
        <v>0</v>
      </c>
      <c r="S306" s="4">
        <f>IF(AND(VLOOKUP(G306,Dados!$D:$L,2,0)=VLOOKUP(I306,Dados!$S:$V,2,0),VLOOKUP(G306,Dados!$D:$L,3,0)=VLOOKUP(I306,Dados!$S:$V,3,0)),0,1)</f>
        <v>0</v>
      </c>
      <c r="T306" s="4">
        <f>IF(AND(VLOOKUP(G306,Dados!$D:$L,3,0)&lt;=VLOOKUP(H306,Dados!$X:$AB,2,0),VLOOKUP(G306,Dados!$D:$L,4,0)&gt;=VLOOKUP(H306,Dados!$X:$AB,3,0),VLOOKUP(G306,Dados!$D:$L,4,0)&lt;=VLOOKUP(H306,Dados!$X:$AB,4,0)),0,1)</f>
        <v>0</v>
      </c>
      <c r="U306" s="4">
        <f>IF(COUNTIFS(F:F,F306,H:H,H306)&lt;=VLOOKUP(H306,Dados!$X:$AB,5,0),0,1)</f>
        <v>0</v>
      </c>
      <c r="AI306" s="13"/>
      <c r="AJ306" s="13"/>
      <c r="AK306" s="13"/>
      <c r="AL306" s="13"/>
    </row>
    <row r="307" spans="6:38">
      <c r="F307" s="4">
        <v>230</v>
      </c>
      <c r="G307" s="4">
        <v>63</v>
      </c>
      <c r="H307" s="4">
        <v>3</v>
      </c>
      <c r="I307" s="4">
        <v>23</v>
      </c>
      <c r="J307" s="4">
        <v>6</v>
      </c>
      <c r="K307" s="4">
        <f t="shared" si="181"/>
        <v>0</v>
      </c>
      <c r="L307" s="4">
        <f t="shared" si="181"/>
        <v>0</v>
      </c>
      <c r="M307" s="4">
        <f t="shared" si="181"/>
        <v>0</v>
      </c>
      <c r="N307" s="4">
        <f t="shared" si="181"/>
        <v>0</v>
      </c>
      <c r="O307" s="4">
        <f t="shared" si="177"/>
        <v>0</v>
      </c>
      <c r="P307" s="4">
        <f t="shared" si="178"/>
        <v>0</v>
      </c>
      <c r="Q307" s="4">
        <f t="shared" si="179"/>
        <v>0</v>
      </c>
      <c r="R307" s="4">
        <f t="shared" si="180"/>
        <v>0</v>
      </c>
      <c r="S307" s="4">
        <f>IF(AND(VLOOKUP(G307,Dados!$D:$L,2,0)=VLOOKUP(I307,Dados!$S:$V,2,0),VLOOKUP(G307,Dados!$D:$L,3,0)=VLOOKUP(I307,Dados!$S:$V,3,0)),0,1)</f>
        <v>0</v>
      </c>
      <c r="T307" s="4">
        <f>IF(AND(VLOOKUP(G307,Dados!$D:$L,3,0)&lt;=VLOOKUP(H307,Dados!$X:$AB,2,0),VLOOKUP(G307,Dados!$D:$L,4,0)&gt;=VLOOKUP(H307,Dados!$X:$AB,3,0),VLOOKUP(G307,Dados!$D:$L,4,0)&lt;=VLOOKUP(H307,Dados!$X:$AB,4,0)),0,1)</f>
        <v>0</v>
      </c>
      <c r="U307" s="4">
        <f>IF(COUNTIFS(F:F,F307,H:H,H307)&lt;=VLOOKUP(H307,Dados!$X:$AB,5,0),0,1)</f>
        <v>0</v>
      </c>
      <c r="AI307" s="13"/>
      <c r="AJ307" s="13"/>
      <c r="AK307" s="13"/>
      <c r="AL307" s="13"/>
    </row>
    <row r="308" spans="6:38">
      <c r="F308" s="4">
        <v>230</v>
      </c>
      <c r="G308" s="4">
        <v>64</v>
      </c>
      <c r="H308" s="4">
        <v>3</v>
      </c>
      <c r="I308" s="4">
        <v>23</v>
      </c>
      <c r="J308" s="4">
        <v>3</v>
      </c>
      <c r="K308" s="4">
        <f t="shared" si="181"/>
        <v>0</v>
      </c>
      <c r="L308" s="4">
        <f t="shared" si="181"/>
        <v>0</v>
      </c>
      <c r="M308" s="4">
        <f t="shared" si="181"/>
        <v>0</v>
      </c>
      <c r="N308" s="4">
        <f t="shared" si="181"/>
        <v>0</v>
      </c>
      <c r="O308" s="4">
        <f t="shared" si="177"/>
        <v>0</v>
      </c>
      <c r="P308" s="4">
        <f t="shared" si="178"/>
        <v>0</v>
      </c>
      <c r="Q308" s="4">
        <f t="shared" si="179"/>
        <v>0</v>
      </c>
      <c r="R308" s="4">
        <f t="shared" si="180"/>
        <v>0</v>
      </c>
      <c r="S308" s="4">
        <f>IF(AND(VLOOKUP(G308,Dados!$D:$L,2,0)=VLOOKUP(I308,Dados!$S:$V,2,0),VLOOKUP(G308,Dados!$D:$L,3,0)=VLOOKUP(I308,Dados!$S:$V,3,0)),0,1)</f>
        <v>0</v>
      </c>
      <c r="T308" s="4">
        <f>IF(AND(VLOOKUP(G308,Dados!$D:$L,3,0)&lt;=VLOOKUP(H308,Dados!$X:$AB,2,0),VLOOKUP(G308,Dados!$D:$L,4,0)&gt;=VLOOKUP(H308,Dados!$X:$AB,3,0),VLOOKUP(G308,Dados!$D:$L,4,0)&lt;=VLOOKUP(H308,Dados!$X:$AB,4,0)),0,1)</f>
        <v>0</v>
      </c>
      <c r="U308" s="4">
        <f>IF(COUNTIFS(F:F,F308,H:H,H308)&lt;=VLOOKUP(H308,Dados!$X:$AB,5,0),0,1)</f>
        <v>0</v>
      </c>
      <c r="AI308" s="13"/>
      <c r="AJ308" s="13"/>
      <c r="AK308" s="13"/>
      <c r="AL308" s="13"/>
    </row>
    <row r="309" spans="6:38">
      <c r="F309" s="4">
        <v>231</v>
      </c>
      <c r="G309" s="4">
        <v>63</v>
      </c>
      <c r="H309" s="4">
        <v>1</v>
      </c>
      <c r="I309" s="4">
        <v>24</v>
      </c>
      <c r="J309" s="4">
        <v>7</v>
      </c>
      <c r="K309" s="4">
        <f t="shared" si="181"/>
        <v>0</v>
      </c>
      <c r="L309" s="4">
        <f t="shared" si="181"/>
        <v>0</v>
      </c>
      <c r="M309" s="4">
        <f t="shared" si="181"/>
        <v>0</v>
      </c>
      <c r="N309" s="4">
        <f t="shared" si="181"/>
        <v>0</v>
      </c>
      <c r="O309" s="4">
        <f t="shared" si="177"/>
        <v>0</v>
      </c>
      <c r="P309" s="4">
        <f t="shared" si="178"/>
        <v>0</v>
      </c>
      <c r="Q309" s="4">
        <f t="shared" si="179"/>
        <v>0</v>
      </c>
      <c r="R309" s="4">
        <f t="shared" si="180"/>
        <v>0</v>
      </c>
      <c r="S309" s="4">
        <f>IF(AND(VLOOKUP(G309,Dados!$D:$L,2,0)=VLOOKUP(I309,Dados!$S:$V,2,0),VLOOKUP(G309,Dados!$D:$L,3,0)=VLOOKUP(I309,Dados!$S:$V,3,0)),0,1)</f>
        <v>0</v>
      </c>
      <c r="T309" s="4">
        <f>IF(AND(VLOOKUP(G309,Dados!$D:$L,3,0)&lt;=VLOOKUP(H309,Dados!$X:$AB,2,0),VLOOKUP(G309,Dados!$D:$L,4,0)&gt;=VLOOKUP(H309,Dados!$X:$AB,3,0),VLOOKUP(G309,Dados!$D:$L,4,0)&lt;=VLOOKUP(H309,Dados!$X:$AB,4,0)),0,1)</f>
        <v>0</v>
      </c>
      <c r="U309" s="4">
        <f>IF(COUNTIFS(F:F,F309,H:H,H309)&lt;=VLOOKUP(H309,Dados!$X:$AB,5,0),0,1)</f>
        <v>0</v>
      </c>
      <c r="AI309" s="13"/>
      <c r="AJ309" s="13"/>
      <c r="AK309" s="13"/>
      <c r="AL309" s="13"/>
    </row>
    <row r="310" spans="6:38">
      <c r="F310" s="4">
        <v>231</v>
      </c>
      <c r="G310" s="4">
        <v>64</v>
      </c>
      <c r="H310" s="4">
        <v>1</v>
      </c>
      <c r="I310" s="4">
        <v>24</v>
      </c>
      <c r="J310" s="4">
        <v>2</v>
      </c>
      <c r="K310" s="4">
        <f t="shared" si="181"/>
        <v>0</v>
      </c>
      <c r="L310" s="4">
        <f t="shared" si="181"/>
        <v>0</v>
      </c>
      <c r="M310" s="4">
        <f t="shared" si="181"/>
        <v>0</v>
      </c>
      <c r="N310" s="4">
        <f t="shared" si="181"/>
        <v>0</v>
      </c>
      <c r="O310" s="4">
        <f t="shared" si="177"/>
        <v>0</v>
      </c>
      <c r="P310" s="4">
        <f t="shared" si="178"/>
        <v>0</v>
      </c>
      <c r="Q310" s="4">
        <f t="shared" si="179"/>
        <v>0</v>
      </c>
      <c r="R310" s="4">
        <f t="shared" si="180"/>
        <v>0</v>
      </c>
      <c r="S310" s="4">
        <f>IF(AND(VLOOKUP(G310,Dados!$D:$L,2,0)=VLOOKUP(I310,Dados!$S:$V,2,0),VLOOKUP(G310,Dados!$D:$L,3,0)=VLOOKUP(I310,Dados!$S:$V,3,0)),0,1)</f>
        <v>0</v>
      </c>
      <c r="T310" s="4">
        <f>IF(AND(VLOOKUP(G310,Dados!$D:$L,3,0)&lt;=VLOOKUP(H310,Dados!$X:$AB,2,0),VLOOKUP(G310,Dados!$D:$L,4,0)&gt;=VLOOKUP(H310,Dados!$X:$AB,3,0),VLOOKUP(G310,Dados!$D:$L,4,0)&lt;=VLOOKUP(H310,Dados!$X:$AB,4,0)),0,1)</f>
        <v>0</v>
      </c>
      <c r="U310" s="4">
        <f>IF(COUNTIFS(F:F,F310,H:H,H310)&lt;=VLOOKUP(H310,Dados!$X:$AB,5,0),0,1)</f>
        <v>0</v>
      </c>
      <c r="AI310" s="13"/>
      <c r="AJ310" s="13"/>
      <c r="AK310" s="13"/>
      <c r="AL310" s="13"/>
    </row>
    <row r="311" spans="6:38">
      <c r="F311" s="4">
        <v>232</v>
      </c>
      <c r="G311" s="4">
        <v>63</v>
      </c>
      <c r="H311" s="4">
        <v>2</v>
      </c>
      <c r="I311" s="4">
        <v>24</v>
      </c>
      <c r="J311" s="4">
        <v>7</v>
      </c>
      <c r="K311" s="4">
        <f t="shared" si="181"/>
        <v>1</v>
      </c>
      <c r="L311" s="4">
        <f t="shared" si="181"/>
        <v>0</v>
      </c>
      <c r="M311" s="4">
        <f t="shared" si="181"/>
        <v>0</v>
      </c>
      <c r="N311" s="4">
        <f t="shared" si="181"/>
        <v>0</v>
      </c>
      <c r="O311" s="4">
        <f t="shared" si="177"/>
        <v>7</v>
      </c>
      <c r="P311" s="4">
        <f t="shared" si="178"/>
        <v>0</v>
      </c>
      <c r="Q311" s="4">
        <f t="shared" si="179"/>
        <v>0</v>
      </c>
      <c r="R311" s="4">
        <f t="shared" si="180"/>
        <v>0</v>
      </c>
      <c r="S311" s="4">
        <f>IF(AND(VLOOKUP(G311,Dados!$D:$L,2,0)=VLOOKUP(I311,Dados!$S:$V,2,0),VLOOKUP(G311,Dados!$D:$L,3,0)=VLOOKUP(I311,Dados!$S:$V,3,0)),0,1)</f>
        <v>0</v>
      </c>
      <c r="T311" s="4">
        <f>IF(AND(VLOOKUP(G311,Dados!$D:$L,3,0)&lt;=VLOOKUP(H311,Dados!$X:$AB,2,0),VLOOKUP(G311,Dados!$D:$L,4,0)&gt;=VLOOKUP(H311,Dados!$X:$AB,3,0),VLOOKUP(G311,Dados!$D:$L,4,0)&lt;=VLOOKUP(H311,Dados!$X:$AB,4,0)),0,1)</f>
        <v>0</v>
      </c>
      <c r="U311" s="4">
        <f>IF(COUNTIFS(F:F,F311,H:H,H311)&lt;=VLOOKUP(H311,Dados!$X:$AB,5,0),0,1)</f>
        <v>0</v>
      </c>
      <c r="AI311" s="13"/>
      <c r="AJ311" s="13"/>
      <c r="AK311" s="13"/>
      <c r="AL311" s="13"/>
    </row>
    <row r="312" spans="6:38">
      <c r="F312" s="4">
        <v>232</v>
      </c>
      <c r="G312" s="4">
        <v>64</v>
      </c>
      <c r="H312" s="4">
        <v>2</v>
      </c>
      <c r="I312" s="4">
        <v>24</v>
      </c>
      <c r="J312" s="4">
        <v>2</v>
      </c>
      <c r="K312" s="4">
        <f t="shared" si="181"/>
        <v>1</v>
      </c>
      <c r="L312" s="4">
        <f t="shared" si="181"/>
        <v>0</v>
      </c>
      <c r="M312" s="4">
        <f t="shared" si="181"/>
        <v>0</v>
      </c>
      <c r="N312" s="4">
        <f t="shared" si="181"/>
        <v>0</v>
      </c>
      <c r="O312" s="4">
        <f t="shared" si="177"/>
        <v>2</v>
      </c>
      <c r="P312" s="4">
        <f t="shared" si="178"/>
        <v>0</v>
      </c>
      <c r="Q312" s="4">
        <f t="shared" si="179"/>
        <v>0</v>
      </c>
      <c r="R312" s="4">
        <f t="shared" si="180"/>
        <v>0</v>
      </c>
      <c r="S312" s="4">
        <f>IF(AND(VLOOKUP(G312,Dados!$D:$L,2,0)=VLOOKUP(I312,Dados!$S:$V,2,0),VLOOKUP(G312,Dados!$D:$L,3,0)=VLOOKUP(I312,Dados!$S:$V,3,0)),0,1)</f>
        <v>0</v>
      </c>
      <c r="T312" s="4">
        <f>IF(AND(VLOOKUP(G312,Dados!$D:$L,3,0)&lt;=VLOOKUP(H312,Dados!$X:$AB,2,0),VLOOKUP(G312,Dados!$D:$L,4,0)&gt;=VLOOKUP(H312,Dados!$X:$AB,3,0),VLOOKUP(G312,Dados!$D:$L,4,0)&lt;=VLOOKUP(H312,Dados!$X:$AB,4,0)),0,1)</f>
        <v>0</v>
      </c>
      <c r="U312" s="4">
        <f>IF(COUNTIFS(F:F,F312,H:H,H312)&lt;=VLOOKUP(H312,Dados!$X:$AB,5,0),0,1)</f>
        <v>0</v>
      </c>
      <c r="AI312" s="13"/>
      <c r="AJ312" s="13"/>
      <c r="AK312" s="13"/>
      <c r="AL312" s="13"/>
    </row>
    <row r="313" spans="6:38">
      <c r="F313" s="4">
        <v>233</v>
      </c>
      <c r="G313" s="4">
        <v>63</v>
      </c>
      <c r="H313" s="4">
        <v>3</v>
      </c>
      <c r="I313" s="4">
        <v>24</v>
      </c>
      <c r="J313" s="4">
        <v>7</v>
      </c>
      <c r="K313" s="4">
        <f t="shared" si="181"/>
        <v>0</v>
      </c>
      <c r="L313" s="4">
        <f t="shared" si="181"/>
        <v>0</v>
      </c>
      <c r="M313" s="4">
        <f t="shared" si="181"/>
        <v>0</v>
      </c>
      <c r="N313" s="4">
        <f t="shared" si="181"/>
        <v>0</v>
      </c>
      <c r="O313" s="4">
        <f t="shared" si="177"/>
        <v>0</v>
      </c>
      <c r="P313" s="4">
        <f t="shared" si="178"/>
        <v>0</v>
      </c>
      <c r="Q313" s="4">
        <f t="shared" si="179"/>
        <v>0</v>
      </c>
      <c r="R313" s="4">
        <f t="shared" si="180"/>
        <v>0</v>
      </c>
      <c r="S313" s="4">
        <f>IF(AND(VLOOKUP(G313,Dados!$D:$L,2,0)=VLOOKUP(I313,Dados!$S:$V,2,0),VLOOKUP(G313,Dados!$D:$L,3,0)=VLOOKUP(I313,Dados!$S:$V,3,0)),0,1)</f>
        <v>0</v>
      </c>
      <c r="T313" s="4">
        <f>IF(AND(VLOOKUP(G313,Dados!$D:$L,3,0)&lt;=VLOOKUP(H313,Dados!$X:$AB,2,0),VLOOKUP(G313,Dados!$D:$L,4,0)&gt;=VLOOKUP(H313,Dados!$X:$AB,3,0),VLOOKUP(G313,Dados!$D:$L,4,0)&lt;=VLOOKUP(H313,Dados!$X:$AB,4,0)),0,1)</f>
        <v>0</v>
      </c>
      <c r="U313" s="4">
        <f>IF(COUNTIFS(F:F,F313,H:H,H313)&lt;=VLOOKUP(H313,Dados!$X:$AB,5,0),0,1)</f>
        <v>0</v>
      </c>
      <c r="AI313" s="13"/>
      <c r="AJ313" s="13"/>
      <c r="AK313" s="13"/>
      <c r="AL313" s="13"/>
    </row>
    <row r="314" spans="6:38">
      <c r="F314" s="4">
        <v>233</v>
      </c>
      <c r="G314" s="4">
        <v>64</v>
      </c>
      <c r="H314" s="4">
        <v>3</v>
      </c>
      <c r="I314" s="4">
        <v>24</v>
      </c>
      <c r="J314" s="4">
        <v>2</v>
      </c>
      <c r="K314" s="4">
        <f t="shared" si="181"/>
        <v>0</v>
      </c>
      <c r="L314" s="4">
        <f t="shared" si="181"/>
        <v>0</v>
      </c>
      <c r="M314" s="4">
        <f t="shared" si="181"/>
        <v>0</v>
      </c>
      <c r="N314" s="4">
        <f t="shared" si="181"/>
        <v>0</v>
      </c>
      <c r="O314" s="4">
        <f t="shared" si="177"/>
        <v>0</v>
      </c>
      <c r="P314" s="4">
        <f t="shared" si="178"/>
        <v>0</v>
      </c>
      <c r="Q314" s="4">
        <f t="shared" si="179"/>
        <v>0</v>
      </c>
      <c r="R314" s="4">
        <f t="shared" si="180"/>
        <v>0</v>
      </c>
      <c r="S314" s="4">
        <f>IF(AND(VLOOKUP(G314,Dados!$D:$L,2,0)=VLOOKUP(I314,Dados!$S:$V,2,0),VLOOKUP(G314,Dados!$D:$L,3,0)=VLOOKUP(I314,Dados!$S:$V,3,0)),0,1)</f>
        <v>0</v>
      </c>
      <c r="T314" s="4">
        <f>IF(AND(VLOOKUP(G314,Dados!$D:$L,3,0)&lt;=VLOOKUP(H314,Dados!$X:$AB,2,0),VLOOKUP(G314,Dados!$D:$L,4,0)&gt;=VLOOKUP(H314,Dados!$X:$AB,3,0),VLOOKUP(G314,Dados!$D:$L,4,0)&lt;=VLOOKUP(H314,Dados!$X:$AB,4,0)),0,1)</f>
        <v>0</v>
      </c>
      <c r="U314" s="4">
        <f>IF(COUNTIFS(F:F,F314,H:H,H314)&lt;=VLOOKUP(H314,Dados!$X:$AB,5,0),0,1)</f>
        <v>0</v>
      </c>
    </row>
    <row r="315" spans="6:38">
      <c r="F315" s="4">
        <v>234</v>
      </c>
      <c r="G315" s="4">
        <v>63</v>
      </c>
      <c r="H315" s="4">
        <v>1</v>
      </c>
      <c r="I315" s="4">
        <v>25</v>
      </c>
      <c r="J315" s="4">
        <v>2</v>
      </c>
      <c r="K315" s="4">
        <f t="shared" si="181"/>
        <v>0</v>
      </c>
      <c r="L315" s="4">
        <f t="shared" si="181"/>
        <v>0</v>
      </c>
      <c r="M315" s="4">
        <f t="shared" si="181"/>
        <v>0</v>
      </c>
      <c r="N315" s="4">
        <f t="shared" si="181"/>
        <v>0</v>
      </c>
      <c r="O315" s="4">
        <f t="shared" si="177"/>
        <v>0</v>
      </c>
      <c r="P315" s="4">
        <f t="shared" si="178"/>
        <v>0</v>
      </c>
      <c r="Q315" s="4">
        <f t="shared" si="179"/>
        <v>0</v>
      </c>
      <c r="R315" s="4">
        <f t="shared" si="180"/>
        <v>0</v>
      </c>
      <c r="S315" s="4">
        <f>IF(AND(VLOOKUP(G315,Dados!$D:$L,2,0)=VLOOKUP(I315,Dados!$S:$V,2,0),VLOOKUP(G315,Dados!$D:$L,3,0)=VLOOKUP(I315,Dados!$S:$V,3,0)),0,1)</f>
        <v>0</v>
      </c>
      <c r="T315" s="4">
        <f>IF(AND(VLOOKUP(G315,Dados!$D:$L,3,0)&lt;=VLOOKUP(H315,Dados!$X:$AB,2,0),VLOOKUP(G315,Dados!$D:$L,4,0)&gt;=VLOOKUP(H315,Dados!$X:$AB,3,0),VLOOKUP(G315,Dados!$D:$L,4,0)&lt;=VLOOKUP(H315,Dados!$X:$AB,4,0)),0,1)</f>
        <v>0</v>
      </c>
      <c r="U315" s="4">
        <f>IF(COUNTIFS(F:F,F315,H:H,H315)&lt;=VLOOKUP(H315,Dados!$X:$AB,5,0),0,1)</f>
        <v>0</v>
      </c>
    </row>
    <row r="316" spans="6:38">
      <c r="F316" s="4">
        <v>234</v>
      </c>
      <c r="G316" s="4">
        <v>64</v>
      </c>
      <c r="H316" s="4">
        <v>1</v>
      </c>
      <c r="I316" s="4">
        <v>25</v>
      </c>
      <c r="J316" s="4">
        <v>6</v>
      </c>
      <c r="K316" s="4">
        <f t="shared" si="181"/>
        <v>0</v>
      </c>
      <c r="L316" s="4">
        <f t="shared" si="181"/>
        <v>0</v>
      </c>
      <c r="M316" s="4">
        <f t="shared" si="181"/>
        <v>0</v>
      </c>
      <c r="N316" s="4">
        <f t="shared" si="181"/>
        <v>0</v>
      </c>
      <c r="O316" s="4">
        <f t="shared" si="177"/>
        <v>0</v>
      </c>
      <c r="P316" s="4">
        <f t="shared" si="178"/>
        <v>0</v>
      </c>
      <c r="Q316" s="4">
        <f t="shared" si="179"/>
        <v>0</v>
      </c>
      <c r="R316" s="4">
        <f t="shared" si="180"/>
        <v>0</v>
      </c>
      <c r="S316" s="4">
        <f>IF(AND(VLOOKUP(G316,Dados!$D:$L,2,0)=VLOOKUP(I316,Dados!$S:$V,2,0),VLOOKUP(G316,Dados!$D:$L,3,0)=VLOOKUP(I316,Dados!$S:$V,3,0)),0,1)</f>
        <v>0</v>
      </c>
      <c r="T316" s="4">
        <f>IF(AND(VLOOKUP(G316,Dados!$D:$L,3,0)&lt;=VLOOKUP(H316,Dados!$X:$AB,2,0),VLOOKUP(G316,Dados!$D:$L,4,0)&gt;=VLOOKUP(H316,Dados!$X:$AB,3,0),VLOOKUP(G316,Dados!$D:$L,4,0)&lt;=VLOOKUP(H316,Dados!$X:$AB,4,0)),0,1)</f>
        <v>0</v>
      </c>
      <c r="U316" s="4">
        <f>IF(COUNTIFS(F:F,F316,H:H,H316)&lt;=VLOOKUP(H316,Dados!$X:$AB,5,0),0,1)</f>
        <v>0</v>
      </c>
    </row>
    <row r="317" spans="6:38">
      <c r="F317" s="4">
        <v>235</v>
      </c>
      <c r="G317" s="4">
        <v>63</v>
      </c>
      <c r="H317" s="4">
        <v>2</v>
      </c>
      <c r="I317" s="4">
        <v>25</v>
      </c>
      <c r="J317" s="4">
        <v>2</v>
      </c>
      <c r="K317" s="4">
        <f t="shared" si="181"/>
        <v>0</v>
      </c>
      <c r="L317" s="4">
        <f t="shared" si="181"/>
        <v>0</v>
      </c>
      <c r="M317" s="4">
        <f t="shared" si="181"/>
        <v>0</v>
      </c>
      <c r="N317" s="4">
        <f t="shared" si="181"/>
        <v>0</v>
      </c>
      <c r="O317" s="4">
        <f t="shared" si="177"/>
        <v>0</v>
      </c>
      <c r="P317" s="4">
        <f t="shared" si="178"/>
        <v>0</v>
      </c>
      <c r="Q317" s="4">
        <f t="shared" si="179"/>
        <v>0</v>
      </c>
      <c r="R317" s="4">
        <f t="shared" si="180"/>
        <v>0</v>
      </c>
      <c r="S317" s="4">
        <f>IF(AND(VLOOKUP(G317,Dados!$D:$L,2,0)=VLOOKUP(I317,Dados!$S:$V,2,0),VLOOKUP(G317,Dados!$D:$L,3,0)=VLOOKUP(I317,Dados!$S:$V,3,0)),0,1)</f>
        <v>0</v>
      </c>
      <c r="T317" s="4">
        <f>IF(AND(VLOOKUP(G317,Dados!$D:$L,3,0)&lt;=VLOOKUP(H317,Dados!$X:$AB,2,0),VLOOKUP(G317,Dados!$D:$L,4,0)&gt;=VLOOKUP(H317,Dados!$X:$AB,3,0),VLOOKUP(G317,Dados!$D:$L,4,0)&lt;=VLOOKUP(H317,Dados!$X:$AB,4,0)),0,1)</f>
        <v>0</v>
      </c>
      <c r="U317" s="4">
        <f>IF(COUNTIFS(F:F,F317,H:H,H317)&lt;=VLOOKUP(H317,Dados!$X:$AB,5,0),0,1)</f>
        <v>0</v>
      </c>
    </row>
    <row r="318" spans="6:38">
      <c r="F318" s="4">
        <v>235</v>
      </c>
      <c r="G318" s="4">
        <v>64</v>
      </c>
      <c r="H318" s="4">
        <v>2</v>
      </c>
      <c r="I318" s="4">
        <v>25</v>
      </c>
      <c r="J318" s="4">
        <v>6</v>
      </c>
      <c r="K318" s="4">
        <f t="shared" si="181"/>
        <v>0</v>
      </c>
      <c r="L318" s="4">
        <f t="shared" si="181"/>
        <v>0</v>
      </c>
      <c r="M318" s="4">
        <f t="shared" si="181"/>
        <v>0</v>
      </c>
      <c r="N318" s="4">
        <f t="shared" si="181"/>
        <v>0</v>
      </c>
      <c r="O318" s="4">
        <f t="shared" si="177"/>
        <v>0</v>
      </c>
      <c r="P318" s="4">
        <f t="shared" si="178"/>
        <v>0</v>
      </c>
      <c r="Q318" s="4">
        <f t="shared" si="179"/>
        <v>0</v>
      </c>
      <c r="R318" s="4">
        <f t="shared" si="180"/>
        <v>0</v>
      </c>
      <c r="S318" s="4">
        <f>IF(AND(VLOOKUP(G318,Dados!$D:$L,2,0)=VLOOKUP(I318,Dados!$S:$V,2,0),VLOOKUP(G318,Dados!$D:$L,3,0)=VLOOKUP(I318,Dados!$S:$V,3,0)),0,1)</f>
        <v>0</v>
      </c>
      <c r="T318" s="4">
        <f>IF(AND(VLOOKUP(G318,Dados!$D:$L,3,0)&lt;=VLOOKUP(H318,Dados!$X:$AB,2,0),VLOOKUP(G318,Dados!$D:$L,4,0)&gt;=VLOOKUP(H318,Dados!$X:$AB,3,0),VLOOKUP(G318,Dados!$D:$L,4,0)&lt;=VLOOKUP(H318,Dados!$X:$AB,4,0)),0,1)</f>
        <v>0</v>
      </c>
      <c r="U318" s="4">
        <f>IF(COUNTIFS(F:F,F318,H:H,H318)&lt;=VLOOKUP(H318,Dados!$X:$AB,5,0),0,1)</f>
        <v>0</v>
      </c>
    </row>
    <row r="319" spans="6:38">
      <c r="F319" s="4">
        <v>236</v>
      </c>
      <c r="G319" s="4">
        <v>63</v>
      </c>
      <c r="H319" s="4">
        <v>3</v>
      </c>
      <c r="I319" s="4">
        <v>25</v>
      </c>
      <c r="J319" s="4">
        <v>2</v>
      </c>
      <c r="K319" s="4">
        <f t="shared" si="181"/>
        <v>0</v>
      </c>
      <c r="L319" s="4">
        <f t="shared" si="181"/>
        <v>0</v>
      </c>
      <c r="M319" s="4">
        <f t="shared" si="181"/>
        <v>0</v>
      </c>
      <c r="N319" s="4">
        <f t="shared" si="181"/>
        <v>0</v>
      </c>
      <c r="O319" s="4">
        <f t="shared" si="177"/>
        <v>0</v>
      </c>
      <c r="P319" s="4">
        <f t="shared" si="178"/>
        <v>0</v>
      </c>
      <c r="Q319" s="4">
        <f t="shared" si="179"/>
        <v>0</v>
      </c>
      <c r="R319" s="4">
        <f t="shared" si="180"/>
        <v>0</v>
      </c>
      <c r="S319" s="4">
        <f>IF(AND(VLOOKUP(G319,Dados!$D:$L,2,0)=VLOOKUP(I319,Dados!$S:$V,2,0),VLOOKUP(G319,Dados!$D:$L,3,0)=VLOOKUP(I319,Dados!$S:$V,3,0)),0,1)</f>
        <v>0</v>
      </c>
      <c r="T319" s="4">
        <f>IF(AND(VLOOKUP(G319,Dados!$D:$L,3,0)&lt;=VLOOKUP(H319,Dados!$X:$AB,2,0),VLOOKUP(G319,Dados!$D:$L,4,0)&gt;=VLOOKUP(H319,Dados!$X:$AB,3,0),VLOOKUP(G319,Dados!$D:$L,4,0)&lt;=VLOOKUP(H319,Dados!$X:$AB,4,0)),0,1)</f>
        <v>0</v>
      </c>
      <c r="U319" s="4">
        <f>IF(COUNTIFS(F:F,F319,H:H,H319)&lt;=VLOOKUP(H319,Dados!$X:$AB,5,0),0,1)</f>
        <v>0</v>
      </c>
    </row>
    <row r="320" spans="6:38">
      <c r="F320" s="4">
        <v>236</v>
      </c>
      <c r="G320" s="4">
        <v>64</v>
      </c>
      <c r="H320" s="4">
        <v>3</v>
      </c>
      <c r="I320" s="4">
        <v>25</v>
      </c>
      <c r="J320" s="4">
        <v>6</v>
      </c>
      <c r="K320" s="4">
        <f t="shared" si="181"/>
        <v>0</v>
      </c>
      <c r="L320" s="4">
        <f t="shared" si="181"/>
        <v>0</v>
      </c>
      <c r="M320" s="4">
        <f t="shared" si="181"/>
        <v>0</v>
      </c>
      <c r="N320" s="4">
        <f t="shared" si="181"/>
        <v>0</v>
      </c>
      <c r="O320" s="4">
        <f t="shared" si="177"/>
        <v>0</v>
      </c>
      <c r="P320" s="4">
        <f t="shared" si="178"/>
        <v>0</v>
      </c>
      <c r="Q320" s="4">
        <f t="shared" si="179"/>
        <v>0</v>
      </c>
      <c r="R320" s="4">
        <f t="shared" si="180"/>
        <v>0</v>
      </c>
      <c r="S320" s="4">
        <f>IF(AND(VLOOKUP(G320,Dados!$D:$L,2,0)=VLOOKUP(I320,Dados!$S:$V,2,0),VLOOKUP(G320,Dados!$D:$L,3,0)=VLOOKUP(I320,Dados!$S:$V,3,0)),0,1)</f>
        <v>0</v>
      </c>
      <c r="T320" s="4">
        <f>IF(AND(VLOOKUP(G320,Dados!$D:$L,3,0)&lt;=VLOOKUP(H320,Dados!$X:$AB,2,0),VLOOKUP(G320,Dados!$D:$L,4,0)&gt;=VLOOKUP(H320,Dados!$X:$AB,3,0),VLOOKUP(G320,Dados!$D:$L,4,0)&lt;=VLOOKUP(H320,Dados!$X:$AB,4,0)),0,1)</f>
        <v>0</v>
      </c>
      <c r="U320" s="4">
        <f>IF(COUNTIFS(F:F,F320,H:H,H320)&lt;=VLOOKUP(H320,Dados!$X:$AB,5,0),0,1)</f>
        <v>0</v>
      </c>
    </row>
    <row r="321" spans="6:21">
      <c r="F321" s="4">
        <v>237</v>
      </c>
      <c r="G321" s="4">
        <v>63</v>
      </c>
      <c r="H321" s="4">
        <v>1</v>
      </c>
      <c r="I321" s="4">
        <v>26</v>
      </c>
      <c r="J321" s="4">
        <v>6</v>
      </c>
      <c r="K321" s="4">
        <f t="shared" si="181"/>
        <v>0</v>
      </c>
      <c r="L321" s="4">
        <f t="shared" si="181"/>
        <v>0</v>
      </c>
      <c r="M321" s="4">
        <f t="shared" si="181"/>
        <v>0</v>
      </c>
      <c r="N321" s="4">
        <f t="shared" si="181"/>
        <v>0</v>
      </c>
      <c r="O321" s="4">
        <f t="shared" si="177"/>
        <v>0</v>
      </c>
      <c r="P321" s="4">
        <f t="shared" si="178"/>
        <v>0</v>
      </c>
      <c r="Q321" s="4">
        <f t="shared" si="179"/>
        <v>0</v>
      </c>
      <c r="R321" s="4">
        <f t="shared" si="180"/>
        <v>0</v>
      </c>
      <c r="S321" s="4">
        <f>IF(AND(VLOOKUP(G321,Dados!$D:$L,2,0)=VLOOKUP(I321,Dados!$S:$V,2,0),VLOOKUP(G321,Dados!$D:$L,3,0)=VLOOKUP(I321,Dados!$S:$V,3,0)),0,1)</f>
        <v>0</v>
      </c>
      <c r="T321" s="4">
        <f>IF(AND(VLOOKUP(G321,Dados!$D:$L,3,0)&lt;=VLOOKUP(H321,Dados!$X:$AB,2,0),VLOOKUP(G321,Dados!$D:$L,4,0)&gt;=VLOOKUP(H321,Dados!$X:$AB,3,0),VLOOKUP(G321,Dados!$D:$L,4,0)&lt;=VLOOKUP(H321,Dados!$X:$AB,4,0)),0,1)</f>
        <v>0</v>
      </c>
      <c r="U321" s="4">
        <f>IF(COUNTIFS(F:F,F321,H:H,H321)&lt;=VLOOKUP(H321,Dados!$X:$AB,5,0),0,1)</f>
        <v>0</v>
      </c>
    </row>
    <row r="322" spans="6:21">
      <c r="F322" s="4">
        <v>237</v>
      </c>
      <c r="G322" s="4">
        <v>64</v>
      </c>
      <c r="H322" s="4">
        <v>1</v>
      </c>
      <c r="I322" s="4">
        <v>26</v>
      </c>
      <c r="J322" s="4">
        <v>3</v>
      </c>
      <c r="K322" s="4">
        <f t="shared" si="181"/>
        <v>0</v>
      </c>
      <c r="L322" s="4">
        <f t="shared" si="181"/>
        <v>0</v>
      </c>
      <c r="M322" s="4">
        <f t="shared" si="181"/>
        <v>0</v>
      </c>
      <c r="N322" s="4">
        <f t="shared" si="181"/>
        <v>0</v>
      </c>
      <c r="O322" s="4">
        <f t="shared" si="177"/>
        <v>0</v>
      </c>
      <c r="P322" s="4">
        <f t="shared" si="178"/>
        <v>0</v>
      </c>
      <c r="Q322" s="4">
        <f t="shared" si="179"/>
        <v>0</v>
      </c>
      <c r="R322" s="4">
        <f t="shared" si="180"/>
        <v>0</v>
      </c>
      <c r="S322" s="4">
        <f>IF(AND(VLOOKUP(G322,Dados!$D:$L,2,0)=VLOOKUP(I322,Dados!$S:$V,2,0),VLOOKUP(G322,Dados!$D:$L,3,0)=VLOOKUP(I322,Dados!$S:$V,3,0)),0,1)</f>
        <v>0</v>
      </c>
      <c r="T322" s="4">
        <f>IF(AND(VLOOKUP(G322,Dados!$D:$L,3,0)&lt;=VLOOKUP(H322,Dados!$X:$AB,2,0),VLOOKUP(G322,Dados!$D:$L,4,0)&gt;=VLOOKUP(H322,Dados!$X:$AB,3,0),VLOOKUP(G322,Dados!$D:$L,4,0)&lt;=VLOOKUP(H322,Dados!$X:$AB,4,0)),0,1)</f>
        <v>0</v>
      </c>
      <c r="U322" s="4">
        <f>IF(COUNTIFS(F:F,F322,H:H,H322)&lt;=VLOOKUP(H322,Dados!$X:$AB,5,0),0,1)</f>
        <v>0</v>
      </c>
    </row>
    <row r="323" spans="6:21">
      <c r="F323" s="4">
        <v>238</v>
      </c>
      <c r="G323" s="4">
        <v>63</v>
      </c>
      <c r="H323" s="4">
        <v>2</v>
      </c>
      <c r="I323" s="4">
        <v>26</v>
      </c>
      <c r="J323" s="4">
        <v>6</v>
      </c>
      <c r="K323" s="4">
        <f t="shared" si="181"/>
        <v>0</v>
      </c>
      <c r="L323" s="4">
        <f t="shared" si="181"/>
        <v>0</v>
      </c>
      <c r="M323" s="4">
        <f t="shared" si="181"/>
        <v>0</v>
      </c>
      <c r="N323" s="4">
        <f t="shared" si="181"/>
        <v>0</v>
      </c>
      <c r="O323" s="4">
        <f t="shared" si="177"/>
        <v>0</v>
      </c>
      <c r="P323" s="4">
        <f t="shared" si="178"/>
        <v>0</v>
      </c>
      <c r="Q323" s="4">
        <f t="shared" si="179"/>
        <v>0</v>
      </c>
      <c r="R323" s="4">
        <f t="shared" si="180"/>
        <v>0</v>
      </c>
      <c r="S323" s="4">
        <f>IF(AND(VLOOKUP(G323,Dados!$D:$L,2,0)=VLOOKUP(I323,Dados!$S:$V,2,0),VLOOKUP(G323,Dados!$D:$L,3,0)=VLOOKUP(I323,Dados!$S:$V,3,0)),0,1)</f>
        <v>0</v>
      </c>
      <c r="T323" s="4">
        <f>IF(AND(VLOOKUP(G323,Dados!$D:$L,3,0)&lt;=VLOOKUP(H323,Dados!$X:$AB,2,0),VLOOKUP(G323,Dados!$D:$L,4,0)&gt;=VLOOKUP(H323,Dados!$X:$AB,3,0),VLOOKUP(G323,Dados!$D:$L,4,0)&lt;=VLOOKUP(H323,Dados!$X:$AB,4,0)),0,1)</f>
        <v>0</v>
      </c>
      <c r="U323" s="4">
        <f>IF(COUNTIFS(F:F,F323,H:H,H323)&lt;=VLOOKUP(H323,Dados!$X:$AB,5,0),0,1)</f>
        <v>0</v>
      </c>
    </row>
    <row r="324" spans="6:21">
      <c r="F324" s="4">
        <v>238</v>
      </c>
      <c r="G324" s="4">
        <v>64</v>
      </c>
      <c r="H324" s="4">
        <v>2</v>
      </c>
      <c r="I324" s="4">
        <v>26</v>
      </c>
      <c r="J324" s="4">
        <v>3</v>
      </c>
      <c r="K324" s="4">
        <f t="shared" si="181"/>
        <v>0</v>
      </c>
      <c r="L324" s="4">
        <f t="shared" si="181"/>
        <v>0</v>
      </c>
      <c r="M324" s="4">
        <f t="shared" si="181"/>
        <v>0</v>
      </c>
      <c r="N324" s="4">
        <f t="shared" si="181"/>
        <v>0</v>
      </c>
      <c r="O324" s="4">
        <f t="shared" si="177"/>
        <v>0</v>
      </c>
      <c r="P324" s="4">
        <f t="shared" si="178"/>
        <v>0</v>
      </c>
      <c r="Q324" s="4">
        <f t="shared" si="179"/>
        <v>0</v>
      </c>
      <c r="R324" s="4">
        <f t="shared" si="180"/>
        <v>0</v>
      </c>
      <c r="S324" s="4">
        <f>IF(AND(VLOOKUP(G324,Dados!$D:$L,2,0)=VLOOKUP(I324,Dados!$S:$V,2,0),VLOOKUP(G324,Dados!$D:$L,3,0)=VLOOKUP(I324,Dados!$S:$V,3,0)),0,1)</f>
        <v>0</v>
      </c>
      <c r="T324" s="4">
        <f>IF(AND(VLOOKUP(G324,Dados!$D:$L,3,0)&lt;=VLOOKUP(H324,Dados!$X:$AB,2,0),VLOOKUP(G324,Dados!$D:$L,4,0)&gt;=VLOOKUP(H324,Dados!$X:$AB,3,0),VLOOKUP(G324,Dados!$D:$L,4,0)&lt;=VLOOKUP(H324,Dados!$X:$AB,4,0)),0,1)</f>
        <v>0</v>
      </c>
      <c r="U324" s="4">
        <f>IF(COUNTIFS(F:F,F324,H:H,H324)&lt;=VLOOKUP(H324,Dados!$X:$AB,5,0),0,1)</f>
        <v>0</v>
      </c>
    </row>
    <row r="325" spans="6:21">
      <c r="F325" s="4">
        <v>239</v>
      </c>
      <c r="G325" s="4">
        <v>63</v>
      </c>
      <c r="H325" s="4">
        <v>3</v>
      </c>
      <c r="I325" s="4">
        <v>26</v>
      </c>
      <c r="J325" s="4">
        <v>6</v>
      </c>
      <c r="K325" s="4">
        <f t="shared" si="181"/>
        <v>0</v>
      </c>
      <c r="L325" s="4">
        <f t="shared" si="181"/>
        <v>0</v>
      </c>
      <c r="M325" s="4">
        <f t="shared" si="181"/>
        <v>0</v>
      </c>
      <c r="N325" s="4">
        <f t="shared" si="181"/>
        <v>0</v>
      </c>
      <c r="O325" s="4">
        <f t="shared" si="177"/>
        <v>0</v>
      </c>
      <c r="P325" s="4">
        <f t="shared" si="178"/>
        <v>0</v>
      </c>
      <c r="Q325" s="4">
        <f t="shared" si="179"/>
        <v>0</v>
      </c>
      <c r="R325" s="4">
        <f t="shared" si="180"/>
        <v>0</v>
      </c>
      <c r="S325" s="4">
        <f>IF(AND(VLOOKUP(G325,Dados!$D:$L,2,0)=VLOOKUP(I325,Dados!$S:$V,2,0),VLOOKUP(G325,Dados!$D:$L,3,0)=VLOOKUP(I325,Dados!$S:$V,3,0)),0,1)</f>
        <v>0</v>
      </c>
      <c r="T325" s="4">
        <f>IF(AND(VLOOKUP(G325,Dados!$D:$L,3,0)&lt;=VLOOKUP(H325,Dados!$X:$AB,2,0),VLOOKUP(G325,Dados!$D:$L,4,0)&gt;=VLOOKUP(H325,Dados!$X:$AB,3,0),VLOOKUP(G325,Dados!$D:$L,4,0)&lt;=VLOOKUP(H325,Dados!$X:$AB,4,0)),0,1)</f>
        <v>0</v>
      </c>
      <c r="U325" s="4">
        <f>IF(COUNTIFS(F:F,F325,H:H,H325)&lt;=VLOOKUP(H325,Dados!$X:$AB,5,0),0,1)</f>
        <v>0</v>
      </c>
    </row>
    <row r="326" spans="6:21">
      <c r="F326" s="4">
        <v>239</v>
      </c>
      <c r="G326" s="4">
        <v>64</v>
      </c>
      <c r="H326" s="4">
        <v>3</v>
      </c>
      <c r="I326" s="4">
        <v>26</v>
      </c>
      <c r="J326" s="4">
        <v>3</v>
      </c>
      <c r="K326" s="4">
        <f t="shared" si="181"/>
        <v>0</v>
      </c>
      <c r="L326" s="4">
        <f t="shared" si="181"/>
        <v>0</v>
      </c>
      <c r="M326" s="4">
        <f t="shared" si="181"/>
        <v>0</v>
      </c>
      <c r="N326" s="4">
        <f t="shared" si="181"/>
        <v>0</v>
      </c>
      <c r="O326" s="4">
        <f t="shared" si="177"/>
        <v>0</v>
      </c>
      <c r="P326" s="4">
        <f t="shared" si="178"/>
        <v>0</v>
      </c>
      <c r="Q326" s="4">
        <f t="shared" si="179"/>
        <v>0</v>
      </c>
      <c r="R326" s="4">
        <f t="shared" si="180"/>
        <v>0</v>
      </c>
      <c r="S326" s="4">
        <f>IF(AND(VLOOKUP(G326,Dados!$D:$L,2,0)=VLOOKUP(I326,Dados!$S:$V,2,0),VLOOKUP(G326,Dados!$D:$L,3,0)=VLOOKUP(I326,Dados!$S:$V,3,0)),0,1)</f>
        <v>0</v>
      </c>
      <c r="T326" s="4">
        <f>IF(AND(VLOOKUP(G326,Dados!$D:$L,3,0)&lt;=VLOOKUP(H326,Dados!$X:$AB,2,0),VLOOKUP(G326,Dados!$D:$L,4,0)&gt;=VLOOKUP(H326,Dados!$X:$AB,3,0),VLOOKUP(G326,Dados!$D:$L,4,0)&lt;=VLOOKUP(H326,Dados!$X:$AB,4,0)),0,1)</f>
        <v>0</v>
      </c>
      <c r="U326" s="4">
        <f>IF(COUNTIFS(F:F,F326,H:H,H326)&lt;=VLOOKUP(H326,Dados!$X:$AB,5,0),0,1)</f>
        <v>0</v>
      </c>
    </row>
    <row r="327" spans="6:21">
      <c r="F327" s="4">
        <v>240</v>
      </c>
      <c r="G327" s="4">
        <v>59</v>
      </c>
      <c r="H327" s="4">
        <v>1</v>
      </c>
      <c r="I327" s="4">
        <v>27</v>
      </c>
      <c r="J327" s="4">
        <v>1</v>
      </c>
      <c r="K327" s="4">
        <f t="shared" si="181"/>
        <v>0</v>
      </c>
      <c r="L327" s="4">
        <f t="shared" si="181"/>
        <v>0</v>
      </c>
      <c r="M327" s="4">
        <f t="shared" si="181"/>
        <v>0</v>
      </c>
      <c r="N327" s="4">
        <f t="shared" si="181"/>
        <v>0</v>
      </c>
      <c r="O327" s="4">
        <f t="shared" si="177"/>
        <v>0</v>
      </c>
      <c r="P327" s="4">
        <f t="shared" si="178"/>
        <v>0</v>
      </c>
      <c r="Q327" s="4">
        <f t="shared" si="179"/>
        <v>0</v>
      </c>
      <c r="R327" s="4">
        <f t="shared" si="180"/>
        <v>0</v>
      </c>
      <c r="S327" s="4">
        <f>IF(AND(VLOOKUP(G327,Dados!$D:$L,2,0)=VLOOKUP(I327,Dados!$S:$V,2,0),VLOOKUP(G327,Dados!$D:$L,3,0)=VLOOKUP(I327,Dados!$S:$V,3,0)),0,1)</f>
        <v>0</v>
      </c>
      <c r="T327" s="4">
        <f>IF(AND(VLOOKUP(G327,Dados!$D:$L,3,0)&lt;=VLOOKUP(H327,Dados!$X:$AB,2,0),VLOOKUP(G327,Dados!$D:$L,4,0)&gt;=VLOOKUP(H327,Dados!$X:$AB,3,0),VLOOKUP(G327,Dados!$D:$L,4,0)&lt;=VLOOKUP(H327,Dados!$X:$AB,4,0)),0,1)</f>
        <v>0</v>
      </c>
      <c r="U327" s="4">
        <f>IF(COUNTIFS(F:F,F327,H:H,H327)&lt;=VLOOKUP(H327,Dados!$X:$AB,5,0),0,1)</f>
        <v>0</v>
      </c>
    </row>
    <row r="328" spans="6:21">
      <c r="F328" s="4">
        <v>240</v>
      </c>
      <c r="G328" s="4">
        <v>64</v>
      </c>
      <c r="H328" s="4">
        <v>1</v>
      </c>
      <c r="I328" s="4">
        <v>27</v>
      </c>
      <c r="J328" s="4">
        <v>7</v>
      </c>
      <c r="K328" s="4">
        <f t="shared" si="181"/>
        <v>0</v>
      </c>
      <c r="L328" s="4">
        <f t="shared" si="181"/>
        <v>0</v>
      </c>
      <c r="M328" s="4">
        <f t="shared" si="181"/>
        <v>0</v>
      </c>
      <c r="N328" s="4">
        <f t="shared" si="181"/>
        <v>0</v>
      </c>
      <c r="O328" s="4">
        <f t="shared" si="177"/>
        <v>0</v>
      </c>
      <c r="P328" s="4">
        <f t="shared" si="178"/>
        <v>0</v>
      </c>
      <c r="Q328" s="4">
        <f t="shared" si="179"/>
        <v>0</v>
      </c>
      <c r="R328" s="4">
        <f t="shared" si="180"/>
        <v>0</v>
      </c>
      <c r="S328" s="4">
        <f>IF(AND(VLOOKUP(G328,Dados!$D:$L,2,0)=VLOOKUP(I328,Dados!$S:$V,2,0),VLOOKUP(G328,Dados!$D:$L,3,0)=VLOOKUP(I328,Dados!$S:$V,3,0)),0,1)</f>
        <v>0</v>
      </c>
      <c r="T328" s="4">
        <f>IF(AND(VLOOKUP(G328,Dados!$D:$L,3,0)&lt;=VLOOKUP(H328,Dados!$X:$AB,2,0),VLOOKUP(G328,Dados!$D:$L,4,0)&gt;=VLOOKUP(H328,Dados!$X:$AB,3,0),VLOOKUP(G328,Dados!$D:$L,4,0)&lt;=VLOOKUP(H328,Dados!$X:$AB,4,0)),0,1)</f>
        <v>0</v>
      </c>
      <c r="U328" s="4">
        <f>IF(COUNTIFS(F:F,F328,H:H,H328)&lt;=VLOOKUP(H328,Dados!$X:$AB,5,0),0,1)</f>
        <v>0</v>
      </c>
    </row>
    <row r="329" spans="6:21">
      <c r="F329" s="4">
        <v>241</v>
      </c>
      <c r="G329" s="4">
        <v>59</v>
      </c>
      <c r="H329" s="4">
        <v>2</v>
      </c>
      <c r="I329" s="4">
        <v>27</v>
      </c>
      <c r="J329" s="4">
        <v>1</v>
      </c>
      <c r="K329" s="4">
        <f t="shared" si="181"/>
        <v>0</v>
      </c>
      <c r="L329" s="4">
        <f t="shared" si="181"/>
        <v>0</v>
      </c>
      <c r="M329" s="4">
        <f t="shared" si="181"/>
        <v>0</v>
      </c>
      <c r="N329" s="4">
        <f t="shared" si="181"/>
        <v>0</v>
      </c>
      <c r="O329" s="4">
        <f t="shared" si="177"/>
        <v>0</v>
      </c>
      <c r="P329" s="4">
        <f t="shared" si="178"/>
        <v>0</v>
      </c>
      <c r="Q329" s="4">
        <f t="shared" si="179"/>
        <v>0</v>
      </c>
      <c r="R329" s="4">
        <f t="shared" si="180"/>
        <v>0</v>
      </c>
      <c r="S329" s="4">
        <f>IF(AND(VLOOKUP(G329,Dados!$D:$L,2,0)=VLOOKUP(I329,Dados!$S:$V,2,0),VLOOKUP(G329,Dados!$D:$L,3,0)=VLOOKUP(I329,Dados!$S:$V,3,0)),0,1)</f>
        <v>0</v>
      </c>
      <c r="T329" s="4">
        <f>IF(AND(VLOOKUP(G329,Dados!$D:$L,3,0)&lt;=VLOOKUP(H329,Dados!$X:$AB,2,0),VLOOKUP(G329,Dados!$D:$L,4,0)&gt;=VLOOKUP(H329,Dados!$X:$AB,3,0),VLOOKUP(G329,Dados!$D:$L,4,0)&lt;=VLOOKUP(H329,Dados!$X:$AB,4,0)),0,1)</f>
        <v>0</v>
      </c>
      <c r="U329" s="4">
        <f>IF(COUNTIFS(F:F,F329,H:H,H329)&lt;=VLOOKUP(H329,Dados!$X:$AB,5,0),0,1)</f>
        <v>0</v>
      </c>
    </row>
    <row r="330" spans="6:21">
      <c r="F330" s="4">
        <v>241</v>
      </c>
      <c r="G330" s="4">
        <v>64</v>
      </c>
      <c r="H330" s="4">
        <v>2</v>
      </c>
      <c r="I330" s="4">
        <v>27</v>
      </c>
      <c r="J330" s="4">
        <v>7</v>
      </c>
      <c r="K330" s="4">
        <f t="shared" si="181"/>
        <v>0</v>
      </c>
      <c r="L330" s="4">
        <f t="shared" si="181"/>
        <v>0</v>
      </c>
      <c r="M330" s="4">
        <f t="shared" si="181"/>
        <v>0</v>
      </c>
      <c r="N330" s="4">
        <f t="shared" si="181"/>
        <v>0</v>
      </c>
      <c r="O330" s="4">
        <f t="shared" si="177"/>
        <v>0</v>
      </c>
      <c r="P330" s="4">
        <f t="shared" si="178"/>
        <v>0</v>
      </c>
      <c r="Q330" s="4">
        <f t="shared" si="179"/>
        <v>0</v>
      </c>
      <c r="R330" s="4">
        <f t="shared" si="180"/>
        <v>0</v>
      </c>
      <c r="S330" s="4">
        <f>IF(AND(VLOOKUP(G330,Dados!$D:$L,2,0)=VLOOKUP(I330,Dados!$S:$V,2,0),VLOOKUP(G330,Dados!$D:$L,3,0)=VLOOKUP(I330,Dados!$S:$V,3,0)),0,1)</f>
        <v>0</v>
      </c>
      <c r="T330" s="4">
        <f>IF(AND(VLOOKUP(G330,Dados!$D:$L,3,0)&lt;=VLOOKUP(H330,Dados!$X:$AB,2,0),VLOOKUP(G330,Dados!$D:$L,4,0)&gt;=VLOOKUP(H330,Dados!$X:$AB,3,0),VLOOKUP(G330,Dados!$D:$L,4,0)&lt;=VLOOKUP(H330,Dados!$X:$AB,4,0)),0,1)</f>
        <v>0</v>
      </c>
      <c r="U330" s="4">
        <f>IF(COUNTIFS(F:F,F330,H:H,H330)&lt;=VLOOKUP(H330,Dados!$X:$AB,5,0),0,1)</f>
        <v>0</v>
      </c>
    </row>
    <row r="331" spans="6:21">
      <c r="F331" s="4">
        <v>242</v>
      </c>
      <c r="G331" s="4">
        <v>59</v>
      </c>
      <c r="H331" s="4">
        <v>3</v>
      </c>
      <c r="I331" s="4">
        <v>27</v>
      </c>
      <c r="J331" s="4">
        <v>1</v>
      </c>
      <c r="K331" s="4">
        <f t="shared" si="181"/>
        <v>0</v>
      </c>
      <c r="L331" s="4">
        <f t="shared" si="181"/>
        <v>0</v>
      </c>
      <c r="M331" s="4">
        <f t="shared" si="181"/>
        <v>0</v>
      </c>
      <c r="N331" s="4">
        <f t="shared" si="181"/>
        <v>0</v>
      </c>
      <c r="O331" s="4">
        <f t="shared" si="177"/>
        <v>0</v>
      </c>
      <c r="P331" s="4">
        <f t="shared" si="178"/>
        <v>0</v>
      </c>
      <c r="Q331" s="4">
        <f t="shared" si="179"/>
        <v>0</v>
      </c>
      <c r="R331" s="4">
        <f t="shared" si="180"/>
        <v>0</v>
      </c>
      <c r="S331" s="4">
        <f>IF(AND(VLOOKUP(G331,Dados!$D:$L,2,0)=VLOOKUP(I331,Dados!$S:$V,2,0),VLOOKUP(G331,Dados!$D:$L,3,0)=VLOOKUP(I331,Dados!$S:$V,3,0)),0,1)</f>
        <v>0</v>
      </c>
      <c r="T331" s="4">
        <f>IF(AND(VLOOKUP(G331,Dados!$D:$L,3,0)&lt;=VLOOKUP(H331,Dados!$X:$AB,2,0),VLOOKUP(G331,Dados!$D:$L,4,0)&gt;=VLOOKUP(H331,Dados!$X:$AB,3,0),VLOOKUP(G331,Dados!$D:$L,4,0)&lt;=VLOOKUP(H331,Dados!$X:$AB,4,0)),0,1)</f>
        <v>0</v>
      </c>
      <c r="U331" s="4">
        <f>IF(COUNTIFS(F:F,F331,H:H,H331)&lt;=VLOOKUP(H331,Dados!$X:$AB,5,0),0,1)</f>
        <v>0</v>
      </c>
    </row>
    <row r="332" spans="6:21">
      <c r="F332" s="4">
        <v>242</v>
      </c>
      <c r="G332" s="4">
        <v>64</v>
      </c>
      <c r="H332" s="4">
        <v>3</v>
      </c>
      <c r="I332" s="4">
        <v>27</v>
      </c>
      <c r="J332" s="4">
        <v>7</v>
      </c>
      <c r="K332" s="4">
        <f t="shared" si="181"/>
        <v>0</v>
      </c>
      <c r="L332" s="4">
        <f t="shared" si="181"/>
        <v>0</v>
      </c>
      <c r="M332" s="4">
        <f t="shared" si="181"/>
        <v>0</v>
      </c>
      <c r="N332" s="4">
        <f t="shared" si="181"/>
        <v>0</v>
      </c>
      <c r="O332" s="4">
        <f t="shared" si="177"/>
        <v>0</v>
      </c>
      <c r="P332" s="4">
        <f t="shared" si="178"/>
        <v>0</v>
      </c>
      <c r="Q332" s="4">
        <f t="shared" si="179"/>
        <v>0</v>
      </c>
      <c r="R332" s="4">
        <f t="shared" si="180"/>
        <v>0</v>
      </c>
      <c r="S332" s="4">
        <f>IF(AND(VLOOKUP(G332,Dados!$D:$L,2,0)=VLOOKUP(I332,Dados!$S:$V,2,0),VLOOKUP(G332,Dados!$D:$L,3,0)=VLOOKUP(I332,Dados!$S:$V,3,0)),0,1)</f>
        <v>0</v>
      </c>
      <c r="T332" s="4">
        <f>IF(AND(VLOOKUP(G332,Dados!$D:$L,3,0)&lt;=VLOOKUP(H332,Dados!$X:$AB,2,0),VLOOKUP(G332,Dados!$D:$L,4,0)&gt;=VLOOKUP(H332,Dados!$X:$AB,3,0),VLOOKUP(G332,Dados!$D:$L,4,0)&lt;=VLOOKUP(H332,Dados!$X:$AB,4,0)),0,1)</f>
        <v>0</v>
      </c>
      <c r="U332" s="4">
        <f>IF(COUNTIFS(F:F,F332,H:H,H332)&lt;=VLOOKUP(H332,Dados!$X:$AB,5,0),0,1)</f>
        <v>0</v>
      </c>
    </row>
    <row r="333" spans="6:21">
      <c r="F333" s="4">
        <v>243</v>
      </c>
      <c r="G333" s="4">
        <v>59</v>
      </c>
      <c r="H333" s="4">
        <v>1</v>
      </c>
      <c r="I333" s="4">
        <v>28</v>
      </c>
      <c r="J333" s="4">
        <v>1</v>
      </c>
      <c r="K333" s="4">
        <f t="shared" si="181"/>
        <v>0</v>
      </c>
      <c r="L333" s="4">
        <f t="shared" si="181"/>
        <v>0</v>
      </c>
      <c r="M333" s="4">
        <f t="shared" si="181"/>
        <v>0</v>
      </c>
      <c r="N333" s="4">
        <f t="shared" si="181"/>
        <v>0</v>
      </c>
      <c r="O333" s="4">
        <f t="shared" si="177"/>
        <v>0</v>
      </c>
      <c r="P333" s="4">
        <f t="shared" si="178"/>
        <v>0</v>
      </c>
      <c r="Q333" s="4">
        <f t="shared" si="179"/>
        <v>0</v>
      </c>
      <c r="R333" s="4">
        <f t="shared" si="180"/>
        <v>0</v>
      </c>
      <c r="S333" s="4">
        <f>IF(AND(VLOOKUP(G333,Dados!$D:$L,2,0)=VLOOKUP(I333,Dados!$S:$V,2,0),VLOOKUP(G333,Dados!$D:$L,3,0)=VLOOKUP(I333,Dados!$S:$V,3,0)),0,1)</f>
        <v>0</v>
      </c>
      <c r="T333" s="4">
        <f>IF(AND(VLOOKUP(G333,Dados!$D:$L,3,0)&lt;=VLOOKUP(H333,Dados!$X:$AB,2,0),VLOOKUP(G333,Dados!$D:$L,4,0)&gt;=VLOOKUP(H333,Dados!$X:$AB,3,0),VLOOKUP(G333,Dados!$D:$L,4,0)&lt;=VLOOKUP(H333,Dados!$X:$AB,4,0)),0,1)</f>
        <v>0</v>
      </c>
      <c r="U333" s="4">
        <f>IF(COUNTIFS(F:F,F333,H:H,H333)&lt;=VLOOKUP(H333,Dados!$X:$AB,5,0),0,1)</f>
        <v>0</v>
      </c>
    </row>
    <row r="334" spans="6:21">
      <c r="F334" s="4">
        <v>243</v>
      </c>
      <c r="G334" s="4">
        <v>63</v>
      </c>
      <c r="H334" s="4">
        <v>1</v>
      </c>
      <c r="I334" s="4">
        <v>28</v>
      </c>
      <c r="J334" s="4">
        <v>8</v>
      </c>
      <c r="K334" s="4">
        <f t="shared" si="181"/>
        <v>0</v>
      </c>
      <c r="L334" s="4">
        <f t="shared" si="181"/>
        <v>0</v>
      </c>
      <c r="M334" s="4">
        <f t="shared" si="181"/>
        <v>0</v>
      </c>
      <c r="N334" s="4">
        <f t="shared" si="181"/>
        <v>0</v>
      </c>
      <c r="O334" s="4">
        <f t="shared" si="177"/>
        <v>0</v>
      </c>
      <c r="P334" s="4">
        <f t="shared" si="178"/>
        <v>0</v>
      </c>
      <c r="Q334" s="4">
        <f t="shared" si="179"/>
        <v>0</v>
      </c>
      <c r="R334" s="4">
        <f t="shared" si="180"/>
        <v>0</v>
      </c>
      <c r="S334" s="4">
        <f>IF(AND(VLOOKUP(G334,Dados!$D:$L,2,0)=VLOOKUP(I334,Dados!$S:$V,2,0),VLOOKUP(G334,Dados!$D:$L,3,0)=VLOOKUP(I334,Dados!$S:$V,3,0)),0,1)</f>
        <v>0</v>
      </c>
      <c r="T334" s="4">
        <f>IF(AND(VLOOKUP(G334,Dados!$D:$L,3,0)&lt;=VLOOKUP(H334,Dados!$X:$AB,2,0),VLOOKUP(G334,Dados!$D:$L,4,0)&gt;=VLOOKUP(H334,Dados!$X:$AB,3,0),VLOOKUP(G334,Dados!$D:$L,4,0)&lt;=VLOOKUP(H334,Dados!$X:$AB,4,0)),0,1)</f>
        <v>0</v>
      </c>
      <c r="U334" s="4">
        <f>IF(COUNTIFS(F:F,F334,H:H,H334)&lt;=VLOOKUP(H334,Dados!$X:$AB,5,0),0,1)</f>
        <v>0</v>
      </c>
    </row>
    <row r="335" spans="6:21">
      <c r="F335" s="4">
        <v>243</v>
      </c>
      <c r="G335" s="4">
        <v>64</v>
      </c>
      <c r="H335" s="4">
        <v>1</v>
      </c>
      <c r="I335" s="4">
        <v>28</v>
      </c>
      <c r="J335" s="4">
        <v>2</v>
      </c>
      <c r="K335" s="4">
        <f t="shared" si="181"/>
        <v>0</v>
      </c>
      <c r="L335" s="4">
        <f t="shared" si="181"/>
        <v>0</v>
      </c>
      <c r="M335" s="4">
        <f t="shared" si="181"/>
        <v>0</v>
      </c>
      <c r="N335" s="4">
        <f t="shared" si="181"/>
        <v>0</v>
      </c>
      <c r="O335" s="4">
        <f t="shared" si="177"/>
        <v>0</v>
      </c>
      <c r="P335" s="4">
        <f t="shared" si="178"/>
        <v>0</v>
      </c>
      <c r="Q335" s="4">
        <f t="shared" si="179"/>
        <v>0</v>
      </c>
      <c r="R335" s="4">
        <f t="shared" si="180"/>
        <v>0</v>
      </c>
      <c r="S335" s="4">
        <f>IF(AND(VLOOKUP(G335,Dados!$D:$L,2,0)=VLOOKUP(I335,Dados!$S:$V,2,0),VLOOKUP(G335,Dados!$D:$L,3,0)=VLOOKUP(I335,Dados!$S:$V,3,0)),0,1)</f>
        <v>0</v>
      </c>
      <c r="T335" s="4">
        <f>IF(AND(VLOOKUP(G335,Dados!$D:$L,3,0)&lt;=VLOOKUP(H335,Dados!$X:$AB,2,0),VLOOKUP(G335,Dados!$D:$L,4,0)&gt;=VLOOKUP(H335,Dados!$X:$AB,3,0),VLOOKUP(G335,Dados!$D:$L,4,0)&lt;=VLOOKUP(H335,Dados!$X:$AB,4,0)),0,1)</f>
        <v>0</v>
      </c>
      <c r="U335" s="4">
        <f>IF(COUNTIFS(F:F,F335,H:H,H335)&lt;=VLOOKUP(H335,Dados!$X:$AB,5,0),0,1)</f>
        <v>0</v>
      </c>
    </row>
    <row r="336" spans="6:21">
      <c r="F336" s="4">
        <v>244</v>
      </c>
      <c r="G336" s="4">
        <v>59</v>
      </c>
      <c r="H336" s="4">
        <v>2</v>
      </c>
      <c r="I336" s="4">
        <v>28</v>
      </c>
      <c r="J336" s="4">
        <v>1</v>
      </c>
      <c r="K336" s="4">
        <f t="shared" si="181"/>
        <v>0</v>
      </c>
      <c r="L336" s="4">
        <f t="shared" si="181"/>
        <v>0</v>
      </c>
      <c r="M336" s="4">
        <f t="shared" si="181"/>
        <v>0</v>
      </c>
      <c r="N336" s="4">
        <f t="shared" si="181"/>
        <v>0</v>
      </c>
      <c r="O336" s="4">
        <f t="shared" si="177"/>
        <v>0</v>
      </c>
      <c r="P336" s="4">
        <f t="shared" si="178"/>
        <v>0</v>
      </c>
      <c r="Q336" s="4">
        <f t="shared" si="179"/>
        <v>0</v>
      </c>
      <c r="R336" s="4">
        <f t="shared" si="180"/>
        <v>0</v>
      </c>
      <c r="S336" s="4">
        <f>IF(AND(VLOOKUP(G336,Dados!$D:$L,2,0)=VLOOKUP(I336,Dados!$S:$V,2,0),VLOOKUP(G336,Dados!$D:$L,3,0)=VLOOKUP(I336,Dados!$S:$V,3,0)),0,1)</f>
        <v>0</v>
      </c>
      <c r="T336" s="4">
        <f>IF(AND(VLOOKUP(G336,Dados!$D:$L,3,0)&lt;=VLOOKUP(H336,Dados!$X:$AB,2,0),VLOOKUP(G336,Dados!$D:$L,4,0)&gt;=VLOOKUP(H336,Dados!$X:$AB,3,0),VLOOKUP(G336,Dados!$D:$L,4,0)&lt;=VLOOKUP(H336,Dados!$X:$AB,4,0)),0,1)</f>
        <v>0</v>
      </c>
      <c r="U336" s="4">
        <f>IF(COUNTIFS(F:F,F336,H:H,H336)&lt;=VLOOKUP(H336,Dados!$X:$AB,5,0),0,1)</f>
        <v>0</v>
      </c>
    </row>
    <row r="337" spans="6:21">
      <c r="F337" s="4">
        <v>244</v>
      </c>
      <c r="G337" s="4">
        <v>63</v>
      </c>
      <c r="H337" s="4">
        <v>2</v>
      </c>
      <c r="I337" s="4">
        <v>28</v>
      </c>
      <c r="J337" s="4">
        <v>8</v>
      </c>
      <c r="K337" s="4">
        <f t="shared" si="181"/>
        <v>0</v>
      </c>
      <c r="L337" s="4">
        <f t="shared" si="181"/>
        <v>0</v>
      </c>
      <c r="M337" s="4">
        <f t="shared" si="181"/>
        <v>0</v>
      </c>
      <c r="N337" s="4">
        <f t="shared" si="181"/>
        <v>0</v>
      </c>
      <c r="O337" s="4">
        <f t="shared" si="177"/>
        <v>0</v>
      </c>
      <c r="P337" s="4">
        <f t="shared" si="178"/>
        <v>0</v>
      </c>
      <c r="Q337" s="4">
        <f t="shared" si="179"/>
        <v>0</v>
      </c>
      <c r="R337" s="4">
        <f t="shared" si="180"/>
        <v>0</v>
      </c>
      <c r="S337" s="4">
        <f>IF(AND(VLOOKUP(G337,Dados!$D:$L,2,0)=VLOOKUP(I337,Dados!$S:$V,2,0),VLOOKUP(G337,Dados!$D:$L,3,0)=VLOOKUP(I337,Dados!$S:$V,3,0)),0,1)</f>
        <v>0</v>
      </c>
      <c r="T337" s="4">
        <f>IF(AND(VLOOKUP(G337,Dados!$D:$L,3,0)&lt;=VLOOKUP(H337,Dados!$X:$AB,2,0),VLOOKUP(G337,Dados!$D:$L,4,0)&gt;=VLOOKUP(H337,Dados!$X:$AB,3,0),VLOOKUP(G337,Dados!$D:$L,4,0)&lt;=VLOOKUP(H337,Dados!$X:$AB,4,0)),0,1)</f>
        <v>0</v>
      </c>
      <c r="U337" s="4">
        <f>IF(COUNTIFS(F:F,F337,H:H,H337)&lt;=VLOOKUP(H337,Dados!$X:$AB,5,0),0,1)</f>
        <v>0</v>
      </c>
    </row>
    <row r="338" spans="6:21">
      <c r="F338" s="4">
        <v>244</v>
      </c>
      <c r="G338" s="4">
        <v>64</v>
      </c>
      <c r="H338" s="4">
        <v>2</v>
      </c>
      <c r="I338" s="4">
        <v>28</v>
      </c>
      <c r="J338" s="4">
        <v>2</v>
      </c>
      <c r="K338" s="4">
        <f t="shared" si="181"/>
        <v>0</v>
      </c>
      <c r="L338" s="4">
        <f t="shared" si="181"/>
        <v>0</v>
      </c>
      <c r="M338" s="4">
        <f t="shared" si="181"/>
        <v>0</v>
      </c>
      <c r="N338" s="4">
        <f t="shared" si="181"/>
        <v>0</v>
      </c>
      <c r="O338" s="4">
        <f t="shared" si="177"/>
        <v>0</v>
      </c>
      <c r="P338" s="4">
        <f t="shared" si="178"/>
        <v>0</v>
      </c>
      <c r="Q338" s="4">
        <f t="shared" si="179"/>
        <v>0</v>
      </c>
      <c r="R338" s="4">
        <f t="shared" si="180"/>
        <v>0</v>
      </c>
      <c r="S338" s="4">
        <f>IF(AND(VLOOKUP(G338,Dados!$D:$L,2,0)=VLOOKUP(I338,Dados!$S:$V,2,0),VLOOKUP(G338,Dados!$D:$L,3,0)=VLOOKUP(I338,Dados!$S:$V,3,0)),0,1)</f>
        <v>0</v>
      </c>
      <c r="T338" s="4">
        <f>IF(AND(VLOOKUP(G338,Dados!$D:$L,3,0)&lt;=VLOOKUP(H338,Dados!$X:$AB,2,0),VLOOKUP(G338,Dados!$D:$L,4,0)&gt;=VLOOKUP(H338,Dados!$X:$AB,3,0),VLOOKUP(G338,Dados!$D:$L,4,0)&lt;=VLOOKUP(H338,Dados!$X:$AB,4,0)),0,1)</f>
        <v>0</v>
      </c>
      <c r="U338" s="4">
        <f>IF(COUNTIFS(F:F,F338,H:H,H338)&lt;=VLOOKUP(H338,Dados!$X:$AB,5,0),0,1)</f>
        <v>0</v>
      </c>
    </row>
    <row r="339" spans="6:21">
      <c r="F339" s="4">
        <v>245</v>
      </c>
      <c r="G339" s="4">
        <v>59</v>
      </c>
      <c r="H339" s="4">
        <v>3</v>
      </c>
      <c r="I339" s="4">
        <v>28</v>
      </c>
      <c r="J339" s="4">
        <v>1</v>
      </c>
      <c r="K339" s="4">
        <f t="shared" si="181"/>
        <v>0</v>
      </c>
      <c r="L339" s="4">
        <f t="shared" si="181"/>
        <v>0</v>
      </c>
      <c r="M339" s="4">
        <f t="shared" si="181"/>
        <v>0</v>
      </c>
      <c r="N339" s="4">
        <f t="shared" si="181"/>
        <v>0</v>
      </c>
      <c r="O339" s="4">
        <f t="shared" si="177"/>
        <v>0</v>
      </c>
      <c r="P339" s="4">
        <f t="shared" si="178"/>
        <v>0</v>
      </c>
      <c r="Q339" s="4">
        <f t="shared" si="179"/>
        <v>0</v>
      </c>
      <c r="R339" s="4">
        <f t="shared" si="180"/>
        <v>0</v>
      </c>
      <c r="S339" s="4">
        <f>IF(AND(VLOOKUP(G339,Dados!$D:$L,2,0)=VLOOKUP(I339,Dados!$S:$V,2,0),VLOOKUP(G339,Dados!$D:$L,3,0)=VLOOKUP(I339,Dados!$S:$V,3,0)),0,1)</f>
        <v>0</v>
      </c>
      <c r="T339" s="4">
        <f>IF(AND(VLOOKUP(G339,Dados!$D:$L,3,0)&lt;=VLOOKUP(H339,Dados!$X:$AB,2,0),VLOOKUP(G339,Dados!$D:$L,4,0)&gt;=VLOOKUP(H339,Dados!$X:$AB,3,0),VLOOKUP(G339,Dados!$D:$L,4,0)&lt;=VLOOKUP(H339,Dados!$X:$AB,4,0)),0,1)</f>
        <v>0</v>
      </c>
      <c r="U339" s="4">
        <f>IF(COUNTIFS(F:F,F339,H:H,H339)&lt;=VLOOKUP(H339,Dados!$X:$AB,5,0),0,1)</f>
        <v>0</v>
      </c>
    </row>
    <row r="340" spans="6:21">
      <c r="F340" s="4">
        <v>245</v>
      </c>
      <c r="G340" s="4">
        <v>63</v>
      </c>
      <c r="H340" s="4">
        <v>3</v>
      </c>
      <c r="I340" s="4">
        <v>28</v>
      </c>
      <c r="J340" s="4">
        <v>8</v>
      </c>
      <c r="K340" s="4">
        <f t="shared" si="181"/>
        <v>0</v>
      </c>
      <c r="L340" s="4">
        <f t="shared" si="181"/>
        <v>0</v>
      </c>
      <c r="M340" s="4">
        <f t="shared" si="181"/>
        <v>0</v>
      </c>
      <c r="N340" s="4">
        <f t="shared" si="181"/>
        <v>0</v>
      </c>
      <c r="O340" s="4">
        <f t="shared" si="177"/>
        <v>0</v>
      </c>
      <c r="P340" s="4">
        <f t="shared" si="178"/>
        <v>0</v>
      </c>
      <c r="Q340" s="4">
        <f t="shared" si="179"/>
        <v>0</v>
      </c>
      <c r="R340" s="4">
        <f t="shared" si="180"/>
        <v>0</v>
      </c>
      <c r="S340" s="4">
        <f>IF(AND(VLOOKUP(G340,Dados!$D:$L,2,0)=VLOOKUP(I340,Dados!$S:$V,2,0),VLOOKUP(G340,Dados!$D:$L,3,0)=VLOOKUP(I340,Dados!$S:$V,3,0)),0,1)</f>
        <v>0</v>
      </c>
      <c r="T340" s="4">
        <f>IF(AND(VLOOKUP(G340,Dados!$D:$L,3,0)&lt;=VLOOKUP(H340,Dados!$X:$AB,2,0),VLOOKUP(G340,Dados!$D:$L,4,0)&gt;=VLOOKUP(H340,Dados!$X:$AB,3,0),VLOOKUP(G340,Dados!$D:$L,4,0)&lt;=VLOOKUP(H340,Dados!$X:$AB,4,0)),0,1)</f>
        <v>0</v>
      </c>
      <c r="U340" s="4">
        <f>IF(COUNTIFS(F:F,F340,H:H,H340)&lt;=VLOOKUP(H340,Dados!$X:$AB,5,0),0,1)</f>
        <v>0</v>
      </c>
    </row>
    <row r="341" spans="6:21">
      <c r="F341" s="4">
        <v>245</v>
      </c>
      <c r="G341" s="4">
        <v>64</v>
      </c>
      <c r="H341" s="4">
        <v>3</v>
      </c>
      <c r="I341" s="4">
        <v>28</v>
      </c>
      <c r="J341" s="4">
        <v>2</v>
      </c>
      <c r="K341" s="4">
        <f t="shared" si="181"/>
        <v>0</v>
      </c>
      <c r="L341" s="4">
        <f t="shared" si="181"/>
        <v>0</v>
      </c>
      <c r="M341" s="4">
        <f t="shared" si="181"/>
        <v>0</v>
      </c>
      <c r="N341" s="4">
        <f t="shared" si="181"/>
        <v>0</v>
      </c>
      <c r="O341" s="4">
        <f t="shared" si="177"/>
        <v>0</v>
      </c>
      <c r="P341" s="4">
        <f t="shared" si="178"/>
        <v>0</v>
      </c>
      <c r="Q341" s="4">
        <f t="shared" si="179"/>
        <v>0</v>
      </c>
      <c r="R341" s="4">
        <f t="shared" si="180"/>
        <v>0</v>
      </c>
      <c r="S341" s="4">
        <f>IF(AND(VLOOKUP(G341,Dados!$D:$L,2,0)=VLOOKUP(I341,Dados!$S:$V,2,0),VLOOKUP(G341,Dados!$D:$L,3,0)=VLOOKUP(I341,Dados!$S:$V,3,0)),0,1)</f>
        <v>0</v>
      </c>
      <c r="T341" s="4">
        <f>IF(AND(VLOOKUP(G341,Dados!$D:$L,3,0)&lt;=VLOOKUP(H341,Dados!$X:$AB,2,0),VLOOKUP(G341,Dados!$D:$L,4,0)&gt;=VLOOKUP(H341,Dados!$X:$AB,3,0),VLOOKUP(G341,Dados!$D:$L,4,0)&lt;=VLOOKUP(H341,Dados!$X:$AB,4,0)),0,1)</f>
        <v>0</v>
      </c>
      <c r="U341" s="4">
        <f>IF(COUNTIFS(F:F,F341,H:H,H341)&lt;=VLOOKUP(H341,Dados!$X:$AB,5,0),0,1)</f>
        <v>0</v>
      </c>
    </row>
    <row r="342" spans="6:21">
      <c r="F342" s="4">
        <v>246</v>
      </c>
      <c r="G342" s="4">
        <v>59</v>
      </c>
      <c r="H342" s="4">
        <v>1</v>
      </c>
      <c r="I342" s="4">
        <v>29</v>
      </c>
      <c r="J342" s="4">
        <v>2</v>
      </c>
      <c r="K342" s="4">
        <f t="shared" si="181"/>
        <v>0</v>
      </c>
      <c r="L342" s="4">
        <f t="shared" si="181"/>
        <v>0</v>
      </c>
      <c r="M342" s="4">
        <f t="shared" si="181"/>
        <v>0</v>
      </c>
      <c r="N342" s="4">
        <f t="shared" si="181"/>
        <v>0</v>
      </c>
      <c r="O342" s="4">
        <f t="shared" si="177"/>
        <v>0</v>
      </c>
      <c r="P342" s="4">
        <f t="shared" si="178"/>
        <v>0</v>
      </c>
      <c r="Q342" s="4">
        <f t="shared" si="179"/>
        <v>0</v>
      </c>
      <c r="R342" s="4">
        <f t="shared" si="180"/>
        <v>0</v>
      </c>
      <c r="S342" s="4">
        <f>IF(AND(VLOOKUP(G342,Dados!$D:$L,2,0)=VLOOKUP(I342,Dados!$S:$V,2,0),VLOOKUP(G342,Dados!$D:$L,3,0)=VLOOKUP(I342,Dados!$S:$V,3,0)),0,1)</f>
        <v>0</v>
      </c>
      <c r="T342" s="4">
        <f>IF(AND(VLOOKUP(G342,Dados!$D:$L,3,0)&lt;=VLOOKUP(H342,Dados!$X:$AB,2,0),VLOOKUP(G342,Dados!$D:$L,4,0)&gt;=VLOOKUP(H342,Dados!$X:$AB,3,0),VLOOKUP(G342,Dados!$D:$L,4,0)&lt;=VLOOKUP(H342,Dados!$X:$AB,4,0)),0,1)</f>
        <v>0</v>
      </c>
      <c r="U342" s="4">
        <f>IF(COUNTIFS(F:F,F342,H:H,H342)&lt;=VLOOKUP(H342,Dados!$X:$AB,5,0),0,1)</f>
        <v>0</v>
      </c>
    </row>
    <row r="343" spans="6:21">
      <c r="F343" s="4">
        <v>246</v>
      </c>
      <c r="G343" s="4">
        <v>63</v>
      </c>
      <c r="H343" s="4">
        <v>1</v>
      </c>
      <c r="I343" s="4">
        <v>29</v>
      </c>
      <c r="J343" s="4">
        <v>2</v>
      </c>
      <c r="K343" s="4">
        <f t="shared" si="181"/>
        <v>0</v>
      </c>
      <c r="L343" s="4">
        <f t="shared" si="181"/>
        <v>0</v>
      </c>
      <c r="M343" s="4">
        <f t="shared" si="181"/>
        <v>0</v>
      </c>
      <c r="N343" s="4">
        <f t="shared" si="181"/>
        <v>0</v>
      </c>
      <c r="O343" s="4">
        <f t="shared" si="177"/>
        <v>0</v>
      </c>
      <c r="P343" s="4">
        <f t="shared" si="178"/>
        <v>0</v>
      </c>
      <c r="Q343" s="4">
        <f t="shared" si="179"/>
        <v>0</v>
      </c>
      <c r="R343" s="4">
        <f t="shared" si="180"/>
        <v>0</v>
      </c>
      <c r="S343" s="4">
        <f>IF(AND(VLOOKUP(G343,Dados!$D:$L,2,0)=VLOOKUP(I343,Dados!$S:$V,2,0),VLOOKUP(G343,Dados!$D:$L,3,0)=VLOOKUP(I343,Dados!$S:$V,3,0)),0,1)</f>
        <v>0</v>
      </c>
      <c r="T343" s="4">
        <f>IF(AND(VLOOKUP(G343,Dados!$D:$L,3,0)&lt;=VLOOKUP(H343,Dados!$X:$AB,2,0),VLOOKUP(G343,Dados!$D:$L,4,0)&gt;=VLOOKUP(H343,Dados!$X:$AB,3,0),VLOOKUP(G343,Dados!$D:$L,4,0)&lt;=VLOOKUP(H343,Dados!$X:$AB,4,0)),0,1)</f>
        <v>0</v>
      </c>
      <c r="U343" s="4">
        <f>IF(COUNTIFS(F:F,F343,H:H,H343)&lt;=VLOOKUP(H343,Dados!$X:$AB,5,0),0,1)</f>
        <v>0</v>
      </c>
    </row>
    <row r="344" spans="6:21">
      <c r="F344" s="4">
        <v>246</v>
      </c>
      <c r="G344" s="4">
        <v>64</v>
      </c>
      <c r="H344" s="4">
        <v>1</v>
      </c>
      <c r="I344" s="4">
        <v>29</v>
      </c>
      <c r="J344" s="4">
        <v>5</v>
      </c>
      <c r="K344" s="4">
        <f t="shared" si="181"/>
        <v>0</v>
      </c>
      <c r="L344" s="4">
        <f t="shared" si="181"/>
        <v>0</v>
      </c>
      <c r="M344" s="4">
        <f t="shared" si="181"/>
        <v>0</v>
      </c>
      <c r="N344" s="4">
        <f t="shared" si="181"/>
        <v>0</v>
      </c>
      <c r="O344" s="4">
        <f t="shared" si="177"/>
        <v>0</v>
      </c>
      <c r="P344" s="4">
        <f t="shared" si="178"/>
        <v>0</v>
      </c>
      <c r="Q344" s="4">
        <f t="shared" si="179"/>
        <v>0</v>
      </c>
      <c r="R344" s="4">
        <f t="shared" si="180"/>
        <v>0</v>
      </c>
      <c r="S344" s="4">
        <f>IF(AND(VLOOKUP(G344,Dados!$D:$L,2,0)=VLOOKUP(I344,Dados!$S:$V,2,0),VLOOKUP(G344,Dados!$D:$L,3,0)=VLOOKUP(I344,Dados!$S:$V,3,0)),0,1)</f>
        <v>0</v>
      </c>
      <c r="T344" s="4">
        <f>IF(AND(VLOOKUP(G344,Dados!$D:$L,3,0)&lt;=VLOOKUP(H344,Dados!$X:$AB,2,0),VLOOKUP(G344,Dados!$D:$L,4,0)&gt;=VLOOKUP(H344,Dados!$X:$AB,3,0),VLOOKUP(G344,Dados!$D:$L,4,0)&lt;=VLOOKUP(H344,Dados!$X:$AB,4,0)),0,1)</f>
        <v>0</v>
      </c>
      <c r="U344" s="4">
        <f>IF(COUNTIFS(F:F,F344,H:H,H344)&lt;=VLOOKUP(H344,Dados!$X:$AB,5,0),0,1)</f>
        <v>0</v>
      </c>
    </row>
    <row r="345" spans="6:21">
      <c r="F345" s="4">
        <v>247</v>
      </c>
      <c r="G345" s="4">
        <v>59</v>
      </c>
      <c r="H345" s="4">
        <v>2</v>
      </c>
      <c r="I345" s="4">
        <v>29</v>
      </c>
      <c r="J345" s="4">
        <v>2</v>
      </c>
      <c r="K345" s="4">
        <f t="shared" si="181"/>
        <v>0</v>
      </c>
      <c r="L345" s="4">
        <f t="shared" si="181"/>
        <v>0</v>
      </c>
      <c r="M345" s="4">
        <f t="shared" si="181"/>
        <v>0</v>
      </c>
      <c r="N345" s="4">
        <f t="shared" si="181"/>
        <v>0</v>
      </c>
      <c r="O345" s="4">
        <f t="shared" si="177"/>
        <v>0</v>
      </c>
      <c r="P345" s="4">
        <f t="shared" si="178"/>
        <v>0</v>
      </c>
      <c r="Q345" s="4">
        <f t="shared" si="179"/>
        <v>0</v>
      </c>
      <c r="R345" s="4">
        <f t="shared" si="180"/>
        <v>0</v>
      </c>
      <c r="S345" s="4">
        <f>IF(AND(VLOOKUP(G345,Dados!$D:$L,2,0)=VLOOKUP(I345,Dados!$S:$V,2,0),VLOOKUP(G345,Dados!$D:$L,3,0)=VLOOKUP(I345,Dados!$S:$V,3,0)),0,1)</f>
        <v>0</v>
      </c>
      <c r="T345" s="4">
        <f>IF(AND(VLOOKUP(G345,Dados!$D:$L,3,0)&lt;=VLOOKUP(H345,Dados!$X:$AB,2,0),VLOOKUP(G345,Dados!$D:$L,4,0)&gt;=VLOOKUP(H345,Dados!$X:$AB,3,0),VLOOKUP(G345,Dados!$D:$L,4,0)&lt;=VLOOKUP(H345,Dados!$X:$AB,4,0)),0,1)</f>
        <v>0</v>
      </c>
      <c r="U345" s="4">
        <f>IF(COUNTIFS(F:F,F345,H:H,H345)&lt;=VLOOKUP(H345,Dados!$X:$AB,5,0),0,1)</f>
        <v>0</v>
      </c>
    </row>
    <row r="346" spans="6:21">
      <c r="F346" s="4">
        <v>247</v>
      </c>
      <c r="G346" s="4">
        <v>63</v>
      </c>
      <c r="H346" s="4">
        <v>2</v>
      </c>
      <c r="I346" s="4">
        <v>29</v>
      </c>
      <c r="J346" s="4">
        <v>2</v>
      </c>
      <c r="K346" s="4">
        <f t="shared" si="181"/>
        <v>0</v>
      </c>
      <c r="L346" s="4">
        <f t="shared" si="181"/>
        <v>0</v>
      </c>
      <c r="M346" s="4">
        <f t="shared" si="181"/>
        <v>0</v>
      </c>
      <c r="N346" s="4">
        <f t="shared" si="181"/>
        <v>0</v>
      </c>
      <c r="O346" s="4">
        <f t="shared" ref="O346:O409" si="182">$J346*K346</f>
        <v>0</v>
      </c>
      <c r="P346" s="4">
        <f t="shared" ref="P346:P409" si="183">$J346*L346</f>
        <v>0</v>
      </c>
      <c r="Q346" s="4">
        <f t="shared" ref="Q346:Q409" si="184">$J346*M346</f>
        <v>0</v>
      </c>
      <c r="R346" s="4">
        <f t="shared" ref="R346:R409" si="185">$J346*N346</f>
        <v>0</v>
      </c>
      <c r="S346" s="4">
        <f>IF(AND(VLOOKUP(G346,Dados!$D:$L,2,0)=VLOOKUP(I346,Dados!$S:$V,2,0),VLOOKUP(G346,Dados!$D:$L,3,0)=VLOOKUP(I346,Dados!$S:$V,3,0)),0,1)</f>
        <v>0</v>
      </c>
      <c r="T346" s="4">
        <f>IF(AND(VLOOKUP(G346,Dados!$D:$L,3,0)&lt;=VLOOKUP(H346,Dados!$X:$AB,2,0),VLOOKUP(G346,Dados!$D:$L,4,0)&gt;=VLOOKUP(H346,Dados!$X:$AB,3,0),VLOOKUP(G346,Dados!$D:$L,4,0)&lt;=VLOOKUP(H346,Dados!$X:$AB,4,0)),0,1)</f>
        <v>0</v>
      </c>
      <c r="U346" s="4">
        <f>IF(COUNTIFS(F:F,F346,H:H,H346)&lt;=VLOOKUP(H346,Dados!$X:$AB,5,0),0,1)</f>
        <v>0</v>
      </c>
    </row>
    <row r="347" spans="6:21">
      <c r="F347" s="4">
        <v>247</v>
      </c>
      <c r="G347" s="4">
        <v>64</v>
      </c>
      <c r="H347" s="4">
        <v>2</v>
      </c>
      <c r="I347" s="4">
        <v>29</v>
      </c>
      <c r="J347" s="4">
        <v>5</v>
      </c>
      <c r="K347" s="4">
        <f t="shared" si="181"/>
        <v>0</v>
      </c>
      <c r="L347" s="4">
        <f t="shared" si="181"/>
        <v>0</v>
      </c>
      <c r="M347" s="4">
        <f t="shared" si="181"/>
        <v>0</v>
      </c>
      <c r="N347" s="4">
        <f t="shared" si="181"/>
        <v>0</v>
      </c>
      <c r="O347" s="4">
        <f t="shared" si="182"/>
        <v>0</v>
      </c>
      <c r="P347" s="4">
        <f t="shared" si="183"/>
        <v>0</v>
      </c>
      <c r="Q347" s="4">
        <f t="shared" si="184"/>
        <v>0</v>
      </c>
      <c r="R347" s="4">
        <f t="shared" si="185"/>
        <v>0</v>
      </c>
      <c r="S347" s="4">
        <f>IF(AND(VLOOKUP(G347,Dados!$D:$L,2,0)=VLOOKUP(I347,Dados!$S:$V,2,0),VLOOKUP(G347,Dados!$D:$L,3,0)=VLOOKUP(I347,Dados!$S:$V,3,0)),0,1)</f>
        <v>0</v>
      </c>
      <c r="T347" s="4">
        <f>IF(AND(VLOOKUP(G347,Dados!$D:$L,3,0)&lt;=VLOOKUP(H347,Dados!$X:$AB,2,0),VLOOKUP(G347,Dados!$D:$L,4,0)&gt;=VLOOKUP(H347,Dados!$X:$AB,3,0),VLOOKUP(G347,Dados!$D:$L,4,0)&lt;=VLOOKUP(H347,Dados!$X:$AB,4,0)),0,1)</f>
        <v>0</v>
      </c>
      <c r="U347" s="4">
        <f>IF(COUNTIFS(F:F,F347,H:H,H347)&lt;=VLOOKUP(H347,Dados!$X:$AB,5,0),0,1)</f>
        <v>0</v>
      </c>
    </row>
    <row r="348" spans="6:21">
      <c r="F348" s="4">
        <v>248</v>
      </c>
      <c r="G348" s="4">
        <v>59</v>
      </c>
      <c r="H348" s="4">
        <v>3</v>
      </c>
      <c r="I348" s="4">
        <v>29</v>
      </c>
      <c r="J348" s="4">
        <v>2</v>
      </c>
      <c r="K348" s="4">
        <f t="shared" si="181"/>
        <v>0</v>
      </c>
      <c r="L348" s="4">
        <f t="shared" si="181"/>
        <v>0</v>
      </c>
      <c r="M348" s="4">
        <f t="shared" si="181"/>
        <v>0</v>
      </c>
      <c r="N348" s="4">
        <f t="shared" si="181"/>
        <v>0</v>
      </c>
      <c r="O348" s="4">
        <f t="shared" si="182"/>
        <v>0</v>
      </c>
      <c r="P348" s="4">
        <f t="shared" si="183"/>
        <v>0</v>
      </c>
      <c r="Q348" s="4">
        <f t="shared" si="184"/>
        <v>0</v>
      </c>
      <c r="R348" s="4">
        <f t="shared" si="185"/>
        <v>0</v>
      </c>
      <c r="S348" s="4">
        <f>IF(AND(VLOOKUP(G348,Dados!$D:$L,2,0)=VLOOKUP(I348,Dados!$S:$V,2,0),VLOOKUP(G348,Dados!$D:$L,3,0)=VLOOKUP(I348,Dados!$S:$V,3,0)),0,1)</f>
        <v>0</v>
      </c>
      <c r="T348" s="4">
        <f>IF(AND(VLOOKUP(G348,Dados!$D:$L,3,0)&lt;=VLOOKUP(H348,Dados!$X:$AB,2,0),VLOOKUP(G348,Dados!$D:$L,4,0)&gt;=VLOOKUP(H348,Dados!$X:$AB,3,0),VLOOKUP(G348,Dados!$D:$L,4,0)&lt;=VLOOKUP(H348,Dados!$X:$AB,4,0)),0,1)</f>
        <v>0</v>
      </c>
      <c r="U348" s="4">
        <f>IF(COUNTIFS(F:F,F348,H:H,H348)&lt;=VLOOKUP(H348,Dados!$X:$AB,5,0),0,1)</f>
        <v>0</v>
      </c>
    </row>
    <row r="349" spans="6:21">
      <c r="F349" s="4">
        <v>248</v>
      </c>
      <c r="G349" s="4">
        <v>63</v>
      </c>
      <c r="H349" s="4">
        <v>3</v>
      </c>
      <c r="I349" s="4">
        <v>29</v>
      </c>
      <c r="J349" s="4">
        <v>2</v>
      </c>
      <c r="K349" s="4">
        <f t="shared" si="181"/>
        <v>0</v>
      </c>
      <c r="L349" s="4">
        <f t="shared" si="181"/>
        <v>0</v>
      </c>
      <c r="M349" s="4">
        <f t="shared" si="181"/>
        <v>0</v>
      </c>
      <c r="N349" s="4">
        <f t="shared" si="181"/>
        <v>0</v>
      </c>
      <c r="O349" s="4">
        <f t="shared" si="182"/>
        <v>0</v>
      </c>
      <c r="P349" s="4">
        <f t="shared" si="183"/>
        <v>0</v>
      </c>
      <c r="Q349" s="4">
        <f t="shared" si="184"/>
        <v>0</v>
      </c>
      <c r="R349" s="4">
        <f t="shared" si="185"/>
        <v>0</v>
      </c>
      <c r="S349" s="4">
        <f>IF(AND(VLOOKUP(G349,Dados!$D:$L,2,0)=VLOOKUP(I349,Dados!$S:$V,2,0),VLOOKUP(G349,Dados!$D:$L,3,0)=VLOOKUP(I349,Dados!$S:$V,3,0)),0,1)</f>
        <v>0</v>
      </c>
      <c r="T349" s="4">
        <f>IF(AND(VLOOKUP(G349,Dados!$D:$L,3,0)&lt;=VLOOKUP(H349,Dados!$X:$AB,2,0),VLOOKUP(G349,Dados!$D:$L,4,0)&gt;=VLOOKUP(H349,Dados!$X:$AB,3,0),VLOOKUP(G349,Dados!$D:$L,4,0)&lt;=VLOOKUP(H349,Dados!$X:$AB,4,0)),0,1)</f>
        <v>0</v>
      </c>
      <c r="U349" s="4">
        <f>IF(COUNTIFS(F:F,F349,H:H,H349)&lt;=VLOOKUP(H349,Dados!$X:$AB,5,0),0,1)</f>
        <v>0</v>
      </c>
    </row>
    <row r="350" spans="6:21">
      <c r="F350" s="4">
        <v>248</v>
      </c>
      <c r="G350" s="4">
        <v>64</v>
      </c>
      <c r="H350" s="4">
        <v>3</v>
      </c>
      <c r="I350" s="4">
        <v>29</v>
      </c>
      <c r="J350" s="4">
        <v>5</v>
      </c>
      <c r="K350" s="4">
        <f t="shared" si="181"/>
        <v>0</v>
      </c>
      <c r="L350" s="4">
        <f t="shared" si="181"/>
        <v>0</v>
      </c>
      <c r="M350" s="4">
        <f t="shared" si="181"/>
        <v>0</v>
      </c>
      <c r="N350" s="4">
        <f t="shared" si="181"/>
        <v>0</v>
      </c>
      <c r="O350" s="4">
        <f t="shared" si="182"/>
        <v>0</v>
      </c>
      <c r="P350" s="4">
        <f t="shared" si="183"/>
        <v>0</v>
      </c>
      <c r="Q350" s="4">
        <f t="shared" si="184"/>
        <v>0</v>
      </c>
      <c r="R350" s="4">
        <f t="shared" si="185"/>
        <v>0</v>
      </c>
      <c r="S350" s="4">
        <f>IF(AND(VLOOKUP(G350,Dados!$D:$L,2,0)=VLOOKUP(I350,Dados!$S:$V,2,0),VLOOKUP(G350,Dados!$D:$L,3,0)=VLOOKUP(I350,Dados!$S:$V,3,0)),0,1)</f>
        <v>0</v>
      </c>
      <c r="T350" s="4">
        <f>IF(AND(VLOOKUP(G350,Dados!$D:$L,3,0)&lt;=VLOOKUP(H350,Dados!$X:$AB,2,0),VLOOKUP(G350,Dados!$D:$L,4,0)&gt;=VLOOKUP(H350,Dados!$X:$AB,3,0),VLOOKUP(G350,Dados!$D:$L,4,0)&lt;=VLOOKUP(H350,Dados!$X:$AB,4,0)),0,1)</f>
        <v>0</v>
      </c>
      <c r="U350" s="4">
        <f>IF(COUNTIFS(F:F,F350,H:H,H350)&lt;=VLOOKUP(H350,Dados!$X:$AB,5,0),0,1)</f>
        <v>0</v>
      </c>
    </row>
    <row r="351" spans="6:21">
      <c r="F351" s="4">
        <v>249</v>
      </c>
      <c r="G351" s="4">
        <v>2</v>
      </c>
      <c r="H351" s="4">
        <v>1</v>
      </c>
      <c r="I351" s="4">
        <v>1</v>
      </c>
      <c r="J351" s="4">
        <v>6</v>
      </c>
      <c r="K351" s="4">
        <f t="shared" si="181"/>
        <v>0</v>
      </c>
      <c r="L351" s="4">
        <f t="shared" si="181"/>
        <v>0</v>
      </c>
      <c r="M351" s="4">
        <f t="shared" si="181"/>
        <v>0</v>
      </c>
      <c r="N351" s="4">
        <f t="shared" si="181"/>
        <v>0</v>
      </c>
      <c r="O351" s="4">
        <f t="shared" si="182"/>
        <v>0</v>
      </c>
      <c r="P351" s="4">
        <f t="shared" si="183"/>
        <v>0</v>
      </c>
      <c r="Q351" s="4">
        <f t="shared" si="184"/>
        <v>0</v>
      </c>
      <c r="R351" s="4">
        <f t="shared" si="185"/>
        <v>0</v>
      </c>
      <c r="S351" s="4">
        <f>IF(AND(VLOOKUP(G351,Dados!$D:$L,2,0)=VLOOKUP(I351,Dados!$S:$V,2,0),VLOOKUP(G351,Dados!$D:$L,3,0)=VLOOKUP(I351,Dados!$S:$V,3,0)),0,1)</f>
        <v>0</v>
      </c>
      <c r="T351" s="4">
        <f>IF(AND(VLOOKUP(G351,Dados!$D:$L,3,0)&lt;=VLOOKUP(H351,Dados!$X:$AB,2,0),VLOOKUP(G351,Dados!$D:$L,4,0)&gt;=VLOOKUP(H351,Dados!$X:$AB,3,0),VLOOKUP(G351,Dados!$D:$L,4,0)&lt;=VLOOKUP(H351,Dados!$X:$AB,4,0)),0,1)</f>
        <v>0</v>
      </c>
      <c r="U351" s="4">
        <f>IF(COUNTIFS(F:F,F351,H:H,H351)&lt;=VLOOKUP(H351,Dados!$X:$AB,5,0),0,1)</f>
        <v>0</v>
      </c>
    </row>
    <row r="352" spans="6:21">
      <c r="F352" s="4">
        <v>249</v>
      </c>
      <c r="G352" s="4">
        <v>5</v>
      </c>
      <c r="H352" s="4">
        <v>1</v>
      </c>
      <c r="I352" s="4">
        <v>1</v>
      </c>
      <c r="J352" s="4">
        <v>2</v>
      </c>
      <c r="K352" s="4">
        <f t="shared" si="181"/>
        <v>0</v>
      </c>
      <c r="L352" s="4">
        <f t="shared" si="181"/>
        <v>0</v>
      </c>
      <c r="M352" s="4">
        <f t="shared" si="181"/>
        <v>0</v>
      </c>
      <c r="N352" s="4">
        <f t="shared" si="181"/>
        <v>0</v>
      </c>
      <c r="O352" s="4">
        <f t="shared" si="182"/>
        <v>0</v>
      </c>
      <c r="P352" s="4">
        <f t="shared" si="183"/>
        <v>0</v>
      </c>
      <c r="Q352" s="4">
        <f t="shared" si="184"/>
        <v>0</v>
      </c>
      <c r="R352" s="4">
        <f t="shared" si="185"/>
        <v>0</v>
      </c>
      <c r="S352" s="4">
        <f>IF(AND(VLOOKUP(G352,Dados!$D:$L,2,0)=VLOOKUP(I352,Dados!$S:$V,2,0),VLOOKUP(G352,Dados!$D:$L,3,0)=VLOOKUP(I352,Dados!$S:$V,3,0)),0,1)</f>
        <v>0</v>
      </c>
      <c r="T352" s="4">
        <f>IF(AND(VLOOKUP(G352,Dados!$D:$L,3,0)&lt;=VLOOKUP(H352,Dados!$X:$AB,2,0),VLOOKUP(G352,Dados!$D:$L,4,0)&gt;=VLOOKUP(H352,Dados!$X:$AB,3,0),VLOOKUP(G352,Dados!$D:$L,4,0)&lt;=VLOOKUP(H352,Dados!$X:$AB,4,0)),0,1)</f>
        <v>0</v>
      </c>
      <c r="U352" s="4">
        <f>IF(COUNTIFS(F:F,F352,H:H,H352)&lt;=VLOOKUP(H352,Dados!$X:$AB,5,0),0,1)</f>
        <v>0</v>
      </c>
    </row>
    <row r="353" spans="6:21">
      <c r="F353" s="4">
        <v>250</v>
      </c>
      <c r="G353" s="4">
        <v>2</v>
      </c>
      <c r="H353" s="4">
        <v>2</v>
      </c>
      <c r="I353" s="4">
        <v>1</v>
      </c>
      <c r="J353" s="4">
        <v>6</v>
      </c>
      <c r="K353" s="4">
        <f t="shared" si="181"/>
        <v>0</v>
      </c>
      <c r="L353" s="4">
        <f t="shared" si="181"/>
        <v>6</v>
      </c>
      <c r="M353" s="4">
        <f t="shared" si="181"/>
        <v>0</v>
      </c>
      <c r="N353" s="4">
        <f t="shared" ref="K353:N416" si="186">SUMIFS($X:$X,$W:$W,$F353,$Z:$Z,$I353,$AA:$AA,$H353,$AB:$AB,N$2)</f>
        <v>0</v>
      </c>
      <c r="O353" s="4">
        <f t="shared" si="182"/>
        <v>0</v>
      </c>
      <c r="P353" s="4">
        <f t="shared" si="183"/>
        <v>36</v>
      </c>
      <c r="Q353" s="4">
        <f t="shared" si="184"/>
        <v>0</v>
      </c>
      <c r="R353" s="4">
        <f t="shared" si="185"/>
        <v>0</v>
      </c>
      <c r="S353" s="4">
        <f>IF(AND(VLOOKUP(G353,Dados!$D:$L,2,0)=VLOOKUP(I353,Dados!$S:$V,2,0),VLOOKUP(G353,Dados!$D:$L,3,0)=VLOOKUP(I353,Dados!$S:$V,3,0)),0,1)</f>
        <v>0</v>
      </c>
      <c r="T353" s="4">
        <f>IF(AND(VLOOKUP(G353,Dados!$D:$L,3,0)&lt;=VLOOKUP(H353,Dados!$X:$AB,2,0),VLOOKUP(G353,Dados!$D:$L,4,0)&gt;=VLOOKUP(H353,Dados!$X:$AB,3,0),VLOOKUP(G353,Dados!$D:$L,4,0)&lt;=VLOOKUP(H353,Dados!$X:$AB,4,0)),0,1)</f>
        <v>0</v>
      </c>
      <c r="U353" s="4">
        <f>IF(COUNTIFS(F:F,F353,H:H,H353)&lt;=VLOOKUP(H353,Dados!$X:$AB,5,0),0,1)</f>
        <v>0</v>
      </c>
    </row>
    <row r="354" spans="6:21">
      <c r="F354" s="4">
        <v>250</v>
      </c>
      <c r="G354" s="4">
        <v>5</v>
      </c>
      <c r="H354" s="4">
        <v>2</v>
      </c>
      <c r="I354" s="4">
        <v>1</v>
      </c>
      <c r="J354" s="4">
        <v>2</v>
      </c>
      <c r="K354" s="4">
        <f t="shared" si="186"/>
        <v>0</v>
      </c>
      <c r="L354" s="4">
        <f t="shared" si="186"/>
        <v>6</v>
      </c>
      <c r="M354" s="4">
        <f t="shared" si="186"/>
        <v>0</v>
      </c>
      <c r="N354" s="4">
        <f t="shared" si="186"/>
        <v>0</v>
      </c>
      <c r="O354" s="4">
        <f t="shared" si="182"/>
        <v>0</v>
      </c>
      <c r="P354" s="4">
        <f t="shared" si="183"/>
        <v>12</v>
      </c>
      <c r="Q354" s="4">
        <f t="shared" si="184"/>
        <v>0</v>
      </c>
      <c r="R354" s="4">
        <f t="shared" si="185"/>
        <v>0</v>
      </c>
      <c r="S354" s="4">
        <f>IF(AND(VLOOKUP(G354,Dados!$D:$L,2,0)=VLOOKUP(I354,Dados!$S:$V,2,0),VLOOKUP(G354,Dados!$D:$L,3,0)=VLOOKUP(I354,Dados!$S:$V,3,0)),0,1)</f>
        <v>0</v>
      </c>
      <c r="T354" s="4">
        <f>IF(AND(VLOOKUP(G354,Dados!$D:$L,3,0)&lt;=VLOOKUP(H354,Dados!$X:$AB,2,0),VLOOKUP(G354,Dados!$D:$L,4,0)&gt;=VLOOKUP(H354,Dados!$X:$AB,3,0),VLOOKUP(G354,Dados!$D:$L,4,0)&lt;=VLOOKUP(H354,Dados!$X:$AB,4,0)),0,1)</f>
        <v>0</v>
      </c>
      <c r="U354" s="4">
        <f>IF(COUNTIFS(F:F,F354,H:H,H354)&lt;=VLOOKUP(H354,Dados!$X:$AB,5,0),0,1)</f>
        <v>0</v>
      </c>
    </row>
    <row r="355" spans="6:21">
      <c r="F355" s="4">
        <v>251</v>
      </c>
      <c r="G355" s="4">
        <v>2</v>
      </c>
      <c r="H355" s="4">
        <v>3</v>
      </c>
      <c r="I355" s="4">
        <v>1</v>
      </c>
      <c r="J355" s="4">
        <v>6</v>
      </c>
      <c r="K355" s="4">
        <f t="shared" si="186"/>
        <v>0</v>
      </c>
      <c r="L355" s="4">
        <f t="shared" si="186"/>
        <v>0</v>
      </c>
      <c r="M355" s="4">
        <f t="shared" si="186"/>
        <v>0</v>
      </c>
      <c r="N355" s="4">
        <f t="shared" si="186"/>
        <v>0</v>
      </c>
      <c r="O355" s="4">
        <f t="shared" si="182"/>
        <v>0</v>
      </c>
      <c r="P355" s="4">
        <f t="shared" si="183"/>
        <v>0</v>
      </c>
      <c r="Q355" s="4">
        <f t="shared" si="184"/>
        <v>0</v>
      </c>
      <c r="R355" s="4">
        <f t="shared" si="185"/>
        <v>0</v>
      </c>
      <c r="S355" s="4">
        <f>IF(AND(VLOOKUP(G355,Dados!$D:$L,2,0)=VLOOKUP(I355,Dados!$S:$V,2,0),VLOOKUP(G355,Dados!$D:$L,3,0)=VLOOKUP(I355,Dados!$S:$V,3,0)),0,1)</f>
        <v>0</v>
      </c>
      <c r="T355" s="4">
        <f>IF(AND(VLOOKUP(G355,Dados!$D:$L,3,0)&lt;=VLOOKUP(H355,Dados!$X:$AB,2,0),VLOOKUP(G355,Dados!$D:$L,4,0)&gt;=VLOOKUP(H355,Dados!$X:$AB,3,0),VLOOKUP(G355,Dados!$D:$L,4,0)&lt;=VLOOKUP(H355,Dados!$X:$AB,4,0)),0,1)</f>
        <v>0</v>
      </c>
      <c r="U355" s="4">
        <f>IF(COUNTIFS(F:F,F355,H:H,H355)&lt;=VLOOKUP(H355,Dados!$X:$AB,5,0),0,1)</f>
        <v>0</v>
      </c>
    </row>
    <row r="356" spans="6:21">
      <c r="F356" s="4">
        <v>251</v>
      </c>
      <c r="G356" s="4">
        <v>5</v>
      </c>
      <c r="H356" s="4">
        <v>3</v>
      </c>
      <c r="I356" s="4">
        <v>1</v>
      </c>
      <c r="J356" s="4">
        <v>2</v>
      </c>
      <c r="K356" s="4">
        <f t="shared" si="186"/>
        <v>0</v>
      </c>
      <c r="L356" s="4">
        <f t="shared" si="186"/>
        <v>0</v>
      </c>
      <c r="M356" s="4">
        <f t="shared" si="186"/>
        <v>0</v>
      </c>
      <c r="N356" s="4">
        <f t="shared" si="186"/>
        <v>0</v>
      </c>
      <c r="O356" s="4">
        <f t="shared" si="182"/>
        <v>0</v>
      </c>
      <c r="P356" s="4">
        <f t="shared" si="183"/>
        <v>0</v>
      </c>
      <c r="Q356" s="4">
        <f t="shared" si="184"/>
        <v>0</v>
      </c>
      <c r="R356" s="4">
        <f t="shared" si="185"/>
        <v>0</v>
      </c>
      <c r="S356" s="4">
        <f>IF(AND(VLOOKUP(G356,Dados!$D:$L,2,0)=VLOOKUP(I356,Dados!$S:$V,2,0),VLOOKUP(G356,Dados!$D:$L,3,0)=VLOOKUP(I356,Dados!$S:$V,3,0)),0,1)</f>
        <v>0</v>
      </c>
      <c r="T356" s="4">
        <f>IF(AND(VLOOKUP(G356,Dados!$D:$L,3,0)&lt;=VLOOKUP(H356,Dados!$X:$AB,2,0),VLOOKUP(G356,Dados!$D:$L,4,0)&gt;=VLOOKUP(H356,Dados!$X:$AB,3,0),VLOOKUP(G356,Dados!$D:$L,4,0)&lt;=VLOOKUP(H356,Dados!$X:$AB,4,0)),0,1)</f>
        <v>0</v>
      </c>
      <c r="U356" s="4">
        <f>IF(COUNTIFS(F:F,F356,H:H,H356)&lt;=VLOOKUP(H356,Dados!$X:$AB,5,0),0,1)</f>
        <v>0</v>
      </c>
    </row>
    <row r="357" spans="6:21">
      <c r="F357" s="4">
        <v>252</v>
      </c>
      <c r="G357" s="4">
        <v>10</v>
      </c>
      <c r="H357" s="4">
        <v>1</v>
      </c>
      <c r="I357" s="4">
        <v>3</v>
      </c>
      <c r="J357" s="4">
        <v>5</v>
      </c>
      <c r="K357" s="4">
        <f t="shared" si="186"/>
        <v>0</v>
      </c>
      <c r="L357" s="4">
        <f t="shared" si="186"/>
        <v>0</v>
      </c>
      <c r="M357" s="4">
        <f t="shared" si="186"/>
        <v>0</v>
      </c>
      <c r="N357" s="4">
        <f t="shared" si="186"/>
        <v>0</v>
      </c>
      <c r="O357" s="4">
        <f t="shared" si="182"/>
        <v>0</v>
      </c>
      <c r="P357" s="4">
        <f t="shared" si="183"/>
        <v>0</v>
      </c>
      <c r="Q357" s="4">
        <f t="shared" si="184"/>
        <v>0</v>
      </c>
      <c r="R357" s="4">
        <f t="shared" si="185"/>
        <v>0</v>
      </c>
      <c r="S357" s="4">
        <f>IF(AND(VLOOKUP(G357,Dados!$D:$L,2,0)=VLOOKUP(I357,Dados!$S:$V,2,0),VLOOKUP(G357,Dados!$D:$L,3,0)=VLOOKUP(I357,Dados!$S:$V,3,0)),0,1)</f>
        <v>0</v>
      </c>
      <c r="T357" s="4">
        <f>IF(AND(VLOOKUP(G357,Dados!$D:$L,3,0)&lt;=VLOOKUP(H357,Dados!$X:$AB,2,0),VLOOKUP(G357,Dados!$D:$L,4,0)&gt;=VLOOKUP(H357,Dados!$X:$AB,3,0),VLOOKUP(G357,Dados!$D:$L,4,0)&lt;=VLOOKUP(H357,Dados!$X:$AB,4,0)),0,1)</f>
        <v>0</v>
      </c>
      <c r="U357" s="4">
        <f>IF(COUNTIFS(F:F,F357,H:H,H357)&lt;=VLOOKUP(H357,Dados!$X:$AB,5,0),0,1)</f>
        <v>0</v>
      </c>
    </row>
    <row r="358" spans="6:21">
      <c r="F358" s="4">
        <v>252</v>
      </c>
      <c r="G358" s="4">
        <v>11</v>
      </c>
      <c r="H358" s="4">
        <v>1</v>
      </c>
      <c r="I358" s="4">
        <v>3</v>
      </c>
      <c r="J358" s="4">
        <v>1</v>
      </c>
      <c r="K358" s="4">
        <f t="shared" si="186"/>
        <v>0</v>
      </c>
      <c r="L358" s="4">
        <f t="shared" si="186"/>
        <v>0</v>
      </c>
      <c r="M358" s="4">
        <f t="shared" si="186"/>
        <v>0</v>
      </c>
      <c r="N358" s="4">
        <f t="shared" si="186"/>
        <v>0</v>
      </c>
      <c r="O358" s="4">
        <f t="shared" si="182"/>
        <v>0</v>
      </c>
      <c r="P358" s="4">
        <f t="shared" si="183"/>
        <v>0</v>
      </c>
      <c r="Q358" s="4">
        <f t="shared" si="184"/>
        <v>0</v>
      </c>
      <c r="R358" s="4">
        <f t="shared" si="185"/>
        <v>0</v>
      </c>
      <c r="S358" s="4">
        <f>IF(AND(VLOOKUP(G358,Dados!$D:$L,2,0)=VLOOKUP(I358,Dados!$S:$V,2,0),VLOOKUP(G358,Dados!$D:$L,3,0)=VLOOKUP(I358,Dados!$S:$V,3,0)),0,1)</f>
        <v>0</v>
      </c>
      <c r="T358" s="4">
        <f>IF(AND(VLOOKUP(G358,Dados!$D:$L,3,0)&lt;=VLOOKUP(H358,Dados!$X:$AB,2,0),VLOOKUP(G358,Dados!$D:$L,4,0)&gt;=VLOOKUP(H358,Dados!$X:$AB,3,0),VLOOKUP(G358,Dados!$D:$L,4,0)&lt;=VLOOKUP(H358,Dados!$X:$AB,4,0)),0,1)</f>
        <v>0</v>
      </c>
      <c r="U358" s="4">
        <f>IF(COUNTIFS(F:F,F358,H:H,H358)&lt;=VLOOKUP(H358,Dados!$X:$AB,5,0),0,1)</f>
        <v>0</v>
      </c>
    </row>
    <row r="359" spans="6:21">
      <c r="F359" s="4">
        <v>253</v>
      </c>
      <c r="G359" s="4">
        <v>10</v>
      </c>
      <c r="H359" s="4">
        <v>2</v>
      </c>
      <c r="I359" s="4">
        <v>3</v>
      </c>
      <c r="J359" s="4">
        <v>5</v>
      </c>
      <c r="K359" s="4">
        <f t="shared" si="186"/>
        <v>0</v>
      </c>
      <c r="L359" s="4">
        <f t="shared" si="186"/>
        <v>0</v>
      </c>
      <c r="M359" s="4">
        <f t="shared" si="186"/>
        <v>0</v>
      </c>
      <c r="N359" s="4">
        <f t="shared" si="186"/>
        <v>0</v>
      </c>
      <c r="O359" s="4">
        <f t="shared" si="182"/>
        <v>0</v>
      </c>
      <c r="P359" s="4">
        <f t="shared" si="183"/>
        <v>0</v>
      </c>
      <c r="Q359" s="4">
        <f t="shared" si="184"/>
        <v>0</v>
      </c>
      <c r="R359" s="4">
        <f t="shared" si="185"/>
        <v>0</v>
      </c>
      <c r="S359" s="4">
        <f>IF(AND(VLOOKUP(G359,Dados!$D:$L,2,0)=VLOOKUP(I359,Dados!$S:$V,2,0),VLOOKUP(G359,Dados!$D:$L,3,0)=VLOOKUP(I359,Dados!$S:$V,3,0)),0,1)</f>
        <v>0</v>
      </c>
      <c r="T359" s="4">
        <f>IF(AND(VLOOKUP(G359,Dados!$D:$L,3,0)&lt;=VLOOKUP(H359,Dados!$X:$AB,2,0),VLOOKUP(G359,Dados!$D:$L,4,0)&gt;=VLOOKUP(H359,Dados!$X:$AB,3,0),VLOOKUP(G359,Dados!$D:$L,4,0)&lt;=VLOOKUP(H359,Dados!$X:$AB,4,0)),0,1)</f>
        <v>0</v>
      </c>
      <c r="U359" s="4">
        <f>IF(COUNTIFS(F:F,F359,H:H,H359)&lt;=VLOOKUP(H359,Dados!$X:$AB,5,0),0,1)</f>
        <v>0</v>
      </c>
    </row>
    <row r="360" spans="6:21">
      <c r="F360" s="4">
        <v>253</v>
      </c>
      <c r="G360" s="4">
        <v>11</v>
      </c>
      <c r="H360" s="4">
        <v>2</v>
      </c>
      <c r="I360" s="4">
        <v>3</v>
      </c>
      <c r="J360" s="4">
        <v>1</v>
      </c>
      <c r="K360" s="4">
        <f t="shared" si="186"/>
        <v>0</v>
      </c>
      <c r="L360" s="4">
        <f t="shared" si="186"/>
        <v>0</v>
      </c>
      <c r="M360" s="4">
        <f t="shared" si="186"/>
        <v>0</v>
      </c>
      <c r="N360" s="4">
        <f t="shared" si="186"/>
        <v>0</v>
      </c>
      <c r="O360" s="4">
        <f t="shared" si="182"/>
        <v>0</v>
      </c>
      <c r="P360" s="4">
        <f t="shared" si="183"/>
        <v>0</v>
      </c>
      <c r="Q360" s="4">
        <f t="shared" si="184"/>
        <v>0</v>
      </c>
      <c r="R360" s="4">
        <f t="shared" si="185"/>
        <v>0</v>
      </c>
      <c r="S360" s="4">
        <f>IF(AND(VLOOKUP(G360,Dados!$D:$L,2,0)=VLOOKUP(I360,Dados!$S:$V,2,0),VLOOKUP(G360,Dados!$D:$L,3,0)=VLOOKUP(I360,Dados!$S:$V,3,0)),0,1)</f>
        <v>0</v>
      </c>
      <c r="T360" s="4">
        <f>IF(AND(VLOOKUP(G360,Dados!$D:$L,3,0)&lt;=VLOOKUP(H360,Dados!$X:$AB,2,0),VLOOKUP(G360,Dados!$D:$L,4,0)&gt;=VLOOKUP(H360,Dados!$X:$AB,3,0),VLOOKUP(G360,Dados!$D:$L,4,0)&lt;=VLOOKUP(H360,Dados!$X:$AB,4,0)),0,1)</f>
        <v>0</v>
      </c>
      <c r="U360" s="4">
        <f>IF(COUNTIFS(F:F,F360,H:H,H360)&lt;=VLOOKUP(H360,Dados!$X:$AB,5,0),0,1)</f>
        <v>0</v>
      </c>
    </row>
    <row r="361" spans="6:21">
      <c r="F361" s="4">
        <v>254</v>
      </c>
      <c r="G361" s="4">
        <v>10</v>
      </c>
      <c r="H361" s="4">
        <v>3</v>
      </c>
      <c r="I361" s="4">
        <v>3</v>
      </c>
      <c r="J361" s="4">
        <v>5</v>
      </c>
      <c r="K361" s="4">
        <f t="shared" si="186"/>
        <v>0</v>
      </c>
      <c r="L361" s="4">
        <f t="shared" si="186"/>
        <v>0</v>
      </c>
      <c r="M361" s="4">
        <f t="shared" si="186"/>
        <v>0</v>
      </c>
      <c r="N361" s="4">
        <f t="shared" si="186"/>
        <v>0</v>
      </c>
      <c r="O361" s="4">
        <f t="shared" si="182"/>
        <v>0</v>
      </c>
      <c r="P361" s="4">
        <f t="shared" si="183"/>
        <v>0</v>
      </c>
      <c r="Q361" s="4">
        <f t="shared" si="184"/>
        <v>0</v>
      </c>
      <c r="R361" s="4">
        <f t="shared" si="185"/>
        <v>0</v>
      </c>
      <c r="S361" s="4">
        <f>IF(AND(VLOOKUP(G361,Dados!$D:$L,2,0)=VLOOKUP(I361,Dados!$S:$V,2,0),VLOOKUP(G361,Dados!$D:$L,3,0)=VLOOKUP(I361,Dados!$S:$V,3,0)),0,1)</f>
        <v>0</v>
      </c>
      <c r="T361" s="4">
        <f>IF(AND(VLOOKUP(G361,Dados!$D:$L,3,0)&lt;=VLOOKUP(H361,Dados!$X:$AB,2,0),VLOOKUP(G361,Dados!$D:$L,4,0)&gt;=VLOOKUP(H361,Dados!$X:$AB,3,0),VLOOKUP(G361,Dados!$D:$L,4,0)&lt;=VLOOKUP(H361,Dados!$X:$AB,4,0)),0,1)</f>
        <v>0</v>
      </c>
      <c r="U361" s="4">
        <f>IF(COUNTIFS(F:F,F361,H:H,H361)&lt;=VLOOKUP(H361,Dados!$X:$AB,5,0),0,1)</f>
        <v>0</v>
      </c>
    </row>
    <row r="362" spans="6:21">
      <c r="F362" s="4">
        <v>254</v>
      </c>
      <c r="G362" s="4">
        <v>11</v>
      </c>
      <c r="H362" s="4">
        <v>3</v>
      </c>
      <c r="I362" s="4">
        <v>3</v>
      </c>
      <c r="J362" s="4">
        <v>1</v>
      </c>
      <c r="K362" s="4">
        <f t="shared" si="186"/>
        <v>0</v>
      </c>
      <c r="L362" s="4">
        <f t="shared" si="186"/>
        <v>0</v>
      </c>
      <c r="M362" s="4">
        <f t="shared" si="186"/>
        <v>0</v>
      </c>
      <c r="N362" s="4">
        <f t="shared" si="186"/>
        <v>0</v>
      </c>
      <c r="O362" s="4">
        <f t="shared" si="182"/>
        <v>0</v>
      </c>
      <c r="P362" s="4">
        <f t="shared" si="183"/>
        <v>0</v>
      </c>
      <c r="Q362" s="4">
        <f t="shared" si="184"/>
        <v>0</v>
      </c>
      <c r="R362" s="4">
        <f t="shared" si="185"/>
        <v>0</v>
      </c>
      <c r="S362" s="4">
        <f>IF(AND(VLOOKUP(G362,Dados!$D:$L,2,0)=VLOOKUP(I362,Dados!$S:$V,2,0),VLOOKUP(G362,Dados!$D:$L,3,0)=VLOOKUP(I362,Dados!$S:$V,3,0)),0,1)</f>
        <v>0</v>
      </c>
      <c r="T362" s="4">
        <f>IF(AND(VLOOKUP(G362,Dados!$D:$L,3,0)&lt;=VLOOKUP(H362,Dados!$X:$AB,2,0),VLOOKUP(G362,Dados!$D:$L,4,0)&gt;=VLOOKUP(H362,Dados!$X:$AB,3,0),VLOOKUP(G362,Dados!$D:$L,4,0)&lt;=VLOOKUP(H362,Dados!$X:$AB,4,0)),0,1)</f>
        <v>0</v>
      </c>
      <c r="U362" s="4">
        <f>IF(COUNTIFS(F:F,F362,H:H,H362)&lt;=VLOOKUP(H362,Dados!$X:$AB,5,0),0,1)</f>
        <v>0</v>
      </c>
    </row>
    <row r="363" spans="6:21">
      <c r="F363" s="4">
        <v>255</v>
      </c>
      <c r="G363" s="4">
        <v>10</v>
      </c>
      <c r="H363" s="4">
        <v>1</v>
      </c>
      <c r="I363" s="4">
        <v>4</v>
      </c>
      <c r="J363" s="4">
        <v>6</v>
      </c>
      <c r="K363" s="4">
        <f t="shared" si="186"/>
        <v>0</v>
      </c>
      <c r="L363" s="4">
        <f t="shared" si="186"/>
        <v>0</v>
      </c>
      <c r="M363" s="4">
        <f t="shared" si="186"/>
        <v>0</v>
      </c>
      <c r="N363" s="4">
        <f t="shared" si="186"/>
        <v>0</v>
      </c>
      <c r="O363" s="4">
        <f t="shared" si="182"/>
        <v>0</v>
      </c>
      <c r="P363" s="4">
        <f t="shared" si="183"/>
        <v>0</v>
      </c>
      <c r="Q363" s="4">
        <f t="shared" si="184"/>
        <v>0</v>
      </c>
      <c r="R363" s="4">
        <f t="shared" si="185"/>
        <v>0</v>
      </c>
      <c r="S363" s="4">
        <f>IF(AND(VLOOKUP(G363,Dados!$D:$L,2,0)=VLOOKUP(I363,Dados!$S:$V,2,0),VLOOKUP(G363,Dados!$D:$L,3,0)=VLOOKUP(I363,Dados!$S:$V,3,0)),0,1)</f>
        <v>0</v>
      </c>
      <c r="T363" s="4">
        <f>IF(AND(VLOOKUP(G363,Dados!$D:$L,3,0)&lt;=VLOOKUP(H363,Dados!$X:$AB,2,0),VLOOKUP(G363,Dados!$D:$L,4,0)&gt;=VLOOKUP(H363,Dados!$X:$AB,3,0),VLOOKUP(G363,Dados!$D:$L,4,0)&lt;=VLOOKUP(H363,Dados!$X:$AB,4,0)),0,1)</f>
        <v>0</v>
      </c>
      <c r="U363" s="4">
        <f>IF(COUNTIFS(F:F,F363,H:H,H363)&lt;=VLOOKUP(H363,Dados!$X:$AB,5,0),0,1)</f>
        <v>0</v>
      </c>
    </row>
    <row r="364" spans="6:21">
      <c r="F364" s="4">
        <v>255</v>
      </c>
      <c r="G364" s="4">
        <v>11</v>
      </c>
      <c r="H364" s="4">
        <v>1</v>
      </c>
      <c r="I364" s="4">
        <v>4</v>
      </c>
      <c r="J364" s="4">
        <v>1</v>
      </c>
      <c r="K364" s="4">
        <f t="shared" si="186"/>
        <v>0</v>
      </c>
      <c r="L364" s="4">
        <f t="shared" si="186"/>
        <v>0</v>
      </c>
      <c r="M364" s="4">
        <f t="shared" si="186"/>
        <v>0</v>
      </c>
      <c r="N364" s="4">
        <f t="shared" si="186"/>
        <v>0</v>
      </c>
      <c r="O364" s="4">
        <f t="shared" si="182"/>
        <v>0</v>
      </c>
      <c r="P364" s="4">
        <f t="shared" si="183"/>
        <v>0</v>
      </c>
      <c r="Q364" s="4">
        <f t="shared" si="184"/>
        <v>0</v>
      </c>
      <c r="R364" s="4">
        <f t="shared" si="185"/>
        <v>0</v>
      </c>
      <c r="S364" s="4">
        <f>IF(AND(VLOOKUP(G364,Dados!$D:$L,2,0)=VLOOKUP(I364,Dados!$S:$V,2,0),VLOOKUP(G364,Dados!$D:$L,3,0)=VLOOKUP(I364,Dados!$S:$V,3,0)),0,1)</f>
        <v>0</v>
      </c>
      <c r="T364" s="4">
        <f>IF(AND(VLOOKUP(G364,Dados!$D:$L,3,0)&lt;=VLOOKUP(H364,Dados!$X:$AB,2,0),VLOOKUP(G364,Dados!$D:$L,4,0)&gt;=VLOOKUP(H364,Dados!$X:$AB,3,0),VLOOKUP(G364,Dados!$D:$L,4,0)&lt;=VLOOKUP(H364,Dados!$X:$AB,4,0)),0,1)</f>
        <v>0</v>
      </c>
      <c r="U364" s="4">
        <f>IF(COUNTIFS(F:F,F364,H:H,H364)&lt;=VLOOKUP(H364,Dados!$X:$AB,5,0),0,1)</f>
        <v>0</v>
      </c>
    </row>
    <row r="365" spans="6:21">
      <c r="F365" s="4">
        <v>256</v>
      </c>
      <c r="G365" s="4">
        <v>10</v>
      </c>
      <c r="H365" s="4">
        <v>2</v>
      </c>
      <c r="I365" s="4">
        <v>4</v>
      </c>
      <c r="J365" s="4">
        <v>6</v>
      </c>
      <c r="K365" s="4">
        <f t="shared" si="186"/>
        <v>0</v>
      </c>
      <c r="L365" s="4">
        <f t="shared" si="186"/>
        <v>3</v>
      </c>
      <c r="M365" s="4">
        <f t="shared" si="186"/>
        <v>0</v>
      </c>
      <c r="N365" s="4">
        <f t="shared" si="186"/>
        <v>0</v>
      </c>
      <c r="O365" s="4">
        <f t="shared" si="182"/>
        <v>0</v>
      </c>
      <c r="P365" s="4">
        <f t="shared" si="183"/>
        <v>18</v>
      </c>
      <c r="Q365" s="4">
        <f t="shared" si="184"/>
        <v>0</v>
      </c>
      <c r="R365" s="4">
        <f t="shared" si="185"/>
        <v>0</v>
      </c>
      <c r="S365" s="4">
        <f>IF(AND(VLOOKUP(G365,Dados!$D:$L,2,0)=VLOOKUP(I365,Dados!$S:$V,2,0),VLOOKUP(G365,Dados!$D:$L,3,0)=VLOOKUP(I365,Dados!$S:$V,3,0)),0,1)</f>
        <v>0</v>
      </c>
      <c r="T365" s="4">
        <f>IF(AND(VLOOKUP(G365,Dados!$D:$L,3,0)&lt;=VLOOKUP(H365,Dados!$X:$AB,2,0),VLOOKUP(G365,Dados!$D:$L,4,0)&gt;=VLOOKUP(H365,Dados!$X:$AB,3,0),VLOOKUP(G365,Dados!$D:$L,4,0)&lt;=VLOOKUP(H365,Dados!$X:$AB,4,0)),0,1)</f>
        <v>0</v>
      </c>
      <c r="U365" s="4">
        <f>IF(COUNTIFS(F:F,F365,H:H,H365)&lt;=VLOOKUP(H365,Dados!$X:$AB,5,0),0,1)</f>
        <v>0</v>
      </c>
    </row>
    <row r="366" spans="6:21">
      <c r="F366" s="4">
        <v>256</v>
      </c>
      <c r="G366" s="4">
        <v>11</v>
      </c>
      <c r="H366" s="4">
        <v>2</v>
      </c>
      <c r="I366" s="4">
        <v>4</v>
      </c>
      <c r="J366" s="4">
        <v>1</v>
      </c>
      <c r="K366" s="4">
        <f t="shared" si="186"/>
        <v>0</v>
      </c>
      <c r="L366" s="4">
        <f t="shared" si="186"/>
        <v>3</v>
      </c>
      <c r="M366" s="4">
        <f t="shared" si="186"/>
        <v>0</v>
      </c>
      <c r="N366" s="4">
        <f t="shared" si="186"/>
        <v>0</v>
      </c>
      <c r="O366" s="4">
        <f t="shared" si="182"/>
        <v>0</v>
      </c>
      <c r="P366" s="4">
        <f t="shared" si="183"/>
        <v>3</v>
      </c>
      <c r="Q366" s="4">
        <f t="shared" si="184"/>
        <v>0</v>
      </c>
      <c r="R366" s="4">
        <f t="shared" si="185"/>
        <v>0</v>
      </c>
      <c r="S366" s="4">
        <f>IF(AND(VLOOKUP(G366,Dados!$D:$L,2,0)=VLOOKUP(I366,Dados!$S:$V,2,0),VLOOKUP(G366,Dados!$D:$L,3,0)=VLOOKUP(I366,Dados!$S:$V,3,0)),0,1)</f>
        <v>0</v>
      </c>
      <c r="T366" s="4">
        <f>IF(AND(VLOOKUP(G366,Dados!$D:$L,3,0)&lt;=VLOOKUP(H366,Dados!$X:$AB,2,0),VLOOKUP(G366,Dados!$D:$L,4,0)&gt;=VLOOKUP(H366,Dados!$X:$AB,3,0),VLOOKUP(G366,Dados!$D:$L,4,0)&lt;=VLOOKUP(H366,Dados!$X:$AB,4,0)),0,1)</f>
        <v>0</v>
      </c>
      <c r="U366" s="4">
        <f>IF(COUNTIFS(F:F,F366,H:H,H366)&lt;=VLOOKUP(H366,Dados!$X:$AB,5,0),0,1)</f>
        <v>0</v>
      </c>
    </row>
    <row r="367" spans="6:21">
      <c r="F367" s="4">
        <v>257</v>
      </c>
      <c r="G367" s="4">
        <v>10</v>
      </c>
      <c r="H367" s="4">
        <v>3</v>
      </c>
      <c r="I367" s="4">
        <v>4</v>
      </c>
      <c r="J367" s="4">
        <v>6</v>
      </c>
      <c r="K367" s="4">
        <f t="shared" si="186"/>
        <v>0</v>
      </c>
      <c r="L367" s="4">
        <f t="shared" si="186"/>
        <v>0</v>
      </c>
      <c r="M367" s="4">
        <f t="shared" si="186"/>
        <v>0</v>
      </c>
      <c r="N367" s="4">
        <f t="shared" si="186"/>
        <v>0</v>
      </c>
      <c r="O367" s="4">
        <f t="shared" si="182"/>
        <v>0</v>
      </c>
      <c r="P367" s="4">
        <f t="shared" si="183"/>
        <v>0</v>
      </c>
      <c r="Q367" s="4">
        <f t="shared" si="184"/>
        <v>0</v>
      </c>
      <c r="R367" s="4">
        <f t="shared" si="185"/>
        <v>0</v>
      </c>
      <c r="S367" s="4">
        <f>IF(AND(VLOOKUP(G367,Dados!$D:$L,2,0)=VLOOKUP(I367,Dados!$S:$V,2,0),VLOOKUP(G367,Dados!$D:$L,3,0)=VLOOKUP(I367,Dados!$S:$V,3,0)),0,1)</f>
        <v>0</v>
      </c>
      <c r="T367" s="4">
        <f>IF(AND(VLOOKUP(G367,Dados!$D:$L,3,0)&lt;=VLOOKUP(H367,Dados!$X:$AB,2,0),VLOOKUP(G367,Dados!$D:$L,4,0)&gt;=VLOOKUP(H367,Dados!$X:$AB,3,0),VLOOKUP(G367,Dados!$D:$L,4,0)&lt;=VLOOKUP(H367,Dados!$X:$AB,4,0)),0,1)</f>
        <v>0</v>
      </c>
      <c r="U367" s="4">
        <f>IF(COUNTIFS(F:F,F367,H:H,H367)&lt;=VLOOKUP(H367,Dados!$X:$AB,5,0),0,1)</f>
        <v>0</v>
      </c>
    </row>
    <row r="368" spans="6:21">
      <c r="F368" s="4">
        <v>257</v>
      </c>
      <c r="G368" s="4">
        <v>11</v>
      </c>
      <c r="H368" s="4">
        <v>3</v>
      </c>
      <c r="I368" s="4">
        <v>4</v>
      </c>
      <c r="J368" s="4">
        <v>1</v>
      </c>
      <c r="K368" s="4">
        <f t="shared" si="186"/>
        <v>0</v>
      </c>
      <c r="L368" s="4">
        <f t="shared" si="186"/>
        <v>0</v>
      </c>
      <c r="M368" s="4">
        <f t="shared" si="186"/>
        <v>0</v>
      </c>
      <c r="N368" s="4">
        <f t="shared" si="186"/>
        <v>0</v>
      </c>
      <c r="O368" s="4">
        <f t="shared" si="182"/>
        <v>0</v>
      </c>
      <c r="P368" s="4">
        <f t="shared" si="183"/>
        <v>0</v>
      </c>
      <c r="Q368" s="4">
        <f t="shared" si="184"/>
        <v>0</v>
      </c>
      <c r="R368" s="4">
        <f t="shared" si="185"/>
        <v>0</v>
      </c>
      <c r="S368" s="4">
        <f>IF(AND(VLOOKUP(G368,Dados!$D:$L,2,0)=VLOOKUP(I368,Dados!$S:$V,2,0),VLOOKUP(G368,Dados!$D:$L,3,0)=VLOOKUP(I368,Dados!$S:$V,3,0)),0,1)</f>
        <v>0</v>
      </c>
      <c r="T368" s="4">
        <f>IF(AND(VLOOKUP(G368,Dados!$D:$L,3,0)&lt;=VLOOKUP(H368,Dados!$X:$AB,2,0),VLOOKUP(G368,Dados!$D:$L,4,0)&gt;=VLOOKUP(H368,Dados!$X:$AB,3,0),VLOOKUP(G368,Dados!$D:$L,4,0)&lt;=VLOOKUP(H368,Dados!$X:$AB,4,0)),0,1)</f>
        <v>0</v>
      </c>
      <c r="U368" s="4">
        <f>IF(COUNTIFS(F:F,F368,H:H,H368)&lt;=VLOOKUP(H368,Dados!$X:$AB,5,0),0,1)</f>
        <v>0</v>
      </c>
    </row>
    <row r="369" spans="6:21">
      <c r="F369" s="4">
        <v>258</v>
      </c>
      <c r="G369" s="4">
        <v>10</v>
      </c>
      <c r="H369" s="4">
        <v>1</v>
      </c>
      <c r="I369" s="4">
        <v>5</v>
      </c>
      <c r="J369" s="4">
        <v>7</v>
      </c>
      <c r="K369" s="4">
        <f t="shared" si="186"/>
        <v>0</v>
      </c>
      <c r="L369" s="4">
        <f t="shared" si="186"/>
        <v>0</v>
      </c>
      <c r="M369" s="4">
        <f t="shared" si="186"/>
        <v>0</v>
      </c>
      <c r="N369" s="4">
        <f t="shared" si="186"/>
        <v>0</v>
      </c>
      <c r="O369" s="4">
        <f t="shared" si="182"/>
        <v>0</v>
      </c>
      <c r="P369" s="4">
        <f t="shared" si="183"/>
        <v>0</v>
      </c>
      <c r="Q369" s="4">
        <f t="shared" si="184"/>
        <v>0</v>
      </c>
      <c r="R369" s="4">
        <f t="shared" si="185"/>
        <v>0</v>
      </c>
      <c r="S369" s="4">
        <f>IF(AND(VLOOKUP(G369,Dados!$D:$L,2,0)=VLOOKUP(I369,Dados!$S:$V,2,0),VLOOKUP(G369,Dados!$D:$L,3,0)=VLOOKUP(I369,Dados!$S:$V,3,0)),0,1)</f>
        <v>0</v>
      </c>
      <c r="T369" s="4">
        <f>IF(AND(VLOOKUP(G369,Dados!$D:$L,3,0)&lt;=VLOOKUP(H369,Dados!$X:$AB,2,0),VLOOKUP(G369,Dados!$D:$L,4,0)&gt;=VLOOKUP(H369,Dados!$X:$AB,3,0),VLOOKUP(G369,Dados!$D:$L,4,0)&lt;=VLOOKUP(H369,Dados!$X:$AB,4,0)),0,1)</f>
        <v>0</v>
      </c>
      <c r="U369" s="4">
        <f>IF(COUNTIFS(F:F,F369,H:H,H369)&lt;=VLOOKUP(H369,Dados!$X:$AB,5,0),0,1)</f>
        <v>0</v>
      </c>
    </row>
    <row r="370" spans="6:21">
      <c r="F370" s="4">
        <v>259</v>
      </c>
      <c r="G370" s="4">
        <v>10</v>
      </c>
      <c r="H370" s="4">
        <v>2</v>
      </c>
      <c r="I370" s="4">
        <v>5</v>
      </c>
      <c r="J370" s="4">
        <v>7</v>
      </c>
      <c r="K370" s="4">
        <f t="shared" si="186"/>
        <v>0</v>
      </c>
      <c r="L370" s="4">
        <f t="shared" si="186"/>
        <v>3</v>
      </c>
      <c r="M370" s="4">
        <f t="shared" si="186"/>
        <v>1</v>
      </c>
      <c r="N370" s="4">
        <f t="shared" si="186"/>
        <v>0</v>
      </c>
      <c r="O370" s="4">
        <f t="shared" si="182"/>
        <v>0</v>
      </c>
      <c r="P370" s="4">
        <f t="shared" si="183"/>
        <v>21</v>
      </c>
      <c r="Q370" s="4">
        <f t="shared" si="184"/>
        <v>7</v>
      </c>
      <c r="R370" s="4">
        <f t="shared" si="185"/>
        <v>0</v>
      </c>
      <c r="S370" s="4">
        <f>IF(AND(VLOOKUP(G370,Dados!$D:$L,2,0)=VLOOKUP(I370,Dados!$S:$V,2,0),VLOOKUP(G370,Dados!$D:$L,3,0)=VLOOKUP(I370,Dados!$S:$V,3,0)),0,1)</f>
        <v>0</v>
      </c>
      <c r="T370" s="4">
        <f>IF(AND(VLOOKUP(G370,Dados!$D:$L,3,0)&lt;=VLOOKUP(H370,Dados!$X:$AB,2,0),VLOOKUP(G370,Dados!$D:$L,4,0)&gt;=VLOOKUP(H370,Dados!$X:$AB,3,0),VLOOKUP(G370,Dados!$D:$L,4,0)&lt;=VLOOKUP(H370,Dados!$X:$AB,4,0)),0,1)</f>
        <v>0</v>
      </c>
      <c r="U370" s="4">
        <f>IF(COUNTIFS(F:F,F370,H:H,H370)&lt;=VLOOKUP(H370,Dados!$X:$AB,5,0),0,1)</f>
        <v>0</v>
      </c>
    </row>
    <row r="371" spans="6:21">
      <c r="F371" s="4">
        <v>260</v>
      </c>
      <c r="G371" s="4">
        <v>10</v>
      </c>
      <c r="H371" s="4">
        <v>3</v>
      </c>
      <c r="I371" s="4">
        <v>5</v>
      </c>
      <c r="J371" s="4">
        <v>7</v>
      </c>
      <c r="K371" s="4">
        <f t="shared" si="186"/>
        <v>0</v>
      </c>
      <c r="L371" s="4">
        <f t="shared" si="186"/>
        <v>0</v>
      </c>
      <c r="M371" s="4">
        <f t="shared" si="186"/>
        <v>0</v>
      </c>
      <c r="N371" s="4">
        <f t="shared" si="186"/>
        <v>0</v>
      </c>
      <c r="O371" s="4">
        <f t="shared" si="182"/>
        <v>0</v>
      </c>
      <c r="P371" s="4">
        <f t="shared" si="183"/>
        <v>0</v>
      </c>
      <c r="Q371" s="4">
        <f t="shared" si="184"/>
        <v>0</v>
      </c>
      <c r="R371" s="4">
        <f t="shared" si="185"/>
        <v>0</v>
      </c>
      <c r="S371" s="4">
        <f>IF(AND(VLOOKUP(G371,Dados!$D:$L,2,0)=VLOOKUP(I371,Dados!$S:$V,2,0),VLOOKUP(G371,Dados!$D:$L,3,0)=VLOOKUP(I371,Dados!$S:$V,3,0)),0,1)</f>
        <v>0</v>
      </c>
      <c r="T371" s="4">
        <f>IF(AND(VLOOKUP(G371,Dados!$D:$L,3,0)&lt;=VLOOKUP(H371,Dados!$X:$AB,2,0),VLOOKUP(G371,Dados!$D:$L,4,0)&gt;=VLOOKUP(H371,Dados!$X:$AB,3,0),VLOOKUP(G371,Dados!$D:$L,4,0)&lt;=VLOOKUP(H371,Dados!$X:$AB,4,0)),0,1)</f>
        <v>0</v>
      </c>
      <c r="U371" s="4">
        <f>IF(COUNTIFS(F:F,F371,H:H,H371)&lt;=VLOOKUP(H371,Dados!$X:$AB,5,0),0,1)</f>
        <v>0</v>
      </c>
    </row>
    <row r="372" spans="6:21">
      <c r="F372" s="4">
        <v>261</v>
      </c>
      <c r="G372" s="4">
        <v>10</v>
      </c>
      <c r="H372" s="4">
        <v>1</v>
      </c>
      <c r="I372" s="4">
        <v>6</v>
      </c>
      <c r="J372" s="4">
        <v>7</v>
      </c>
      <c r="K372" s="4">
        <f t="shared" si="186"/>
        <v>0</v>
      </c>
      <c r="L372" s="4">
        <f t="shared" si="186"/>
        <v>0</v>
      </c>
      <c r="M372" s="4">
        <f t="shared" si="186"/>
        <v>0</v>
      </c>
      <c r="N372" s="4">
        <f t="shared" si="186"/>
        <v>0</v>
      </c>
      <c r="O372" s="4">
        <f t="shared" si="182"/>
        <v>0</v>
      </c>
      <c r="P372" s="4">
        <f t="shared" si="183"/>
        <v>0</v>
      </c>
      <c r="Q372" s="4">
        <f t="shared" si="184"/>
        <v>0</v>
      </c>
      <c r="R372" s="4">
        <f t="shared" si="185"/>
        <v>0</v>
      </c>
      <c r="S372" s="4">
        <f>IF(AND(VLOOKUP(G372,Dados!$D:$L,2,0)=VLOOKUP(I372,Dados!$S:$V,2,0),VLOOKUP(G372,Dados!$D:$L,3,0)=VLOOKUP(I372,Dados!$S:$V,3,0)),0,1)</f>
        <v>0</v>
      </c>
      <c r="T372" s="4">
        <f>IF(AND(VLOOKUP(G372,Dados!$D:$L,3,0)&lt;=VLOOKUP(H372,Dados!$X:$AB,2,0),VLOOKUP(G372,Dados!$D:$L,4,0)&gt;=VLOOKUP(H372,Dados!$X:$AB,3,0),VLOOKUP(G372,Dados!$D:$L,4,0)&lt;=VLOOKUP(H372,Dados!$X:$AB,4,0)),0,1)</f>
        <v>0</v>
      </c>
      <c r="U372" s="4">
        <f>IF(COUNTIFS(F:F,F372,H:H,H372)&lt;=VLOOKUP(H372,Dados!$X:$AB,5,0),0,1)</f>
        <v>0</v>
      </c>
    </row>
    <row r="373" spans="6:21">
      <c r="F373" s="4">
        <v>262</v>
      </c>
      <c r="G373" s="4">
        <v>10</v>
      </c>
      <c r="H373" s="4">
        <v>2</v>
      </c>
      <c r="I373" s="4">
        <v>6</v>
      </c>
      <c r="J373" s="4">
        <v>7</v>
      </c>
      <c r="K373" s="4">
        <f t="shared" si="186"/>
        <v>0</v>
      </c>
      <c r="L373" s="4">
        <f t="shared" si="186"/>
        <v>0</v>
      </c>
      <c r="M373" s="4">
        <f t="shared" si="186"/>
        <v>0</v>
      </c>
      <c r="N373" s="4">
        <f t="shared" si="186"/>
        <v>0</v>
      </c>
      <c r="O373" s="4">
        <f t="shared" si="182"/>
        <v>0</v>
      </c>
      <c r="P373" s="4">
        <f t="shared" si="183"/>
        <v>0</v>
      </c>
      <c r="Q373" s="4">
        <f t="shared" si="184"/>
        <v>0</v>
      </c>
      <c r="R373" s="4">
        <f t="shared" si="185"/>
        <v>0</v>
      </c>
      <c r="S373" s="4">
        <f>IF(AND(VLOOKUP(G373,Dados!$D:$L,2,0)=VLOOKUP(I373,Dados!$S:$V,2,0),VLOOKUP(G373,Dados!$D:$L,3,0)=VLOOKUP(I373,Dados!$S:$V,3,0)),0,1)</f>
        <v>0</v>
      </c>
      <c r="T373" s="4">
        <f>IF(AND(VLOOKUP(G373,Dados!$D:$L,3,0)&lt;=VLOOKUP(H373,Dados!$X:$AB,2,0),VLOOKUP(G373,Dados!$D:$L,4,0)&gt;=VLOOKUP(H373,Dados!$X:$AB,3,0),VLOOKUP(G373,Dados!$D:$L,4,0)&lt;=VLOOKUP(H373,Dados!$X:$AB,4,0)),0,1)</f>
        <v>0</v>
      </c>
      <c r="U373" s="4">
        <f>IF(COUNTIFS(F:F,F373,H:H,H373)&lt;=VLOOKUP(H373,Dados!$X:$AB,5,0),0,1)</f>
        <v>0</v>
      </c>
    </row>
    <row r="374" spans="6:21">
      <c r="F374" s="4">
        <v>263</v>
      </c>
      <c r="G374" s="4">
        <v>10</v>
      </c>
      <c r="H374" s="4">
        <v>3</v>
      </c>
      <c r="I374" s="4">
        <v>6</v>
      </c>
      <c r="J374" s="4">
        <v>7</v>
      </c>
      <c r="K374" s="4">
        <f t="shared" si="186"/>
        <v>0</v>
      </c>
      <c r="L374" s="4">
        <f t="shared" si="186"/>
        <v>0</v>
      </c>
      <c r="M374" s="4">
        <f t="shared" si="186"/>
        <v>0</v>
      </c>
      <c r="N374" s="4">
        <f t="shared" si="186"/>
        <v>0</v>
      </c>
      <c r="O374" s="4">
        <f t="shared" si="182"/>
        <v>0</v>
      </c>
      <c r="P374" s="4">
        <f t="shared" si="183"/>
        <v>0</v>
      </c>
      <c r="Q374" s="4">
        <f t="shared" si="184"/>
        <v>0</v>
      </c>
      <c r="R374" s="4">
        <f t="shared" si="185"/>
        <v>0</v>
      </c>
      <c r="S374" s="4">
        <f>IF(AND(VLOOKUP(G374,Dados!$D:$L,2,0)=VLOOKUP(I374,Dados!$S:$V,2,0),VLOOKUP(G374,Dados!$D:$L,3,0)=VLOOKUP(I374,Dados!$S:$V,3,0)),0,1)</f>
        <v>0</v>
      </c>
      <c r="T374" s="4">
        <f>IF(AND(VLOOKUP(G374,Dados!$D:$L,3,0)&lt;=VLOOKUP(H374,Dados!$X:$AB,2,0),VLOOKUP(G374,Dados!$D:$L,4,0)&gt;=VLOOKUP(H374,Dados!$X:$AB,3,0),VLOOKUP(G374,Dados!$D:$L,4,0)&lt;=VLOOKUP(H374,Dados!$X:$AB,4,0)),0,1)</f>
        <v>0</v>
      </c>
      <c r="U374" s="4">
        <f>IF(COUNTIFS(F:F,F374,H:H,H374)&lt;=VLOOKUP(H374,Dados!$X:$AB,5,0),0,1)</f>
        <v>0</v>
      </c>
    </row>
    <row r="375" spans="6:21">
      <c r="F375" s="4">
        <v>264</v>
      </c>
      <c r="G375" s="4">
        <v>10</v>
      </c>
      <c r="H375" s="4">
        <v>1</v>
      </c>
      <c r="I375" s="4">
        <v>7</v>
      </c>
      <c r="J375" s="4">
        <v>6</v>
      </c>
      <c r="K375" s="4">
        <f t="shared" si="186"/>
        <v>0</v>
      </c>
      <c r="L375" s="4">
        <f t="shared" si="186"/>
        <v>0</v>
      </c>
      <c r="M375" s="4">
        <f t="shared" si="186"/>
        <v>0</v>
      </c>
      <c r="N375" s="4">
        <f t="shared" si="186"/>
        <v>0</v>
      </c>
      <c r="O375" s="4">
        <f t="shared" si="182"/>
        <v>0</v>
      </c>
      <c r="P375" s="4">
        <f t="shared" si="183"/>
        <v>0</v>
      </c>
      <c r="Q375" s="4">
        <f t="shared" si="184"/>
        <v>0</v>
      </c>
      <c r="R375" s="4">
        <f t="shared" si="185"/>
        <v>0</v>
      </c>
      <c r="S375" s="4">
        <f>IF(AND(VLOOKUP(G375,Dados!$D:$L,2,0)=VLOOKUP(I375,Dados!$S:$V,2,0),VLOOKUP(G375,Dados!$D:$L,3,0)=VLOOKUP(I375,Dados!$S:$V,3,0)),0,1)</f>
        <v>0</v>
      </c>
      <c r="T375" s="4">
        <f>IF(AND(VLOOKUP(G375,Dados!$D:$L,3,0)&lt;=VLOOKUP(H375,Dados!$X:$AB,2,0),VLOOKUP(G375,Dados!$D:$L,4,0)&gt;=VLOOKUP(H375,Dados!$X:$AB,3,0),VLOOKUP(G375,Dados!$D:$L,4,0)&lt;=VLOOKUP(H375,Dados!$X:$AB,4,0)),0,1)</f>
        <v>0</v>
      </c>
      <c r="U375" s="4">
        <f>IF(COUNTIFS(F:F,F375,H:H,H375)&lt;=VLOOKUP(H375,Dados!$X:$AB,5,0),0,1)</f>
        <v>0</v>
      </c>
    </row>
    <row r="376" spans="6:21">
      <c r="F376" s="4">
        <v>265</v>
      </c>
      <c r="G376" s="4">
        <v>10</v>
      </c>
      <c r="H376" s="4">
        <v>2</v>
      </c>
      <c r="I376" s="4">
        <v>7</v>
      </c>
      <c r="J376" s="4">
        <v>6</v>
      </c>
      <c r="K376" s="4">
        <f t="shared" si="186"/>
        <v>0</v>
      </c>
      <c r="L376" s="4">
        <f t="shared" si="186"/>
        <v>0</v>
      </c>
      <c r="M376" s="4">
        <f t="shared" si="186"/>
        <v>0</v>
      </c>
      <c r="N376" s="4">
        <f t="shared" si="186"/>
        <v>0</v>
      </c>
      <c r="O376" s="4">
        <f t="shared" si="182"/>
        <v>0</v>
      </c>
      <c r="P376" s="4">
        <f t="shared" si="183"/>
        <v>0</v>
      </c>
      <c r="Q376" s="4">
        <f t="shared" si="184"/>
        <v>0</v>
      </c>
      <c r="R376" s="4">
        <f t="shared" si="185"/>
        <v>0</v>
      </c>
      <c r="S376" s="4">
        <f>IF(AND(VLOOKUP(G376,Dados!$D:$L,2,0)=VLOOKUP(I376,Dados!$S:$V,2,0),VLOOKUP(G376,Dados!$D:$L,3,0)=VLOOKUP(I376,Dados!$S:$V,3,0)),0,1)</f>
        <v>0</v>
      </c>
      <c r="T376" s="4">
        <f>IF(AND(VLOOKUP(G376,Dados!$D:$L,3,0)&lt;=VLOOKUP(H376,Dados!$X:$AB,2,0),VLOOKUP(G376,Dados!$D:$L,4,0)&gt;=VLOOKUP(H376,Dados!$X:$AB,3,0),VLOOKUP(G376,Dados!$D:$L,4,0)&lt;=VLOOKUP(H376,Dados!$X:$AB,4,0)),0,1)</f>
        <v>0</v>
      </c>
      <c r="U376" s="4">
        <f>IF(COUNTIFS(F:F,F376,H:H,H376)&lt;=VLOOKUP(H376,Dados!$X:$AB,5,0),0,1)</f>
        <v>0</v>
      </c>
    </row>
    <row r="377" spans="6:21">
      <c r="F377" s="4">
        <v>266</v>
      </c>
      <c r="G377" s="4">
        <v>10</v>
      </c>
      <c r="H377" s="4">
        <v>3</v>
      </c>
      <c r="I377" s="4">
        <v>7</v>
      </c>
      <c r="J377" s="4">
        <v>6</v>
      </c>
      <c r="K377" s="4">
        <f t="shared" si="186"/>
        <v>0</v>
      </c>
      <c r="L377" s="4">
        <f t="shared" si="186"/>
        <v>0</v>
      </c>
      <c r="M377" s="4">
        <f t="shared" si="186"/>
        <v>0</v>
      </c>
      <c r="N377" s="4">
        <f t="shared" si="186"/>
        <v>0</v>
      </c>
      <c r="O377" s="4">
        <f t="shared" si="182"/>
        <v>0</v>
      </c>
      <c r="P377" s="4">
        <f t="shared" si="183"/>
        <v>0</v>
      </c>
      <c r="Q377" s="4">
        <f t="shared" si="184"/>
        <v>0</v>
      </c>
      <c r="R377" s="4">
        <f t="shared" si="185"/>
        <v>0</v>
      </c>
      <c r="S377" s="4">
        <f>IF(AND(VLOOKUP(G377,Dados!$D:$L,2,0)=VLOOKUP(I377,Dados!$S:$V,2,0),VLOOKUP(G377,Dados!$D:$L,3,0)=VLOOKUP(I377,Dados!$S:$V,3,0)),0,1)</f>
        <v>0</v>
      </c>
      <c r="T377" s="4">
        <f>IF(AND(VLOOKUP(G377,Dados!$D:$L,3,0)&lt;=VLOOKUP(H377,Dados!$X:$AB,2,0),VLOOKUP(G377,Dados!$D:$L,4,0)&gt;=VLOOKUP(H377,Dados!$X:$AB,3,0),VLOOKUP(G377,Dados!$D:$L,4,0)&lt;=VLOOKUP(H377,Dados!$X:$AB,4,0)),0,1)</f>
        <v>0</v>
      </c>
      <c r="U377" s="4">
        <f>IF(COUNTIFS(F:F,F377,H:H,H377)&lt;=VLOOKUP(H377,Dados!$X:$AB,5,0),0,1)</f>
        <v>0</v>
      </c>
    </row>
    <row r="378" spans="6:21">
      <c r="F378" s="4">
        <v>267</v>
      </c>
      <c r="G378" s="4">
        <v>13</v>
      </c>
      <c r="H378" s="4">
        <v>1</v>
      </c>
      <c r="I378" s="4">
        <v>8</v>
      </c>
      <c r="J378" s="4">
        <v>8</v>
      </c>
      <c r="K378" s="4">
        <f t="shared" si="186"/>
        <v>0</v>
      </c>
      <c r="L378" s="4">
        <f t="shared" si="186"/>
        <v>0</v>
      </c>
      <c r="M378" s="4">
        <f t="shared" si="186"/>
        <v>0</v>
      </c>
      <c r="N378" s="4">
        <f t="shared" si="186"/>
        <v>1</v>
      </c>
      <c r="O378" s="4">
        <f t="shared" si="182"/>
        <v>0</v>
      </c>
      <c r="P378" s="4">
        <f t="shared" si="183"/>
        <v>0</v>
      </c>
      <c r="Q378" s="4">
        <f t="shared" si="184"/>
        <v>0</v>
      </c>
      <c r="R378" s="4">
        <f t="shared" si="185"/>
        <v>8</v>
      </c>
      <c r="S378" s="4">
        <f>IF(AND(VLOOKUP(G378,Dados!$D:$L,2,0)=VLOOKUP(I378,Dados!$S:$V,2,0),VLOOKUP(G378,Dados!$D:$L,3,0)=VLOOKUP(I378,Dados!$S:$V,3,0)),0,1)</f>
        <v>0</v>
      </c>
      <c r="T378" s="4">
        <f>IF(AND(VLOOKUP(G378,Dados!$D:$L,3,0)&lt;=VLOOKUP(H378,Dados!$X:$AB,2,0),VLOOKUP(G378,Dados!$D:$L,4,0)&gt;=VLOOKUP(H378,Dados!$X:$AB,3,0),VLOOKUP(G378,Dados!$D:$L,4,0)&lt;=VLOOKUP(H378,Dados!$X:$AB,4,0)),0,1)</f>
        <v>0</v>
      </c>
      <c r="U378" s="4">
        <f>IF(COUNTIFS(F:F,F378,H:H,H378)&lt;=VLOOKUP(H378,Dados!$X:$AB,5,0),0,1)</f>
        <v>0</v>
      </c>
    </row>
    <row r="379" spans="6:21">
      <c r="F379" s="4">
        <v>267</v>
      </c>
      <c r="G379" s="4">
        <v>16</v>
      </c>
      <c r="H379" s="4">
        <v>1</v>
      </c>
      <c r="I379" s="4">
        <v>8</v>
      </c>
      <c r="J379" s="4">
        <v>1</v>
      </c>
      <c r="K379" s="4">
        <f t="shared" si="186"/>
        <v>0</v>
      </c>
      <c r="L379" s="4">
        <f t="shared" si="186"/>
        <v>0</v>
      </c>
      <c r="M379" s="4">
        <f t="shared" si="186"/>
        <v>0</v>
      </c>
      <c r="N379" s="4">
        <f t="shared" si="186"/>
        <v>1</v>
      </c>
      <c r="O379" s="4">
        <f t="shared" si="182"/>
        <v>0</v>
      </c>
      <c r="P379" s="4">
        <f t="shared" si="183"/>
        <v>0</v>
      </c>
      <c r="Q379" s="4">
        <f t="shared" si="184"/>
        <v>0</v>
      </c>
      <c r="R379" s="4">
        <f t="shared" si="185"/>
        <v>1</v>
      </c>
      <c r="S379" s="4">
        <f>IF(AND(VLOOKUP(G379,Dados!$D:$L,2,0)=VLOOKUP(I379,Dados!$S:$V,2,0),VLOOKUP(G379,Dados!$D:$L,3,0)=VLOOKUP(I379,Dados!$S:$V,3,0)),0,1)</f>
        <v>0</v>
      </c>
      <c r="T379" s="4">
        <f>IF(AND(VLOOKUP(G379,Dados!$D:$L,3,0)&lt;=VLOOKUP(H379,Dados!$X:$AB,2,0),VLOOKUP(G379,Dados!$D:$L,4,0)&gt;=VLOOKUP(H379,Dados!$X:$AB,3,0),VLOOKUP(G379,Dados!$D:$L,4,0)&lt;=VLOOKUP(H379,Dados!$X:$AB,4,0)),0,1)</f>
        <v>0</v>
      </c>
      <c r="U379" s="4">
        <f>IF(COUNTIFS(F:F,F379,H:H,H379)&lt;=VLOOKUP(H379,Dados!$X:$AB,5,0),0,1)</f>
        <v>0</v>
      </c>
    </row>
    <row r="380" spans="6:21">
      <c r="F380" s="4">
        <v>268</v>
      </c>
      <c r="G380" s="4">
        <v>13</v>
      </c>
      <c r="H380" s="4">
        <v>3</v>
      </c>
      <c r="I380" s="4">
        <v>8</v>
      </c>
      <c r="J380" s="4">
        <v>8</v>
      </c>
      <c r="K380" s="4">
        <f t="shared" si="186"/>
        <v>0</v>
      </c>
      <c r="L380" s="4">
        <f t="shared" si="186"/>
        <v>4</v>
      </c>
      <c r="M380" s="4">
        <f t="shared" si="186"/>
        <v>0</v>
      </c>
      <c r="N380" s="4">
        <f t="shared" si="186"/>
        <v>0</v>
      </c>
      <c r="O380" s="4">
        <f t="shared" si="182"/>
        <v>0</v>
      </c>
      <c r="P380" s="4">
        <f t="shared" si="183"/>
        <v>32</v>
      </c>
      <c r="Q380" s="4">
        <f t="shared" si="184"/>
        <v>0</v>
      </c>
      <c r="R380" s="4">
        <f t="shared" si="185"/>
        <v>0</v>
      </c>
      <c r="S380" s="4">
        <f>IF(AND(VLOOKUP(G380,Dados!$D:$L,2,0)=VLOOKUP(I380,Dados!$S:$V,2,0),VLOOKUP(G380,Dados!$D:$L,3,0)=VLOOKUP(I380,Dados!$S:$V,3,0)),0,1)</f>
        <v>0</v>
      </c>
      <c r="T380" s="4">
        <f>IF(AND(VLOOKUP(G380,Dados!$D:$L,3,0)&lt;=VLOOKUP(H380,Dados!$X:$AB,2,0),VLOOKUP(G380,Dados!$D:$L,4,0)&gt;=VLOOKUP(H380,Dados!$X:$AB,3,0),VLOOKUP(G380,Dados!$D:$L,4,0)&lt;=VLOOKUP(H380,Dados!$X:$AB,4,0)),0,1)</f>
        <v>0</v>
      </c>
      <c r="U380" s="4">
        <f>IF(COUNTIFS(F:F,F380,H:H,H380)&lt;=VLOOKUP(H380,Dados!$X:$AB,5,0),0,1)</f>
        <v>0</v>
      </c>
    </row>
    <row r="381" spans="6:21">
      <c r="F381" s="4">
        <v>268</v>
      </c>
      <c r="G381" s="4">
        <v>16</v>
      </c>
      <c r="H381" s="4">
        <v>3</v>
      </c>
      <c r="I381" s="4">
        <v>8</v>
      </c>
      <c r="J381" s="4">
        <v>1</v>
      </c>
      <c r="K381" s="4">
        <f t="shared" si="186"/>
        <v>0</v>
      </c>
      <c r="L381" s="4">
        <f t="shared" si="186"/>
        <v>4</v>
      </c>
      <c r="M381" s="4">
        <f t="shared" si="186"/>
        <v>0</v>
      </c>
      <c r="N381" s="4">
        <f t="shared" si="186"/>
        <v>0</v>
      </c>
      <c r="O381" s="4">
        <f t="shared" si="182"/>
        <v>0</v>
      </c>
      <c r="P381" s="4">
        <f t="shared" si="183"/>
        <v>4</v>
      </c>
      <c r="Q381" s="4">
        <f t="shared" si="184"/>
        <v>0</v>
      </c>
      <c r="R381" s="4">
        <f t="shared" si="185"/>
        <v>0</v>
      </c>
      <c r="S381" s="4">
        <f>IF(AND(VLOOKUP(G381,Dados!$D:$L,2,0)=VLOOKUP(I381,Dados!$S:$V,2,0),VLOOKUP(G381,Dados!$D:$L,3,0)=VLOOKUP(I381,Dados!$S:$V,3,0)),0,1)</f>
        <v>0</v>
      </c>
      <c r="T381" s="4">
        <f>IF(AND(VLOOKUP(G381,Dados!$D:$L,3,0)&lt;=VLOOKUP(H381,Dados!$X:$AB,2,0),VLOOKUP(G381,Dados!$D:$L,4,0)&gt;=VLOOKUP(H381,Dados!$X:$AB,3,0),VLOOKUP(G381,Dados!$D:$L,4,0)&lt;=VLOOKUP(H381,Dados!$X:$AB,4,0)),0,1)</f>
        <v>0</v>
      </c>
      <c r="U381" s="4">
        <f>IF(COUNTIFS(F:F,F381,H:H,H381)&lt;=VLOOKUP(H381,Dados!$X:$AB,5,0),0,1)</f>
        <v>0</v>
      </c>
    </row>
    <row r="382" spans="6:21">
      <c r="F382" s="4">
        <v>269</v>
      </c>
      <c r="G382" s="4">
        <v>13</v>
      </c>
      <c r="H382" s="4">
        <v>1</v>
      </c>
      <c r="I382" s="4">
        <v>9</v>
      </c>
      <c r="J382" s="4">
        <v>8</v>
      </c>
      <c r="K382" s="4">
        <f t="shared" si="186"/>
        <v>0</v>
      </c>
      <c r="L382" s="4">
        <f t="shared" si="186"/>
        <v>0</v>
      </c>
      <c r="M382" s="4">
        <f t="shared" si="186"/>
        <v>0</v>
      </c>
      <c r="N382" s="4">
        <f t="shared" si="186"/>
        <v>2</v>
      </c>
      <c r="O382" s="4">
        <f t="shared" si="182"/>
        <v>0</v>
      </c>
      <c r="P382" s="4">
        <f t="shared" si="183"/>
        <v>0</v>
      </c>
      <c r="Q382" s="4">
        <f t="shared" si="184"/>
        <v>0</v>
      </c>
      <c r="R382" s="4">
        <f t="shared" si="185"/>
        <v>16</v>
      </c>
      <c r="S382" s="4">
        <f>IF(AND(VLOOKUP(G382,Dados!$D:$L,2,0)=VLOOKUP(I382,Dados!$S:$V,2,0),VLOOKUP(G382,Dados!$D:$L,3,0)=VLOOKUP(I382,Dados!$S:$V,3,0)),0,1)</f>
        <v>0</v>
      </c>
      <c r="T382" s="4">
        <f>IF(AND(VLOOKUP(G382,Dados!$D:$L,3,0)&lt;=VLOOKUP(H382,Dados!$X:$AB,2,0),VLOOKUP(G382,Dados!$D:$L,4,0)&gt;=VLOOKUP(H382,Dados!$X:$AB,3,0),VLOOKUP(G382,Dados!$D:$L,4,0)&lt;=VLOOKUP(H382,Dados!$X:$AB,4,0)),0,1)</f>
        <v>0</v>
      </c>
      <c r="U382" s="4">
        <f>IF(COUNTIFS(F:F,F382,H:H,H382)&lt;=VLOOKUP(H382,Dados!$X:$AB,5,0),0,1)</f>
        <v>0</v>
      </c>
    </row>
    <row r="383" spans="6:21">
      <c r="F383" s="4">
        <v>269</v>
      </c>
      <c r="G383" s="4">
        <v>15</v>
      </c>
      <c r="H383" s="4">
        <v>1</v>
      </c>
      <c r="I383" s="4">
        <v>9</v>
      </c>
      <c r="J383" s="4">
        <v>1</v>
      </c>
      <c r="K383" s="4">
        <f t="shared" si="186"/>
        <v>0</v>
      </c>
      <c r="L383" s="4">
        <f t="shared" si="186"/>
        <v>0</v>
      </c>
      <c r="M383" s="4">
        <f t="shared" si="186"/>
        <v>0</v>
      </c>
      <c r="N383" s="4">
        <f t="shared" si="186"/>
        <v>2</v>
      </c>
      <c r="O383" s="4">
        <f t="shared" si="182"/>
        <v>0</v>
      </c>
      <c r="P383" s="4">
        <f t="shared" si="183"/>
        <v>0</v>
      </c>
      <c r="Q383" s="4">
        <f t="shared" si="184"/>
        <v>0</v>
      </c>
      <c r="R383" s="4">
        <f t="shared" si="185"/>
        <v>2</v>
      </c>
      <c r="S383" s="4">
        <f>IF(AND(VLOOKUP(G383,Dados!$D:$L,2,0)=VLOOKUP(I383,Dados!$S:$V,2,0),VLOOKUP(G383,Dados!$D:$L,3,0)=VLOOKUP(I383,Dados!$S:$V,3,0)),0,1)</f>
        <v>0</v>
      </c>
      <c r="T383" s="4">
        <f>IF(AND(VLOOKUP(G383,Dados!$D:$L,3,0)&lt;=VLOOKUP(H383,Dados!$X:$AB,2,0),VLOOKUP(G383,Dados!$D:$L,4,0)&gt;=VLOOKUP(H383,Dados!$X:$AB,3,0),VLOOKUP(G383,Dados!$D:$L,4,0)&lt;=VLOOKUP(H383,Dados!$X:$AB,4,0)),0,1)</f>
        <v>0</v>
      </c>
      <c r="U383" s="4">
        <f>IF(COUNTIFS(F:F,F383,H:H,H383)&lt;=VLOOKUP(H383,Dados!$X:$AB,5,0),0,1)</f>
        <v>0</v>
      </c>
    </row>
    <row r="384" spans="6:21">
      <c r="F384" s="4">
        <v>270</v>
      </c>
      <c r="G384" s="4">
        <v>13</v>
      </c>
      <c r="H384" s="4">
        <v>3</v>
      </c>
      <c r="I384" s="4">
        <v>9</v>
      </c>
      <c r="J384" s="4">
        <v>8</v>
      </c>
      <c r="K384" s="4">
        <f t="shared" si="186"/>
        <v>0</v>
      </c>
      <c r="L384" s="4">
        <f t="shared" si="186"/>
        <v>0</v>
      </c>
      <c r="M384" s="4">
        <f t="shared" si="186"/>
        <v>0</v>
      </c>
      <c r="N384" s="4">
        <f t="shared" si="186"/>
        <v>0</v>
      </c>
      <c r="O384" s="4">
        <f t="shared" si="182"/>
        <v>0</v>
      </c>
      <c r="P384" s="4">
        <f t="shared" si="183"/>
        <v>0</v>
      </c>
      <c r="Q384" s="4">
        <f t="shared" si="184"/>
        <v>0</v>
      </c>
      <c r="R384" s="4">
        <f t="shared" si="185"/>
        <v>0</v>
      </c>
      <c r="S384" s="4">
        <f>IF(AND(VLOOKUP(G384,Dados!$D:$L,2,0)=VLOOKUP(I384,Dados!$S:$V,2,0),VLOOKUP(G384,Dados!$D:$L,3,0)=VLOOKUP(I384,Dados!$S:$V,3,0)),0,1)</f>
        <v>0</v>
      </c>
      <c r="T384" s="4">
        <f>IF(AND(VLOOKUP(G384,Dados!$D:$L,3,0)&lt;=VLOOKUP(H384,Dados!$X:$AB,2,0),VLOOKUP(G384,Dados!$D:$L,4,0)&gt;=VLOOKUP(H384,Dados!$X:$AB,3,0),VLOOKUP(G384,Dados!$D:$L,4,0)&lt;=VLOOKUP(H384,Dados!$X:$AB,4,0)),0,1)</f>
        <v>0</v>
      </c>
      <c r="U384" s="4">
        <f>IF(COUNTIFS(F:F,F384,H:H,H384)&lt;=VLOOKUP(H384,Dados!$X:$AB,5,0),0,1)</f>
        <v>0</v>
      </c>
    </row>
    <row r="385" spans="6:21">
      <c r="F385" s="4">
        <v>270</v>
      </c>
      <c r="G385" s="4">
        <v>15</v>
      </c>
      <c r="H385" s="4">
        <v>3</v>
      </c>
      <c r="I385" s="4">
        <v>9</v>
      </c>
      <c r="J385" s="4">
        <v>1</v>
      </c>
      <c r="K385" s="4">
        <f t="shared" si="186"/>
        <v>0</v>
      </c>
      <c r="L385" s="4">
        <f t="shared" si="186"/>
        <v>0</v>
      </c>
      <c r="M385" s="4">
        <f t="shared" si="186"/>
        <v>0</v>
      </c>
      <c r="N385" s="4">
        <f t="shared" si="186"/>
        <v>0</v>
      </c>
      <c r="O385" s="4">
        <f t="shared" si="182"/>
        <v>0</v>
      </c>
      <c r="P385" s="4">
        <f t="shared" si="183"/>
        <v>0</v>
      </c>
      <c r="Q385" s="4">
        <f t="shared" si="184"/>
        <v>0</v>
      </c>
      <c r="R385" s="4">
        <f t="shared" si="185"/>
        <v>0</v>
      </c>
      <c r="S385" s="4">
        <f>IF(AND(VLOOKUP(G385,Dados!$D:$L,2,0)=VLOOKUP(I385,Dados!$S:$V,2,0),VLOOKUP(G385,Dados!$D:$L,3,0)=VLOOKUP(I385,Dados!$S:$V,3,0)),0,1)</f>
        <v>0</v>
      </c>
      <c r="T385" s="4">
        <f>IF(AND(VLOOKUP(G385,Dados!$D:$L,3,0)&lt;=VLOOKUP(H385,Dados!$X:$AB,2,0),VLOOKUP(G385,Dados!$D:$L,4,0)&gt;=VLOOKUP(H385,Dados!$X:$AB,3,0),VLOOKUP(G385,Dados!$D:$L,4,0)&lt;=VLOOKUP(H385,Dados!$X:$AB,4,0)),0,1)</f>
        <v>0</v>
      </c>
      <c r="U385" s="4">
        <f>IF(COUNTIFS(F:F,F385,H:H,H385)&lt;=VLOOKUP(H385,Dados!$X:$AB,5,0),0,1)</f>
        <v>0</v>
      </c>
    </row>
    <row r="386" spans="6:21">
      <c r="F386" s="4">
        <v>271</v>
      </c>
      <c r="G386" s="4">
        <v>13</v>
      </c>
      <c r="H386" s="4">
        <v>1</v>
      </c>
      <c r="I386" s="4">
        <v>10</v>
      </c>
      <c r="J386" s="4">
        <v>6</v>
      </c>
      <c r="K386" s="4">
        <f t="shared" si="186"/>
        <v>0</v>
      </c>
      <c r="L386" s="4">
        <f t="shared" si="186"/>
        <v>9</v>
      </c>
      <c r="M386" s="4">
        <f t="shared" si="186"/>
        <v>0</v>
      </c>
      <c r="N386" s="4">
        <f t="shared" si="186"/>
        <v>0</v>
      </c>
      <c r="O386" s="4">
        <f t="shared" si="182"/>
        <v>0</v>
      </c>
      <c r="P386" s="4">
        <f t="shared" si="183"/>
        <v>54</v>
      </c>
      <c r="Q386" s="4">
        <f t="shared" si="184"/>
        <v>0</v>
      </c>
      <c r="R386" s="4">
        <f t="shared" si="185"/>
        <v>0</v>
      </c>
      <c r="S386" s="4">
        <f>IF(AND(VLOOKUP(G386,Dados!$D:$L,2,0)=VLOOKUP(I386,Dados!$S:$V,2,0),VLOOKUP(G386,Dados!$D:$L,3,0)=VLOOKUP(I386,Dados!$S:$V,3,0)),0,1)</f>
        <v>0</v>
      </c>
      <c r="T386" s="4">
        <f>IF(AND(VLOOKUP(G386,Dados!$D:$L,3,0)&lt;=VLOOKUP(H386,Dados!$X:$AB,2,0),VLOOKUP(G386,Dados!$D:$L,4,0)&gt;=VLOOKUP(H386,Dados!$X:$AB,3,0),VLOOKUP(G386,Dados!$D:$L,4,0)&lt;=VLOOKUP(H386,Dados!$X:$AB,4,0)),0,1)</f>
        <v>0</v>
      </c>
      <c r="U386" s="4">
        <f>IF(COUNTIFS(F:F,F386,H:H,H386)&lt;=VLOOKUP(H386,Dados!$X:$AB,5,0),0,1)</f>
        <v>0</v>
      </c>
    </row>
    <row r="387" spans="6:21">
      <c r="F387" s="4">
        <v>271</v>
      </c>
      <c r="G387" s="4">
        <v>16</v>
      </c>
      <c r="H387" s="4">
        <v>1</v>
      </c>
      <c r="I387" s="4">
        <v>10</v>
      </c>
      <c r="J387" s="4">
        <v>2</v>
      </c>
      <c r="K387" s="4">
        <f t="shared" si="186"/>
        <v>0</v>
      </c>
      <c r="L387" s="4">
        <f t="shared" si="186"/>
        <v>9</v>
      </c>
      <c r="M387" s="4">
        <f t="shared" si="186"/>
        <v>0</v>
      </c>
      <c r="N387" s="4">
        <f t="shared" si="186"/>
        <v>0</v>
      </c>
      <c r="O387" s="4">
        <f t="shared" si="182"/>
        <v>0</v>
      </c>
      <c r="P387" s="4">
        <f t="shared" si="183"/>
        <v>18</v>
      </c>
      <c r="Q387" s="4">
        <f t="shared" si="184"/>
        <v>0</v>
      </c>
      <c r="R387" s="4">
        <f t="shared" si="185"/>
        <v>0</v>
      </c>
      <c r="S387" s="4">
        <f>IF(AND(VLOOKUP(G387,Dados!$D:$L,2,0)=VLOOKUP(I387,Dados!$S:$V,2,0),VLOOKUP(G387,Dados!$D:$L,3,0)=VLOOKUP(I387,Dados!$S:$V,3,0)),0,1)</f>
        <v>0</v>
      </c>
      <c r="T387" s="4">
        <f>IF(AND(VLOOKUP(G387,Dados!$D:$L,3,0)&lt;=VLOOKUP(H387,Dados!$X:$AB,2,0),VLOOKUP(G387,Dados!$D:$L,4,0)&gt;=VLOOKUP(H387,Dados!$X:$AB,3,0),VLOOKUP(G387,Dados!$D:$L,4,0)&lt;=VLOOKUP(H387,Dados!$X:$AB,4,0)),0,1)</f>
        <v>0</v>
      </c>
      <c r="U387" s="4">
        <f>IF(COUNTIFS(F:F,F387,H:H,H387)&lt;=VLOOKUP(H387,Dados!$X:$AB,5,0),0,1)</f>
        <v>0</v>
      </c>
    </row>
    <row r="388" spans="6:21">
      <c r="F388" s="4">
        <v>272</v>
      </c>
      <c r="G388" s="4">
        <v>13</v>
      </c>
      <c r="H388" s="4">
        <v>3</v>
      </c>
      <c r="I388" s="4">
        <v>10</v>
      </c>
      <c r="J388" s="4">
        <v>6</v>
      </c>
      <c r="K388" s="4">
        <f t="shared" si="186"/>
        <v>0</v>
      </c>
      <c r="L388" s="4">
        <f t="shared" si="186"/>
        <v>0</v>
      </c>
      <c r="M388" s="4">
        <f t="shared" si="186"/>
        <v>0</v>
      </c>
      <c r="N388" s="4">
        <f t="shared" si="186"/>
        <v>0</v>
      </c>
      <c r="O388" s="4">
        <f t="shared" si="182"/>
        <v>0</v>
      </c>
      <c r="P388" s="4">
        <f t="shared" si="183"/>
        <v>0</v>
      </c>
      <c r="Q388" s="4">
        <f t="shared" si="184"/>
        <v>0</v>
      </c>
      <c r="R388" s="4">
        <f t="shared" si="185"/>
        <v>0</v>
      </c>
      <c r="S388" s="4">
        <f>IF(AND(VLOOKUP(G388,Dados!$D:$L,2,0)=VLOOKUP(I388,Dados!$S:$V,2,0),VLOOKUP(G388,Dados!$D:$L,3,0)=VLOOKUP(I388,Dados!$S:$V,3,0)),0,1)</f>
        <v>0</v>
      </c>
      <c r="T388" s="4">
        <f>IF(AND(VLOOKUP(G388,Dados!$D:$L,3,0)&lt;=VLOOKUP(H388,Dados!$X:$AB,2,0),VLOOKUP(G388,Dados!$D:$L,4,0)&gt;=VLOOKUP(H388,Dados!$X:$AB,3,0),VLOOKUP(G388,Dados!$D:$L,4,0)&lt;=VLOOKUP(H388,Dados!$X:$AB,4,0)),0,1)</f>
        <v>0</v>
      </c>
      <c r="U388" s="4">
        <f>IF(COUNTIFS(F:F,F388,H:H,H388)&lt;=VLOOKUP(H388,Dados!$X:$AB,5,0),0,1)</f>
        <v>0</v>
      </c>
    </row>
    <row r="389" spans="6:21">
      <c r="F389" s="4">
        <v>272</v>
      </c>
      <c r="G389" s="4">
        <v>16</v>
      </c>
      <c r="H389" s="4">
        <v>3</v>
      </c>
      <c r="I389" s="4">
        <v>10</v>
      </c>
      <c r="J389" s="4">
        <v>2</v>
      </c>
      <c r="K389" s="4">
        <f t="shared" si="186"/>
        <v>0</v>
      </c>
      <c r="L389" s="4">
        <f t="shared" si="186"/>
        <v>0</v>
      </c>
      <c r="M389" s="4">
        <f t="shared" si="186"/>
        <v>0</v>
      </c>
      <c r="N389" s="4">
        <f t="shared" si="186"/>
        <v>0</v>
      </c>
      <c r="O389" s="4">
        <f t="shared" si="182"/>
        <v>0</v>
      </c>
      <c r="P389" s="4">
        <f t="shared" si="183"/>
        <v>0</v>
      </c>
      <c r="Q389" s="4">
        <f t="shared" si="184"/>
        <v>0</v>
      </c>
      <c r="R389" s="4">
        <f t="shared" si="185"/>
        <v>0</v>
      </c>
      <c r="S389" s="4">
        <f>IF(AND(VLOOKUP(G389,Dados!$D:$L,2,0)=VLOOKUP(I389,Dados!$S:$V,2,0),VLOOKUP(G389,Dados!$D:$L,3,0)=VLOOKUP(I389,Dados!$S:$V,3,0)),0,1)</f>
        <v>0</v>
      </c>
      <c r="T389" s="4">
        <f>IF(AND(VLOOKUP(G389,Dados!$D:$L,3,0)&lt;=VLOOKUP(H389,Dados!$X:$AB,2,0),VLOOKUP(G389,Dados!$D:$L,4,0)&gt;=VLOOKUP(H389,Dados!$X:$AB,3,0),VLOOKUP(G389,Dados!$D:$L,4,0)&lt;=VLOOKUP(H389,Dados!$X:$AB,4,0)),0,1)</f>
        <v>0</v>
      </c>
      <c r="U389" s="4">
        <f>IF(COUNTIFS(F:F,F389,H:H,H389)&lt;=VLOOKUP(H389,Dados!$X:$AB,5,0),0,1)</f>
        <v>0</v>
      </c>
    </row>
    <row r="390" spans="6:21">
      <c r="F390" s="4">
        <v>273</v>
      </c>
      <c r="G390" s="4">
        <v>13</v>
      </c>
      <c r="H390" s="4">
        <v>1</v>
      </c>
      <c r="I390" s="4">
        <v>11</v>
      </c>
      <c r="J390" s="4">
        <v>3</v>
      </c>
      <c r="K390" s="4">
        <f t="shared" si="186"/>
        <v>0</v>
      </c>
      <c r="L390" s="4">
        <f t="shared" si="186"/>
        <v>8</v>
      </c>
      <c r="M390" s="4">
        <f t="shared" si="186"/>
        <v>0</v>
      </c>
      <c r="N390" s="4">
        <f t="shared" si="186"/>
        <v>0</v>
      </c>
      <c r="O390" s="4">
        <f t="shared" si="182"/>
        <v>0</v>
      </c>
      <c r="P390" s="4">
        <f t="shared" si="183"/>
        <v>24</v>
      </c>
      <c r="Q390" s="4">
        <f t="shared" si="184"/>
        <v>0</v>
      </c>
      <c r="R390" s="4">
        <f t="shared" si="185"/>
        <v>0</v>
      </c>
      <c r="S390" s="4">
        <f>IF(AND(VLOOKUP(G390,Dados!$D:$L,2,0)=VLOOKUP(I390,Dados!$S:$V,2,0),VLOOKUP(G390,Dados!$D:$L,3,0)=VLOOKUP(I390,Dados!$S:$V,3,0)),0,1)</f>
        <v>0</v>
      </c>
      <c r="T390" s="4">
        <f>IF(AND(VLOOKUP(G390,Dados!$D:$L,3,0)&lt;=VLOOKUP(H390,Dados!$X:$AB,2,0),VLOOKUP(G390,Dados!$D:$L,4,0)&gt;=VLOOKUP(H390,Dados!$X:$AB,3,0),VLOOKUP(G390,Dados!$D:$L,4,0)&lt;=VLOOKUP(H390,Dados!$X:$AB,4,0)),0,1)</f>
        <v>0</v>
      </c>
      <c r="U390" s="4">
        <f>IF(COUNTIFS(F:F,F390,H:H,H390)&lt;=VLOOKUP(H390,Dados!$X:$AB,5,0),0,1)</f>
        <v>0</v>
      </c>
    </row>
    <row r="391" spans="6:21">
      <c r="F391" s="4">
        <v>273</v>
      </c>
      <c r="G391" s="4">
        <v>16</v>
      </c>
      <c r="H391" s="4">
        <v>1</v>
      </c>
      <c r="I391" s="4">
        <v>11</v>
      </c>
      <c r="J391" s="4">
        <v>4</v>
      </c>
      <c r="K391" s="4">
        <f t="shared" si="186"/>
        <v>0</v>
      </c>
      <c r="L391" s="4">
        <f t="shared" si="186"/>
        <v>8</v>
      </c>
      <c r="M391" s="4">
        <f t="shared" si="186"/>
        <v>0</v>
      </c>
      <c r="N391" s="4">
        <f t="shared" si="186"/>
        <v>0</v>
      </c>
      <c r="O391" s="4">
        <f t="shared" si="182"/>
        <v>0</v>
      </c>
      <c r="P391" s="4">
        <f t="shared" si="183"/>
        <v>32</v>
      </c>
      <c r="Q391" s="4">
        <f t="shared" si="184"/>
        <v>0</v>
      </c>
      <c r="R391" s="4">
        <f t="shared" si="185"/>
        <v>0</v>
      </c>
      <c r="S391" s="4">
        <f>IF(AND(VLOOKUP(G391,Dados!$D:$L,2,0)=VLOOKUP(I391,Dados!$S:$V,2,0),VLOOKUP(G391,Dados!$D:$L,3,0)=VLOOKUP(I391,Dados!$S:$V,3,0)),0,1)</f>
        <v>0</v>
      </c>
      <c r="T391" s="4">
        <f>IF(AND(VLOOKUP(G391,Dados!$D:$L,3,0)&lt;=VLOOKUP(H391,Dados!$X:$AB,2,0),VLOOKUP(G391,Dados!$D:$L,4,0)&gt;=VLOOKUP(H391,Dados!$X:$AB,3,0),VLOOKUP(G391,Dados!$D:$L,4,0)&lt;=VLOOKUP(H391,Dados!$X:$AB,4,0)),0,1)</f>
        <v>0</v>
      </c>
      <c r="U391" s="4">
        <f>IF(COUNTIFS(F:F,F391,H:H,H391)&lt;=VLOOKUP(H391,Dados!$X:$AB,5,0),0,1)</f>
        <v>0</v>
      </c>
    </row>
    <row r="392" spans="6:21">
      <c r="F392" s="4">
        <v>274</v>
      </c>
      <c r="G392" s="4">
        <v>13</v>
      </c>
      <c r="H392" s="4">
        <v>3</v>
      </c>
      <c r="I392" s="4">
        <v>11</v>
      </c>
      <c r="J392" s="4">
        <v>3</v>
      </c>
      <c r="K392" s="4">
        <f t="shared" si="186"/>
        <v>0</v>
      </c>
      <c r="L392" s="4">
        <f t="shared" si="186"/>
        <v>21</v>
      </c>
      <c r="M392" s="4">
        <f t="shared" si="186"/>
        <v>0</v>
      </c>
      <c r="N392" s="4">
        <f t="shared" si="186"/>
        <v>0</v>
      </c>
      <c r="O392" s="4">
        <f t="shared" si="182"/>
        <v>0</v>
      </c>
      <c r="P392" s="4">
        <f t="shared" si="183"/>
        <v>63</v>
      </c>
      <c r="Q392" s="4">
        <f t="shared" si="184"/>
        <v>0</v>
      </c>
      <c r="R392" s="4">
        <f t="shared" si="185"/>
        <v>0</v>
      </c>
      <c r="S392" s="4">
        <f>IF(AND(VLOOKUP(G392,Dados!$D:$L,2,0)=VLOOKUP(I392,Dados!$S:$V,2,0),VLOOKUP(G392,Dados!$D:$L,3,0)=VLOOKUP(I392,Dados!$S:$V,3,0)),0,1)</f>
        <v>0</v>
      </c>
      <c r="T392" s="4">
        <f>IF(AND(VLOOKUP(G392,Dados!$D:$L,3,0)&lt;=VLOOKUP(H392,Dados!$X:$AB,2,0),VLOOKUP(G392,Dados!$D:$L,4,0)&gt;=VLOOKUP(H392,Dados!$X:$AB,3,0),VLOOKUP(G392,Dados!$D:$L,4,0)&lt;=VLOOKUP(H392,Dados!$X:$AB,4,0)),0,1)</f>
        <v>0</v>
      </c>
      <c r="U392" s="4">
        <f>IF(COUNTIFS(F:F,F392,H:H,H392)&lt;=VLOOKUP(H392,Dados!$X:$AB,5,0),0,1)</f>
        <v>0</v>
      </c>
    </row>
    <row r="393" spans="6:21">
      <c r="F393" s="4">
        <v>274</v>
      </c>
      <c r="G393" s="4">
        <v>16</v>
      </c>
      <c r="H393" s="4">
        <v>3</v>
      </c>
      <c r="I393" s="4">
        <v>11</v>
      </c>
      <c r="J393" s="4">
        <v>4</v>
      </c>
      <c r="K393" s="4">
        <f t="shared" si="186"/>
        <v>0</v>
      </c>
      <c r="L393" s="4">
        <f t="shared" si="186"/>
        <v>21</v>
      </c>
      <c r="M393" s="4">
        <f t="shared" si="186"/>
        <v>0</v>
      </c>
      <c r="N393" s="4">
        <f t="shared" si="186"/>
        <v>0</v>
      </c>
      <c r="O393" s="4">
        <f t="shared" si="182"/>
        <v>0</v>
      </c>
      <c r="P393" s="4">
        <f t="shared" si="183"/>
        <v>84</v>
      </c>
      <c r="Q393" s="4">
        <f t="shared" si="184"/>
        <v>0</v>
      </c>
      <c r="R393" s="4">
        <f t="shared" si="185"/>
        <v>0</v>
      </c>
      <c r="S393" s="4">
        <f>IF(AND(VLOOKUP(G393,Dados!$D:$L,2,0)=VLOOKUP(I393,Dados!$S:$V,2,0),VLOOKUP(G393,Dados!$D:$L,3,0)=VLOOKUP(I393,Dados!$S:$V,3,0)),0,1)</f>
        <v>0</v>
      </c>
      <c r="T393" s="4">
        <f>IF(AND(VLOOKUP(G393,Dados!$D:$L,3,0)&lt;=VLOOKUP(H393,Dados!$X:$AB,2,0),VLOOKUP(G393,Dados!$D:$L,4,0)&gt;=VLOOKUP(H393,Dados!$X:$AB,3,0),VLOOKUP(G393,Dados!$D:$L,4,0)&lt;=VLOOKUP(H393,Dados!$X:$AB,4,0)),0,1)</f>
        <v>0</v>
      </c>
      <c r="U393" s="4">
        <f>IF(COUNTIFS(F:F,F393,H:H,H393)&lt;=VLOOKUP(H393,Dados!$X:$AB,5,0),0,1)</f>
        <v>0</v>
      </c>
    </row>
    <row r="394" spans="6:21">
      <c r="F394" s="4">
        <v>275</v>
      </c>
      <c r="G394" s="4">
        <v>22</v>
      </c>
      <c r="H394" s="4">
        <v>1</v>
      </c>
      <c r="I394" s="4">
        <v>13</v>
      </c>
      <c r="J394" s="4">
        <v>7</v>
      </c>
      <c r="K394" s="4">
        <f t="shared" si="186"/>
        <v>0</v>
      </c>
      <c r="L394" s="4">
        <f t="shared" si="186"/>
        <v>0</v>
      </c>
      <c r="M394" s="4">
        <f t="shared" si="186"/>
        <v>0</v>
      </c>
      <c r="N394" s="4">
        <f t="shared" si="186"/>
        <v>0</v>
      </c>
      <c r="O394" s="4">
        <f t="shared" si="182"/>
        <v>0</v>
      </c>
      <c r="P394" s="4">
        <f t="shared" si="183"/>
        <v>0</v>
      </c>
      <c r="Q394" s="4">
        <f t="shared" si="184"/>
        <v>0</v>
      </c>
      <c r="R394" s="4">
        <f t="shared" si="185"/>
        <v>0</v>
      </c>
      <c r="S394" s="4">
        <f>IF(AND(VLOOKUP(G394,Dados!$D:$L,2,0)=VLOOKUP(I394,Dados!$S:$V,2,0),VLOOKUP(G394,Dados!$D:$L,3,0)=VLOOKUP(I394,Dados!$S:$V,3,0)),0,1)</f>
        <v>0</v>
      </c>
      <c r="T394" s="4">
        <f>IF(AND(VLOOKUP(G394,Dados!$D:$L,3,0)&lt;=VLOOKUP(H394,Dados!$X:$AB,2,0),VLOOKUP(G394,Dados!$D:$L,4,0)&gt;=VLOOKUP(H394,Dados!$X:$AB,3,0),VLOOKUP(G394,Dados!$D:$L,4,0)&lt;=VLOOKUP(H394,Dados!$X:$AB,4,0)),0,1)</f>
        <v>0</v>
      </c>
      <c r="U394" s="4">
        <f>IF(COUNTIFS(F:F,F394,H:H,H394)&lt;=VLOOKUP(H394,Dados!$X:$AB,5,0),0,1)</f>
        <v>0</v>
      </c>
    </row>
    <row r="395" spans="6:21">
      <c r="F395" s="4">
        <v>275</v>
      </c>
      <c r="G395" s="4">
        <v>23</v>
      </c>
      <c r="H395" s="4">
        <v>1</v>
      </c>
      <c r="I395" s="4">
        <v>13</v>
      </c>
      <c r="J395" s="4">
        <v>1</v>
      </c>
      <c r="K395" s="4">
        <f t="shared" si="186"/>
        <v>0</v>
      </c>
      <c r="L395" s="4">
        <f t="shared" si="186"/>
        <v>0</v>
      </c>
      <c r="M395" s="4">
        <f t="shared" si="186"/>
        <v>0</v>
      </c>
      <c r="N395" s="4">
        <f t="shared" si="186"/>
        <v>0</v>
      </c>
      <c r="O395" s="4">
        <f t="shared" si="182"/>
        <v>0</v>
      </c>
      <c r="P395" s="4">
        <f t="shared" si="183"/>
        <v>0</v>
      </c>
      <c r="Q395" s="4">
        <f t="shared" si="184"/>
        <v>0</v>
      </c>
      <c r="R395" s="4">
        <f t="shared" si="185"/>
        <v>0</v>
      </c>
      <c r="S395" s="4">
        <f>IF(AND(VLOOKUP(G395,Dados!$D:$L,2,0)=VLOOKUP(I395,Dados!$S:$V,2,0),VLOOKUP(G395,Dados!$D:$L,3,0)=VLOOKUP(I395,Dados!$S:$V,3,0)),0,1)</f>
        <v>0</v>
      </c>
      <c r="T395" s="4">
        <f>IF(AND(VLOOKUP(G395,Dados!$D:$L,3,0)&lt;=VLOOKUP(H395,Dados!$X:$AB,2,0),VLOOKUP(G395,Dados!$D:$L,4,0)&gt;=VLOOKUP(H395,Dados!$X:$AB,3,0),VLOOKUP(G395,Dados!$D:$L,4,0)&lt;=VLOOKUP(H395,Dados!$X:$AB,4,0)),0,1)</f>
        <v>0</v>
      </c>
      <c r="U395" s="4">
        <f>IF(COUNTIFS(F:F,F395,H:H,H395)&lt;=VLOOKUP(H395,Dados!$X:$AB,5,0),0,1)</f>
        <v>0</v>
      </c>
    </row>
    <row r="396" spans="6:21">
      <c r="F396" s="4">
        <v>276</v>
      </c>
      <c r="G396" s="4">
        <v>22</v>
      </c>
      <c r="H396" s="4">
        <v>2</v>
      </c>
      <c r="I396" s="4">
        <v>13</v>
      </c>
      <c r="J396" s="4">
        <v>7</v>
      </c>
      <c r="K396" s="4">
        <f t="shared" si="186"/>
        <v>0</v>
      </c>
      <c r="L396" s="4">
        <f t="shared" si="186"/>
        <v>0</v>
      </c>
      <c r="M396" s="4">
        <f t="shared" si="186"/>
        <v>0</v>
      </c>
      <c r="N396" s="4">
        <f t="shared" si="186"/>
        <v>0</v>
      </c>
      <c r="O396" s="4">
        <f t="shared" si="182"/>
        <v>0</v>
      </c>
      <c r="P396" s="4">
        <f t="shared" si="183"/>
        <v>0</v>
      </c>
      <c r="Q396" s="4">
        <f t="shared" si="184"/>
        <v>0</v>
      </c>
      <c r="R396" s="4">
        <f t="shared" si="185"/>
        <v>0</v>
      </c>
      <c r="S396" s="4">
        <f>IF(AND(VLOOKUP(G396,Dados!$D:$L,2,0)=VLOOKUP(I396,Dados!$S:$V,2,0),VLOOKUP(G396,Dados!$D:$L,3,0)=VLOOKUP(I396,Dados!$S:$V,3,0)),0,1)</f>
        <v>0</v>
      </c>
      <c r="T396" s="4">
        <f>IF(AND(VLOOKUP(G396,Dados!$D:$L,3,0)&lt;=VLOOKUP(H396,Dados!$X:$AB,2,0),VLOOKUP(G396,Dados!$D:$L,4,0)&gt;=VLOOKUP(H396,Dados!$X:$AB,3,0),VLOOKUP(G396,Dados!$D:$L,4,0)&lt;=VLOOKUP(H396,Dados!$X:$AB,4,0)),0,1)</f>
        <v>0</v>
      </c>
      <c r="U396" s="4">
        <f>IF(COUNTIFS(F:F,F396,H:H,H396)&lt;=VLOOKUP(H396,Dados!$X:$AB,5,0),0,1)</f>
        <v>0</v>
      </c>
    </row>
    <row r="397" spans="6:21">
      <c r="F397" s="4">
        <v>276</v>
      </c>
      <c r="G397" s="4">
        <v>23</v>
      </c>
      <c r="H397" s="4">
        <v>2</v>
      </c>
      <c r="I397" s="4">
        <v>13</v>
      </c>
      <c r="J397" s="4">
        <v>1</v>
      </c>
      <c r="K397" s="4">
        <f t="shared" si="186"/>
        <v>0</v>
      </c>
      <c r="L397" s="4">
        <f t="shared" si="186"/>
        <v>0</v>
      </c>
      <c r="M397" s="4">
        <f t="shared" si="186"/>
        <v>0</v>
      </c>
      <c r="N397" s="4">
        <f t="shared" si="186"/>
        <v>0</v>
      </c>
      <c r="O397" s="4">
        <f t="shared" si="182"/>
        <v>0</v>
      </c>
      <c r="P397" s="4">
        <f t="shared" si="183"/>
        <v>0</v>
      </c>
      <c r="Q397" s="4">
        <f t="shared" si="184"/>
        <v>0</v>
      </c>
      <c r="R397" s="4">
        <f t="shared" si="185"/>
        <v>0</v>
      </c>
      <c r="S397" s="4">
        <f>IF(AND(VLOOKUP(G397,Dados!$D:$L,2,0)=VLOOKUP(I397,Dados!$S:$V,2,0),VLOOKUP(G397,Dados!$D:$L,3,0)=VLOOKUP(I397,Dados!$S:$V,3,0)),0,1)</f>
        <v>0</v>
      </c>
      <c r="T397" s="4">
        <f>IF(AND(VLOOKUP(G397,Dados!$D:$L,3,0)&lt;=VLOOKUP(H397,Dados!$X:$AB,2,0),VLOOKUP(G397,Dados!$D:$L,4,0)&gt;=VLOOKUP(H397,Dados!$X:$AB,3,0),VLOOKUP(G397,Dados!$D:$L,4,0)&lt;=VLOOKUP(H397,Dados!$X:$AB,4,0)),0,1)</f>
        <v>0</v>
      </c>
      <c r="U397" s="4">
        <f>IF(COUNTIFS(F:F,F397,H:H,H397)&lt;=VLOOKUP(H397,Dados!$X:$AB,5,0),0,1)</f>
        <v>0</v>
      </c>
    </row>
    <row r="398" spans="6:21">
      <c r="F398" s="4">
        <v>277</v>
      </c>
      <c r="G398" s="4">
        <v>22</v>
      </c>
      <c r="H398" s="4">
        <v>3</v>
      </c>
      <c r="I398" s="4">
        <v>13</v>
      </c>
      <c r="J398" s="4">
        <v>7</v>
      </c>
      <c r="K398" s="4">
        <f t="shared" si="186"/>
        <v>0</v>
      </c>
      <c r="L398" s="4">
        <f t="shared" si="186"/>
        <v>0</v>
      </c>
      <c r="M398" s="4">
        <f t="shared" si="186"/>
        <v>0</v>
      </c>
      <c r="N398" s="4">
        <f t="shared" si="186"/>
        <v>0</v>
      </c>
      <c r="O398" s="4">
        <f t="shared" si="182"/>
        <v>0</v>
      </c>
      <c r="P398" s="4">
        <f t="shared" si="183"/>
        <v>0</v>
      </c>
      <c r="Q398" s="4">
        <f t="shared" si="184"/>
        <v>0</v>
      </c>
      <c r="R398" s="4">
        <f t="shared" si="185"/>
        <v>0</v>
      </c>
      <c r="S398" s="4">
        <f>IF(AND(VLOOKUP(G398,Dados!$D:$L,2,0)=VLOOKUP(I398,Dados!$S:$V,2,0),VLOOKUP(G398,Dados!$D:$L,3,0)=VLOOKUP(I398,Dados!$S:$V,3,0)),0,1)</f>
        <v>0</v>
      </c>
      <c r="T398" s="4">
        <f>IF(AND(VLOOKUP(G398,Dados!$D:$L,3,0)&lt;=VLOOKUP(H398,Dados!$X:$AB,2,0),VLOOKUP(G398,Dados!$D:$L,4,0)&gt;=VLOOKUP(H398,Dados!$X:$AB,3,0),VLOOKUP(G398,Dados!$D:$L,4,0)&lt;=VLOOKUP(H398,Dados!$X:$AB,4,0)),0,1)</f>
        <v>0</v>
      </c>
      <c r="U398" s="4">
        <f>IF(COUNTIFS(F:F,F398,H:H,H398)&lt;=VLOOKUP(H398,Dados!$X:$AB,5,0),0,1)</f>
        <v>0</v>
      </c>
    </row>
    <row r="399" spans="6:21">
      <c r="F399" s="4">
        <v>277</v>
      </c>
      <c r="G399" s="4">
        <v>23</v>
      </c>
      <c r="H399" s="4">
        <v>3</v>
      </c>
      <c r="I399" s="4">
        <v>13</v>
      </c>
      <c r="J399" s="4">
        <v>1</v>
      </c>
      <c r="K399" s="4">
        <f t="shared" si="186"/>
        <v>0</v>
      </c>
      <c r="L399" s="4">
        <f t="shared" si="186"/>
        <v>0</v>
      </c>
      <c r="M399" s="4">
        <f t="shared" si="186"/>
        <v>0</v>
      </c>
      <c r="N399" s="4">
        <f t="shared" si="186"/>
        <v>0</v>
      </c>
      <c r="O399" s="4">
        <f t="shared" si="182"/>
        <v>0</v>
      </c>
      <c r="P399" s="4">
        <f t="shared" si="183"/>
        <v>0</v>
      </c>
      <c r="Q399" s="4">
        <f t="shared" si="184"/>
        <v>0</v>
      </c>
      <c r="R399" s="4">
        <f t="shared" si="185"/>
        <v>0</v>
      </c>
      <c r="S399" s="4">
        <f>IF(AND(VLOOKUP(G399,Dados!$D:$L,2,0)=VLOOKUP(I399,Dados!$S:$V,2,0),VLOOKUP(G399,Dados!$D:$L,3,0)=VLOOKUP(I399,Dados!$S:$V,3,0)),0,1)</f>
        <v>0</v>
      </c>
      <c r="T399" s="4">
        <f>IF(AND(VLOOKUP(G399,Dados!$D:$L,3,0)&lt;=VLOOKUP(H399,Dados!$X:$AB,2,0),VLOOKUP(G399,Dados!$D:$L,4,0)&gt;=VLOOKUP(H399,Dados!$X:$AB,3,0),VLOOKUP(G399,Dados!$D:$L,4,0)&lt;=VLOOKUP(H399,Dados!$X:$AB,4,0)),0,1)</f>
        <v>0</v>
      </c>
      <c r="U399" s="4">
        <f>IF(COUNTIFS(F:F,F399,H:H,H399)&lt;=VLOOKUP(H399,Dados!$X:$AB,5,0),0,1)</f>
        <v>0</v>
      </c>
    </row>
    <row r="400" spans="6:21">
      <c r="F400" s="4">
        <v>278</v>
      </c>
      <c r="G400" s="4">
        <v>21</v>
      </c>
      <c r="H400" s="4">
        <v>1</v>
      </c>
      <c r="I400" s="4">
        <v>14</v>
      </c>
      <c r="J400" s="4">
        <v>3</v>
      </c>
      <c r="K400" s="4">
        <f t="shared" si="186"/>
        <v>0</v>
      </c>
      <c r="L400" s="4">
        <f t="shared" si="186"/>
        <v>0</v>
      </c>
      <c r="M400" s="4">
        <f t="shared" si="186"/>
        <v>1</v>
      </c>
      <c r="N400" s="4">
        <f t="shared" si="186"/>
        <v>0</v>
      </c>
      <c r="O400" s="4">
        <f t="shared" si="182"/>
        <v>0</v>
      </c>
      <c r="P400" s="4">
        <f t="shared" si="183"/>
        <v>0</v>
      </c>
      <c r="Q400" s="4">
        <f t="shared" si="184"/>
        <v>3</v>
      </c>
      <c r="R400" s="4">
        <f t="shared" si="185"/>
        <v>0</v>
      </c>
      <c r="S400" s="4">
        <f>IF(AND(VLOOKUP(G400,Dados!$D:$L,2,0)=VLOOKUP(I400,Dados!$S:$V,2,0),VLOOKUP(G400,Dados!$D:$L,3,0)=VLOOKUP(I400,Dados!$S:$V,3,0)),0,1)</f>
        <v>0</v>
      </c>
      <c r="T400" s="4">
        <f>IF(AND(VLOOKUP(G400,Dados!$D:$L,3,0)&lt;=VLOOKUP(H400,Dados!$X:$AB,2,0),VLOOKUP(G400,Dados!$D:$L,4,0)&gt;=VLOOKUP(H400,Dados!$X:$AB,3,0),VLOOKUP(G400,Dados!$D:$L,4,0)&lt;=VLOOKUP(H400,Dados!$X:$AB,4,0)),0,1)</f>
        <v>0</v>
      </c>
      <c r="U400" s="4">
        <f>IF(COUNTIFS(F:F,F400,H:H,H400)&lt;=VLOOKUP(H400,Dados!$X:$AB,5,0),0,1)</f>
        <v>0</v>
      </c>
    </row>
    <row r="401" spans="6:21">
      <c r="F401" s="4">
        <v>278</v>
      </c>
      <c r="G401" s="4">
        <v>22</v>
      </c>
      <c r="H401" s="4">
        <v>1</v>
      </c>
      <c r="I401" s="4">
        <v>14</v>
      </c>
      <c r="J401" s="4">
        <v>5</v>
      </c>
      <c r="K401" s="4">
        <f t="shared" si="186"/>
        <v>0</v>
      </c>
      <c r="L401" s="4">
        <f t="shared" si="186"/>
        <v>0</v>
      </c>
      <c r="M401" s="4">
        <f t="shared" si="186"/>
        <v>1</v>
      </c>
      <c r="N401" s="4">
        <f t="shared" si="186"/>
        <v>0</v>
      </c>
      <c r="O401" s="4">
        <f t="shared" si="182"/>
        <v>0</v>
      </c>
      <c r="P401" s="4">
        <f t="shared" si="183"/>
        <v>0</v>
      </c>
      <c r="Q401" s="4">
        <f t="shared" si="184"/>
        <v>5</v>
      </c>
      <c r="R401" s="4">
        <f t="shared" si="185"/>
        <v>0</v>
      </c>
      <c r="S401" s="4">
        <f>IF(AND(VLOOKUP(G401,Dados!$D:$L,2,0)=VLOOKUP(I401,Dados!$S:$V,2,0),VLOOKUP(G401,Dados!$D:$L,3,0)=VLOOKUP(I401,Dados!$S:$V,3,0)),0,1)</f>
        <v>0</v>
      </c>
      <c r="T401" s="4">
        <f>IF(AND(VLOOKUP(G401,Dados!$D:$L,3,0)&lt;=VLOOKUP(H401,Dados!$X:$AB,2,0),VLOOKUP(G401,Dados!$D:$L,4,0)&gt;=VLOOKUP(H401,Dados!$X:$AB,3,0),VLOOKUP(G401,Dados!$D:$L,4,0)&lt;=VLOOKUP(H401,Dados!$X:$AB,4,0)),0,1)</f>
        <v>0</v>
      </c>
      <c r="U401" s="4">
        <f>IF(COUNTIFS(F:F,F401,H:H,H401)&lt;=VLOOKUP(H401,Dados!$X:$AB,5,0),0,1)</f>
        <v>0</v>
      </c>
    </row>
    <row r="402" spans="6:21">
      <c r="F402" s="4">
        <v>279</v>
      </c>
      <c r="G402" s="4">
        <v>21</v>
      </c>
      <c r="H402" s="4">
        <v>2</v>
      </c>
      <c r="I402" s="4">
        <v>14</v>
      </c>
      <c r="J402" s="4">
        <v>3</v>
      </c>
      <c r="K402" s="4">
        <f t="shared" si="186"/>
        <v>0</v>
      </c>
      <c r="L402" s="4">
        <f t="shared" si="186"/>
        <v>0</v>
      </c>
      <c r="M402" s="4">
        <f t="shared" si="186"/>
        <v>0</v>
      </c>
      <c r="N402" s="4">
        <f t="shared" si="186"/>
        <v>0</v>
      </c>
      <c r="O402" s="4">
        <f t="shared" si="182"/>
        <v>0</v>
      </c>
      <c r="P402" s="4">
        <f t="shared" si="183"/>
        <v>0</v>
      </c>
      <c r="Q402" s="4">
        <f t="shared" si="184"/>
        <v>0</v>
      </c>
      <c r="R402" s="4">
        <f t="shared" si="185"/>
        <v>0</v>
      </c>
      <c r="S402" s="4">
        <f>IF(AND(VLOOKUP(G402,Dados!$D:$L,2,0)=VLOOKUP(I402,Dados!$S:$V,2,0),VLOOKUP(G402,Dados!$D:$L,3,0)=VLOOKUP(I402,Dados!$S:$V,3,0)),0,1)</f>
        <v>0</v>
      </c>
      <c r="T402" s="4">
        <f>IF(AND(VLOOKUP(G402,Dados!$D:$L,3,0)&lt;=VLOOKUP(H402,Dados!$X:$AB,2,0),VLOOKUP(G402,Dados!$D:$L,4,0)&gt;=VLOOKUP(H402,Dados!$X:$AB,3,0),VLOOKUP(G402,Dados!$D:$L,4,0)&lt;=VLOOKUP(H402,Dados!$X:$AB,4,0)),0,1)</f>
        <v>0</v>
      </c>
      <c r="U402" s="4">
        <f>IF(COUNTIFS(F:F,F402,H:H,H402)&lt;=VLOOKUP(H402,Dados!$X:$AB,5,0),0,1)</f>
        <v>0</v>
      </c>
    </row>
    <row r="403" spans="6:21">
      <c r="F403" s="4">
        <v>279</v>
      </c>
      <c r="G403" s="4">
        <v>22</v>
      </c>
      <c r="H403" s="4">
        <v>2</v>
      </c>
      <c r="I403" s="4">
        <v>14</v>
      </c>
      <c r="J403" s="4">
        <v>5</v>
      </c>
      <c r="K403" s="4">
        <f t="shared" si="186"/>
        <v>0</v>
      </c>
      <c r="L403" s="4">
        <f t="shared" si="186"/>
        <v>0</v>
      </c>
      <c r="M403" s="4">
        <f t="shared" si="186"/>
        <v>0</v>
      </c>
      <c r="N403" s="4">
        <f t="shared" si="186"/>
        <v>0</v>
      </c>
      <c r="O403" s="4">
        <f t="shared" si="182"/>
        <v>0</v>
      </c>
      <c r="P403" s="4">
        <f t="shared" si="183"/>
        <v>0</v>
      </c>
      <c r="Q403" s="4">
        <f t="shared" si="184"/>
        <v>0</v>
      </c>
      <c r="R403" s="4">
        <f t="shared" si="185"/>
        <v>0</v>
      </c>
      <c r="S403" s="4">
        <f>IF(AND(VLOOKUP(G403,Dados!$D:$L,2,0)=VLOOKUP(I403,Dados!$S:$V,2,0),VLOOKUP(G403,Dados!$D:$L,3,0)=VLOOKUP(I403,Dados!$S:$V,3,0)),0,1)</f>
        <v>0</v>
      </c>
      <c r="T403" s="4">
        <f>IF(AND(VLOOKUP(G403,Dados!$D:$L,3,0)&lt;=VLOOKUP(H403,Dados!$X:$AB,2,0),VLOOKUP(G403,Dados!$D:$L,4,0)&gt;=VLOOKUP(H403,Dados!$X:$AB,3,0),VLOOKUP(G403,Dados!$D:$L,4,0)&lt;=VLOOKUP(H403,Dados!$X:$AB,4,0)),0,1)</f>
        <v>0</v>
      </c>
      <c r="U403" s="4">
        <f>IF(COUNTIFS(F:F,F403,H:H,H403)&lt;=VLOOKUP(H403,Dados!$X:$AB,5,0),0,1)</f>
        <v>0</v>
      </c>
    </row>
    <row r="404" spans="6:21">
      <c r="F404" s="4">
        <v>280</v>
      </c>
      <c r="G404" s="4">
        <v>21</v>
      </c>
      <c r="H404" s="4">
        <v>3</v>
      </c>
      <c r="I404" s="4">
        <v>14</v>
      </c>
      <c r="J404" s="4">
        <v>3</v>
      </c>
      <c r="K404" s="4">
        <f t="shared" si="186"/>
        <v>0</v>
      </c>
      <c r="L404" s="4">
        <f t="shared" si="186"/>
        <v>0</v>
      </c>
      <c r="M404" s="4">
        <f t="shared" si="186"/>
        <v>0</v>
      </c>
      <c r="N404" s="4">
        <f t="shared" si="186"/>
        <v>0</v>
      </c>
      <c r="O404" s="4">
        <f t="shared" si="182"/>
        <v>0</v>
      </c>
      <c r="P404" s="4">
        <f t="shared" si="183"/>
        <v>0</v>
      </c>
      <c r="Q404" s="4">
        <f t="shared" si="184"/>
        <v>0</v>
      </c>
      <c r="R404" s="4">
        <f t="shared" si="185"/>
        <v>0</v>
      </c>
      <c r="S404" s="4">
        <f>IF(AND(VLOOKUP(G404,Dados!$D:$L,2,0)=VLOOKUP(I404,Dados!$S:$V,2,0),VLOOKUP(G404,Dados!$D:$L,3,0)=VLOOKUP(I404,Dados!$S:$V,3,0)),0,1)</f>
        <v>0</v>
      </c>
      <c r="T404" s="4">
        <f>IF(AND(VLOOKUP(G404,Dados!$D:$L,3,0)&lt;=VLOOKUP(H404,Dados!$X:$AB,2,0),VLOOKUP(G404,Dados!$D:$L,4,0)&gt;=VLOOKUP(H404,Dados!$X:$AB,3,0),VLOOKUP(G404,Dados!$D:$L,4,0)&lt;=VLOOKUP(H404,Dados!$X:$AB,4,0)),0,1)</f>
        <v>0</v>
      </c>
      <c r="U404" s="4">
        <f>IF(COUNTIFS(F:F,F404,H:H,H404)&lt;=VLOOKUP(H404,Dados!$X:$AB,5,0),0,1)</f>
        <v>0</v>
      </c>
    </row>
    <row r="405" spans="6:21">
      <c r="F405" s="4">
        <v>280</v>
      </c>
      <c r="G405" s="4">
        <v>22</v>
      </c>
      <c r="H405" s="4">
        <v>3</v>
      </c>
      <c r="I405" s="4">
        <v>14</v>
      </c>
      <c r="J405" s="4">
        <v>5</v>
      </c>
      <c r="K405" s="4">
        <f t="shared" si="186"/>
        <v>0</v>
      </c>
      <c r="L405" s="4">
        <f t="shared" si="186"/>
        <v>0</v>
      </c>
      <c r="M405" s="4">
        <f t="shared" si="186"/>
        <v>0</v>
      </c>
      <c r="N405" s="4">
        <f t="shared" si="186"/>
        <v>0</v>
      </c>
      <c r="O405" s="4">
        <f t="shared" si="182"/>
        <v>0</v>
      </c>
      <c r="P405" s="4">
        <f t="shared" si="183"/>
        <v>0</v>
      </c>
      <c r="Q405" s="4">
        <f t="shared" si="184"/>
        <v>0</v>
      </c>
      <c r="R405" s="4">
        <f t="shared" si="185"/>
        <v>0</v>
      </c>
      <c r="S405" s="4">
        <f>IF(AND(VLOOKUP(G405,Dados!$D:$L,2,0)=VLOOKUP(I405,Dados!$S:$V,2,0),VLOOKUP(G405,Dados!$D:$L,3,0)=VLOOKUP(I405,Dados!$S:$V,3,0)),0,1)</f>
        <v>0</v>
      </c>
      <c r="T405" s="4">
        <f>IF(AND(VLOOKUP(G405,Dados!$D:$L,3,0)&lt;=VLOOKUP(H405,Dados!$X:$AB,2,0),VLOOKUP(G405,Dados!$D:$L,4,0)&gt;=VLOOKUP(H405,Dados!$X:$AB,3,0),VLOOKUP(G405,Dados!$D:$L,4,0)&lt;=VLOOKUP(H405,Dados!$X:$AB,4,0)),0,1)</f>
        <v>0</v>
      </c>
      <c r="U405" s="4">
        <f>IF(COUNTIFS(F:F,F405,H:H,H405)&lt;=VLOOKUP(H405,Dados!$X:$AB,5,0),0,1)</f>
        <v>0</v>
      </c>
    </row>
    <row r="406" spans="6:21">
      <c r="F406" s="4">
        <v>281</v>
      </c>
      <c r="G406" s="4">
        <v>24</v>
      </c>
      <c r="H406" s="4">
        <v>1</v>
      </c>
      <c r="I406" s="4">
        <v>15</v>
      </c>
      <c r="J406" s="4">
        <v>1</v>
      </c>
      <c r="K406" s="4">
        <f t="shared" si="186"/>
        <v>0</v>
      </c>
      <c r="L406" s="4">
        <f t="shared" si="186"/>
        <v>22</v>
      </c>
      <c r="M406" s="4">
        <f t="shared" si="186"/>
        <v>0</v>
      </c>
      <c r="N406" s="4">
        <f t="shared" si="186"/>
        <v>0</v>
      </c>
      <c r="O406" s="4">
        <f t="shared" si="182"/>
        <v>0</v>
      </c>
      <c r="P406" s="4">
        <f t="shared" si="183"/>
        <v>22</v>
      </c>
      <c r="Q406" s="4">
        <f t="shared" si="184"/>
        <v>0</v>
      </c>
      <c r="R406" s="4">
        <f t="shared" si="185"/>
        <v>0</v>
      </c>
      <c r="S406" s="4">
        <f>IF(AND(VLOOKUP(G406,Dados!$D:$L,2,0)=VLOOKUP(I406,Dados!$S:$V,2,0),VLOOKUP(G406,Dados!$D:$L,3,0)=VLOOKUP(I406,Dados!$S:$V,3,0)),0,1)</f>
        <v>0</v>
      </c>
      <c r="T406" s="4">
        <f>IF(AND(VLOOKUP(G406,Dados!$D:$L,3,0)&lt;=VLOOKUP(H406,Dados!$X:$AB,2,0),VLOOKUP(G406,Dados!$D:$L,4,0)&gt;=VLOOKUP(H406,Dados!$X:$AB,3,0),VLOOKUP(G406,Dados!$D:$L,4,0)&lt;=VLOOKUP(H406,Dados!$X:$AB,4,0)),0,1)</f>
        <v>0</v>
      </c>
      <c r="U406" s="4">
        <f>IF(COUNTIFS(F:F,F406,H:H,H406)&lt;=VLOOKUP(H406,Dados!$X:$AB,5,0),0,1)</f>
        <v>0</v>
      </c>
    </row>
    <row r="407" spans="6:21">
      <c r="F407" s="4">
        <v>281</v>
      </c>
      <c r="G407" s="4">
        <v>29</v>
      </c>
      <c r="H407" s="4">
        <v>1</v>
      </c>
      <c r="I407" s="4">
        <v>15</v>
      </c>
      <c r="J407" s="4">
        <v>5</v>
      </c>
      <c r="K407" s="4">
        <f t="shared" si="186"/>
        <v>0</v>
      </c>
      <c r="L407" s="4">
        <f t="shared" si="186"/>
        <v>22</v>
      </c>
      <c r="M407" s="4">
        <f t="shared" si="186"/>
        <v>0</v>
      </c>
      <c r="N407" s="4">
        <f t="shared" si="186"/>
        <v>0</v>
      </c>
      <c r="O407" s="4">
        <f t="shared" si="182"/>
        <v>0</v>
      </c>
      <c r="P407" s="4">
        <f t="shared" si="183"/>
        <v>110</v>
      </c>
      <c r="Q407" s="4">
        <f t="shared" si="184"/>
        <v>0</v>
      </c>
      <c r="R407" s="4">
        <f t="shared" si="185"/>
        <v>0</v>
      </c>
      <c r="S407" s="4">
        <f>IF(AND(VLOOKUP(G407,Dados!$D:$L,2,0)=VLOOKUP(I407,Dados!$S:$V,2,0),VLOOKUP(G407,Dados!$D:$L,3,0)=VLOOKUP(I407,Dados!$S:$V,3,0)),0,1)</f>
        <v>0</v>
      </c>
      <c r="T407" s="4">
        <f>IF(AND(VLOOKUP(G407,Dados!$D:$L,3,0)&lt;=VLOOKUP(H407,Dados!$X:$AB,2,0),VLOOKUP(G407,Dados!$D:$L,4,0)&gt;=VLOOKUP(H407,Dados!$X:$AB,3,0),VLOOKUP(G407,Dados!$D:$L,4,0)&lt;=VLOOKUP(H407,Dados!$X:$AB,4,0)),0,1)</f>
        <v>0</v>
      </c>
      <c r="U407" s="4">
        <f>IF(COUNTIFS(F:F,F407,H:H,H407)&lt;=VLOOKUP(H407,Dados!$X:$AB,5,0),0,1)</f>
        <v>0</v>
      </c>
    </row>
    <row r="408" spans="6:21">
      <c r="F408" s="4">
        <v>282</v>
      </c>
      <c r="G408" s="4">
        <v>24</v>
      </c>
      <c r="H408" s="4">
        <v>3</v>
      </c>
      <c r="I408" s="4">
        <v>15</v>
      </c>
      <c r="J408" s="4">
        <v>1</v>
      </c>
      <c r="K408" s="4">
        <f t="shared" si="186"/>
        <v>0</v>
      </c>
      <c r="L408" s="4">
        <f t="shared" si="186"/>
        <v>0</v>
      </c>
      <c r="M408" s="4">
        <f t="shared" si="186"/>
        <v>0</v>
      </c>
      <c r="N408" s="4">
        <f t="shared" si="186"/>
        <v>0</v>
      </c>
      <c r="O408" s="4">
        <f t="shared" si="182"/>
        <v>0</v>
      </c>
      <c r="P408" s="4">
        <f t="shared" si="183"/>
        <v>0</v>
      </c>
      <c r="Q408" s="4">
        <f t="shared" si="184"/>
        <v>0</v>
      </c>
      <c r="R408" s="4">
        <f t="shared" si="185"/>
        <v>0</v>
      </c>
      <c r="S408" s="4">
        <f>IF(AND(VLOOKUP(G408,Dados!$D:$L,2,0)=VLOOKUP(I408,Dados!$S:$V,2,0),VLOOKUP(G408,Dados!$D:$L,3,0)=VLOOKUP(I408,Dados!$S:$V,3,0)),0,1)</f>
        <v>0</v>
      </c>
      <c r="T408" s="4">
        <f>IF(AND(VLOOKUP(G408,Dados!$D:$L,3,0)&lt;=VLOOKUP(H408,Dados!$X:$AB,2,0),VLOOKUP(G408,Dados!$D:$L,4,0)&gt;=VLOOKUP(H408,Dados!$X:$AB,3,0),VLOOKUP(G408,Dados!$D:$L,4,0)&lt;=VLOOKUP(H408,Dados!$X:$AB,4,0)),0,1)</f>
        <v>0</v>
      </c>
      <c r="U408" s="4">
        <f>IF(COUNTIFS(F:F,F408,H:H,H408)&lt;=VLOOKUP(H408,Dados!$X:$AB,5,0),0,1)</f>
        <v>0</v>
      </c>
    </row>
    <row r="409" spans="6:21">
      <c r="F409" s="4">
        <v>282</v>
      </c>
      <c r="G409" s="4">
        <v>29</v>
      </c>
      <c r="H409" s="4">
        <v>3</v>
      </c>
      <c r="I409" s="4">
        <v>15</v>
      </c>
      <c r="J409" s="4">
        <v>5</v>
      </c>
      <c r="K409" s="4">
        <f t="shared" si="186"/>
        <v>0</v>
      </c>
      <c r="L409" s="4">
        <f t="shared" si="186"/>
        <v>0</v>
      </c>
      <c r="M409" s="4">
        <f t="shared" si="186"/>
        <v>0</v>
      </c>
      <c r="N409" s="4">
        <f t="shared" si="186"/>
        <v>0</v>
      </c>
      <c r="O409" s="4">
        <f t="shared" si="182"/>
        <v>0</v>
      </c>
      <c r="P409" s="4">
        <f t="shared" si="183"/>
        <v>0</v>
      </c>
      <c r="Q409" s="4">
        <f t="shared" si="184"/>
        <v>0</v>
      </c>
      <c r="R409" s="4">
        <f t="shared" si="185"/>
        <v>0</v>
      </c>
      <c r="S409" s="4">
        <f>IF(AND(VLOOKUP(G409,Dados!$D:$L,2,0)=VLOOKUP(I409,Dados!$S:$V,2,0),VLOOKUP(G409,Dados!$D:$L,3,0)=VLOOKUP(I409,Dados!$S:$V,3,0)),0,1)</f>
        <v>0</v>
      </c>
      <c r="T409" s="4">
        <f>IF(AND(VLOOKUP(G409,Dados!$D:$L,3,0)&lt;=VLOOKUP(H409,Dados!$X:$AB,2,0),VLOOKUP(G409,Dados!$D:$L,4,0)&gt;=VLOOKUP(H409,Dados!$X:$AB,3,0),VLOOKUP(G409,Dados!$D:$L,4,0)&lt;=VLOOKUP(H409,Dados!$X:$AB,4,0)),0,1)</f>
        <v>0</v>
      </c>
      <c r="U409" s="4">
        <f>IF(COUNTIFS(F:F,F409,H:H,H409)&lt;=VLOOKUP(H409,Dados!$X:$AB,5,0),0,1)</f>
        <v>0</v>
      </c>
    </row>
    <row r="410" spans="6:21">
      <c r="F410" s="4">
        <v>283</v>
      </c>
      <c r="G410" s="4">
        <v>32</v>
      </c>
      <c r="H410" s="4">
        <v>1</v>
      </c>
      <c r="I410" s="4">
        <v>16</v>
      </c>
      <c r="J410" s="4">
        <v>5</v>
      </c>
      <c r="K410" s="4">
        <f t="shared" si="186"/>
        <v>0</v>
      </c>
      <c r="L410" s="4">
        <f t="shared" si="186"/>
        <v>0</v>
      </c>
      <c r="M410" s="4">
        <f t="shared" si="186"/>
        <v>0</v>
      </c>
      <c r="N410" s="4">
        <f t="shared" si="186"/>
        <v>0</v>
      </c>
      <c r="O410" s="4">
        <f t="shared" ref="O410:O434" si="187">$J410*K410</f>
        <v>0</v>
      </c>
      <c r="P410" s="4">
        <f t="shared" ref="P410:P434" si="188">$J410*L410</f>
        <v>0</v>
      </c>
      <c r="Q410" s="4">
        <f t="shared" ref="Q410:Q434" si="189">$J410*M410</f>
        <v>0</v>
      </c>
      <c r="R410" s="4">
        <f t="shared" ref="R410:R434" si="190">$J410*N410</f>
        <v>0</v>
      </c>
      <c r="S410" s="4">
        <f>IF(AND(VLOOKUP(G410,Dados!$D:$L,2,0)=VLOOKUP(I410,Dados!$S:$V,2,0),VLOOKUP(G410,Dados!$D:$L,3,0)=VLOOKUP(I410,Dados!$S:$V,3,0)),0,1)</f>
        <v>0</v>
      </c>
      <c r="T410" s="4">
        <f>IF(AND(VLOOKUP(G410,Dados!$D:$L,3,0)&lt;=VLOOKUP(H410,Dados!$X:$AB,2,0),VLOOKUP(G410,Dados!$D:$L,4,0)&gt;=VLOOKUP(H410,Dados!$X:$AB,3,0),VLOOKUP(G410,Dados!$D:$L,4,0)&lt;=VLOOKUP(H410,Dados!$X:$AB,4,0)),0,1)</f>
        <v>0</v>
      </c>
      <c r="U410" s="4">
        <f>IF(COUNTIFS(F:F,F410,H:H,H410)&lt;=VLOOKUP(H410,Dados!$X:$AB,5,0),0,1)</f>
        <v>0</v>
      </c>
    </row>
    <row r="411" spans="6:21">
      <c r="F411" s="4">
        <v>283</v>
      </c>
      <c r="G411" s="4">
        <v>38</v>
      </c>
      <c r="H411" s="4">
        <v>1</v>
      </c>
      <c r="I411" s="4">
        <v>16</v>
      </c>
      <c r="J411" s="4">
        <v>1</v>
      </c>
      <c r="K411" s="4">
        <f t="shared" si="186"/>
        <v>0</v>
      </c>
      <c r="L411" s="4">
        <f t="shared" si="186"/>
        <v>0</v>
      </c>
      <c r="M411" s="4">
        <f t="shared" si="186"/>
        <v>0</v>
      </c>
      <c r="N411" s="4">
        <f t="shared" si="186"/>
        <v>0</v>
      </c>
      <c r="O411" s="4">
        <f t="shared" si="187"/>
        <v>0</v>
      </c>
      <c r="P411" s="4">
        <f t="shared" si="188"/>
        <v>0</v>
      </c>
      <c r="Q411" s="4">
        <f t="shared" si="189"/>
        <v>0</v>
      </c>
      <c r="R411" s="4">
        <f t="shared" si="190"/>
        <v>0</v>
      </c>
      <c r="S411" s="4">
        <f>IF(AND(VLOOKUP(G411,Dados!$D:$L,2,0)=VLOOKUP(I411,Dados!$S:$V,2,0),VLOOKUP(G411,Dados!$D:$L,3,0)=VLOOKUP(I411,Dados!$S:$V,3,0)),0,1)</f>
        <v>0</v>
      </c>
      <c r="T411" s="4">
        <f>IF(AND(VLOOKUP(G411,Dados!$D:$L,3,0)&lt;=VLOOKUP(H411,Dados!$X:$AB,2,0),VLOOKUP(G411,Dados!$D:$L,4,0)&gt;=VLOOKUP(H411,Dados!$X:$AB,3,0),VLOOKUP(G411,Dados!$D:$L,4,0)&lt;=VLOOKUP(H411,Dados!$X:$AB,4,0)),0,1)</f>
        <v>0</v>
      </c>
      <c r="U411" s="4">
        <f>IF(COUNTIFS(F:F,F411,H:H,H411)&lt;=VLOOKUP(H411,Dados!$X:$AB,5,0),0,1)</f>
        <v>0</v>
      </c>
    </row>
    <row r="412" spans="6:21">
      <c r="F412" s="4">
        <v>284</v>
      </c>
      <c r="G412" s="4">
        <v>32</v>
      </c>
      <c r="H412" s="4">
        <v>2</v>
      </c>
      <c r="I412" s="4">
        <v>16</v>
      </c>
      <c r="J412" s="4">
        <v>5</v>
      </c>
      <c r="K412" s="4">
        <f t="shared" si="186"/>
        <v>0</v>
      </c>
      <c r="L412" s="4">
        <f t="shared" si="186"/>
        <v>37</v>
      </c>
      <c r="M412" s="4">
        <f t="shared" si="186"/>
        <v>0</v>
      </c>
      <c r="N412" s="4">
        <f t="shared" si="186"/>
        <v>0</v>
      </c>
      <c r="O412" s="4">
        <f t="shared" si="187"/>
        <v>0</v>
      </c>
      <c r="P412" s="4">
        <f t="shared" si="188"/>
        <v>185</v>
      </c>
      <c r="Q412" s="4">
        <f t="shared" si="189"/>
        <v>0</v>
      </c>
      <c r="R412" s="4">
        <f t="shared" si="190"/>
        <v>0</v>
      </c>
      <c r="S412" s="4">
        <f>IF(AND(VLOOKUP(G412,Dados!$D:$L,2,0)=VLOOKUP(I412,Dados!$S:$V,2,0),VLOOKUP(G412,Dados!$D:$L,3,0)=VLOOKUP(I412,Dados!$S:$V,3,0)),0,1)</f>
        <v>0</v>
      </c>
      <c r="T412" s="4">
        <f>IF(AND(VLOOKUP(G412,Dados!$D:$L,3,0)&lt;=VLOOKUP(H412,Dados!$X:$AB,2,0),VLOOKUP(G412,Dados!$D:$L,4,0)&gt;=VLOOKUP(H412,Dados!$X:$AB,3,0),VLOOKUP(G412,Dados!$D:$L,4,0)&lt;=VLOOKUP(H412,Dados!$X:$AB,4,0)),0,1)</f>
        <v>0</v>
      </c>
      <c r="U412" s="4">
        <f>IF(COUNTIFS(F:F,F412,H:H,H412)&lt;=VLOOKUP(H412,Dados!$X:$AB,5,0),0,1)</f>
        <v>0</v>
      </c>
    </row>
    <row r="413" spans="6:21">
      <c r="F413" s="4">
        <v>284</v>
      </c>
      <c r="G413" s="4">
        <v>38</v>
      </c>
      <c r="H413" s="4">
        <v>2</v>
      </c>
      <c r="I413" s="4">
        <v>16</v>
      </c>
      <c r="J413" s="4">
        <v>1</v>
      </c>
      <c r="K413" s="4">
        <f t="shared" si="186"/>
        <v>0</v>
      </c>
      <c r="L413" s="4">
        <f t="shared" si="186"/>
        <v>37</v>
      </c>
      <c r="M413" s="4">
        <f t="shared" si="186"/>
        <v>0</v>
      </c>
      <c r="N413" s="4">
        <f t="shared" si="186"/>
        <v>0</v>
      </c>
      <c r="O413" s="4">
        <f t="shared" si="187"/>
        <v>0</v>
      </c>
      <c r="P413" s="4">
        <f t="shared" si="188"/>
        <v>37</v>
      </c>
      <c r="Q413" s="4">
        <f t="shared" si="189"/>
        <v>0</v>
      </c>
      <c r="R413" s="4">
        <f t="shared" si="190"/>
        <v>0</v>
      </c>
      <c r="S413" s="4">
        <f>IF(AND(VLOOKUP(G413,Dados!$D:$L,2,0)=VLOOKUP(I413,Dados!$S:$V,2,0),VLOOKUP(G413,Dados!$D:$L,3,0)=VLOOKUP(I413,Dados!$S:$V,3,0)),0,1)</f>
        <v>0</v>
      </c>
      <c r="T413" s="4">
        <f>IF(AND(VLOOKUP(G413,Dados!$D:$L,3,0)&lt;=VLOOKUP(H413,Dados!$X:$AB,2,0),VLOOKUP(G413,Dados!$D:$L,4,0)&gt;=VLOOKUP(H413,Dados!$X:$AB,3,0),VLOOKUP(G413,Dados!$D:$L,4,0)&lt;=VLOOKUP(H413,Dados!$X:$AB,4,0)),0,1)</f>
        <v>0</v>
      </c>
      <c r="U413" s="4">
        <f>IF(COUNTIFS(F:F,F413,H:H,H413)&lt;=VLOOKUP(H413,Dados!$X:$AB,5,0),0,1)</f>
        <v>0</v>
      </c>
    </row>
    <row r="414" spans="6:21">
      <c r="F414" s="4">
        <v>285</v>
      </c>
      <c r="G414" s="4">
        <v>32</v>
      </c>
      <c r="H414" s="4">
        <v>3</v>
      </c>
      <c r="I414" s="4">
        <v>16</v>
      </c>
      <c r="J414" s="4">
        <v>5</v>
      </c>
      <c r="K414" s="4">
        <f t="shared" si="186"/>
        <v>0</v>
      </c>
      <c r="L414" s="4">
        <f t="shared" si="186"/>
        <v>0</v>
      </c>
      <c r="M414" s="4">
        <f t="shared" si="186"/>
        <v>0</v>
      </c>
      <c r="N414" s="4">
        <f t="shared" si="186"/>
        <v>0</v>
      </c>
      <c r="O414" s="4">
        <f t="shared" si="187"/>
        <v>0</v>
      </c>
      <c r="P414" s="4">
        <f t="shared" si="188"/>
        <v>0</v>
      </c>
      <c r="Q414" s="4">
        <f t="shared" si="189"/>
        <v>0</v>
      </c>
      <c r="R414" s="4">
        <f t="shared" si="190"/>
        <v>0</v>
      </c>
      <c r="S414" s="4">
        <f>IF(AND(VLOOKUP(G414,Dados!$D:$L,2,0)=VLOOKUP(I414,Dados!$S:$V,2,0),VLOOKUP(G414,Dados!$D:$L,3,0)=VLOOKUP(I414,Dados!$S:$V,3,0)),0,1)</f>
        <v>0</v>
      </c>
      <c r="T414" s="4">
        <f>IF(AND(VLOOKUP(G414,Dados!$D:$L,3,0)&lt;=VLOOKUP(H414,Dados!$X:$AB,2,0),VLOOKUP(G414,Dados!$D:$L,4,0)&gt;=VLOOKUP(H414,Dados!$X:$AB,3,0),VLOOKUP(G414,Dados!$D:$L,4,0)&lt;=VLOOKUP(H414,Dados!$X:$AB,4,0)),0,1)</f>
        <v>0</v>
      </c>
      <c r="U414" s="4">
        <f>IF(COUNTIFS(F:F,F414,H:H,H414)&lt;=VLOOKUP(H414,Dados!$X:$AB,5,0),0,1)</f>
        <v>0</v>
      </c>
    </row>
    <row r="415" spans="6:21">
      <c r="F415" s="4">
        <v>285</v>
      </c>
      <c r="G415" s="4">
        <v>38</v>
      </c>
      <c r="H415" s="4">
        <v>3</v>
      </c>
      <c r="I415" s="4">
        <v>16</v>
      </c>
      <c r="J415" s="4">
        <v>1</v>
      </c>
      <c r="K415" s="4">
        <f t="shared" si="186"/>
        <v>0</v>
      </c>
      <c r="L415" s="4">
        <f t="shared" si="186"/>
        <v>0</v>
      </c>
      <c r="M415" s="4">
        <f t="shared" si="186"/>
        <v>0</v>
      </c>
      <c r="N415" s="4">
        <f t="shared" si="186"/>
        <v>0</v>
      </c>
      <c r="O415" s="4">
        <f t="shared" si="187"/>
        <v>0</v>
      </c>
      <c r="P415" s="4">
        <f t="shared" si="188"/>
        <v>0</v>
      </c>
      <c r="Q415" s="4">
        <f t="shared" si="189"/>
        <v>0</v>
      </c>
      <c r="R415" s="4">
        <f t="shared" si="190"/>
        <v>0</v>
      </c>
      <c r="S415" s="4">
        <f>IF(AND(VLOOKUP(G415,Dados!$D:$L,2,0)=VLOOKUP(I415,Dados!$S:$V,2,0),VLOOKUP(G415,Dados!$D:$L,3,0)=VLOOKUP(I415,Dados!$S:$V,3,0)),0,1)</f>
        <v>0</v>
      </c>
      <c r="T415" s="4">
        <f>IF(AND(VLOOKUP(G415,Dados!$D:$L,3,0)&lt;=VLOOKUP(H415,Dados!$X:$AB,2,0),VLOOKUP(G415,Dados!$D:$L,4,0)&gt;=VLOOKUP(H415,Dados!$X:$AB,3,0),VLOOKUP(G415,Dados!$D:$L,4,0)&lt;=VLOOKUP(H415,Dados!$X:$AB,4,0)),0,1)</f>
        <v>0</v>
      </c>
      <c r="U415" s="4">
        <f>IF(COUNTIFS(F:F,F415,H:H,H415)&lt;=VLOOKUP(H415,Dados!$X:$AB,5,0),0,1)</f>
        <v>0</v>
      </c>
    </row>
    <row r="416" spans="6:21">
      <c r="F416" s="4">
        <v>286</v>
      </c>
      <c r="G416" s="4">
        <v>41</v>
      </c>
      <c r="H416" s="4">
        <v>1</v>
      </c>
      <c r="I416" s="4">
        <v>17</v>
      </c>
      <c r="J416" s="4">
        <v>7</v>
      </c>
      <c r="K416" s="4">
        <f t="shared" si="186"/>
        <v>0</v>
      </c>
      <c r="L416" s="4">
        <f t="shared" si="186"/>
        <v>0</v>
      </c>
      <c r="M416" s="4">
        <f t="shared" si="186"/>
        <v>0</v>
      </c>
      <c r="N416" s="4">
        <f t="shared" si="186"/>
        <v>0</v>
      </c>
      <c r="O416" s="4">
        <f t="shared" si="187"/>
        <v>0</v>
      </c>
      <c r="P416" s="4">
        <f t="shared" si="188"/>
        <v>0</v>
      </c>
      <c r="Q416" s="4">
        <f t="shared" si="189"/>
        <v>0</v>
      </c>
      <c r="R416" s="4">
        <f t="shared" si="190"/>
        <v>0</v>
      </c>
      <c r="S416" s="4">
        <f>IF(AND(VLOOKUP(G416,Dados!$D:$L,2,0)=VLOOKUP(I416,Dados!$S:$V,2,0),VLOOKUP(G416,Dados!$D:$L,3,0)=VLOOKUP(I416,Dados!$S:$V,3,0)),0,1)</f>
        <v>0</v>
      </c>
      <c r="T416" s="4">
        <f>IF(AND(VLOOKUP(G416,Dados!$D:$L,3,0)&lt;=VLOOKUP(H416,Dados!$X:$AB,2,0),VLOOKUP(G416,Dados!$D:$L,4,0)&gt;=VLOOKUP(H416,Dados!$X:$AB,3,0),VLOOKUP(G416,Dados!$D:$L,4,0)&lt;=VLOOKUP(H416,Dados!$X:$AB,4,0)),0,1)</f>
        <v>0</v>
      </c>
      <c r="U416" s="4">
        <f>IF(COUNTIFS(F:F,F416,H:H,H416)&lt;=VLOOKUP(H416,Dados!$X:$AB,5,0),0,1)</f>
        <v>0</v>
      </c>
    </row>
    <row r="417" spans="6:21">
      <c r="F417" s="4">
        <v>286</v>
      </c>
      <c r="G417" s="4">
        <v>45</v>
      </c>
      <c r="H417" s="4">
        <v>1</v>
      </c>
      <c r="I417" s="4">
        <v>17</v>
      </c>
      <c r="J417" s="4">
        <v>1</v>
      </c>
      <c r="K417" s="4">
        <f t="shared" ref="K417:N435" si="191">SUMIFS($X:$X,$W:$W,$F417,$Z:$Z,$I417,$AA:$AA,$H417,$AB:$AB,K$2)</f>
        <v>0</v>
      </c>
      <c r="L417" s="4">
        <f t="shared" si="191"/>
        <v>0</v>
      </c>
      <c r="M417" s="4">
        <f t="shared" si="191"/>
        <v>0</v>
      </c>
      <c r="N417" s="4">
        <f t="shared" si="191"/>
        <v>0</v>
      </c>
      <c r="O417" s="4">
        <f t="shared" si="187"/>
        <v>0</v>
      </c>
      <c r="P417" s="4">
        <f t="shared" si="188"/>
        <v>0</v>
      </c>
      <c r="Q417" s="4">
        <f t="shared" si="189"/>
        <v>0</v>
      </c>
      <c r="R417" s="4">
        <f t="shared" si="190"/>
        <v>0</v>
      </c>
      <c r="S417" s="4">
        <f>IF(AND(VLOOKUP(G417,Dados!$D:$L,2,0)=VLOOKUP(I417,Dados!$S:$V,2,0),VLOOKUP(G417,Dados!$D:$L,3,0)=VLOOKUP(I417,Dados!$S:$V,3,0)),0,1)</f>
        <v>0</v>
      </c>
      <c r="T417" s="4">
        <f>IF(AND(VLOOKUP(G417,Dados!$D:$L,3,0)&lt;=VLOOKUP(H417,Dados!$X:$AB,2,0),VLOOKUP(G417,Dados!$D:$L,4,0)&gt;=VLOOKUP(H417,Dados!$X:$AB,3,0),VLOOKUP(G417,Dados!$D:$L,4,0)&lt;=VLOOKUP(H417,Dados!$X:$AB,4,0)),0,1)</f>
        <v>0</v>
      </c>
      <c r="U417" s="4">
        <f>IF(COUNTIFS(F:F,F417,H:H,H417)&lt;=VLOOKUP(H417,Dados!$X:$AB,5,0),0,1)</f>
        <v>0</v>
      </c>
    </row>
    <row r="418" spans="6:21">
      <c r="F418" s="4">
        <v>287</v>
      </c>
      <c r="G418" s="4">
        <v>41</v>
      </c>
      <c r="H418" s="4">
        <v>2</v>
      </c>
      <c r="I418" s="4">
        <v>17</v>
      </c>
      <c r="J418" s="4">
        <v>7</v>
      </c>
      <c r="K418" s="4">
        <f t="shared" si="191"/>
        <v>0</v>
      </c>
      <c r="L418" s="4">
        <f t="shared" si="191"/>
        <v>0</v>
      </c>
      <c r="M418" s="4">
        <f t="shared" si="191"/>
        <v>0</v>
      </c>
      <c r="N418" s="4">
        <f t="shared" si="191"/>
        <v>0</v>
      </c>
      <c r="O418" s="4">
        <f t="shared" si="187"/>
        <v>0</v>
      </c>
      <c r="P418" s="4">
        <f t="shared" si="188"/>
        <v>0</v>
      </c>
      <c r="Q418" s="4">
        <f t="shared" si="189"/>
        <v>0</v>
      </c>
      <c r="R418" s="4">
        <f t="shared" si="190"/>
        <v>0</v>
      </c>
      <c r="S418" s="4">
        <f>IF(AND(VLOOKUP(G418,Dados!$D:$L,2,0)=VLOOKUP(I418,Dados!$S:$V,2,0),VLOOKUP(G418,Dados!$D:$L,3,0)=VLOOKUP(I418,Dados!$S:$V,3,0)),0,1)</f>
        <v>0</v>
      </c>
      <c r="T418" s="4">
        <f>IF(AND(VLOOKUP(G418,Dados!$D:$L,3,0)&lt;=VLOOKUP(H418,Dados!$X:$AB,2,0),VLOOKUP(G418,Dados!$D:$L,4,0)&gt;=VLOOKUP(H418,Dados!$X:$AB,3,0),VLOOKUP(G418,Dados!$D:$L,4,0)&lt;=VLOOKUP(H418,Dados!$X:$AB,4,0)),0,1)</f>
        <v>0</v>
      </c>
      <c r="U418" s="4">
        <f>IF(COUNTIFS(F:F,F418,H:H,H418)&lt;=VLOOKUP(H418,Dados!$X:$AB,5,0),0,1)</f>
        <v>0</v>
      </c>
    </row>
    <row r="419" spans="6:21">
      <c r="F419" s="4">
        <v>287</v>
      </c>
      <c r="G419" s="4">
        <v>45</v>
      </c>
      <c r="H419" s="4">
        <v>2</v>
      </c>
      <c r="I419" s="4">
        <v>17</v>
      </c>
      <c r="J419" s="4">
        <v>1</v>
      </c>
      <c r="K419" s="4">
        <f t="shared" si="191"/>
        <v>0</v>
      </c>
      <c r="L419" s="4">
        <f t="shared" si="191"/>
        <v>0</v>
      </c>
      <c r="M419" s="4">
        <f t="shared" si="191"/>
        <v>0</v>
      </c>
      <c r="N419" s="4">
        <f t="shared" si="191"/>
        <v>0</v>
      </c>
      <c r="O419" s="4">
        <f t="shared" si="187"/>
        <v>0</v>
      </c>
      <c r="P419" s="4">
        <f t="shared" si="188"/>
        <v>0</v>
      </c>
      <c r="Q419" s="4">
        <f t="shared" si="189"/>
        <v>0</v>
      </c>
      <c r="R419" s="4">
        <f t="shared" si="190"/>
        <v>0</v>
      </c>
      <c r="S419" s="4">
        <f>IF(AND(VLOOKUP(G419,Dados!$D:$L,2,0)=VLOOKUP(I419,Dados!$S:$V,2,0),VLOOKUP(G419,Dados!$D:$L,3,0)=VLOOKUP(I419,Dados!$S:$V,3,0)),0,1)</f>
        <v>0</v>
      </c>
      <c r="T419" s="4">
        <f>IF(AND(VLOOKUP(G419,Dados!$D:$L,3,0)&lt;=VLOOKUP(H419,Dados!$X:$AB,2,0),VLOOKUP(G419,Dados!$D:$L,4,0)&gt;=VLOOKUP(H419,Dados!$X:$AB,3,0),VLOOKUP(G419,Dados!$D:$L,4,0)&lt;=VLOOKUP(H419,Dados!$X:$AB,4,0)),0,1)</f>
        <v>0</v>
      </c>
      <c r="U419" s="4">
        <f>IF(COUNTIFS(F:F,F419,H:H,H419)&lt;=VLOOKUP(H419,Dados!$X:$AB,5,0),0,1)</f>
        <v>0</v>
      </c>
    </row>
    <row r="420" spans="6:21">
      <c r="F420" s="4">
        <v>288</v>
      </c>
      <c r="G420" s="4">
        <v>41</v>
      </c>
      <c r="H420" s="4">
        <v>3</v>
      </c>
      <c r="I420" s="4">
        <v>17</v>
      </c>
      <c r="J420" s="4">
        <v>7</v>
      </c>
      <c r="K420" s="4">
        <f t="shared" si="191"/>
        <v>0</v>
      </c>
      <c r="L420" s="4">
        <f t="shared" si="191"/>
        <v>0</v>
      </c>
      <c r="M420" s="4">
        <f t="shared" si="191"/>
        <v>0</v>
      </c>
      <c r="N420" s="4">
        <f t="shared" si="191"/>
        <v>0</v>
      </c>
      <c r="O420" s="4">
        <f t="shared" si="187"/>
        <v>0</v>
      </c>
      <c r="P420" s="4">
        <f t="shared" si="188"/>
        <v>0</v>
      </c>
      <c r="Q420" s="4">
        <f t="shared" si="189"/>
        <v>0</v>
      </c>
      <c r="R420" s="4">
        <f t="shared" si="190"/>
        <v>0</v>
      </c>
      <c r="S420" s="4">
        <f>IF(AND(VLOOKUP(G420,Dados!$D:$L,2,0)=VLOOKUP(I420,Dados!$S:$V,2,0),VLOOKUP(G420,Dados!$D:$L,3,0)=VLOOKUP(I420,Dados!$S:$V,3,0)),0,1)</f>
        <v>0</v>
      </c>
      <c r="T420" s="4">
        <f>IF(AND(VLOOKUP(G420,Dados!$D:$L,3,0)&lt;=VLOOKUP(H420,Dados!$X:$AB,2,0),VLOOKUP(G420,Dados!$D:$L,4,0)&gt;=VLOOKUP(H420,Dados!$X:$AB,3,0),VLOOKUP(G420,Dados!$D:$L,4,0)&lt;=VLOOKUP(H420,Dados!$X:$AB,4,0)),0,1)</f>
        <v>0</v>
      </c>
      <c r="U420" s="4">
        <f>IF(COUNTIFS(F:F,F420,H:H,H420)&lt;=VLOOKUP(H420,Dados!$X:$AB,5,0),0,1)</f>
        <v>0</v>
      </c>
    </row>
    <row r="421" spans="6:21">
      <c r="F421" s="4">
        <v>288</v>
      </c>
      <c r="G421" s="4">
        <v>45</v>
      </c>
      <c r="H421" s="4">
        <v>3</v>
      </c>
      <c r="I421" s="4">
        <v>17</v>
      </c>
      <c r="J421" s="4">
        <v>1</v>
      </c>
      <c r="K421" s="4">
        <f t="shared" si="191"/>
        <v>0</v>
      </c>
      <c r="L421" s="4">
        <f t="shared" si="191"/>
        <v>0</v>
      </c>
      <c r="M421" s="4">
        <f t="shared" si="191"/>
        <v>0</v>
      </c>
      <c r="N421" s="4">
        <f t="shared" si="191"/>
        <v>0</v>
      </c>
      <c r="O421" s="4">
        <f t="shared" si="187"/>
        <v>0</v>
      </c>
      <c r="P421" s="4">
        <f t="shared" si="188"/>
        <v>0</v>
      </c>
      <c r="Q421" s="4">
        <f t="shared" si="189"/>
        <v>0</v>
      </c>
      <c r="R421" s="4">
        <f t="shared" si="190"/>
        <v>0</v>
      </c>
      <c r="S421" s="4">
        <f>IF(AND(VLOOKUP(G421,Dados!$D:$L,2,0)=VLOOKUP(I421,Dados!$S:$V,2,0),VLOOKUP(G421,Dados!$D:$L,3,0)=VLOOKUP(I421,Dados!$S:$V,3,0)),0,1)</f>
        <v>0</v>
      </c>
      <c r="T421" s="4">
        <f>IF(AND(VLOOKUP(G421,Dados!$D:$L,3,0)&lt;=VLOOKUP(H421,Dados!$X:$AB,2,0),VLOOKUP(G421,Dados!$D:$L,4,0)&gt;=VLOOKUP(H421,Dados!$X:$AB,3,0),VLOOKUP(G421,Dados!$D:$L,4,0)&lt;=VLOOKUP(H421,Dados!$X:$AB,4,0)),0,1)</f>
        <v>0</v>
      </c>
      <c r="U421" s="4">
        <f>IF(COUNTIFS(F:F,F421,H:H,H421)&lt;=VLOOKUP(H421,Dados!$X:$AB,5,0),0,1)</f>
        <v>0</v>
      </c>
    </row>
    <row r="422" spans="6:21">
      <c r="F422" s="4">
        <v>289</v>
      </c>
      <c r="G422" s="4">
        <v>46</v>
      </c>
      <c r="H422" s="4">
        <v>1</v>
      </c>
      <c r="I422" s="4">
        <v>19</v>
      </c>
      <c r="J422" s="4">
        <v>5</v>
      </c>
      <c r="K422" s="4">
        <f t="shared" si="191"/>
        <v>0</v>
      </c>
      <c r="L422" s="4">
        <f t="shared" si="191"/>
        <v>0</v>
      </c>
      <c r="M422" s="4">
        <f t="shared" si="191"/>
        <v>0</v>
      </c>
      <c r="N422" s="4">
        <f t="shared" si="191"/>
        <v>0</v>
      </c>
      <c r="O422" s="4">
        <f t="shared" si="187"/>
        <v>0</v>
      </c>
      <c r="P422" s="4">
        <f t="shared" si="188"/>
        <v>0</v>
      </c>
      <c r="Q422" s="4">
        <f t="shared" si="189"/>
        <v>0</v>
      </c>
      <c r="R422" s="4">
        <f t="shared" si="190"/>
        <v>0</v>
      </c>
      <c r="S422" s="4">
        <f>IF(AND(VLOOKUP(G422,Dados!$D:$L,2,0)=VLOOKUP(I422,Dados!$S:$V,2,0),VLOOKUP(G422,Dados!$D:$L,3,0)=VLOOKUP(I422,Dados!$S:$V,3,0)),0,1)</f>
        <v>0</v>
      </c>
      <c r="T422" s="4">
        <f>IF(AND(VLOOKUP(G422,Dados!$D:$L,3,0)&lt;=VLOOKUP(H422,Dados!$X:$AB,2,0),VLOOKUP(G422,Dados!$D:$L,4,0)&gt;=VLOOKUP(H422,Dados!$X:$AB,3,0),VLOOKUP(G422,Dados!$D:$L,4,0)&lt;=VLOOKUP(H422,Dados!$X:$AB,4,0)),0,1)</f>
        <v>0</v>
      </c>
      <c r="U422" s="4">
        <f>IF(COUNTIFS(F:F,F422,H:H,H422)&lt;=VLOOKUP(H422,Dados!$X:$AB,5,0),0,1)</f>
        <v>0</v>
      </c>
    </row>
    <row r="423" spans="6:21">
      <c r="F423" s="4">
        <v>289</v>
      </c>
      <c r="G423" s="4">
        <v>51</v>
      </c>
      <c r="H423" s="4">
        <v>1</v>
      </c>
      <c r="I423" s="4">
        <v>19</v>
      </c>
      <c r="J423" s="4">
        <v>1</v>
      </c>
      <c r="K423" s="4">
        <f t="shared" si="191"/>
        <v>0</v>
      </c>
      <c r="L423" s="4">
        <f t="shared" si="191"/>
        <v>0</v>
      </c>
      <c r="M423" s="4">
        <f t="shared" si="191"/>
        <v>0</v>
      </c>
      <c r="N423" s="4">
        <f t="shared" si="191"/>
        <v>0</v>
      </c>
      <c r="O423" s="4">
        <f t="shared" si="187"/>
        <v>0</v>
      </c>
      <c r="P423" s="4">
        <f t="shared" si="188"/>
        <v>0</v>
      </c>
      <c r="Q423" s="4">
        <f t="shared" si="189"/>
        <v>0</v>
      </c>
      <c r="R423" s="4">
        <f t="shared" si="190"/>
        <v>0</v>
      </c>
      <c r="S423" s="4">
        <f>IF(AND(VLOOKUP(G423,Dados!$D:$L,2,0)=VLOOKUP(I423,Dados!$S:$V,2,0),VLOOKUP(G423,Dados!$D:$L,3,0)=VLOOKUP(I423,Dados!$S:$V,3,0)),0,1)</f>
        <v>0</v>
      </c>
      <c r="T423" s="4">
        <f>IF(AND(VLOOKUP(G423,Dados!$D:$L,3,0)&lt;=VLOOKUP(H423,Dados!$X:$AB,2,0),VLOOKUP(G423,Dados!$D:$L,4,0)&gt;=VLOOKUP(H423,Dados!$X:$AB,3,0),VLOOKUP(G423,Dados!$D:$L,4,0)&lt;=VLOOKUP(H423,Dados!$X:$AB,4,0)),0,1)</f>
        <v>0</v>
      </c>
      <c r="U423" s="4">
        <f>IF(COUNTIFS(F:F,F423,H:H,H423)&lt;=VLOOKUP(H423,Dados!$X:$AB,5,0),0,1)</f>
        <v>0</v>
      </c>
    </row>
    <row r="424" spans="6:21">
      <c r="F424" s="4">
        <v>289</v>
      </c>
      <c r="G424" s="4">
        <v>52</v>
      </c>
      <c r="H424" s="4">
        <v>1</v>
      </c>
      <c r="I424" s="4">
        <v>19</v>
      </c>
      <c r="J424" s="4">
        <v>1</v>
      </c>
      <c r="K424" s="4">
        <f t="shared" si="191"/>
        <v>0</v>
      </c>
      <c r="L424" s="4">
        <f t="shared" si="191"/>
        <v>0</v>
      </c>
      <c r="M424" s="4">
        <f t="shared" si="191"/>
        <v>0</v>
      </c>
      <c r="N424" s="4">
        <f t="shared" si="191"/>
        <v>0</v>
      </c>
      <c r="O424" s="4">
        <f t="shared" si="187"/>
        <v>0</v>
      </c>
      <c r="P424" s="4">
        <f t="shared" si="188"/>
        <v>0</v>
      </c>
      <c r="Q424" s="4">
        <f t="shared" si="189"/>
        <v>0</v>
      </c>
      <c r="R424" s="4">
        <f t="shared" si="190"/>
        <v>0</v>
      </c>
      <c r="S424" s="4">
        <f>IF(AND(VLOOKUP(G424,Dados!$D:$L,2,0)=VLOOKUP(I424,Dados!$S:$V,2,0),VLOOKUP(G424,Dados!$D:$L,3,0)=VLOOKUP(I424,Dados!$S:$V,3,0)),0,1)</f>
        <v>0</v>
      </c>
      <c r="T424" s="4">
        <f>IF(AND(VLOOKUP(G424,Dados!$D:$L,3,0)&lt;=VLOOKUP(H424,Dados!$X:$AB,2,0),VLOOKUP(G424,Dados!$D:$L,4,0)&gt;=VLOOKUP(H424,Dados!$X:$AB,3,0),VLOOKUP(G424,Dados!$D:$L,4,0)&lt;=VLOOKUP(H424,Dados!$X:$AB,4,0)),0,1)</f>
        <v>0</v>
      </c>
      <c r="U424" s="4">
        <f>IF(COUNTIFS(F:F,F424,H:H,H424)&lt;=VLOOKUP(H424,Dados!$X:$AB,5,0),0,1)</f>
        <v>0</v>
      </c>
    </row>
    <row r="425" spans="6:21">
      <c r="F425" s="4">
        <v>290</v>
      </c>
      <c r="G425" s="4">
        <v>46</v>
      </c>
      <c r="H425" s="4">
        <v>3</v>
      </c>
      <c r="I425" s="4">
        <v>19</v>
      </c>
      <c r="J425" s="4">
        <v>4</v>
      </c>
      <c r="K425" s="4">
        <f t="shared" si="191"/>
        <v>0</v>
      </c>
      <c r="L425" s="4">
        <f t="shared" si="191"/>
        <v>0</v>
      </c>
      <c r="M425" s="4">
        <f t="shared" si="191"/>
        <v>0</v>
      </c>
      <c r="N425" s="4">
        <f t="shared" si="191"/>
        <v>0</v>
      </c>
      <c r="O425" s="4">
        <f t="shared" si="187"/>
        <v>0</v>
      </c>
      <c r="P425" s="4">
        <f t="shared" si="188"/>
        <v>0</v>
      </c>
      <c r="Q425" s="4">
        <f t="shared" si="189"/>
        <v>0</v>
      </c>
      <c r="R425" s="4">
        <f t="shared" si="190"/>
        <v>0</v>
      </c>
      <c r="S425" s="4">
        <f>IF(AND(VLOOKUP(G425,Dados!$D:$L,2,0)=VLOOKUP(I425,Dados!$S:$V,2,0),VLOOKUP(G425,Dados!$D:$L,3,0)=VLOOKUP(I425,Dados!$S:$V,3,0)),0,1)</f>
        <v>0</v>
      </c>
      <c r="T425" s="4">
        <f>IF(AND(VLOOKUP(G425,Dados!$D:$L,3,0)&lt;=VLOOKUP(H425,Dados!$X:$AB,2,0),VLOOKUP(G425,Dados!$D:$L,4,0)&gt;=VLOOKUP(H425,Dados!$X:$AB,3,0),VLOOKUP(G425,Dados!$D:$L,4,0)&lt;=VLOOKUP(H425,Dados!$X:$AB,4,0)),0,1)</f>
        <v>0</v>
      </c>
      <c r="U425" s="4">
        <f>IF(COUNTIFS(F:F,F425,H:H,H425)&lt;=VLOOKUP(H425,Dados!$X:$AB,5,0),0,1)</f>
        <v>0</v>
      </c>
    </row>
    <row r="426" spans="6:21">
      <c r="F426" s="4">
        <v>290</v>
      </c>
      <c r="G426" s="4">
        <v>47</v>
      </c>
      <c r="H426" s="4">
        <v>3</v>
      </c>
      <c r="I426" s="4">
        <v>19</v>
      </c>
      <c r="J426" s="4">
        <v>2</v>
      </c>
      <c r="K426" s="4">
        <f t="shared" si="191"/>
        <v>0</v>
      </c>
      <c r="L426" s="4">
        <f t="shared" si="191"/>
        <v>0</v>
      </c>
      <c r="M426" s="4">
        <f t="shared" si="191"/>
        <v>0</v>
      </c>
      <c r="N426" s="4">
        <f t="shared" si="191"/>
        <v>0</v>
      </c>
      <c r="O426" s="4">
        <f t="shared" si="187"/>
        <v>0</v>
      </c>
      <c r="P426" s="4">
        <f t="shared" si="188"/>
        <v>0</v>
      </c>
      <c r="Q426" s="4">
        <f t="shared" si="189"/>
        <v>0</v>
      </c>
      <c r="R426" s="4">
        <f t="shared" si="190"/>
        <v>0</v>
      </c>
      <c r="S426" s="4">
        <f>IF(AND(VLOOKUP(G426,Dados!$D:$L,2,0)=VLOOKUP(I426,Dados!$S:$V,2,0),VLOOKUP(G426,Dados!$D:$L,3,0)=VLOOKUP(I426,Dados!$S:$V,3,0)),0,1)</f>
        <v>0</v>
      </c>
      <c r="T426" s="4">
        <f>IF(AND(VLOOKUP(G426,Dados!$D:$L,3,0)&lt;=VLOOKUP(H426,Dados!$X:$AB,2,0),VLOOKUP(G426,Dados!$D:$L,4,0)&gt;=VLOOKUP(H426,Dados!$X:$AB,3,0),VLOOKUP(G426,Dados!$D:$L,4,0)&lt;=VLOOKUP(H426,Dados!$X:$AB,4,0)),0,1)</f>
        <v>0</v>
      </c>
      <c r="U426" s="4">
        <f>IF(COUNTIFS(F:F,F426,H:H,H426)&lt;=VLOOKUP(H426,Dados!$X:$AB,5,0),0,1)</f>
        <v>0</v>
      </c>
    </row>
    <row r="427" spans="6:21">
      <c r="F427" s="4">
        <v>290</v>
      </c>
      <c r="G427" s="4">
        <v>51</v>
      </c>
      <c r="H427" s="4">
        <v>3</v>
      </c>
      <c r="I427" s="4">
        <v>19</v>
      </c>
      <c r="J427" s="4">
        <v>1</v>
      </c>
      <c r="K427" s="4">
        <f t="shared" si="191"/>
        <v>0</v>
      </c>
      <c r="L427" s="4">
        <f t="shared" si="191"/>
        <v>0</v>
      </c>
      <c r="M427" s="4">
        <f t="shared" si="191"/>
        <v>0</v>
      </c>
      <c r="N427" s="4">
        <f t="shared" si="191"/>
        <v>0</v>
      </c>
      <c r="O427" s="4">
        <f t="shared" si="187"/>
        <v>0</v>
      </c>
      <c r="P427" s="4">
        <f t="shared" si="188"/>
        <v>0</v>
      </c>
      <c r="Q427" s="4">
        <f t="shared" si="189"/>
        <v>0</v>
      </c>
      <c r="R427" s="4">
        <f t="shared" si="190"/>
        <v>0</v>
      </c>
      <c r="S427" s="4">
        <f>IF(AND(VLOOKUP(G427,Dados!$D:$L,2,0)=VLOOKUP(I427,Dados!$S:$V,2,0),VLOOKUP(G427,Dados!$D:$L,3,0)=VLOOKUP(I427,Dados!$S:$V,3,0)),0,1)</f>
        <v>0</v>
      </c>
      <c r="T427" s="4">
        <f>IF(AND(VLOOKUP(G427,Dados!$D:$L,3,0)&lt;=VLOOKUP(H427,Dados!$X:$AB,2,0),VLOOKUP(G427,Dados!$D:$L,4,0)&gt;=VLOOKUP(H427,Dados!$X:$AB,3,0),VLOOKUP(G427,Dados!$D:$L,4,0)&lt;=VLOOKUP(H427,Dados!$X:$AB,4,0)),0,1)</f>
        <v>0</v>
      </c>
      <c r="U427" s="4">
        <f>IF(COUNTIFS(F:F,F427,H:H,H427)&lt;=VLOOKUP(H427,Dados!$X:$AB,5,0),0,1)</f>
        <v>0</v>
      </c>
    </row>
    <row r="428" spans="6:21">
      <c r="F428" s="4">
        <v>290</v>
      </c>
      <c r="G428" s="4">
        <v>52</v>
      </c>
      <c r="H428" s="4">
        <v>3</v>
      </c>
      <c r="I428" s="4">
        <v>19</v>
      </c>
      <c r="J428" s="4">
        <v>1</v>
      </c>
      <c r="K428" s="4">
        <f t="shared" si="191"/>
        <v>0</v>
      </c>
      <c r="L428" s="4">
        <f t="shared" si="191"/>
        <v>0</v>
      </c>
      <c r="M428" s="4">
        <f t="shared" si="191"/>
        <v>0</v>
      </c>
      <c r="N428" s="4">
        <f t="shared" si="191"/>
        <v>0</v>
      </c>
      <c r="O428" s="4">
        <f t="shared" si="187"/>
        <v>0</v>
      </c>
      <c r="P428" s="4">
        <f t="shared" si="188"/>
        <v>0</v>
      </c>
      <c r="Q428" s="4">
        <f t="shared" si="189"/>
        <v>0</v>
      </c>
      <c r="R428" s="4">
        <f t="shared" si="190"/>
        <v>0</v>
      </c>
      <c r="S428" s="4">
        <f>IF(AND(VLOOKUP(G428,Dados!$D:$L,2,0)=VLOOKUP(I428,Dados!$S:$V,2,0),VLOOKUP(G428,Dados!$D:$L,3,0)=VLOOKUP(I428,Dados!$S:$V,3,0)),0,1)</f>
        <v>0</v>
      </c>
      <c r="T428" s="4">
        <f>IF(AND(VLOOKUP(G428,Dados!$D:$L,3,0)&lt;=VLOOKUP(H428,Dados!$X:$AB,2,0),VLOOKUP(G428,Dados!$D:$L,4,0)&gt;=VLOOKUP(H428,Dados!$X:$AB,3,0),VLOOKUP(G428,Dados!$D:$L,4,0)&lt;=VLOOKUP(H428,Dados!$X:$AB,4,0)),0,1)</f>
        <v>0</v>
      </c>
      <c r="U428" s="4">
        <f>IF(COUNTIFS(F:F,F428,H:H,H428)&lt;=VLOOKUP(H428,Dados!$X:$AB,5,0),0,1)</f>
        <v>0</v>
      </c>
    </row>
    <row r="429" spans="6:21">
      <c r="F429" s="4">
        <v>291</v>
      </c>
      <c r="G429" s="4">
        <v>55</v>
      </c>
      <c r="H429" s="4">
        <v>1</v>
      </c>
      <c r="I429" s="4">
        <v>20</v>
      </c>
      <c r="J429" s="4">
        <v>7</v>
      </c>
      <c r="K429" s="4">
        <f t="shared" si="191"/>
        <v>0</v>
      </c>
      <c r="L429" s="4">
        <f t="shared" si="191"/>
        <v>0</v>
      </c>
      <c r="M429" s="4">
        <f t="shared" si="191"/>
        <v>0</v>
      </c>
      <c r="N429" s="4">
        <f t="shared" si="191"/>
        <v>0</v>
      </c>
      <c r="O429" s="4">
        <f t="shared" si="187"/>
        <v>0</v>
      </c>
      <c r="P429" s="4">
        <f t="shared" si="188"/>
        <v>0</v>
      </c>
      <c r="Q429" s="4">
        <f t="shared" si="189"/>
        <v>0</v>
      </c>
      <c r="R429" s="4">
        <f t="shared" si="190"/>
        <v>0</v>
      </c>
      <c r="S429" s="4">
        <f>IF(AND(VLOOKUP(G429,Dados!$D:$L,2,0)=VLOOKUP(I429,Dados!$S:$V,2,0),VLOOKUP(G429,Dados!$D:$L,3,0)=VLOOKUP(I429,Dados!$S:$V,3,0)),0,1)</f>
        <v>0</v>
      </c>
      <c r="T429" s="4">
        <f>IF(AND(VLOOKUP(G429,Dados!$D:$L,3,0)&lt;=VLOOKUP(H429,Dados!$X:$AB,2,0),VLOOKUP(G429,Dados!$D:$L,4,0)&gt;=VLOOKUP(H429,Dados!$X:$AB,3,0),VLOOKUP(G429,Dados!$D:$L,4,0)&lt;=VLOOKUP(H429,Dados!$X:$AB,4,0)),0,1)</f>
        <v>0</v>
      </c>
      <c r="U429" s="4">
        <f>IF(COUNTIFS(F:F,F429,H:H,H429)&lt;=VLOOKUP(H429,Dados!$X:$AB,5,0),0,1)</f>
        <v>0</v>
      </c>
    </row>
    <row r="430" spans="6:21">
      <c r="F430" s="4">
        <v>291</v>
      </c>
      <c r="G430" s="4">
        <v>58</v>
      </c>
      <c r="H430" s="4">
        <v>1</v>
      </c>
      <c r="I430" s="4">
        <v>20</v>
      </c>
      <c r="J430" s="4">
        <v>2</v>
      </c>
      <c r="K430" s="4">
        <f t="shared" si="191"/>
        <v>0</v>
      </c>
      <c r="L430" s="4">
        <f t="shared" si="191"/>
        <v>0</v>
      </c>
      <c r="M430" s="4">
        <f t="shared" si="191"/>
        <v>0</v>
      </c>
      <c r="N430" s="4">
        <f t="shared" si="191"/>
        <v>0</v>
      </c>
      <c r="O430" s="4">
        <f t="shared" si="187"/>
        <v>0</v>
      </c>
      <c r="P430" s="4">
        <f t="shared" si="188"/>
        <v>0</v>
      </c>
      <c r="Q430" s="4">
        <f t="shared" si="189"/>
        <v>0</v>
      </c>
      <c r="R430" s="4">
        <f t="shared" si="190"/>
        <v>0</v>
      </c>
      <c r="S430" s="4">
        <f>IF(AND(VLOOKUP(G430,Dados!$D:$L,2,0)=VLOOKUP(I430,Dados!$S:$V,2,0),VLOOKUP(G430,Dados!$D:$L,3,0)=VLOOKUP(I430,Dados!$S:$V,3,0)),0,1)</f>
        <v>0</v>
      </c>
      <c r="T430" s="4">
        <f>IF(AND(VLOOKUP(G430,Dados!$D:$L,3,0)&lt;=VLOOKUP(H430,Dados!$X:$AB,2,0),VLOOKUP(G430,Dados!$D:$L,4,0)&gt;=VLOOKUP(H430,Dados!$X:$AB,3,0),VLOOKUP(G430,Dados!$D:$L,4,0)&lt;=VLOOKUP(H430,Dados!$X:$AB,4,0)),0,1)</f>
        <v>0</v>
      </c>
      <c r="U430" s="4">
        <f>IF(COUNTIFS(F:F,F430,H:H,H430)&lt;=VLOOKUP(H430,Dados!$X:$AB,5,0),0,1)</f>
        <v>0</v>
      </c>
    </row>
    <row r="431" spans="6:21">
      <c r="F431" s="4">
        <v>292</v>
      </c>
      <c r="G431" s="4">
        <v>55</v>
      </c>
      <c r="H431" s="4">
        <v>3</v>
      </c>
      <c r="I431" s="4">
        <v>20</v>
      </c>
      <c r="J431" s="4">
        <v>7</v>
      </c>
      <c r="K431" s="4">
        <f t="shared" si="191"/>
        <v>0</v>
      </c>
      <c r="L431" s="4">
        <f t="shared" si="191"/>
        <v>1</v>
      </c>
      <c r="M431" s="4">
        <f t="shared" si="191"/>
        <v>0</v>
      </c>
      <c r="N431" s="4">
        <f t="shared" si="191"/>
        <v>0</v>
      </c>
      <c r="O431" s="4">
        <f t="shared" si="187"/>
        <v>0</v>
      </c>
      <c r="P431" s="4">
        <f t="shared" si="188"/>
        <v>7</v>
      </c>
      <c r="Q431" s="4">
        <f t="shared" si="189"/>
        <v>0</v>
      </c>
      <c r="R431" s="4">
        <f t="shared" si="190"/>
        <v>0</v>
      </c>
      <c r="S431" s="4">
        <f>IF(AND(VLOOKUP(G431,Dados!$D:$L,2,0)=VLOOKUP(I431,Dados!$S:$V,2,0),VLOOKUP(G431,Dados!$D:$L,3,0)=VLOOKUP(I431,Dados!$S:$V,3,0)),0,1)</f>
        <v>0</v>
      </c>
      <c r="T431" s="4">
        <f>IF(AND(VLOOKUP(G431,Dados!$D:$L,3,0)&lt;=VLOOKUP(H431,Dados!$X:$AB,2,0),VLOOKUP(G431,Dados!$D:$L,4,0)&gt;=VLOOKUP(H431,Dados!$X:$AB,3,0),VLOOKUP(G431,Dados!$D:$L,4,0)&lt;=VLOOKUP(H431,Dados!$X:$AB,4,0)),0,1)</f>
        <v>0</v>
      </c>
      <c r="U431" s="4">
        <f>IF(COUNTIFS(F:F,F431,H:H,H431)&lt;=VLOOKUP(H431,Dados!$X:$AB,5,0),0,1)</f>
        <v>0</v>
      </c>
    </row>
    <row r="432" spans="6:21">
      <c r="F432" s="4">
        <v>292</v>
      </c>
      <c r="G432" s="4">
        <v>58</v>
      </c>
      <c r="H432" s="4">
        <v>3</v>
      </c>
      <c r="I432" s="4">
        <v>20</v>
      </c>
      <c r="J432" s="4">
        <v>2</v>
      </c>
      <c r="K432" s="4">
        <f t="shared" si="191"/>
        <v>0</v>
      </c>
      <c r="L432" s="4">
        <f t="shared" si="191"/>
        <v>1</v>
      </c>
      <c r="M432" s="4">
        <f t="shared" si="191"/>
        <v>0</v>
      </c>
      <c r="N432" s="4">
        <f t="shared" si="191"/>
        <v>0</v>
      </c>
      <c r="O432" s="4">
        <f t="shared" si="187"/>
        <v>0</v>
      </c>
      <c r="P432" s="4">
        <f t="shared" si="188"/>
        <v>2</v>
      </c>
      <c r="Q432" s="4">
        <f t="shared" si="189"/>
        <v>0</v>
      </c>
      <c r="R432" s="4">
        <f t="shared" si="190"/>
        <v>0</v>
      </c>
      <c r="S432" s="4">
        <f>IF(AND(VLOOKUP(G432,Dados!$D:$L,2,0)=VLOOKUP(I432,Dados!$S:$V,2,0),VLOOKUP(G432,Dados!$D:$L,3,0)=VLOOKUP(I432,Dados!$S:$V,3,0)),0,1)</f>
        <v>0</v>
      </c>
      <c r="T432" s="4">
        <f>IF(AND(VLOOKUP(G432,Dados!$D:$L,3,0)&lt;=VLOOKUP(H432,Dados!$X:$AB,2,0),VLOOKUP(G432,Dados!$D:$L,4,0)&gt;=VLOOKUP(H432,Dados!$X:$AB,3,0),VLOOKUP(G432,Dados!$D:$L,4,0)&lt;=VLOOKUP(H432,Dados!$X:$AB,4,0)),0,1)</f>
        <v>0</v>
      </c>
      <c r="U432" s="4">
        <f>IF(COUNTIFS(F:F,F432,H:H,H432)&lt;=VLOOKUP(H432,Dados!$X:$AB,5,0),0,1)</f>
        <v>0</v>
      </c>
    </row>
    <row r="433" spans="6:21">
      <c r="F433" s="4">
        <v>293</v>
      </c>
      <c r="G433" s="4">
        <v>60</v>
      </c>
      <c r="H433" s="4">
        <v>1</v>
      </c>
      <c r="I433" s="4">
        <v>21</v>
      </c>
      <c r="J433" s="4">
        <v>8</v>
      </c>
      <c r="K433" s="4">
        <f t="shared" si="191"/>
        <v>0</v>
      </c>
      <c r="L433" s="4">
        <f t="shared" si="191"/>
        <v>0</v>
      </c>
      <c r="M433" s="4">
        <f t="shared" si="191"/>
        <v>0</v>
      </c>
      <c r="N433" s="4">
        <f t="shared" si="191"/>
        <v>0</v>
      </c>
      <c r="O433" s="4">
        <f t="shared" si="187"/>
        <v>0</v>
      </c>
      <c r="P433" s="4">
        <f t="shared" si="188"/>
        <v>0</v>
      </c>
      <c r="Q433" s="4">
        <f t="shared" si="189"/>
        <v>0</v>
      </c>
      <c r="R433" s="4">
        <f t="shared" si="190"/>
        <v>0</v>
      </c>
      <c r="S433" s="4">
        <f>IF(AND(VLOOKUP(G433,Dados!$D:$L,2,0)=VLOOKUP(I433,Dados!$S:$V,2,0),VLOOKUP(G433,Dados!$D:$L,3,0)=VLOOKUP(I433,Dados!$S:$V,3,0)),0,1)</f>
        <v>0</v>
      </c>
      <c r="T433" s="4">
        <f>IF(AND(VLOOKUP(G433,Dados!$D:$L,3,0)&lt;=VLOOKUP(H433,Dados!$X:$AB,2,0),VLOOKUP(G433,Dados!$D:$L,4,0)&gt;=VLOOKUP(H433,Dados!$X:$AB,3,0),VLOOKUP(G433,Dados!$D:$L,4,0)&lt;=VLOOKUP(H433,Dados!$X:$AB,4,0)),0,1)</f>
        <v>0</v>
      </c>
      <c r="U433" s="4">
        <f>IF(COUNTIFS(F:F,F433,H:H,H433)&lt;=VLOOKUP(H433,Dados!$X:$AB,5,0),0,1)</f>
        <v>0</v>
      </c>
    </row>
    <row r="434" spans="6:21">
      <c r="F434" s="4">
        <v>293</v>
      </c>
      <c r="G434" s="4">
        <v>65</v>
      </c>
      <c r="H434" s="4">
        <v>1</v>
      </c>
      <c r="I434" s="4">
        <v>21</v>
      </c>
      <c r="J434" s="4">
        <v>1</v>
      </c>
      <c r="K434" s="4">
        <f t="shared" si="191"/>
        <v>0</v>
      </c>
      <c r="L434" s="4">
        <f t="shared" si="191"/>
        <v>0</v>
      </c>
      <c r="M434" s="4">
        <f t="shared" si="191"/>
        <v>0</v>
      </c>
      <c r="N434" s="4">
        <f t="shared" si="191"/>
        <v>0</v>
      </c>
      <c r="O434" s="4">
        <f t="shared" si="187"/>
        <v>0</v>
      </c>
      <c r="P434" s="4">
        <f t="shared" si="188"/>
        <v>0</v>
      </c>
      <c r="Q434" s="4">
        <f t="shared" si="189"/>
        <v>0</v>
      </c>
      <c r="R434" s="4">
        <f t="shared" si="190"/>
        <v>0</v>
      </c>
      <c r="S434" s="4">
        <f>IF(AND(VLOOKUP(G434,Dados!$D:$L,2,0)=VLOOKUP(I434,Dados!$S:$V,2,0),VLOOKUP(G434,Dados!$D:$L,3,0)=VLOOKUP(I434,Dados!$S:$V,3,0)),0,1)</f>
        <v>0</v>
      </c>
      <c r="T434" s="4">
        <f>IF(AND(VLOOKUP(G434,Dados!$D:$L,3,0)&lt;=VLOOKUP(H434,Dados!$X:$AB,2,0),VLOOKUP(G434,Dados!$D:$L,4,0)&gt;=VLOOKUP(H434,Dados!$X:$AB,3,0),VLOOKUP(G434,Dados!$D:$L,4,0)&lt;=VLOOKUP(H434,Dados!$X:$AB,4,0)),0,1)</f>
        <v>0</v>
      </c>
      <c r="U434" s="4">
        <f>IF(COUNTIFS(F:F,F434,H:H,H434)&lt;=VLOOKUP(H434,Dados!$X:$AB,5,0),0,1)</f>
        <v>0</v>
      </c>
    </row>
    <row r="435" spans="6:21">
      <c r="F435" s="4">
        <v>294</v>
      </c>
      <c r="G435" s="4">
        <v>60</v>
      </c>
      <c r="H435" s="4">
        <v>2</v>
      </c>
      <c r="I435" s="4">
        <v>21</v>
      </c>
      <c r="J435" s="4">
        <v>8</v>
      </c>
      <c r="K435" s="4">
        <f t="shared" si="191"/>
        <v>0</v>
      </c>
      <c r="L435" s="4">
        <f t="shared" si="191"/>
        <v>36</v>
      </c>
      <c r="M435" s="4">
        <f t="shared" si="191"/>
        <v>0</v>
      </c>
      <c r="N435" s="4">
        <f t="shared" si="191"/>
        <v>0</v>
      </c>
      <c r="O435" s="4">
        <f t="shared" ref="O435:O498" si="192">$J435*K435</f>
        <v>0</v>
      </c>
      <c r="P435" s="4">
        <f t="shared" ref="P435:P498" si="193">$J435*L435</f>
        <v>288</v>
      </c>
      <c r="Q435" s="4">
        <f t="shared" ref="Q435:Q498" si="194">$J435*M435</f>
        <v>0</v>
      </c>
      <c r="R435" s="4">
        <f t="shared" ref="R435:R498" si="195">$J435*N435</f>
        <v>0</v>
      </c>
      <c r="S435" s="4">
        <f>IF(AND(VLOOKUP(G435,Dados!$D:$L,2,0)=VLOOKUP(I435,Dados!$S:$V,2,0),VLOOKUP(G435,Dados!$D:$L,3,0)=VLOOKUP(I435,Dados!$S:$V,3,0)),0,1)</f>
        <v>0</v>
      </c>
      <c r="T435" s="4">
        <f>IF(AND(VLOOKUP(G435,Dados!$D:$L,3,0)&lt;=VLOOKUP(H435,Dados!$X:$AB,2,0),VLOOKUP(G435,Dados!$D:$L,4,0)&gt;=VLOOKUP(H435,Dados!$X:$AB,3,0),VLOOKUP(G435,Dados!$D:$L,4,0)&lt;=VLOOKUP(H435,Dados!$X:$AB,4,0)),0,1)</f>
        <v>0</v>
      </c>
      <c r="U435" s="4">
        <f>IF(COUNTIFS(F:F,F435,H:H,H435)&lt;=VLOOKUP(H435,Dados!$X:$AB,5,0),0,1)</f>
        <v>0</v>
      </c>
    </row>
    <row r="436" spans="6:21">
      <c r="F436" s="4">
        <v>294</v>
      </c>
      <c r="G436" s="4">
        <v>65</v>
      </c>
      <c r="H436" s="4">
        <v>2</v>
      </c>
      <c r="I436" s="4">
        <v>21</v>
      </c>
      <c r="J436" s="4">
        <v>1</v>
      </c>
      <c r="K436" s="4">
        <f t="shared" ref="K436:N499" si="196">SUMIFS($X:$X,$W:$W,$F436,$Z:$Z,$I436,$AA:$AA,$H436,$AB:$AB,K$2)</f>
        <v>0</v>
      </c>
      <c r="L436" s="4">
        <f t="shared" si="196"/>
        <v>36</v>
      </c>
      <c r="M436" s="4">
        <f t="shared" si="196"/>
        <v>0</v>
      </c>
      <c r="N436" s="4">
        <f t="shared" si="196"/>
        <v>0</v>
      </c>
      <c r="O436" s="4">
        <f t="shared" si="192"/>
        <v>0</v>
      </c>
      <c r="P436" s="4">
        <f t="shared" si="193"/>
        <v>36</v>
      </c>
      <c r="Q436" s="4">
        <f t="shared" si="194"/>
        <v>0</v>
      </c>
      <c r="R436" s="4">
        <f t="shared" si="195"/>
        <v>0</v>
      </c>
      <c r="S436" s="4">
        <f>IF(AND(VLOOKUP(G436,Dados!$D:$L,2,0)=VLOOKUP(I436,Dados!$S:$V,2,0),VLOOKUP(G436,Dados!$D:$L,3,0)=VLOOKUP(I436,Dados!$S:$V,3,0)),0,1)</f>
        <v>0</v>
      </c>
      <c r="T436" s="4">
        <f>IF(AND(VLOOKUP(G436,Dados!$D:$L,3,0)&lt;=VLOOKUP(H436,Dados!$X:$AB,2,0),VLOOKUP(G436,Dados!$D:$L,4,0)&gt;=VLOOKUP(H436,Dados!$X:$AB,3,0),VLOOKUP(G436,Dados!$D:$L,4,0)&lt;=VLOOKUP(H436,Dados!$X:$AB,4,0)),0,1)</f>
        <v>0</v>
      </c>
      <c r="U436" s="4">
        <f>IF(COUNTIFS(F:F,F436,H:H,H436)&lt;=VLOOKUP(H436,Dados!$X:$AB,5,0),0,1)</f>
        <v>0</v>
      </c>
    </row>
    <row r="437" spans="6:21">
      <c r="F437" s="4">
        <v>295</v>
      </c>
      <c r="G437" s="4">
        <v>60</v>
      </c>
      <c r="H437" s="4">
        <v>3</v>
      </c>
      <c r="I437" s="4">
        <v>21</v>
      </c>
      <c r="J437" s="4">
        <v>8</v>
      </c>
      <c r="K437" s="4">
        <f t="shared" si="196"/>
        <v>0</v>
      </c>
      <c r="L437" s="4">
        <f t="shared" si="196"/>
        <v>1</v>
      </c>
      <c r="M437" s="4">
        <f t="shared" si="196"/>
        <v>0</v>
      </c>
      <c r="N437" s="4">
        <f t="shared" si="196"/>
        <v>0</v>
      </c>
      <c r="O437" s="4">
        <f t="shared" si="192"/>
        <v>0</v>
      </c>
      <c r="P437" s="4">
        <f t="shared" si="193"/>
        <v>8</v>
      </c>
      <c r="Q437" s="4">
        <f t="shared" si="194"/>
        <v>0</v>
      </c>
      <c r="R437" s="4">
        <f t="shared" si="195"/>
        <v>0</v>
      </c>
      <c r="S437" s="4">
        <f>IF(AND(VLOOKUP(G437,Dados!$D:$L,2,0)=VLOOKUP(I437,Dados!$S:$V,2,0),VLOOKUP(G437,Dados!$D:$L,3,0)=VLOOKUP(I437,Dados!$S:$V,3,0)),0,1)</f>
        <v>0</v>
      </c>
      <c r="T437" s="4">
        <f>IF(AND(VLOOKUP(G437,Dados!$D:$L,3,0)&lt;=VLOOKUP(H437,Dados!$X:$AB,2,0),VLOOKUP(G437,Dados!$D:$L,4,0)&gt;=VLOOKUP(H437,Dados!$X:$AB,3,0),VLOOKUP(G437,Dados!$D:$L,4,0)&lt;=VLOOKUP(H437,Dados!$X:$AB,4,0)),0,1)</f>
        <v>0</v>
      </c>
      <c r="U437" s="4">
        <f>IF(COUNTIFS(F:F,F437,H:H,H437)&lt;=VLOOKUP(H437,Dados!$X:$AB,5,0),0,1)</f>
        <v>0</v>
      </c>
    </row>
    <row r="438" spans="6:21">
      <c r="F438" s="4">
        <v>295</v>
      </c>
      <c r="G438" s="4">
        <v>65</v>
      </c>
      <c r="H438" s="4">
        <v>3</v>
      </c>
      <c r="I438" s="4">
        <v>21</v>
      </c>
      <c r="J438" s="4">
        <v>1</v>
      </c>
      <c r="K438" s="4">
        <f t="shared" si="196"/>
        <v>0</v>
      </c>
      <c r="L438" s="4">
        <f t="shared" si="196"/>
        <v>1</v>
      </c>
      <c r="M438" s="4">
        <f t="shared" si="196"/>
        <v>0</v>
      </c>
      <c r="N438" s="4">
        <f t="shared" si="196"/>
        <v>0</v>
      </c>
      <c r="O438" s="4">
        <f t="shared" si="192"/>
        <v>0</v>
      </c>
      <c r="P438" s="4">
        <f t="shared" si="193"/>
        <v>1</v>
      </c>
      <c r="Q438" s="4">
        <f t="shared" si="194"/>
        <v>0</v>
      </c>
      <c r="R438" s="4">
        <f t="shared" si="195"/>
        <v>0</v>
      </c>
      <c r="S438" s="4">
        <f>IF(AND(VLOOKUP(G438,Dados!$D:$L,2,0)=VLOOKUP(I438,Dados!$S:$V,2,0),VLOOKUP(G438,Dados!$D:$L,3,0)=VLOOKUP(I438,Dados!$S:$V,3,0)),0,1)</f>
        <v>0</v>
      </c>
      <c r="T438" s="4">
        <f>IF(AND(VLOOKUP(G438,Dados!$D:$L,3,0)&lt;=VLOOKUP(H438,Dados!$X:$AB,2,0),VLOOKUP(G438,Dados!$D:$L,4,0)&gt;=VLOOKUP(H438,Dados!$X:$AB,3,0),VLOOKUP(G438,Dados!$D:$L,4,0)&lt;=VLOOKUP(H438,Dados!$X:$AB,4,0)),0,1)</f>
        <v>0</v>
      </c>
      <c r="U438" s="4">
        <f>IF(COUNTIFS(F:F,F438,H:H,H438)&lt;=VLOOKUP(H438,Dados!$X:$AB,5,0),0,1)</f>
        <v>0</v>
      </c>
    </row>
    <row r="439" spans="6:21">
      <c r="F439" s="4">
        <v>296</v>
      </c>
      <c r="G439" s="4">
        <v>60</v>
      </c>
      <c r="H439" s="4">
        <v>1</v>
      </c>
      <c r="I439" s="4">
        <v>22</v>
      </c>
      <c r="J439" s="4">
        <v>5</v>
      </c>
      <c r="K439" s="4">
        <f t="shared" si="196"/>
        <v>0</v>
      </c>
      <c r="L439" s="4">
        <f t="shared" si="196"/>
        <v>0</v>
      </c>
      <c r="M439" s="4">
        <f t="shared" si="196"/>
        <v>0</v>
      </c>
      <c r="N439" s="4">
        <f t="shared" si="196"/>
        <v>0</v>
      </c>
      <c r="O439" s="4">
        <f t="shared" si="192"/>
        <v>0</v>
      </c>
      <c r="P439" s="4">
        <f t="shared" si="193"/>
        <v>0</v>
      </c>
      <c r="Q439" s="4">
        <f t="shared" si="194"/>
        <v>0</v>
      </c>
      <c r="R439" s="4">
        <f t="shared" si="195"/>
        <v>0</v>
      </c>
      <c r="S439" s="4">
        <f>IF(AND(VLOOKUP(G439,Dados!$D:$L,2,0)=VLOOKUP(I439,Dados!$S:$V,2,0),VLOOKUP(G439,Dados!$D:$L,3,0)=VLOOKUP(I439,Dados!$S:$V,3,0)),0,1)</f>
        <v>0</v>
      </c>
      <c r="T439" s="4">
        <f>IF(AND(VLOOKUP(G439,Dados!$D:$L,3,0)&lt;=VLOOKUP(H439,Dados!$X:$AB,2,0),VLOOKUP(G439,Dados!$D:$L,4,0)&gt;=VLOOKUP(H439,Dados!$X:$AB,3,0),VLOOKUP(G439,Dados!$D:$L,4,0)&lt;=VLOOKUP(H439,Dados!$X:$AB,4,0)),0,1)</f>
        <v>0</v>
      </c>
      <c r="U439" s="4">
        <f>IF(COUNTIFS(F:F,F439,H:H,H439)&lt;=VLOOKUP(H439,Dados!$X:$AB,5,0),0,1)</f>
        <v>0</v>
      </c>
    </row>
    <row r="440" spans="6:21">
      <c r="F440" s="4">
        <v>296</v>
      </c>
      <c r="G440" s="4">
        <v>61</v>
      </c>
      <c r="H440" s="4">
        <v>1</v>
      </c>
      <c r="I440" s="4">
        <v>22</v>
      </c>
      <c r="J440" s="4">
        <v>1</v>
      </c>
      <c r="K440" s="4">
        <f t="shared" si="196"/>
        <v>0</v>
      </c>
      <c r="L440" s="4">
        <f t="shared" si="196"/>
        <v>0</v>
      </c>
      <c r="M440" s="4">
        <f t="shared" si="196"/>
        <v>0</v>
      </c>
      <c r="N440" s="4">
        <f t="shared" si="196"/>
        <v>0</v>
      </c>
      <c r="O440" s="4">
        <f t="shared" si="192"/>
        <v>0</v>
      </c>
      <c r="P440" s="4">
        <f t="shared" si="193"/>
        <v>0</v>
      </c>
      <c r="Q440" s="4">
        <f t="shared" si="194"/>
        <v>0</v>
      </c>
      <c r="R440" s="4">
        <f t="shared" si="195"/>
        <v>0</v>
      </c>
      <c r="S440" s="4">
        <f>IF(AND(VLOOKUP(G440,Dados!$D:$L,2,0)=VLOOKUP(I440,Dados!$S:$V,2,0),VLOOKUP(G440,Dados!$D:$L,3,0)=VLOOKUP(I440,Dados!$S:$V,3,0)),0,1)</f>
        <v>0</v>
      </c>
      <c r="T440" s="4">
        <f>IF(AND(VLOOKUP(G440,Dados!$D:$L,3,0)&lt;=VLOOKUP(H440,Dados!$X:$AB,2,0),VLOOKUP(G440,Dados!$D:$L,4,0)&gt;=VLOOKUP(H440,Dados!$X:$AB,3,0),VLOOKUP(G440,Dados!$D:$L,4,0)&lt;=VLOOKUP(H440,Dados!$X:$AB,4,0)),0,1)</f>
        <v>0</v>
      </c>
      <c r="U440" s="4">
        <f>IF(COUNTIFS(F:F,F440,H:H,H440)&lt;=VLOOKUP(H440,Dados!$X:$AB,5,0),0,1)</f>
        <v>0</v>
      </c>
    </row>
    <row r="441" spans="6:21">
      <c r="F441" s="4">
        <v>296</v>
      </c>
      <c r="G441" s="4">
        <v>65</v>
      </c>
      <c r="H441" s="4">
        <v>1</v>
      </c>
      <c r="I441" s="4">
        <v>22</v>
      </c>
      <c r="J441" s="4">
        <v>1</v>
      </c>
      <c r="K441" s="4">
        <f t="shared" si="196"/>
        <v>0</v>
      </c>
      <c r="L441" s="4">
        <f t="shared" si="196"/>
        <v>0</v>
      </c>
      <c r="M441" s="4">
        <f t="shared" si="196"/>
        <v>0</v>
      </c>
      <c r="N441" s="4">
        <f t="shared" si="196"/>
        <v>0</v>
      </c>
      <c r="O441" s="4">
        <f t="shared" si="192"/>
        <v>0</v>
      </c>
      <c r="P441" s="4">
        <f t="shared" si="193"/>
        <v>0</v>
      </c>
      <c r="Q441" s="4">
        <f t="shared" si="194"/>
        <v>0</v>
      </c>
      <c r="R441" s="4">
        <f t="shared" si="195"/>
        <v>0</v>
      </c>
      <c r="S441" s="4">
        <f>IF(AND(VLOOKUP(G441,Dados!$D:$L,2,0)=VLOOKUP(I441,Dados!$S:$V,2,0),VLOOKUP(G441,Dados!$D:$L,3,0)=VLOOKUP(I441,Dados!$S:$V,3,0)),0,1)</f>
        <v>0</v>
      </c>
      <c r="T441" s="4">
        <f>IF(AND(VLOOKUP(G441,Dados!$D:$L,3,0)&lt;=VLOOKUP(H441,Dados!$X:$AB,2,0),VLOOKUP(G441,Dados!$D:$L,4,0)&gt;=VLOOKUP(H441,Dados!$X:$AB,3,0),VLOOKUP(G441,Dados!$D:$L,4,0)&lt;=VLOOKUP(H441,Dados!$X:$AB,4,0)),0,1)</f>
        <v>0</v>
      </c>
      <c r="U441" s="4">
        <f>IF(COUNTIFS(F:F,F441,H:H,H441)&lt;=VLOOKUP(H441,Dados!$X:$AB,5,0),0,1)</f>
        <v>0</v>
      </c>
    </row>
    <row r="442" spans="6:21">
      <c r="F442" s="4">
        <v>297</v>
      </c>
      <c r="G442" s="4">
        <v>60</v>
      </c>
      <c r="H442" s="4">
        <v>2</v>
      </c>
      <c r="I442" s="4">
        <v>22</v>
      </c>
      <c r="J442" s="4">
        <v>5</v>
      </c>
      <c r="K442" s="4">
        <f t="shared" si="196"/>
        <v>0</v>
      </c>
      <c r="L442" s="4">
        <f t="shared" si="196"/>
        <v>0</v>
      </c>
      <c r="M442" s="4">
        <f t="shared" si="196"/>
        <v>0</v>
      </c>
      <c r="N442" s="4">
        <f t="shared" si="196"/>
        <v>0</v>
      </c>
      <c r="O442" s="4">
        <f t="shared" si="192"/>
        <v>0</v>
      </c>
      <c r="P442" s="4">
        <f t="shared" si="193"/>
        <v>0</v>
      </c>
      <c r="Q442" s="4">
        <f t="shared" si="194"/>
        <v>0</v>
      </c>
      <c r="R442" s="4">
        <f t="shared" si="195"/>
        <v>0</v>
      </c>
      <c r="S442" s="4">
        <f>IF(AND(VLOOKUP(G442,Dados!$D:$L,2,0)=VLOOKUP(I442,Dados!$S:$V,2,0),VLOOKUP(G442,Dados!$D:$L,3,0)=VLOOKUP(I442,Dados!$S:$V,3,0)),0,1)</f>
        <v>0</v>
      </c>
      <c r="T442" s="4">
        <f>IF(AND(VLOOKUP(G442,Dados!$D:$L,3,0)&lt;=VLOOKUP(H442,Dados!$X:$AB,2,0),VLOOKUP(G442,Dados!$D:$L,4,0)&gt;=VLOOKUP(H442,Dados!$X:$AB,3,0),VLOOKUP(G442,Dados!$D:$L,4,0)&lt;=VLOOKUP(H442,Dados!$X:$AB,4,0)),0,1)</f>
        <v>0</v>
      </c>
      <c r="U442" s="4">
        <f>IF(COUNTIFS(F:F,F442,H:H,H442)&lt;=VLOOKUP(H442,Dados!$X:$AB,5,0),0,1)</f>
        <v>0</v>
      </c>
    </row>
    <row r="443" spans="6:21">
      <c r="F443" s="4">
        <v>297</v>
      </c>
      <c r="G443" s="4">
        <v>61</v>
      </c>
      <c r="H443" s="4">
        <v>2</v>
      </c>
      <c r="I443" s="4">
        <v>22</v>
      </c>
      <c r="J443" s="4">
        <v>1</v>
      </c>
      <c r="K443" s="4">
        <f t="shared" si="196"/>
        <v>0</v>
      </c>
      <c r="L443" s="4">
        <f t="shared" si="196"/>
        <v>0</v>
      </c>
      <c r="M443" s="4">
        <f t="shared" si="196"/>
        <v>0</v>
      </c>
      <c r="N443" s="4">
        <f t="shared" si="196"/>
        <v>0</v>
      </c>
      <c r="O443" s="4">
        <f t="shared" si="192"/>
        <v>0</v>
      </c>
      <c r="P443" s="4">
        <f t="shared" si="193"/>
        <v>0</v>
      </c>
      <c r="Q443" s="4">
        <f t="shared" si="194"/>
        <v>0</v>
      </c>
      <c r="R443" s="4">
        <f t="shared" si="195"/>
        <v>0</v>
      </c>
      <c r="S443" s="4">
        <f>IF(AND(VLOOKUP(G443,Dados!$D:$L,2,0)=VLOOKUP(I443,Dados!$S:$V,2,0),VLOOKUP(G443,Dados!$D:$L,3,0)=VLOOKUP(I443,Dados!$S:$V,3,0)),0,1)</f>
        <v>0</v>
      </c>
      <c r="T443" s="4">
        <f>IF(AND(VLOOKUP(G443,Dados!$D:$L,3,0)&lt;=VLOOKUP(H443,Dados!$X:$AB,2,0),VLOOKUP(G443,Dados!$D:$L,4,0)&gt;=VLOOKUP(H443,Dados!$X:$AB,3,0),VLOOKUP(G443,Dados!$D:$L,4,0)&lt;=VLOOKUP(H443,Dados!$X:$AB,4,0)),0,1)</f>
        <v>0</v>
      </c>
      <c r="U443" s="4">
        <f>IF(COUNTIFS(F:F,F443,H:H,H443)&lt;=VLOOKUP(H443,Dados!$X:$AB,5,0),0,1)</f>
        <v>0</v>
      </c>
    </row>
    <row r="444" spans="6:21">
      <c r="F444" s="4">
        <v>297</v>
      </c>
      <c r="G444" s="4">
        <v>65</v>
      </c>
      <c r="H444" s="4">
        <v>2</v>
      </c>
      <c r="I444" s="4">
        <v>22</v>
      </c>
      <c r="J444" s="4">
        <v>1</v>
      </c>
      <c r="K444" s="4">
        <f t="shared" si="196"/>
        <v>0</v>
      </c>
      <c r="L444" s="4">
        <f t="shared" si="196"/>
        <v>0</v>
      </c>
      <c r="M444" s="4">
        <f t="shared" si="196"/>
        <v>0</v>
      </c>
      <c r="N444" s="4">
        <f t="shared" si="196"/>
        <v>0</v>
      </c>
      <c r="O444" s="4">
        <f t="shared" si="192"/>
        <v>0</v>
      </c>
      <c r="P444" s="4">
        <f t="shared" si="193"/>
        <v>0</v>
      </c>
      <c r="Q444" s="4">
        <f t="shared" si="194"/>
        <v>0</v>
      </c>
      <c r="R444" s="4">
        <f t="shared" si="195"/>
        <v>0</v>
      </c>
      <c r="S444" s="4">
        <f>IF(AND(VLOOKUP(G444,Dados!$D:$L,2,0)=VLOOKUP(I444,Dados!$S:$V,2,0),VLOOKUP(G444,Dados!$D:$L,3,0)=VLOOKUP(I444,Dados!$S:$V,3,0)),0,1)</f>
        <v>0</v>
      </c>
      <c r="T444" s="4">
        <f>IF(AND(VLOOKUP(G444,Dados!$D:$L,3,0)&lt;=VLOOKUP(H444,Dados!$X:$AB,2,0),VLOOKUP(G444,Dados!$D:$L,4,0)&gt;=VLOOKUP(H444,Dados!$X:$AB,3,0),VLOOKUP(G444,Dados!$D:$L,4,0)&lt;=VLOOKUP(H444,Dados!$X:$AB,4,0)),0,1)</f>
        <v>0</v>
      </c>
      <c r="U444" s="4">
        <f>IF(COUNTIFS(F:F,F444,H:H,H444)&lt;=VLOOKUP(H444,Dados!$X:$AB,5,0),0,1)</f>
        <v>0</v>
      </c>
    </row>
    <row r="445" spans="6:21">
      <c r="F445" s="4">
        <v>298</v>
      </c>
      <c r="G445" s="4">
        <v>60</v>
      </c>
      <c r="H445" s="4">
        <v>3</v>
      </c>
      <c r="I445" s="4">
        <v>22</v>
      </c>
      <c r="J445" s="4">
        <v>5</v>
      </c>
      <c r="K445" s="4">
        <f t="shared" si="196"/>
        <v>0</v>
      </c>
      <c r="L445" s="4">
        <f t="shared" si="196"/>
        <v>0</v>
      </c>
      <c r="M445" s="4">
        <f t="shared" si="196"/>
        <v>0</v>
      </c>
      <c r="N445" s="4">
        <f t="shared" si="196"/>
        <v>0</v>
      </c>
      <c r="O445" s="4">
        <f t="shared" si="192"/>
        <v>0</v>
      </c>
      <c r="P445" s="4">
        <f t="shared" si="193"/>
        <v>0</v>
      </c>
      <c r="Q445" s="4">
        <f t="shared" si="194"/>
        <v>0</v>
      </c>
      <c r="R445" s="4">
        <f t="shared" si="195"/>
        <v>0</v>
      </c>
      <c r="S445" s="4">
        <f>IF(AND(VLOOKUP(G445,Dados!$D:$L,2,0)=VLOOKUP(I445,Dados!$S:$V,2,0),VLOOKUP(G445,Dados!$D:$L,3,0)=VLOOKUP(I445,Dados!$S:$V,3,0)),0,1)</f>
        <v>0</v>
      </c>
      <c r="T445" s="4">
        <f>IF(AND(VLOOKUP(G445,Dados!$D:$L,3,0)&lt;=VLOOKUP(H445,Dados!$X:$AB,2,0),VLOOKUP(G445,Dados!$D:$L,4,0)&gt;=VLOOKUP(H445,Dados!$X:$AB,3,0),VLOOKUP(G445,Dados!$D:$L,4,0)&lt;=VLOOKUP(H445,Dados!$X:$AB,4,0)),0,1)</f>
        <v>0</v>
      </c>
      <c r="U445" s="4">
        <f>IF(COUNTIFS(F:F,F445,H:H,H445)&lt;=VLOOKUP(H445,Dados!$X:$AB,5,0),0,1)</f>
        <v>0</v>
      </c>
    </row>
    <row r="446" spans="6:21">
      <c r="F446" s="4">
        <v>298</v>
      </c>
      <c r="G446" s="4">
        <v>61</v>
      </c>
      <c r="H446" s="4">
        <v>3</v>
      </c>
      <c r="I446" s="4">
        <v>22</v>
      </c>
      <c r="J446" s="4">
        <v>1</v>
      </c>
      <c r="K446" s="4">
        <f t="shared" si="196"/>
        <v>0</v>
      </c>
      <c r="L446" s="4">
        <f t="shared" si="196"/>
        <v>0</v>
      </c>
      <c r="M446" s="4">
        <f t="shared" si="196"/>
        <v>0</v>
      </c>
      <c r="N446" s="4">
        <f t="shared" si="196"/>
        <v>0</v>
      </c>
      <c r="O446" s="4">
        <f t="shared" si="192"/>
        <v>0</v>
      </c>
      <c r="P446" s="4">
        <f t="shared" si="193"/>
        <v>0</v>
      </c>
      <c r="Q446" s="4">
        <f t="shared" si="194"/>
        <v>0</v>
      </c>
      <c r="R446" s="4">
        <f t="shared" si="195"/>
        <v>0</v>
      </c>
      <c r="S446" s="4">
        <f>IF(AND(VLOOKUP(G446,Dados!$D:$L,2,0)=VLOOKUP(I446,Dados!$S:$V,2,0),VLOOKUP(G446,Dados!$D:$L,3,0)=VLOOKUP(I446,Dados!$S:$V,3,0)),0,1)</f>
        <v>0</v>
      </c>
      <c r="T446" s="4">
        <f>IF(AND(VLOOKUP(G446,Dados!$D:$L,3,0)&lt;=VLOOKUP(H446,Dados!$X:$AB,2,0),VLOOKUP(G446,Dados!$D:$L,4,0)&gt;=VLOOKUP(H446,Dados!$X:$AB,3,0),VLOOKUP(G446,Dados!$D:$L,4,0)&lt;=VLOOKUP(H446,Dados!$X:$AB,4,0)),0,1)</f>
        <v>0</v>
      </c>
      <c r="U446" s="4">
        <f>IF(COUNTIFS(F:F,F446,H:H,H446)&lt;=VLOOKUP(H446,Dados!$X:$AB,5,0),0,1)</f>
        <v>0</v>
      </c>
    </row>
    <row r="447" spans="6:21">
      <c r="F447" s="4">
        <v>298</v>
      </c>
      <c r="G447" s="4">
        <v>65</v>
      </c>
      <c r="H447" s="4">
        <v>3</v>
      </c>
      <c r="I447" s="4">
        <v>22</v>
      </c>
      <c r="J447" s="4">
        <v>1</v>
      </c>
      <c r="K447" s="4">
        <f t="shared" si="196"/>
        <v>0</v>
      </c>
      <c r="L447" s="4">
        <f t="shared" si="196"/>
        <v>0</v>
      </c>
      <c r="M447" s="4">
        <f t="shared" si="196"/>
        <v>0</v>
      </c>
      <c r="N447" s="4">
        <f t="shared" si="196"/>
        <v>0</v>
      </c>
      <c r="O447" s="4">
        <f t="shared" si="192"/>
        <v>0</v>
      </c>
      <c r="P447" s="4">
        <f t="shared" si="193"/>
        <v>0</v>
      </c>
      <c r="Q447" s="4">
        <f t="shared" si="194"/>
        <v>0</v>
      </c>
      <c r="R447" s="4">
        <f t="shared" si="195"/>
        <v>0</v>
      </c>
      <c r="S447" s="4">
        <f>IF(AND(VLOOKUP(G447,Dados!$D:$L,2,0)=VLOOKUP(I447,Dados!$S:$V,2,0),VLOOKUP(G447,Dados!$D:$L,3,0)=VLOOKUP(I447,Dados!$S:$V,3,0)),0,1)</f>
        <v>0</v>
      </c>
      <c r="T447" s="4">
        <f>IF(AND(VLOOKUP(G447,Dados!$D:$L,3,0)&lt;=VLOOKUP(H447,Dados!$X:$AB,2,0),VLOOKUP(G447,Dados!$D:$L,4,0)&gt;=VLOOKUP(H447,Dados!$X:$AB,3,0),VLOOKUP(G447,Dados!$D:$L,4,0)&lt;=VLOOKUP(H447,Dados!$X:$AB,4,0)),0,1)</f>
        <v>0</v>
      </c>
      <c r="U447" s="4">
        <f>IF(COUNTIFS(F:F,F447,H:H,H447)&lt;=VLOOKUP(H447,Dados!$X:$AB,5,0),0,1)</f>
        <v>0</v>
      </c>
    </row>
    <row r="448" spans="6:21">
      <c r="F448" s="4">
        <v>299</v>
      </c>
      <c r="G448" s="4">
        <v>60</v>
      </c>
      <c r="H448" s="4">
        <v>1</v>
      </c>
      <c r="I448" s="4">
        <v>23</v>
      </c>
      <c r="J448" s="4">
        <v>8</v>
      </c>
      <c r="K448" s="4">
        <f t="shared" si="196"/>
        <v>0</v>
      </c>
      <c r="L448" s="4">
        <f t="shared" si="196"/>
        <v>0</v>
      </c>
      <c r="M448" s="4">
        <f t="shared" si="196"/>
        <v>0</v>
      </c>
      <c r="N448" s="4">
        <f t="shared" si="196"/>
        <v>0</v>
      </c>
      <c r="O448" s="4">
        <f t="shared" si="192"/>
        <v>0</v>
      </c>
      <c r="P448" s="4">
        <f t="shared" si="193"/>
        <v>0</v>
      </c>
      <c r="Q448" s="4">
        <f t="shared" si="194"/>
        <v>0</v>
      </c>
      <c r="R448" s="4">
        <f t="shared" si="195"/>
        <v>0</v>
      </c>
      <c r="S448" s="4">
        <f>IF(AND(VLOOKUP(G448,Dados!$D:$L,2,0)=VLOOKUP(I448,Dados!$S:$V,2,0),VLOOKUP(G448,Dados!$D:$L,3,0)=VLOOKUP(I448,Dados!$S:$V,3,0)),0,1)</f>
        <v>0</v>
      </c>
      <c r="T448" s="4">
        <f>IF(AND(VLOOKUP(G448,Dados!$D:$L,3,0)&lt;=VLOOKUP(H448,Dados!$X:$AB,2,0),VLOOKUP(G448,Dados!$D:$L,4,0)&gt;=VLOOKUP(H448,Dados!$X:$AB,3,0),VLOOKUP(G448,Dados!$D:$L,4,0)&lt;=VLOOKUP(H448,Dados!$X:$AB,4,0)),0,1)</f>
        <v>0</v>
      </c>
      <c r="U448" s="4">
        <f>IF(COUNTIFS(F:F,F448,H:H,H448)&lt;=VLOOKUP(H448,Dados!$X:$AB,5,0),0,1)</f>
        <v>0</v>
      </c>
    </row>
    <row r="449" spans="6:21">
      <c r="F449" s="4">
        <v>300</v>
      </c>
      <c r="G449" s="4">
        <v>60</v>
      </c>
      <c r="H449" s="4">
        <v>2</v>
      </c>
      <c r="I449" s="4">
        <v>23</v>
      </c>
      <c r="J449" s="4">
        <v>8</v>
      </c>
      <c r="K449" s="4">
        <f t="shared" si="196"/>
        <v>0</v>
      </c>
      <c r="L449" s="4">
        <f t="shared" si="196"/>
        <v>0</v>
      </c>
      <c r="M449" s="4">
        <f t="shared" si="196"/>
        <v>0</v>
      </c>
      <c r="N449" s="4">
        <f t="shared" si="196"/>
        <v>0</v>
      </c>
      <c r="O449" s="4">
        <f t="shared" si="192"/>
        <v>0</v>
      </c>
      <c r="P449" s="4">
        <f t="shared" si="193"/>
        <v>0</v>
      </c>
      <c r="Q449" s="4">
        <f t="shared" si="194"/>
        <v>0</v>
      </c>
      <c r="R449" s="4">
        <f t="shared" si="195"/>
        <v>0</v>
      </c>
      <c r="S449" s="4">
        <f>IF(AND(VLOOKUP(G449,Dados!$D:$L,2,0)=VLOOKUP(I449,Dados!$S:$V,2,0),VLOOKUP(G449,Dados!$D:$L,3,0)=VLOOKUP(I449,Dados!$S:$V,3,0)),0,1)</f>
        <v>0</v>
      </c>
      <c r="T449" s="4">
        <f>IF(AND(VLOOKUP(G449,Dados!$D:$L,3,0)&lt;=VLOOKUP(H449,Dados!$X:$AB,2,0),VLOOKUP(G449,Dados!$D:$L,4,0)&gt;=VLOOKUP(H449,Dados!$X:$AB,3,0),VLOOKUP(G449,Dados!$D:$L,4,0)&lt;=VLOOKUP(H449,Dados!$X:$AB,4,0)),0,1)</f>
        <v>0</v>
      </c>
      <c r="U449" s="4">
        <f>IF(COUNTIFS(F:F,F449,H:H,H449)&lt;=VLOOKUP(H449,Dados!$X:$AB,5,0),0,1)</f>
        <v>0</v>
      </c>
    </row>
    <row r="450" spans="6:21">
      <c r="F450" s="4">
        <v>301</v>
      </c>
      <c r="G450" s="4">
        <v>60</v>
      </c>
      <c r="H450" s="4">
        <v>3</v>
      </c>
      <c r="I450" s="4">
        <v>23</v>
      </c>
      <c r="J450" s="4">
        <v>8</v>
      </c>
      <c r="K450" s="4">
        <f t="shared" si="196"/>
        <v>0</v>
      </c>
      <c r="L450" s="4">
        <f t="shared" si="196"/>
        <v>0</v>
      </c>
      <c r="M450" s="4">
        <f t="shared" si="196"/>
        <v>0</v>
      </c>
      <c r="N450" s="4">
        <f t="shared" si="196"/>
        <v>0</v>
      </c>
      <c r="O450" s="4">
        <f t="shared" si="192"/>
        <v>0</v>
      </c>
      <c r="P450" s="4">
        <f t="shared" si="193"/>
        <v>0</v>
      </c>
      <c r="Q450" s="4">
        <f t="shared" si="194"/>
        <v>0</v>
      </c>
      <c r="R450" s="4">
        <f t="shared" si="195"/>
        <v>0</v>
      </c>
      <c r="S450" s="4">
        <f>IF(AND(VLOOKUP(G450,Dados!$D:$L,2,0)=VLOOKUP(I450,Dados!$S:$V,2,0),VLOOKUP(G450,Dados!$D:$L,3,0)=VLOOKUP(I450,Dados!$S:$V,3,0)),0,1)</f>
        <v>0</v>
      </c>
      <c r="T450" s="4">
        <f>IF(AND(VLOOKUP(G450,Dados!$D:$L,3,0)&lt;=VLOOKUP(H450,Dados!$X:$AB,2,0),VLOOKUP(G450,Dados!$D:$L,4,0)&gt;=VLOOKUP(H450,Dados!$X:$AB,3,0),VLOOKUP(G450,Dados!$D:$L,4,0)&lt;=VLOOKUP(H450,Dados!$X:$AB,4,0)),0,1)</f>
        <v>0</v>
      </c>
      <c r="U450" s="4">
        <f>IF(COUNTIFS(F:F,F450,H:H,H450)&lt;=VLOOKUP(H450,Dados!$X:$AB,5,0),0,1)</f>
        <v>0</v>
      </c>
    </row>
    <row r="451" spans="6:21">
      <c r="F451" s="4">
        <v>302</v>
      </c>
      <c r="G451" s="4">
        <v>59</v>
      </c>
      <c r="H451" s="4">
        <v>1</v>
      </c>
      <c r="I451" s="4">
        <v>24</v>
      </c>
      <c r="J451" s="4">
        <v>2</v>
      </c>
      <c r="K451" s="4">
        <f t="shared" si="196"/>
        <v>0</v>
      </c>
      <c r="L451" s="4">
        <f t="shared" si="196"/>
        <v>0</v>
      </c>
      <c r="M451" s="4">
        <f t="shared" si="196"/>
        <v>0</v>
      </c>
      <c r="N451" s="4">
        <f t="shared" si="196"/>
        <v>0</v>
      </c>
      <c r="O451" s="4">
        <f t="shared" si="192"/>
        <v>0</v>
      </c>
      <c r="P451" s="4">
        <f t="shared" si="193"/>
        <v>0</v>
      </c>
      <c r="Q451" s="4">
        <f t="shared" si="194"/>
        <v>0</v>
      </c>
      <c r="R451" s="4">
        <f t="shared" si="195"/>
        <v>0</v>
      </c>
      <c r="S451" s="4">
        <f>IF(AND(VLOOKUP(G451,Dados!$D:$L,2,0)=VLOOKUP(I451,Dados!$S:$V,2,0),VLOOKUP(G451,Dados!$D:$L,3,0)=VLOOKUP(I451,Dados!$S:$V,3,0)),0,1)</f>
        <v>0</v>
      </c>
      <c r="T451" s="4">
        <f>IF(AND(VLOOKUP(G451,Dados!$D:$L,3,0)&lt;=VLOOKUP(H451,Dados!$X:$AB,2,0),VLOOKUP(G451,Dados!$D:$L,4,0)&gt;=VLOOKUP(H451,Dados!$X:$AB,3,0),VLOOKUP(G451,Dados!$D:$L,4,0)&lt;=VLOOKUP(H451,Dados!$X:$AB,4,0)),0,1)</f>
        <v>0</v>
      </c>
      <c r="U451" s="4">
        <f>IF(COUNTIFS(F:F,F451,H:H,H451)&lt;=VLOOKUP(H451,Dados!$X:$AB,5,0),0,1)</f>
        <v>0</v>
      </c>
    </row>
    <row r="452" spans="6:21">
      <c r="F452" s="4">
        <v>302</v>
      </c>
      <c r="G452" s="4">
        <v>60</v>
      </c>
      <c r="H452" s="4">
        <v>1</v>
      </c>
      <c r="I452" s="4">
        <v>24</v>
      </c>
      <c r="J452" s="4">
        <v>6</v>
      </c>
      <c r="K452" s="4">
        <f t="shared" si="196"/>
        <v>0</v>
      </c>
      <c r="L452" s="4">
        <f t="shared" si="196"/>
        <v>0</v>
      </c>
      <c r="M452" s="4">
        <f t="shared" si="196"/>
        <v>0</v>
      </c>
      <c r="N452" s="4">
        <f t="shared" si="196"/>
        <v>0</v>
      </c>
      <c r="O452" s="4">
        <f t="shared" si="192"/>
        <v>0</v>
      </c>
      <c r="P452" s="4">
        <f t="shared" si="193"/>
        <v>0</v>
      </c>
      <c r="Q452" s="4">
        <f t="shared" si="194"/>
        <v>0</v>
      </c>
      <c r="R452" s="4">
        <f t="shared" si="195"/>
        <v>0</v>
      </c>
      <c r="S452" s="4">
        <f>IF(AND(VLOOKUP(G452,Dados!$D:$L,2,0)=VLOOKUP(I452,Dados!$S:$V,2,0),VLOOKUP(G452,Dados!$D:$L,3,0)=VLOOKUP(I452,Dados!$S:$V,3,0)),0,1)</f>
        <v>0</v>
      </c>
      <c r="T452" s="4">
        <f>IF(AND(VLOOKUP(G452,Dados!$D:$L,3,0)&lt;=VLOOKUP(H452,Dados!$X:$AB,2,0),VLOOKUP(G452,Dados!$D:$L,4,0)&gt;=VLOOKUP(H452,Dados!$X:$AB,3,0),VLOOKUP(G452,Dados!$D:$L,4,0)&lt;=VLOOKUP(H452,Dados!$X:$AB,4,0)),0,1)</f>
        <v>0</v>
      </c>
      <c r="U452" s="4">
        <f>IF(COUNTIFS(F:F,F452,H:H,H452)&lt;=VLOOKUP(H452,Dados!$X:$AB,5,0),0,1)</f>
        <v>0</v>
      </c>
    </row>
    <row r="453" spans="6:21">
      <c r="F453" s="4">
        <v>303</v>
      </c>
      <c r="G453" s="4">
        <v>59</v>
      </c>
      <c r="H453" s="4">
        <v>2</v>
      </c>
      <c r="I453" s="4">
        <v>24</v>
      </c>
      <c r="J453" s="4">
        <v>2</v>
      </c>
      <c r="K453" s="4">
        <f t="shared" si="196"/>
        <v>0</v>
      </c>
      <c r="L453" s="4">
        <f t="shared" si="196"/>
        <v>0</v>
      </c>
      <c r="M453" s="4">
        <f t="shared" si="196"/>
        <v>0</v>
      </c>
      <c r="N453" s="4">
        <f t="shared" si="196"/>
        <v>0</v>
      </c>
      <c r="O453" s="4">
        <f t="shared" si="192"/>
        <v>0</v>
      </c>
      <c r="P453" s="4">
        <f t="shared" si="193"/>
        <v>0</v>
      </c>
      <c r="Q453" s="4">
        <f t="shared" si="194"/>
        <v>0</v>
      </c>
      <c r="R453" s="4">
        <f t="shared" si="195"/>
        <v>0</v>
      </c>
      <c r="S453" s="4">
        <f>IF(AND(VLOOKUP(G453,Dados!$D:$L,2,0)=VLOOKUP(I453,Dados!$S:$V,2,0),VLOOKUP(G453,Dados!$D:$L,3,0)=VLOOKUP(I453,Dados!$S:$V,3,0)),0,1)</f>
        <v>0</v>
      </c>
      <c r="T453" s="4">
        <f>IF(AND(VLOOKUP(G453,Dados!$D:$L,3,0)&lt;=VLOOKUP(H453,Dados!$X:$AB,2,0),VLOOKUP(G453,Dados!$D:$L,4,0)&gt;=VLOOKUP(H453,Dados!$X:$AB,3,0),VLOOKUP(G453,Dados!$D:$L,4,0)&lt;=VLOOKUP(H453,Dados!$X:$AB,4,0)),0,1)</f>
        <v>0</v>
      </c>
      <c r="U453" s="4">
        <f>IF(COUNTIFS(F:F,F453,H:H,H453)&lt;=VLOOKUP(H453,Dados!$X:$AB,5,0),0,1)</f>
        <v>0</v>
      </c>
    </row>
    <row r="454" spans="6:21">
      <c r="F454" s="4">
        <v>303</v>
      </c>
      <c r="G454" s="4">
        <v>60</v>
      </c>
      <c r="H454" s="4">
        <v>2</v>
      </c>
      <c r="I454" s="4">
        <v>24</v>
      </c>
      <c r="J454" s="4">
        <v>6</v>
      </c>
      <c r="K454" s="4">
        <f t="shared" si="196"/>
        <v>0</v>
      </c>
      <c r="L454" s="4">
        <f t="shared" si="196"/>
        <v>0</v>
      </c>
      <c r="M454" s="4">
        <f t="shared" si="196"/>
        <v>0</v>
      </c>
      <c r="N454" s="4">
        <f t="shared" si="196"/>
        <v>0</v>
      </c>
      <c r="O454" s="4">
        <f t="shared" si="192"/>
        <v>0</v>
      </c>
      <c r="P454" s="4">
        <f t="shared" si="193"/>
        <v>0</v>
      </c>
      <c r="Q454" s="4">
        <f t="shared" si="194"/>
        <v>0</v>
      </c>
      <c r="R454" s="4">
        <f t="shared" si="195"/>
        <v>0</v>
      </c>
      <c r="S454" s="4">
        <f>IF(AND(VLOOKUP(G454,Dados!$D:$L,2,0)=VLOOKUP(I454,Dados!$S:$V,2,0),VLOOKUP(G454,Dados!$D:$L,3,0)=VLOOKUP(I454,Dados!$S:$V,3,0)),0,1)</f>
        <v>0</v>
      </c>
      <c r="T454" s="4">
        <f>IF(AND(VLOOKUP(G454,Dados!$D:$L,3,0)&lt;=VLOOKUP(H454,Dados!$X:$AB,2,0),VLOOKUP(G454,Dados!$D:$L,4,0)&gt;=VLOOKUP(H454,Dados!$X:$AB,3,0),VLOOKUP(G454,Dados!$D:$L,4,0)&lt;=VLOOKUP(H454,Dados!$X:$AB,4,0)),0,1)</f>
        <v>0</v>
      </c>
      <c r="U454" s="4">
        <f>IF(COUNTIFS(F:F,F454,H:H,H454)&lt;=VLOOKUP(H454,Dados!$X:$AB,5,0),0,1)</f>
        <v>0</v>
      </c>
    </row>
    <row r="455" spans="6:21">
      <c r="F455" s="4">
        <v>304</v>
      </c>
      <c r="G455" s="4">
        <v>59</v>
      </c>
      <c r="H455" s="4">
        <v>3</v>
      </c>
      <c r="I455" s="4">
        <v>24</v>
      </c>
      <c r="J455" s="4">
        <v>2</v>
      </c>
      <c r="K455" s="4">
        <f t="shared" si="196"/>
        <v>0</v>
      </c>
      <c r="L455" s="4">
        <f t="shared" si="196"/>
        <v>0</v>
      </c>
      <c r="M455" s="4">
        <f t="shared" si="196"/>
        <v>0</v>
      </c>
      <c r="N455" s="4">
        <f t="shared" si="196"/>
        <v>0</v>
      </c>
      <c r="O455" s="4">
        <f t="shared" si="192"/>
        <v>0</v>
      </c>
      <c r="P455" s="4">
        <f t="shared" si="193"/>
        <v>0</v>
      </c>
      <c r="Q455" s="4">
        <f t="shared" si="194"/>
        <v>0</v>
      </c>
      <c r="R455" s="4">
        <f t="shared" si="195"/>
        <v>0</v>
      </c>
      <c r="S455" s="4">
        <f>IF(AND(VLOOKUP(G455,Dados!$D:$L,2,0)=VLOOKUP(I455,Dados!$S:$V,2,0),VLOOKUP(G455,Dados!$D:$L,3,0)=VLOOKUP(I455,Dados!$S:$V,3,0)),0,1)</f>
        <v>0</v>
      </c>
      <c r="T455" s="4">
        <f>IF(AND(VLOOKUP(G455,Dados!$D:$L,3,0)&lt;=VLOOKUP(H455,Dados!$X:$AB,2,0),VLOOKUP(G455,Dados!$D:$L,4,0)&gt;=VLOOKUP(H455,Dados!$X:$AB,3,0),VLOOKUP(G455,Dados!$D:$L,4,0)&lt;=VLOOKUP(H455,Dados!$X:$AB,4,0)),0,1)</f>
        <v>0</v>
      </c>
      <c r="U455" s="4">
        <f>IF(COUNTIFS(F:F,F455,H:H,H455)&lt;=VLOOKUP(H455,Dados!$X:$AB,5,0),0,1)</f>
        <v>0</v>
      </c>
    </row>
    <row r="456" spans="6:21">
      <c r="F456" s="4">
        <v>304</v>
      </c>
      <c r="G456" s="4">
        <v>60</v>
      </c>
      <c r="H456" s="4">
        <v>3</v>
      </c>
      <c r="I456" s="4">
        <v>24</v>
      </c>
      <c r="J456" s="4">
        <v>6</v>
      </c>
      <c r="K456" s="4">
        <f t="shared" si="196"/>
        <v>0</v>
      </c>
      <c r="L456" s="4">
        <f t="shared" si="196"/>
        <v>0</v>
      </c>
      <c r="M456" s="4">
        <f t="shared" si="196"/>
        <v>0</v>
      </c>
      <c r="N456" s="4">
        <f t="shared" si="196"/>
        <v>0</v>
      </c>
      <c r="O456" s="4">
        <f t="shared" si="192"/>
        <v>0</v>
      </c>
      <c r="P456" s="4">
        <f t="shared" si="193"/>
        <v>0</v>
      </c>
      <c r="Q456" s="4">
        <f t="shared" si="194"/>
        <v>0</v>
      </c>
      <c r="R456" s="4">
        <f t="shared" si="195"/>
        <v>0</v>
      </c>
      <c r="S456" s="4">
        <f>IF(AND(VLOOKUP(G456,Dados!$D:$L,2,0)=VLOOKUP(I456,Dados!$S:$V,2,0),VLOOKUP(G456,Dados!$D:$L,3,0)=VLOOKUP(I456,Dados!$S:$V,3,0)),0,1)</f>
        <v>0</v>
      </c>
      <c r="T456" s="4">
        <f>IF(AND(VLOOKUP(G456,Dados!$D:$L,3,0)&lt;=VLOOKUP(H456,Dados!$X:$AB,2,0),VLOOKUP(G456,Dados!$D:$L,4,0)&gt;=VLOOKUP(H456,Dados!$X:$AB,3,0),VLOOKUP(G456,Dados!$D:$L,4,0)&lt;=VLOOKUP(H456,Dados!$X:$AB,4,0)),0,1)</f>
        <v>0</v>
      </c>
      <c r="U456" s="4">
        <f>IF(COUNTIFS(F:F,F456,H:H,H456)&lt;=VLOOKUP(H456,Dados!$X:$AB,5,0),0,1)</f>
        <v>0</v>
      </c>
    </row>
    <row r="457" spans="6:21">
      <c r="F457" s="4">
        <v>305</v>
      </c>
      <c r="G457" s="4">
        <v>60</v>
      </c>
      <c r="H457" s="4">
        <v>1</v>
      </c>
      <c r="I457" s="4">
        <v>25</v>
      </c>
      <c r="J457" s="4">
        <v>7</v>
      </c>
      <c r="K457" s="4">
        <f t="shared" si="196"/>
        <v>0</v>
      </c>
      <c r="L457" s="4">
        <f t="shared" si="196"/>
        <v>0</v>
      </c>
      <c r="M457" s="4">
        <f t="shared" si="196"/>
        <v>0</v>
      </c>
      <c r="N457" s="4">
        <f t="shared" si="196"/>
        <v>0</v>
      </c>
      <c r="O457" s="4">
        <f t="shared" si="192"/>
        <v>0</v>
      </c>
      <c r="P457" s="4">
        <f t="shared" si="193"/>
        <v>0</v>
      </c>
      <c r="Q457" s="4">
        <f t="shared" si="194"/>
        <v>0</v>
      </c>
      <c r="R457" s="4">
        <f t="shared" si="195"/>
        <v>0</v>
      </c>
      <c r="S457" s="4">
        <f>IF(AND(VLOOKUP(G457,Dados!$D:$L,2,0)=VLOOKUP(I457,Dados!$S:$V,2,0),VLOOKUP(G457,Dados!$D:$L,3,0)=VLOOKUP(I457,Dados!$S:$V,3,0)),0,1)</f>
        <v>0</v>
      </c>
      <c r="T457" s="4">
        <f>IF(AND(VLOOKUP(G457,Dados!$D:$L,3,0)&lt;=VLOOKUP(H457,Dados!$X:$AB,2,0),VLOOKUP(G457,Dados!$D:$L,4,0)&gt;=VLOOKUP(H457,Dados!$X:$AB,3,0),VLOOKUP(G457,Dados!$D:$L,4,0)&lt;=VLOOKUP(H457,Dados!$X:$AB,4,0)),0,1)</f>
        <v>0</v>
      </c>
      <c r="U457" s="4">
        <f>IF(COUNTIFS(F:F,F457,H:H,H457)&lt;=VLOOKUP(H457,Dados!$X:$AB,5,0),0,1)</f>
        <v>0</v>
      </c>
    </row>
    <row r="458" spans="6:21">
      <c r="F458" s="4">
        <v>305</v>
      </c>
      <c r="G458" s="4">
        <v>63</v>
      </c>
      <c r="H458" s="4">
        <v>1</v>
      </c>
      <c r="I458" s="4">
        <v>25</v>
      </c>
      <c r="J458" s="4">
        <v>1</v>
      </c>
      <c r="K458" s="4">
        <f t="shared" si="196"/>
        <v>0</v>
      </c>
      <c r="L458" s="4">
        <f t="shared" si="196"/>
        <v>0</v>
      </c>
      <c r="M458" s="4">
        <f t="shared" si="196"/>
        <v>0</v>
      </c>
      <c r="N458" s="4">
        <f t="shared" si="196"/>
        <v>0</v>
      </c>
      <c r="O458" s="4">
        <f t="shared" si="192"/>
        <v>0</v>
      </c>
      <c r="P458" s="4">
        <f t="shared" si="193"/>
        <v>0</v>
      </c>
      <c r="Q458" s="4">
        <f t="shared" si="194"/>
        <v>0</v>
      </c>
      <c r="R458" s="4">
        <f t="shared" si="195"/>
        <v>0</v>
      </c>
      <c r="S458" s="4">
        <f>IF(AND(VLOOKUP(G458,Dados!$D:$L,2,0)=VLOOKUP(I458,Dados!$S:$V,2,0),VLOOKUP(G458,Dados!$D:$L,3,0)=VLOOKUP(I458,Dados!$S:$V,3,0)),0,1)</f>
        <v>0</v>
      </c>
      <c r="T458" s="4">
        <f>IF(AND(VLOOKUP(G458,Dados!$D:$L,3,0)&lt;=VLOOKUP(H458,Dados!$X:$AB,2,0),VLOOKUP(G458,Dados!$D:$L,4,0)&gt;=VLOOKUP(H458,Dados!$X:$AB,3,0),VLOOKUP(G458,Dados!$D:$L,4,0)&lt;=VLOOKUP(H458,Dados!$X:$AB,4,0)),0,1)</f>
        <v>0</v>
      </c>
      <c r="U458" s="4">
        <f>IF(COUNTIFS(F:F,F458,H:H,H458)&lt;=VLOOKUP(H458,Dados!$X:$AB,5,0),0,1)</f>
        <v>0</v>
      </c>
    </row>
    <row r="459" spans="6:21">
      <c r="F459" s="4">
        <v>305</v>
      </c>
      <c r="G459" s="4">
        <v>67</v>
      </c>
      <c r="H459" s="4">
        <v>1</v>
      </c>
      <c r="I459" s="4">
        <v>25</v>
      </c>
      <c r="J459" s="4">
        <v>1</v>
      </c>
      <c r="K459" s="4">
        <f t="shared" si="196"/>
        <v>0</v>
      </c>
      <c r="L459" s="4">
        <f t="shared" si="196"/>
        <v>0</v>
      </c>
      <c r="M459" s="4">
        <f t="shared" si="196"/>
        <v>0</v>
      </c>
      <c r="N459" s="4">
        <f t="shared" si="196"/>
        <v>0</v>
      </c>
      <c r="O459" s="4">
        <f t="shared" si="192"/>
        <v>0</v>
      </c>
      <c r="P459" s="4">
        <f t="shared" si="193"/>
        <v>0</v>
      </c>
      <c r="Q459" s="4">
        <f t="shared" si="194"/>
        <v>0</v>
      </c>
      <c r="R459" s="4">
        <f t="shared" si="195"/>
        <v>0</v>
      </c>
      <c r="S459" s="4">
        <f>IF(AND(VLOOKUP(G459,Dados!$D:$L,2,0)=VLOOKUP(I459,Dados!$S:$V,2,0),VLOOKUP(G459,Dados!$D:$L,3,0)=VLOOKUP(I459,Dados!$S:$V,3,0)),0,1)</f>
        <v>0</v>
      </c>
      <c r="T459" s="4">
        <f>IF(AND(VLOOKUP(G459,Dados!$D:$L,3,0)&lt;=VLOOKUP(H459,Dados!$X:$AB,2,0),VLOOKUP(G459,Dados!$D:$L,4,0)&gt;=VLOOKUP(H459,Dados!$X:$AB,3,0),VLOOKUP(G459,Dados!$D:$L,4,0)&lt;=VLOOKUP(H459,Dados!$X:$AB,4,0)),0,1)</f>
        <v>0</v>
      </c>
      <c r="U459" s="4">
        <f>IF(COUNTIFS(F:F,F459,H:H,H459)&lt;=VLOOKUP(H459,Dados!$X:$AB,5,0),0,1)</f>
        <v>0</v>
      </c>
    </row>
    <row r="460" spans="6:21">
      <c r="F460" s="4">
        <v>306</v>
      </c>
      <c r="G460" s="4">
        <v>60</v>
      </c>
      <c r="H460" s="4">
        <v>2</v>
      </c>
      <c r="I460" s="4">
        <v>25</v>
      </c>
      <c r="J460" s="4">
        <v>7</v>
      </c>
      <c r="K460" s="4">
        <f t="shared" si="196"/>
        <v>0</v>
      </c>
      <c r="L460" s="4">
        <f t="shared" si="196"/>
        <v>0</v>
      </c>
      <c r="M460" s="4">
        <f t="shared" si="196"/>
        <v>0</v>
      </c>
      <c r="N460" s="4">
        <f t="shared" si="196"/>
        <v>0</v>
      </c>
      <c r="O460" s="4">
        <f t="shared" si="192"/>
        <v>0</v>
      </c>
      <c r="P460" s="4">
        <f t="shared" si="193"/>
        <v>0</v>
      </c>
      <c r="Q460" s="4">
        <f t="shared" si="194"/>
        <v>0</v>
      </c>
      <c r="R460" s="4">
        <f t="shared" si="195"/>
        <v>0</v>
      </c>
      <c r="S460" s="4">
        <f>IF(AND(VLOOKUP(G460,Dados!$D:$L,2,0)=VLOOKUP(I460,Dados!$S:$V,2,0),VLOOKUP(G460,Dados!$D:$L,3,0)=VLOOKUP(I460,Dados!$S:$V,3,0)),0,1)</f>
        <v>0</v>
      </c>
      <c r="T460" s="4">
        <f>IF(AND(VLOOKUP(G460,Dados!$D:$L,3,0)&lt;=VLOOKUP(H460,Dados!$X:$AB,2,0),VLOOKUP(G460,Dados!$D:$L,4,0)&gt;=VLOOKUP(H460,Dados!$X:$AB,3,0),VLOOKUP(G460,Dados!$D:$L,4,0)&lt;=VLOOKUP(H460,Dados!$X:$AB,4,0)),0,1)</f>
        <v>0</v>
      </c>
      <c r="U460" s="4">
        <f>IF(COUNTIFS(F:F,F460,H:H,H460)&lt;=VLOOKUP(H460,Dados!$X:$AB,5,0),0,1)</f>
        <v>0</v>
      </c>
    </row>
    <row r="461" spans="6:21">
      <c r="F461" s="4">
        <v>306</v>
      </c>
      <c r="G461" s="4">
        <v>63</v>
      </c>
      <c r="H461" s="4">
        <v>2</v>
      </c>
      <c r="I461" s="4">
        <v>25</v>
      </c>
      <c r="J461" s="4">
        <v>1</v>
      </c>
      <c r="K461" s="4">
        <f t="shared" si="196"/>
        <v>0</v>
      </c>
      <c r="L461" s="4">
        <f t="shared" si="196"/>
        <v>0</v>
      </c>
      <c r="M461" s="4">
        <f t="shared" si="196"/>
        <v>0</v>
      </c>
      <c r="N461" s="4">
        <f t="shared" si="196"/>
        <v>0</v>
      </c>
      <c r="O461" s="4">
        <f t="shared" si="192"/>
        <v>0</v>
      </c>
      <c r="P461" s="4">
        <f t="shared" si="193"/>
        <v>0</v>
      </c>
      <c r="Q461" s="4">
        <f t="shared" si="194"/>
        <v>0</v>
      </c>
      <c r="R461" s="4">
        <f t="shared" si="195"/>
        <v>0</v>
      </c>
      <c r="S461" s="4">
        <f>IF(AND(VLOOKUP(G461,Dados!$D:$L,2,0)=VLOOKUP(I461,Dados!$S:$V,2,0),VLOOKUP(G461,Dados!$D:$L,3,0)=VLOOKUP(I461,Dados!$S:$V,3,0)),0,1)</f>
        <v>0</v>
      </c>
      <c r="T461" s="4">
        <f>IF(AND(VLOOKUP(G461,Dados!$D:$L,3,0)&lt;=VLOOKUP(H461,Dados!$X:$AB,2,0),VLOOKUP(G461,Dados!$D:$L,4,0)&gt;=VLOOKUP(H461,Dados!$X:$AB,3,0),VLOOKUP(G461,Dados!$D:$L,4,0)&lt;=VLOOKUP(H461,Dados!$X:$AB,4,0)),0,1)</f>
        <v>0</v>
      </c>
      <c r="U461" s="4">
        <f>IF(COUNTIFS(F:F,F461,H:H,H461)&lt;=VLOOKUP(H461,Dados!$X:$AB,5,0),0,1)</f>
        <v>0</v>
      </c>
    </row>
    <row r="462" spans="6:21">
      <c r="F462" s="4">
        <v>306</v>
      </c>
      <c r="G462" s="4">
        <v>67</v>
      </c>
      <c r="H462" s="4">
        <v>2</v>
      </c>
      <c r="I462" s="4">
        <v>25</v>
      </c>
      <c r="J462" s="4">
        <v>1</v>
      </c>
      <c r="K462" s="4">
        <f t="shared" si="196"/>
        <v>0</v>
      </c>
      <c r="L462" s="4">
        <f t="shared" si="196"/>
        <v>0</v>
      </c>
      <c r="M462" s="4">
        <f t="shared" si="196"/>
        <v>0</v>
      </c>
      <c r="N462" s="4">
        <f t="shared" si="196"/>
        <v>0</v>
      </c>
      <c r="O462" s="4">
        <f t="shared" si="192"/>
        <v>0</v>
      </c>
      <c r="P462" s="4">
        <f t="shared" si="193"/>
        <v>0</v>
      </c>
      <c r="Q462" s="4">
        <f t="shared" si="194"/>
        <v>0</v>
      </c>
      <c r="R462" s="4">
        <f t="shared" si="195"/>
        <v>0</v>
      </c>
      <c r="S462" s="4">
        <f>IF(AND(VLOOKUP(G462,Dados!$D:$L,2,0)=VLOOKUP(I462,Dados!$S:$V,2,0),VLOOKUP(G462,Dados!$D:$L,3,0)=VLOOKUP(I462,Dados!$S:$V,3,0)),0,1)</f>
        <v>0</v>
      </c>
      <c r="T462" s="4">
        <f>IF(AND(VLOOKUP(G462,Dados!$D:$L,3,0)&lt;=VLOOKUP(H462,Dados!$X:$AB,2,0),VLOOKUP(G462,Dados!$D:$L,4,0)&gt;=VLOOKUP(H462,Dados!$X:$AB,3,0),VLOOKUP(G462,Dados!$D:$L,4,0)&lt;=VLOOKUP(H462,Dados!$X:$AB,4,0)),0,1)</f>
        <v>0</v>
      </c>
      <c r="U462" s="4">
        <f>IF(COUNTIFS(F:F,F462,H:H,H462)&lt;=VLOOKUP(H462,Dados!$X:$AB,5,0),0,1)</f>
        <v>0</v>
      </c>
    </row>
    <row r="463" spans="6:21">
      <c r="F463" s="4">
        <v>307</v>
      </c>
      <c r="G463" s="4">
        <v>60</v>
      </c>
      <c r="H463" s="4">
        <v>3</v>
      </c>
      <c r="I463" s="4">
        <v>25</v>
      </c>
      <c r="J463" s="4">
        <v>7</v>
      </c>
      <c r="K463" s="4">
        <f t="shared" si="196"/>
        <v>0</v>
      </c>
      <c r="L463" s="4">
        <f t="shared" si="196"/>
        <v>0</v>
      </c>
      <c r="M463" s="4">
        <f t="shared" si="196"/>
        <v>0</v>
      </c>
      <c r="N463" s="4">
        <f t="shared" si="196"/>
        <v>0</v>
      </c>
      <c r="O463" s="4">
        <f t="shared" si="192"/>
        <v>0</v>
      </c>
      <c r="P463" s="4">
        <f t="shared" si="193"/>
        <v>0</v>
      </c>
      <c r="Q463" s="4">
        <f t="shared" si="194"/>
        <v>0</v>
      </c>
      <c r="R463" s="4">
        <f t="shared" si="195"/>
        <v>0</v>
      </c>
      <c r="S463" s="4">
        <f>IF(AND(VLOOKUP(G463,Dados!$D:$L,2,0)=VLOOKUP(I463,Dados!$S:$V,2,0),VLOOKUP(G463,Dados!$D:$L,3,0)=VLOOKUP(I463,Dados!$S:$V,3,0)),0,1)</f>
        <v>0</v>
      </c>
      <c r="T463" s="4">
        <f>IF(AND(VLOOKUP(G463,Dados!$D:$L,3,0)&lt;=VLOOKUP(H463,Dados!$X:$AB,2,0),VLOOKUP(G463,Dados!$D:$L,4,0)&gt;=VLOOKUP(H463,Dados!$X:$AB,3,0),VLOOKUP(G463,Dados!$D:$L,4,0)&lt;=VLOOKUP(H463,Dados!$X:$AB,4,0)),0,1)</f>
        <v>0</v>
      </c>
      <c r="U463" s="4">
        <f>IF(COUNTIFS(F:F,F463,H:H,H463)&lt;=VLOOKUP(H463,Dados!$X:$AB,5,0),0,1)</f>
        <v>0</v>
      </c>
    </row>
    <row r="464" spans="6:21">
      <c r="F464" s="4">
        <v>307</v>
      </c>
      <c r="G464" s="4">
        <v>63</v>
      </c>
      <c r="H464" s="4">
        <v>3</v>
      </c>
      <c r="I464" s="4">
        <v>25</v>
      </c>
      <c r="J464" s="4">
        <v>1</v>
      </c>
      <c r="K464" s="4">
        <f t="shared" si="196"/>
        <v>0</v>
      </c>
      <c r="L464" s="4">
        <f t="shared" si="196"/>
        <v>0</v>
      </c>
      <c r="M464" s="4">
        <f t="shared" si="196"/>
        <v>0</v>
      </c>
      <c r="N464" s="4">
        <f t="shared" si="196"/>
        <v>0</v>
      </c>
      <c r="O464" s="4">
        <f t="shared" si="192"/>
        <v>0</v>
      </c>
      <c r="P464" s="4">
        <f t="shared" si="193"/>
        <v>0</v>
      </c>
      <c r="Q464" s="4">
        <f t="shared" si="194"/>
        <v>0</v>
      </c>
      <c r="R464" s="4">
        <f t="shared" si="195"/>
        <v>0</v>
      </c>
      <c r="S464" s="4">
        <f>IF(AND(VLOOKUP(G464,Dados!$D:$L,2,0)=VLOOKUP(I464,Dados!$S:$V,2,0),VLOOKUP(G464,Dados!$D:$L,3,0)=VLOOKUP(I464,Dados!$S:$V,3,0)),0,1)</f>
        <v>0</v>
      </c>
      <c r="T464" s="4">
        <f>IF(AND(VLOOKUP(G464,Dados!$D:$L,3,0)&lt;=VLOOKUP(H464,Dados!$X:$AB,2,0),VLOOKUP(G464,Dados!$D:$L,4,0)&gt;=VLOOKUP(H464,Dados!$X:$AB,3,0),VLOOKUP(G464,Dados!$D:$L,4,0)&lt;=VLOOKUP(H464,Dados!$X:$AB,4,0)),0,1)</f>
        <v>0</v>
      </c>
      <c r="U464" s="4">
        <f>IF(COUNTIFS(F:F,F464,H:H,H464)&lt;=VLOOKUP(H464,Dados!$X:$AB,5,0),0,1)</f>
        <v>0</v>
      </c>
    </row>
    <row r="465" spans="6:21">
      <c r="F465" s="4">
        <v>307</v>
      </c>
      <c r="G465" s="4">
        <v>67</v>
      </c>
      <c r="H465" s="4">
        <v>3</v>
      </c>
      <c r="I465" s="4">
        <v>25</v>
      </c>
      <c r="J465" s="4">
        <v>1</v>
      </c>
      <c r="K465" s="4">
        <f t="shared" si="196"/>
        <v>0</v>
      </c>
      <c r="L465" s="4">
        <f t="shared" si="196"/>
        <v>0</v>
      </c>
      <c r="M465" s="4">
        <f t="shared" si="196"/>
        <v>0</v>
      </c>
      <c r="N465" s="4">
        <f t="shared" si="196"/>
        <v>0</v>
      </c>
      <c r="O465" s="4">
        <f t="shared" si="192"/>
        <v>0</v>
      </c>
      <c r="P465" s="4">
        <f t="shared" si="193"/>
        <v>0</v>
      </c>
      <c r="Q465" s="4">
        <f t="shared" si="194"/>
        <v>0</v>
      </c>
      <c r="R465" s="4">
        <f t="shared" si="195"/>
        <v>0</v>
      </c>
      <c r="S465" s="4">
        <f>IF(AND(VLOOKUP(G465,Dados!$D:$L,2,0)=VLOOKUP(I465,Dados!$S:$V,2,0),VLOOKUP(G465,Dados!$D:$L,3,0)=VLOOKUP(I465,Dados!$S:$V,3,0)),0,1)</f>
        <v>0</v>
      </c>
      <c r="T465" s="4">
        <f>IF(AND(VLOOKUP(G465,Dados!$D:$L,3,0)&lt;=VLOOKUP(H465,Dados!$X:$AB,2,0),VLOOKUP(G465,Dados!$D:$L,4,0)&gt;=VLOOKUP(H465,Dados!$X:$AB,3,0),VLOOKUP(G465,Dados!$D:$L,4,0)&lt;=VLOOKUP(H465,Dados!$X:$AB,4,0)),0,1)</f>
        <v>0</v>
      </c>
      <c r="U465" s="4">
        <f>IF(COUNTIFS(F:F,F465,H:H,H465)&lt;=VLOOKUP(H465,Dados!$X:$AB,5,0),0,1)</f>
        <v>0</v>
      </c>
    </row>
    <row r="466" spans="6:21">
      <c r="F466" s="4">
        <v>308</v>
      </c>
      <c r="G466" s="4">
        <v>59</v>
      </c>
      <c r="H466" s="4">
        <v>1</v>
      </c>
      <c r="I466" s="4">
        <v>26</v>
      </c>
      <c r="J466" s="4">
        <v>1</v>
      </c>
      <c r="K466" s="4">
        <f t="shared" si="196"/>
        <v>0</v>
      </c>
      <c r="L466" s="4">
        <f t="shared" si="196"/>
        <v>0</v>
      </c>
      <c r="M466" s="4">
        <f t="shared" si="196"/>
        <v>0</v>
      </c>
      <c r="N466" s="4">
        <f t="shared" si="196"/>
        <v>0</v>
      </c>
      <c r="O466" s="4">
        <f t="shared" si="192"/>
        <v>0</v>
      </c>
      <c r="P466" s="4">
        <f t="shared" si="193"/>
        <v>0</v>
      </c>
      <c r="Q466" s="4">
        <f t="shared" si="194"/>
        <v>0</v>
      </c>
      <c r="R466" s="4">
        <f t="shared" si="195"/>
        <v>0</v>
      </c>
      <c r="S466" s="4">
        <f>IF(AND(VLOOKUP(G466,Dados!$D:$L,2,0)=VLOOKUP(I466,Dados!$S:$V,2,0),VLOOKUP(G466,Dados!$D:$L,3,0)=VLOOKUP(I466,Dados!$S:$V,3,0)),0,1)</f>
        <v>0</v>
      </c>
      <c r="T466" s="4">
        <f>IF(AND(VLOOKUP(G466,Dados!$D:$L,3,0)&lt;=VLOOKUP(H466,Dados!$X:$AB,2,0),VLOOKUP(G466,Dados!$D:$L,4,0)&gt;=VLOOKUP(H466,Dados!$X:$AB,3,0),VLOOKUP(G466,Dados!$D:$L,4,0)&lt;=VLOOKUP(H466,Dados!$X:$AB,4,0)),0,1)</f>
        <v>0</v>
      </c>
      <c r="U466" s="4">
        <f>IF(COUNTIFS(F:F,F466,H:H,H466)&lt;=VLOOKUP(H466,Dados!$X:$AB,5,0),0,1)</f>
        <v>0</v>
      </c>
    </row>
    <row r="467" spans="6:21">
      <c r="F467" s="4">
        <v>308</v>
      </c>
      <c r="G467" s="4">
        <v>60</v>
      </c>
      <c r="H467" s="4">
        <v>1</v>
      </c>
      <c r="I467" s="4">
        <v>26</v>
      </c>
      <c r="J467" s="4">
        <v>5</v>
      </c>
      <c r="K467" s="4">
        <f t="shared" si="196"/>
        <v>0</v>
      </c>
      <c r="L467" s="4">
        <f t="shared" si="196"/>
        <v>0</v>
      </c>
      <c r="M467" s="4">
        <f t="shared" si="196"/>
        <v>0</v>
      </c>
      <c r="N467" s="4">
        <f t="shared" si="196"/>
        <v>0</v>
      </c>
      <c r="O467" s="4">
        <f t="shared" si="192"/>
        <v>0</v>
      </c>
      <c r="P467" s="4">
        <f t="shared" si="193"/>
        <v>0</v>
      </c>
      <c r="Q467" s="4">
        <f t="shared" si="194"/>
        <v>0</v>
      </c>
      <c r="R467" s="4">
        <f t="shared" si="195"/>
        <v>0</v>
      </c>
      <c r="S467" s="4">
        <f>IF(AND(VLOOKUP(G467,Dados!$D:$L,2,0)=VLOOKUP(I467,Dados!$S:$V,2,0),VLOOKUP(G467,Dados!$D:$L,3,0)=VLOOKUP(I467,Dados!$S:$V,3,0)),0,1)</f>
        <v>0</v>
      </c>
      <c r="T467" s="4">
        <f>IF(AND(VLOOKUP(G467,Dados!$D:$L,3,0)&lt;=VLOOKUP(H467,Dados!$X:$AB,2,0),VLOOKUP(G467,Dados!$D:$L,4,0)&gt;=VLOOKUP(H467,Dados!$X:$AB,3,0),VLOOKUP(G467,Dados!$D:$L,4,0)&lt;=VLOOKUP(H467,Dados!$X:$AB,4,0)),0,1)</f>
        <v>0</v>
      </c>
      <c r="U467" s="4">
        <f>IF(COUNTIFS(F:F,F467,H:H,H467)&lt;=VLOOKUP(H467,Dados!$X:$AB,5,0),0,1)</f>
        <v>0</v>
      </c>
    </row>
    <row r="468" spans="6:21">
      <c r="F468" s="4">
        <v>308</v>
      </c>
      <c r="G468" s="4">
        <v>67</v>
      </c>
      <c r="H468" s="4">
        <v>1</v>
      </c>
      <c r="I468" s="4">
        <v>26</v>
      </c>
      <c r="J468" s="4">
        <v>2</v>
      </c>
      <c r="K468" s="4">
        <f t="shared" si="196"/>
        <v>0</v>
      </c>
      <c r="L468" s="4">
        <f t="shared" si="196"/>
        <v>0</v>
      </c>
      <c r="M468" s="4">
        <f t="shared" si="196"/>
        <v>0</v>
      </c>
      <c r="N468" s="4">
        <f t="shared" si="196"/>
        <v>0</v>
      </c>
      <c r="O468" s="4">
        <f t="shared" si="192"/>
        <v>0</v>
      </c>
      <c r="P468" s="4">
        <f t="shared" si="193"/>
        <v>0</v>
      </c>
      <c r="Q468" s="4">
        <f t="shared" si="194"/>
        <v>0</v>
      </c>
      <c r="R468" s="4">
        <f t="shared" si="195"/>
        <v>0</v>
      </c>
      <c r="S468" s="4">
        <f>IF(AND(VLOOKUP(G468,Dados!$D:$L,2,0)=VLOOKUP(I468,Dados!$S:$V,2,0),VLOOKUP(G468,Dados!$D:$L,3,0)=VLOOKUP(I468,Dados!$S:$V,3,0)),0,1)</f>
        <v>0</v>
      </c>
      <c r="T468" s="4">
        <f>IF(AND(VLOOKUP(G468,Dados!$D:$L,3,0)&lt;=VLOOKUP(H468,Dados!$X:$AB,2,0),VLOOKUP(G468,Dados!$D:$L,4,0)&gt;=VLOOKUP(H468,Dados!$X:$AB,3,0),VLOOKUP(G468,Dados!$D:$L,4,0)&lt;=VLOOKUP(H468,Dados!$X:$AB,4,0)),0,1)</f>
        <v>0</v>
      </c>
      <c r="U468" s="4">
        <f>IF(COUNTIFS(F:F,F468,H:H,H468)&lt;=VLOOKUP(H468,Dados!$X:$AB,5,0),0,1)</f>
        <v>0</v>
      </c>
    </row>
    <row r="469" spans="6:21">
      <c r="F469" s="4">
        <v>309</v>
      </c>
      <c r="G469" s="4">
        <v>59</v>
      </c>
      <c r="H469" s="4">
        <v>2</v>
      </c>
      <c r="I469" s="4">
        <v>26</v>
      </c>
      <c r="J469" s="4">
        <v>1</v>
      </c>
      <c r="K469" s="4">
        <f t="shared" si="196"/>
        <v>0</v>
      </c>
      <c r="L469" s="4">
        <f t="shared" si="196"/>
        <v>0</v>
      </c>
      <c r="M469" s="4">
        <f t="shared" si="196"/>
        <v>0</v>
      </c>
      <c r="N469" s="4">
        <f t="shared" si="196"/>
        <v>0</v>
      </c>
      <c r="O469" s="4">
        <f t="shared" si="192"/>
        <v>0</v>
      </c>
      <c r="P469" s="4">
        <f t="shared" si="193"/>
        <v>0</v>
      </c>
      <c r="Q469" s="4">
        <f t="shared" si="194"/>
        <v>0</v>
      </c>
      <c r="R469" s="4">
        <f t="shared" si="195"/>
        <v>0</v>
      </c>
      <c r="S469" s="4">
        <f>IF(AND(VLOOKUP(G469,Dados!$D:$L,2,0)=VLOOKUP(I469,Dados!$S:$V,2,0),VLOOKUP(G469,Dados!$D:$L,3,0)=VLOOKUP(I469,Dados!$S:$V,3,0)),0,1)</f>
        <v>0</v>
      </c>
      <c r="T469" s="4">
        <f>IF(AND(VLOOKUP(G469,Dados!$D:$L,3,0)&lt;=VLOOKUP(H469,Dados!$X:$AB,2,0),VLOOKUP(G469,Dados!$D:$L,4,0)&gt;=VLOOKUP(H469,Dados!$X:$AB,3,0),VLOOKUP(G469,Dados!$D:$L,4,0)&lt;=VLOOKUP(H469,Dados!$X:$AB,4,0)),0,1)</f>
        <v>0</v>
      </c>
      <c r="U469" s="4">
        <f>IF(COUNTIFS(F:F,F469,H:H,H469)&lt;=VLOOKUP(H469,Dados!$X:$AB,5,0),0,1)</f>
        <v>0</v>
      </c>
    </row>
    <row r="470" spans="6:21">
      <c r="F470" s="4">
        <v>309</v>
      </c>
      <c r="G470" s="4">
        <v>60</v>
      </c>
      <c r="H470" s="4">
        <v>2</v>
      </c>
      <c r="I470" s="4">
        <v>26</v>
      </c>
      <c r="J470" s="4">
        <v>5</v>
      </c>
      <c r="K470" s="4">
        <f t="shared" si="196"/>
        <v>0</v>
      </c>
      <c r="L470" s="4">
        <f t="shared" si="196"/>
        <v>0</v>
      </c>
      <c r="M470" s="4">
        <f t="shared" si="196"/>
        <v>0</v>
      </c>
      <c r="N470" s="4">
        <f t="shared" si="196"/>
        <v>0</v>
      </c>
      <c r="O470" s="4">
        <f t="shared" si="192"/>
        <v>0</v>
      </c>
      <c r="P470" s="4">
        <f t="shared" si="193"/>
        <v>0</v>
      </c>
      <c r="Q470" s="4">
        <f t="shared" si="194"/>
        <v>0</v>
      </c>
      <c r="R470" s="4">
        <f t="shared" si="195"/>
        <v>0</v>
      </c>
      <c r="S470" s="4">
        <f>IF(AND(VLOOKUP(G470,Dados!$D:$L,2,0)=VLOOKUP(I470,Dados!$S:$V,2,0),VLOOKUP(G470,Dados!$D:$L,3,0)=VLOOKUP(I470,Dados!$S:$V,3,0)),0,1)</f>
        <v>0</v>
      </c>
      <c r="T470" s="4">
        <f>IF(AND(VLOOKUP(G470,Dados!$D:$L,3,0)&lt;=VLOOKUP(H470,Dados!$X:$AB,2,0),VLOOKUP(G470,Dados!$D:$L,4,0)&gt;=VLOOKUP(H470,Dados!$X:$AB,3,0),VLOOKUP(G470,Dados!$D:$L,4,0)&lt;=VLOOKUP(H470,Dados!$X:$AB,4,0)),0,1)</f>
        <v>0</v>
      </c>
      <c r="U470" s="4">
        <f>IF(COUNTIFS(F:F,F470,H:H,H470)&lt;=VLOOKUP(H470,Dados!$X:$AB,5,0),0,1)</f>
        <v>0</v>
      </c>
    </row>
    <row r="471" spans="6:21">
      <c r="F471" s="4">
        <v>309</v>
      </c>
      <c r="G471" s="4">
        <v>67</v>
      </c>
      <c r="H471" s="4">
        <v>2</v>
      </c>
      <c r="I471" s="4">
        <v>26</v>
      </c>
      <c r="J471" s="4">
        <v>2</v>
      </c>
      <c r="K471" s="4">
        <f t="shared" si="196"/>
        <v>0</v>
      </c>
      <c r="L471" s="4">
        <f t="shared" si="196"/>
        <v>0</v>
      </c>
      <c r="M471" s="4">
        <f t="shared" si="196"/>
        <v>0</v>
      </c>
      <c r="N471" s="4">
        <f t="shared" si="196"/>
        <v>0</v>
      </c>
      <c r="O471" s="4">
        <f t="shared" si="192"/>
        <v>0</v>
      </c>
      <c r="P471" s="4">
        <f t="shared" si="193"/>
        <v>0</v>
      </c>
      <c r="Q471" s="4">
        <f t="shared" si="194"/>
        <v>0</v>
      </c>
      <c r="R471" s="4">
        <f t="shared" si="195"/>
        <v>0</v>
      </c>
      <c r="S471" s="4">
        <f>IF(AND(VLOOKUP(G471,Dados!$D:$L,2,0)=VLOOKUP(I471,Dados!$S:$V,2,0),VLOOKUP(G471,Dados!$D:$L,3,0)=VLOOKUP(I471,Dados!$S:$V,3,0)),0,1)</f>
        <v>0</v>
      </c>
      <c r="T471" s="4">
        <f>IF(AND(VLOOKUP(G471,Dados!$D:$L,3,0)&lt;=VLOOKUP(H471,Dados!$X:$AB,2,0),VLOOKUP(G471,Dados!$D:$L,4,0)&gt;=VLOOKUP(H471,Dados!$X:$AB,3,0),VLOOKUP(G471,Dados!$D:$L,4,0)&lt;=VLOOKUP(H471,Dados!$X:$AB,4,0)),0,1)</f>
        <v>0</v>
      </c>
      <c r="U471" s="4">
        <f>IF(COUNTIFS(F:F,F471,H:H,H471)&lt;=VLOOKUP(H471,Dados!$X:$AB,5,0),0,1)</f>
        <v>0</v>
      </c>
    </row>
    <row r="472" spans="6:21">
      <c r="F472" s="4">
        <v>310</v>
      </c>
      <c r="G472" s="4">
        <v>59</v>
      </c>
      <c r="H472" s="4">
        <v>3</v>
      </c>
      <c r="I472" s="4">
        <v>26</v>
      </c>
      <c r="J472" s="4">
        <v>1</v>
      </c>
      <c r="K472" s="4">
        <f t="shared" si="196"/>
        <v>0</v>
      </c>
      <c r="L472" s="4">
        <f t="shared" si="196"/>
        <v>2</v>
      </c>
      <c r="M472" s="4">
        <f t="shared" si="196"/>
        <v>0</v>
      </c>
      <c r="N472" s="4">
        <f t="shared" si="196"/>
        <v>0</v>
      </c>
      <c r="O472" s="4">
        <f t="shared" si="192"/>
        <v>0</v>
      </c>
      <c r="P472" s="4">
        <f t="shared" si="193"/>
        <v>2</v>
      </c>
      <c r="Q472" s="4">
        <f t="shared" si="194"/>
        <v>0</v>
      </c>
      <c r="R472" s="4">
        <f t="shared" si="195"/>
        <v>0</v>
      </c>
      <c r="S472" s="4">
        <f>IF(AND(VLOOKUP(G472,Dados!$D:$L,2,0)=VLOOKUP(I472,Dados!$S:$V,2,0),VLOOKUP(G472,Dados!$D:$L,3,0)=VLOOKUP(I472,Dados!$S:$V,3,0)),0,1)</f>
        <v>0</v>
      </c>
      <c r="T472" s="4">
        <f>IF(AND(VLOOKUP(G472,Dados!$D:$L,3,0)&lt;=VLOOKUP(H472,Dados!$X:$AB,2,0),VLOOKUP(G472,Dados!$D:$L,4,0)&gt;=VLOOKUP(H472,Dados!$X:$AB,3,0),VLOOKUP(G472,Dados!$D:$L,4,0)&lt;=VLOOKUP(H472,Dados!$X:$AB,4,0)),0,1)</f>
        <v>0</v>
      </c>
      <c r="U472" s="4">
        <f>IF(COUNTIFS(F:F,F472,H:H,H472)&lt;=VLOOKUP(H472,Dados!$X:$AB,5,0),0,1)</f>
        <v>0</v>
      </c>
    </row>
    <row r="473" spans="6:21">
      <c r="F473" s="4">
        <v>310</v>
      </c>
      <c r="G473" s="4">
        <v>60</v>
      </c>
      <c r="H473" s="4">
        <v>3</v>
      </c>
      <c r="I473" s="4">
        <v>26</v>
      </c>
      <c r="J473" s="4">
        <v>5</v>
      </c>
      <c r="K473" s="4">
        <f t="shared" si="196"/>
        <v>0</v>
      </c>
      <c r="L473" s="4">
        <f t="shared" si="196"/>
        <v>2</v>
      </c>
      <c r="M473" s="4">
        <f t="shared" si="196"/>
        <v>0</v>
      </c>
      <c r="N473" s="4">
        <f t="shared" si="196"/>
        <v>0</v>
      </c>
      <c r="O473" s="4">
        <f t="shared" si="192"/>
        <v>0</v>
      </c>
      <c r="P473" s="4">
        <f t="shared" si="193"/>
        <v>10</v>
      </c>
      <c r="Q473" s="4">
        <f t="shared" si="194"/>
        <v>0</v>
      </c>
      <c r="R473" s="4">
        <f t="shared" si="195"/>
        <v>0</v>
      </c>
      <c r="S473" s="4">
        <f>IF(AND(VLOOKUP(G473,Dados!$D:$L,2,0)=VLOOKUP(I473,Dados!$S:$V,2,0),VLOOKUP(G473,Dados!$D:$L,3,0)=VLOOKUP(I473,Dados!$S:$V,3,0)),0,1)</f>
        <v>0</v>
      </c>
      <c r="T473" s="4">
        <f>IF(AND(VLOOKUP(G473,Dados!$D:$L,3,0)&lt;=VLOOKUP(H473,Dados!$X:$AB,2,0),VLOOKUP(G473,Dados!$D:$L,4,0)&gt;=VLOOKUP(H473,Dados!$X:$AB,3,0),VLOOKUP(G473,Dados!$D:$L,4,0)&lt;=VLOOKUP(H473,Dados!$X:$AB,4,0)),0,1)</f>
        <v>0</v>
      </c>
      <c r="U473" s="4">
        <f>IF(COUNTIFS(F:F,F473,H:H,H473)&lt;=VLOOKUP(H473,Dados!$X:$AB,5,0),0,1)</f>
        <v>0</v>
      </c>
    </row>
    <row r="474" spans="6:21">
      <c r="F474" s="4">
        <v>310</v>
      </c>
      <c r="G474" s="4">
        <v>67</v>
      </c>
      <c r="H474" s="4">
        <v>3</v>
      </c>
      <c r="I474" s="4">
        <v>26</v>
      </c>
      <c r="J474" s="4">
        <v>2</v>
      </c>
      <c r="K474" s="4">
        <f t="shared" si="196"/>
        <v>0</v>
      </c>
      <c r="L474" s="4">
        <f t="shared" si="196"/>
        <v>2</v>
      </c>
      <c r="M474" s="4">
        <f t="shared" si="196"/>
        <v>0</v>
      </c>
      <c r="N474" s="4">
        <f t="shared" si="196"/>
        <v>0</v>
      </c>
      <c r="O474" s="4">
        <f t="shared" si="192"/>
        <v>0</v>
      </c>
      <c r="P474" s="4">
        <f t="shared" si="193"/>
        <v>4</v>
      </c>
      <c r="Q474" s="4">
        <f t="shared" si="194"/>
        <v>0</v>
      </c>
      <c r="R474" s="4">
        <f t="shared" si="195"/>
        <v>0</v>
      </c>
      <c r="S474" s="4">
        <f>IF(AND(VLOOKUP(G474,Dados!$D:$L,2,0)=VLOOKUP(I474,Dados!$S:$V,2,0),VLOOKUP(G474,Dados!$D:$L,3,0)=VLOOKUP(I474,Dados!$S:$V,3,0)),0,1)</f>
        <v>0</v>
      </c>
      <c r="T474" s="4">
        <f>IF(AND(VLOOKUP(G474,Dados!$D:$L,3,0)&lt;=VLOOKUP(H474,Dados!$X:$AB,2,0),VLOOKUP(G474,Dados!$D:$L,4,0)&gt;=VLOOKUP(H474,Dados!$X:$AB,3,0),VLOOKUP(G474,Dados!$D:$L,4,0)&lt;=VLOOKUP(H474,Dados!$X:$AB,4,0)),0,1)</f>
        <v>0</v>
      </c>
      <c r="U474" s="4">
        <f>IF(COUNTIFS(F:F,F474,H:H,H474)&lt;=VLOOKUP(H474,Dados!$X:$AB,5,0),0,1)</f>
        <v>0</v>
      </c>
    </row>
    <row r="475" spans="6:21">
      <c r="F475" s="4">
        <v>311</v>
      </c>
      <c r="G475" s="4">
        <v>60</v>
      </c>
      <c r="H475" s="4">
        <v>1</v>
      </c>
      <c r="I475" s="4">
        <v>27</v>
      </c>
      <c r="J475" s="4">
        <v>8</v>
      </c>
      <c r="K475" s="4">
        <f t="shared" si="196"/>
        <v>0</v>
      </c>
      <c r="L475" s="4">
        <f t="shared" si="196"/>
        <v>0</v>
      </c>
      <c r="M475" s="4">
        <f t="shared" si="196"/>
        <v>0</v>
      </c>
      <c r="N475" s="4">
        <f t="shared" si="196"/>
        <v>0</v>
      </c>
      <c r="O475" s="4">
        <f t="shared" si="192"/>
        <v>0</v>
      </c>
      <c r="P475" s="4">
        <f t="shared" si="193"/>
        <v>0</v>
      </c>
      <c r="Q475" s="4">
        <f t="shared" si="194"/>
        <v>0</v>
      </c>
      <c r="R475" s="4">
        <f t="shared" si="195"/>
        <v>0</v>
      </c>
      <c r="S475" s="4">
        <f>IF(AND(VLOOKUP(G475,Dados!$D:$L,2,0)=VLOOKUP(I475,Dados!$S:$V,2,0),VLOOKUP(G475,Dados!$D:$L,3,0)=VLOOKUP(I475,Dados!$S:$V,3,0)),0,1)</f>
        <v>0</v>
      </c>
      <c r="T475" s="4">
        <f>IF(AND(VLOOKUP(G475,Dados!$D:$L,3,0)&lt;=VLOOKUP(H475,Dados!$X:$AB,2,0),VLOOKUP(G475,Dados!$D:$L,4,0)&gt;=VLOOKUP(H475,Dados!$X:$AB,3,0),VLOOKUP(G475,Dados!$D:$L,4,0)&lt;=VLOOKUP(H475,Dados!$X:$AB,4,0)),0,1)</f>
        <v>0</v>
      </c>
      <c r="U475" s="4">
        <f>IF(COUNTIFS(F:F,F475,H:H,H475)&lt;=VLOOKUP(H475,Dados!$X:$AB,5,0),0,1)</f>
        <v>0</v>
      </c>
    </row>
    <row r="476" spans="6:21">
      <c r="F476" s="4">
        <v>311</v>
      </c>
      <c r="G476" s="4">
        <v>63</v>
      </c>
      <c r="H476" s="4">
        <v>1</v>
      </c>
      <c r="I476" s="4">
        <v>27</v>
      </c>
      <c r="J476" s="4">
        <v>2</v>
      </c>
      <c r="K476" s="4">
        <f t="shared" si="196"/>
        <v>0</v>
      </c>
      <c r="L476" s="4">
        <f t="shared" si="196"/>
        <v>0</v>
      </c>
      <c r="M476" s="4">
        <f t="shared" si="196"/>
        <v>0</v>
      </c>
      <c r="N476" s="4">
        <f t="shared" si="196"/>
        <v>0</v>
      </c>
      <c r="O476" s="4">
        <f t="shared" si="192"/>
        <v>0</v>
      </c>
      <c r="P476" s="4">
        <f t="shared" si="193"/>
        <v>0</v>
      </c>
      <c r="Q476" s="4">
        <f t="shared" si="194"/>
        <v>0</v>
      </c>
      <c r="R476" s="4">
        <f t="shared" si="195"/>
        <v>0</v>
      </c>
      <c r="S476" s="4">
        <f>IF(AND(VLOOKUP(G476,Dados!$D:$L,2,0)=VLOOKUP(I476,Dados!$S:$V,2,0),VLOOKUP(G476,Dados!$D:$L,3,0)=VLOOKUP(I476,Dados!$S:$V,3,0)),0,1)</f>
        <v>0</v>
      </c>
      <c r="T476" s="4">
        <f>IF(AND(VLOOKUP(G476,Dados!$D:$L,3,0)&lt;=VLOOKUP(H476,Dados!$X:$AB,2,0),VLOOKUP(G476,Dados!$D:$L,4,0)&gt;=VLOOKUP(H476,Dados!$X:$AB,3,0),VLOOKUP(G476,Dados!$D:$L,4,0)&lt;=VLOOKUP(H476,Dados!$X:$AB,4,0)),0,1)</f>
        <v>0</v>
      </c>
      <c r="U476" s="4">
        <f>IF(COUNTIFS(F:F,F476,H:H,H476)&lt;=VLOOKUP(H476,Dados!$X:$AB,5,0),0,1)</f>
        <v>0</v>
      </c>
    </row>
    <row r="477" spans="6:21">
      <c r="F477" s="4">
        <v>312</v>
      </c>
      <c r="G477" s="4">
        <v>60</v>
      </c>
      <c r="H477" s="4">
        <v>2</v>
      </c>
      <c r="I477" s="4">
        <v>27</v>
      </c>
      <c r="J477" s="4">
        <v>8</v>
      </c>
      <c r="K477" s="4">
        <f t="shared" si="196"/>
        <v>0</v>
      </c>
      <c r="L477" s="4">
        <f t="shared" si="196"/>
        <v>0</v>
      </c>
      <c r="M477" s="4">
        <f t="shared" si="196"/>
        <v>0</v>
      </c>
      <c r="N477" s="4">
        <f t="shared" si="196"/>
        <v>0</v>
      </c>
      <c r="O477" s="4">
        <f t="shared" si="192"/>
        <v>0</v>
      </c>
      <c r="P477" s="4">
        <f t="shared" si="193"/>
        <v>0</v>
      </c>
      <c r="Q477" s="4">
        <f t="shared" si="194"/>
        <v>0</v>
      </c>
      <c r="R477" s="4">
        <f t="shared" si="195"/>
        <v>0</v>
      </c>
      <c r="S477" s="4">
        <f>IF(AND(VLOOKUP(G477,Dados!$D:$L,2,0)=VLOOKUP(I477,Dados!$S:$V,2,0),VLOOKUP(G477,Dados!$D:$L,3,0)=VLOOKUP(I477,Dados!$S:$V,3,0)),0,1)</f>
        <v>0</v>
      </c>
      <c r="T477" s="4">
        <f>IF(AND(VLOOKUP(G477,Dados!$D:$L,3,0)&lt;=VLOOKUP(H477,Dados!$X:$AB,2,0),VLOOKUP(G477,Dados!$D:$L,4,0)&gt;=VLOOKUP(H477,Dados!$X:$AB,3,0),VLOOKUP(G477,Dados!$D:$L,4,0)&lt;=VLOOKUP(H477,Dados!$X:$AB,4,0)),0,1)</f>
        <v>0</v>
      </c>
      <c r="U477" s="4">
        <f>IF(COUNTIFS(F:F,F477,H:H,H477)&lt;=VLOOKUP(H477,Dados!$X:$AB,5,0),0,1)</f>
        <v>0</v>
      </c>
    </row>
    <row r="478" spans="6:21">
      <c r="F478" s="4">
        <v>312</v>
      </c>
      <c r="G478" s="4">
        <v>63</v>
      </c>
      <c r="H478" s="4">
        <v>2</v>
      </c>
      <c r="I478" s="4">
        <v>27</v>
      </c>
      <c r="J478" s="4">
        <v>2</v>
      </c>
      <c r="K478" s="4">
        <f t="shared" si="196"/>
        <v>0</v>
      </c>
      <c r="L478" s="4">
        <f t="shared" si="196"/>
        <v>0</v>
      </c>
      <c r="M478" s="4">
        <f t="shared" si="196"/>
        <v>0</v>
      </c>
      <c r="N478" s="4">
        <f t="shared" si="196"/>
        <v>0</v>
      </c>
      <c r="O478" s="4">
        <f t="shared" si="192"/>
        <v>0</v>
      </c>
      <c r="P478" s="4">
        <f t="shared" si="193"/>
        <v>0</v>
      </c>
      <c r="Q478" s="4">
        <f t="shared" si="194"/>
        <v>0</v>
      </c>
      <c r="R478" s="4">
        <f t="shared" si="195"/>
        <v>0</v>
      </c>
      <c r="S478" s="4">
        <f>IF(AND(VLOOKUP(G478,Dados!$D:$L,2,0)=VLOOKUP(I478,Dados!$S:$V,2,0),VLOOKUP(G478,Dados!$D:$L,3,0)=VLOOKUP(I478,Dados!$S:$V,3,0)),0,1)</f>
        <v>0</v>
      </c>
      <c r="T478" s="4">
        <f>IF(AND(VLOOKUP(G478,Dados!$D:$L,3,0)&lt;=VLOOKUP(H478,Dados!$X:$AB,2,0),VLOOKUP(G478,Dados!$D:$L,4,0)&gt;=VLOOKUP(H478,Dados!$X:$AB,3,0),VLOOKUP(G478,Dados!$D:$L,4,0)&lt;=VLOOKUP(H478,Dados!$X:$AB,4,0)),0,1)</f>
        <v>0</v>
      </c>
      <c r="U478" s="4">
        <f>IF(COUNTIFS(F:F,F478,H:H,H478)&lt;=VLOOKUP(H478,Dados!$X:$AB,5,0),0,1)</f>
        <v>0</v>
      </c>
    </row>
    <row r="479" spans="6:21">
      <c r="F479" s="4">
        <v>313</v>
      </c>
      <c r="G479" s="4">
        <v>60</v>
      </c>
      <c r="H479" s="4">
        <v>3</v>
      </c>
      <c r="I479" s="4">
        <v>27</v>
      </c>
      <c r="J479" s="4">
        <v>8</v>
      </c>
      <c r="K479" s="4">
        <f t="shared" si="196"/>
        <v>0</v>
      </c>
      <c r="L479" s="4">
        <f t="shared" si="196"/>
        <v>0</v>
      </c>
      <c r="M479" s="4">
        <f t="shared" si="196"/>
        <v>0</v>
      </c>
      <c r="N479" s="4">
        <f t="shared" si="196"/>
        <v>0</v>
      </c>
      <c r="O479" s="4">
        <f t="shared" si="192"/>
        <v>0</v>
      </c>
      <c r="P479" s="4">
        <f t="shared" si="193"/>
        <v>0</v>
      </c>
      <c r="Q479" s="4">
        <f t="shared" si="194"/>
        <v>0</v>
      </c>
      <c r="R479" s="4">
        <f t="shared" si="195"/>
        <v>0</v>
      </c>
      <c r="S479" s="4">
        <f>IF(AND(VLOOKUP(G479,Dados!$D:$L,2,0)=VLOOKUP(I479,Dados!$S:$V,2,0),VLOOKUP(G479,Dados!$D:$L,3,0)=VLOOKUP(I479,Dados!$S:$V,3,0)),0,1)</f>
        <v>0</v>
      </c>
      <c r="T479" s="4">
        <f>IF(AND(VLOOKUP(G479,Dados!$D:$L,3,0)&lt;=VLOOKUP(H479,Dados!$X:$AB,2,0),VLOOKUP(G479,Dados!$D:$L,4,0)&gt;=VLOOKUP(H479,Dados!$X:$AB,3,0),VLOOKUP(G479,Dados!$D:$L,4,0)&lt;=VLOOKUP(H479,Dados!$X:$AB,4,0)),0,1)</f>
        <v>0</v>
      </c>
      <c r="U479" s="4">
        <f>IF(COUNTIFS(F:F,F479,H:H,H479)&lt;=VLOOKUP(H479,Dados!$X:$AB,5,0),0,1)</f>
        <v>0</v>
      </c>
    </row>
    <row r="480" spans="6:21">
      <c r="F480" s="4">
        <v>313</v>
      </c>
      <c r="G480" s="4">
        <v>63</v>
      </c>
      <c r="H480" s="4">
        <v>3</v>
      </c>
      <c r="I480" s="4">
        <v>27</v>
      </c>
      <c r="J480" s="4">
        <v>2</v>
      </c>
      <c r="K480" s="4">
        <f t="shared" si="196"/>
        <v>0</v>
      </c>
      <c r="L480" s="4">
        <f t="shared" si="196"/>
        <v>0</v>
      </c>
      <c r="M480" s="4">
        <f t="shared" si="196"/>
        <v>0</v>
      </c>
      <c r="N480" s="4">
        <f t="shared" si="196"/>
        <v>0</v>
      </c>
      <c r="O480" s="4">
        <f t="shared" si="192"/>
        <v>0</v>
      </c>
      <c r="P480" s="4">
        <f t="shared" si="193"/>
        <v>0</v>
      </c>
      <c r="Q480" s="4">
        <f t="shared" si="194"/>
        <v>0</v>
      </c>
      <c r="R480" s="4">
        <f t="shared" si="195"/>
        <v>0</v>
      </c>
      <c r="S480" s="4">
        <f>IF(AND(VLOOKUP(G480,Dados!$D:$L,2,0)=VLOOKUP(I480,Dados!$S:$V,2,0),VLOOKUP(G480,Dados!$D:$L,3,0)=VLOOKUP(I480,Dados!$S:$V,3,0)),0,1)</f>
        <v>0</v>
      </c>
      <c r="T480" s="4">
        <f>IF(AND(VLOOKUP(G480,Dados!$D:$L,3,0)&lt;=VLOOKUP(H480,Dados!$X:$AB,2,0),VLOOKUP(G480,Dados!$D:$L,4,0)&gt;=VLOOKUP(H480,Dados!$X:$AB,3,0),VLOOKUP(G480,Dados!$D:$L,4,0)&lt;=VLOOKUP(H480,Dados!$X:$AB,4,0)),0,1)</f>
        <v>0</v>
      </c>
      <c r="U480" s="4">
        <f>IF(COUNTIFS(F:F,F480,H:H,H480)&lt;=VLOOKUP(H480,Dados!$X:$AB,5,0),0,1)</f>
        <v>0</v>
      </c>
    </row>
    <row r="481" spans="6:21">
      <c r="F481" s="4">
        <v>314</v>
      </c>
      <c r="G481" s="4">
        <v>59</v>
      </c>
      <c r="H481" s="4">
        <v>1</v>
      </c>
      <c r="I481" s="4">
        <v>28</v>
      </c>
      <c r="J481" s="4">
        <v>1</v>
      </c>
      <c r="K481" s="4">
        <f t="shared" si="196"/>
        <v>0</v>
      </c>
      <c r="L481" s="4">
        <f t="shared" si="196"/>
        <v>0</v>
      </c>
      <c r="M481" s="4">
        <f t="shared" si="196"/>
        <v>0</v>
      </c>
      <c r="N481" s="4">
        <f t="shared" si="196"/>
        <v>0</v>
      </c>
      <c r="O481" s="4">
        <f t="shared" si="192"/>
        <v>0</v>
      </c>
      <c r="P481" s="4">
        <f t="shared" si="193"/>
        <v>0</v>
      </c>
      <c r="Q481" s="4">
        <f t="shared" si="194"/>
        <v>0</v>
      </c>
      <c r="R481" s="4">
        <f t="shared" si="195"/>
        <v>0</v>
      </c>
      <c r="S481" s="4">
        <f>IF(AND(VLOOKUP(G481,Dados!$D:$L,2,0)=VLOOKUP(I481,Dados!$S:$V,2,0),VLOOKUP(G481,Dados!$D:$L,3,0)=VLOOKUP(I481,Dados!$S:$V,3,0)),0,1)</f>
        <v>0</v>
      </c>
      <c r="T481" s="4">
        <f>IF(AND(VLOOKUP(G481,Dados!$D:$L,3,0)&lt;=VLOOKUP(H481,Dados!$X:$AB,2,0),VLOOKUP(G481,Dados!$D:$L,4,0)&gt;=VLOOKUP(H481,Dados!$X:$AB,3,0),VLOOKUP(G481,Dados!$D:$L,4,0)&lt;=VLOOKUP(H481,Dados!$X:$AB,4,0)),0,1)</f>
        <v>0</v>
      </c>
      <c r="U481" s="4">
        <f>IF(COUNTIFS(F:F,F481,H:H,H481)&lt;=VLOOKUP(H481,Dados!$X:$AB,5,0),0,1)</f>
        <v>0</v>
      </c>
    </row>
    <row r="482" spans="6:21">
      <c r="F482" s="4">
        <v>314</v>
      </c>
      <c r="G482" s="4">
        <v>60</v>
      </c>
      <c r="H482" s="4">
        <v>1</v>
      </c>
      <c r="I482" s="4">
        <v>28</v>
      </c>
      <c r="J482" s="4">
        <v>6</v>
      </c>
      <c r="K482" s="4">
        <f t="shared" si="196"/>
        <v>0</v>
      </c>
      <c r="L482" s="4">
        <f t="shared" si="196"/>
        <v>0</v>
      </c>
      <c r="M482" s="4">
        <f t="shared" si="196"/>
        <v>0</v>
      </c>
      <c r="N482" s="4">
        <f t="shared" si="196"/>
        <v>0</v>
      </c>
      <c r="O482" s="4">
        <f t="shared" si="192"/>
        <v>0</v>
      </c>
      <c r="P482" s="4">
        <f t="shared" si="193"/>
        <v>0</v>
      </c>
      <c r="Q482" s="4">
        <f t="shared" si="194"/>
        <v>0</v>
      </c>
      <c r="R482" s="4">
        <f t="shared" si="195"/>
        <v>0</v>
      </c>
      <c r="S482" s="4">
        <f>IF(AND(VLOOKUP(G482,Dados!$D:$L,2,0)=VLOOKUP(I482,Dados!$S:$V,2,0),VLOOKUP(G482,Dados!$D:$L,3,0)=VLOOKUP(I482,Dados!$S:$V,3,0)),0,1)</f>
        <v>0</v>
      </c>
      <c r="T482" s="4">
        <f>IF(AND(VLOOKUP(G482,Dados!$D:$L,3,0)&lt;=VLOOKUP(H482,Dados!$X:$AB,2,0),VLOOKUP(G482,Dados!$D:$L,4,0)&gt;=VLOOKUP(H482,Dados!$X:$AB,3,0),VLOOKUP(G482,Dados!$D:$L,4,0)&lt;=VLOOKUP(H482,Dados!$X:$AB,4,0)),0,1)</f>
        <v>0</v>
      </c>
      <c r="U482" s="4">
        <f>IF(COUNTIFS(F:F,F482,H:H,H482)&lt;=VLOOKUP(H482,Dados!$X:$AB,5,0),0,1)</f>
        <v>0</v>
      </c>
    </row>
    <row r="483" spans="6:21">
      <c r="F483" s="4">
        <v>314</v>
      </c>
      <c r="G483" s="4">
        <v>67</v>
      </c>
      <c r="H483" s="4">
        <v>1</v>
      </c>
      <c r="I483" s="4">
        <v>28</v>
      </c>
      <c r="J483" s="4">
        <v>2</v>
      </c>
      <c r="K483" s="4">
        <f t="shared" si="196"/>
        <v>0</v>
      </c>
      <c r="L483" s="4">
        <f t="shared" si="196"/>
        <v>0</v>
      </c>
      <c r="M483" s="4">
        <f t="shared" si="196"/>
        <v>0</v>
      </c>
      <c r="N483" s="4">
        <f t="shared" si="196"/>
        <v>0</v>
      </c>
      <c r="O483" s="4">
        <f t="shared" si="192"/>
        <v>0</v>
      </c>
      <c r="P483" s="4">
        <f t="shared" si="193"/>
        <v>0</v>
      </c>
      <c r="Q483" s="4">
        <f t="shared" si="194"/>
        <v>0</v>
      </c>
      <c r="R483" s="4">
        <f t="shared" si="195"/>
        <v>0</v>
      </c>
      <c r="S483" s="4">
        <f>IF(AND(VLOOKUP(G483,Dados!$D:$L,2,0)=VLOOKUP(I483,Dados!$S:$V,2,0),VLOOKUP(G483,Dados!$D:$L,3,0)=VLOOKUP(I483,Dados!$S:$V,3,0)),0,1)</f>
        <v>0</v>
      </c>
      <c r="T483" s="4">
        <f>IF(AND(VLOOKUP(G483,Dados!$D:$L,3,0)&lt;=VLOOKUP(H483,Dados!$X:$AB,2,0),VLOOKUP(G483,Dados!$D:$L,4,0)&gt;=VLOOKUP(H483,Dados!$X:$AB,3,0),VLOOKUP(G483,Dados!$D:$L,4,0)&lt;=VLOOKUP(H483,Dados!$X:$AB,4,0)),0,1)</f>
        <v>0</v>
      </c>
      <c r="U483" s="4">
        <f>IF(COUNTIFS(F:F,F483,H:H,H483)&lt;=VLOOKUP(H483,Dados!$X:$AB,5,0),0,1)</f>
        <v>0</v>
      </c>
    </row>
    <row r="484" spans="6:21">
      <c r="F484" s="4">
        <v>315</v>
      </c>
      <c r="G484" s="4">
        <v>59</v>
      </c>
      <c r="H484" s="4">
        <v>2</v>
      </c>
      <c r="I484" s="4">
        <v>28</v>
      </c>
      <c r="J484" s="4">
        <v>1</v>
      </c>
      <c r="K484" s="4">
        <f t="shared" si="196"/>
        <v>0</v>
      </c>
      <c r="L484" s="4">
        <f t="shared" si="196"/>
        <v>0</v>
      </c>
      <c r="M484" s="4">
        <f t="shared" si="196"/>
        <v>0</v>
      </c>
      <c r="N484" s="4">
        <f t="shared" si="196"/>
        <v>0</v>
      </c>
      <c r="O484" s="4">
        <f t="shared" si="192"/>
        <v>0</v>
      </c>
      <c r="P484" s="4">
        <f t="shared" si="193"/>
        <v>0</v>
      </c>
      <c r="Q484" s="4">
        <f t="shared" si="194"/>
        <v>0</v>
      </c>
      <c r="R484" s="4">
        <f t="shared" si="195"/>
        <v>0</v>
      </c>
      <c r="S484" s="4">
        <f>IF(AND(VLOOKUP(G484,Dados!$D:$L,2,0)=VLOOKUP(I484,Dados!$S:$V,2,0),VLOOKUP(G484,Dados!$D:$L,3,0)=VLOOKUP(I484,Dados!$S:$V,3,0)),0,1)</f>
        <v>0</v>
      </c>
      <c r="T484" s="4">
        <f>IF(AND(VLOOKUP(G484,Dados!$D:$L,3,0)&lt;=VLOOKUP(H484,Dados!$X:$AB,2,0),VLOOKUP(G484,Dados!$D:$L,4,0)&gt;=VLOOKUP(H484,Dados!$X:$AB,3,0),VLOOKUP(G484,Dados!$D:$L,4,0)&lt;=VLOOKUP(H484,Dados!$X:$AB,4,0)),0,1)</f>
        <v>0</v>
      </c>
      <c r="U484" s="4">
        <f>IF(COUNTIFS(F:F,F484,H:H,H484)&lt;=VLOOKUP(H484,Dados!$X:$AB,5,0),0,1)</f>
        <v>0</v>
      </c>
    </row>
    <row r="485" spans="6:21">
      <c r="F485" s="4">
        <v>315</v>
      </c>
      <c r="G485" s="4">
        <v>60</v>
      </c>
      <c r="H485" s="4">
        <v>2</v>
      </c>
      <c r="I485" s="4">
        <v>28</v>
      </c>
      <c r="J485" s="4">
        <v>6</v>
      </c>
      <c r="K485" s="4">
        <f t="shared" si="196"/>
        <v>0</v>
      </c>
      <c r="L485" s="4">
        <f t="shared" si="196"/>
        <v>0</v>
      </c>
      <c r="M485" s="4">
        <f t="shared" si="196"/>
        <v>0</v>
      </c>
      <c r="N485" s="4">
        <f t="shared" si="196"/>
        <v>0</v>
      </c>
      <c r="O485" s="4">
        <f t="shared" si="192"/>
        <v>0</v>
      </c>
      <c r="P485" s="4">
        <f t="shared" si="193"/>
        <v>0</v>
      </c>
      <c r="Q485" s="4">
        <f t="shared" si="194"/>
        <v>0</v>
      </c>
      <c r="R485" s="4">
        <f t="shared" si="195"/>
        <v>0</v>
      </c>
      <c r="S485" s="4">
        <f>IF(AND(VLOOKUP(G485,Dados!$D:$L,2,0)=VLOOKUP(I485,Dados!$S:$V,2,0),VLOOKUP(G485,Dados!$D:$L,3,0)=VLOOKUP(I485,Dados!$S:$V,3,0)),0,1)</f>
        <v>0</v>
      </c>
      <c r="T485" s="4">
        <f>IF(AND(VLOOKUP(G485,Dados!$D:$L,3,0)&lt;=VLOOKUP(H485,Dados!$X:$AB,2,0),VLOOKUP(G485,Dados!$D:$L,4,0)&gt;=VLOOKUP(H485,Dados!$X:$AB,3,0),VLOOKUP(G485,Dados!$D:$L,4,0)&lt;=VLOOKUP(H485,Dados!$X:$AB,4,0)),0,1)</f>
        <v>0</v>
      </c>
      <c r="U485" s="4">
        <f>IF(COUNTIFS(F:F,F485,H:H,H485)&lt;=VLOOKUP(H485,Dados!$X:$AB,5,0),0,1)</f>
        <v>0</v>
      </c>
    </row>
    <row r="486" spans="6:21">
      <c r="F486" s="4">
        <v>315</v>
      </c>
      <c r="G486" s="4">
        <v>67</v>
      </c>
      <c r="H486" s="4">
        <v>2</v>
      </c>
      <c r="I486" s="4">
        <v>28</v>
      </c>
      <c r="J486" s="4">
        <v>2</v>
      </c>
      <c r="K486" s="4">
        <f t="shared" si="196"/>
        <v>0</v>
      </c>
      <c r="L486" s="4">
        <f t="shared" si="196"/>
        <v>0</v>
      </c>
      <c r="M486" s="4">
        <f t="shared" si="196"/>
        <v>0</v>
      </c>
      <c r="N486" s="4">
        <f t="shared" si="196"/>
        <v>0</v>
      </c>
      <c r="O486" s="4">
        <f t="shared" si="192"/>
        <v>0</v>
      </c>
      <c r="P486" s="4">
        <f t="shared" si="193"/>
        <v>0</v>
      </c>
      <c r="Q486" s="4">
        <f t="shared" si="194"/>
        <v>0</v>
      </c>
      <c r="R486" s="4">
        <f t="shared" si="195"/>
        <v>0</v>
      </c>
      <c r="S486" s="4">
        <f>IF(AND(VLOOKUP(G486,Dados!$D:$L,2,0)=VLOOKUP(I486,Dados!$S:$V,2,0),VLOOKUP(G486,Dados!$D:$L,3,0)=VLOOKUP(I486,Dados!$S:$V,3,0)),0,1)</f>
        <v>0</v>
      </c>
      <c r="T486" s="4">
        <f>IF(AND(VLOOKUP(G486,Dados!$D:$L,3,0)&lt;=VLOOKUP(H486,Dados!$X:$AB,2,0),VLOOKUP(G486,Dados!$D:$L,4,0)&gt;=VLOOKUP(H486,Dados!$X:$AB,3,0),VLOOKUP(G486,Dados!$D:$L,4,0)&lt;=VLOOKUP(H486,Dados!$X:$AB,4,0)),0,1)</f>
        <v>0</v>
      </c>
      <c r="U486" s="4">
        <f>IF(COUNTIFS(F:F,F486,H:H,H486)&lt;=VLOOKUP(H486,Dados!$X:$AB,5,0),0,1)</f>
        <v>0</v>
      </c>
    </row>
    <row r="487" spans="6:21">
      <c r="F487" s="4">
        <v>316</v>
      </c>
      <c r="G487" s="4">
        <v>59</v>
      </c>
      <c r="H487" s="4">
        <v>3</v>
      </c>
      <c r="I487" s="4">
        <v>28</v>
      </c>
      <c r="J487" s="4">
        <v>1</v>
      </c>
      <c r="K487" s="4">
        <f t="shared" si="196"/>
        <v>0</v>
      </c>
      <c r="L487" s="4">
        <f t="shared" si="196"/>
        <v>1</v>
      </c>
      <c r="M487" s="4">
        <f t="shared" si="196"/>
        <v>0</v>
      </c>
      <c r="N487" s="4">
        <f t="shared" si="196"/>
        <v>0</v>
      </c>
      <c r="O487" s="4">
        <f t="shared" si="192"/>
        <v>0</v>
      </c>
      <c r="P487" s="4">
        <f t="shared" si="193"/>
        <v>1</v>
      </c>
      <c r="Q487" s="4">
        <f t="shared" si="194"/>
        <v>0</v>
      </c>
      <c r="R487" s="4">
        <f t="shared" si="195"/>
        <v>0</v>
      </c>
      <c r="S487" s="4">
        <f>IF(AND(VLOOKUP(G487,Dados!$D:$L,2,0)=VLOOKUP(I487,Dados!$S:$V,2,0),VLOOKUP(G487,Dados!$D:$L,3,0)=VLOOKUP(I487,Dados!$S:$V,3,0)),0,1)</f>
        <v>0</v>
      </c>
      <c r="T487" s="4">
        <f>IF(AND(VLOOKUP(G487,Dados!$D:$L,3,0)&lt;=VLOOKUP(H487,Dados!$X:$AB,2,0),VLOOKUP(G487,Dados!$D:$L,4,0)&gt;=VLOOKUP(H487,Dados!$X:$AB,3,0),VLOOKUP(G487,Dados!$D:$L,4,0)&lt;=VLOOKUP(H487,Dados!$X:$AB,4,0)),0,1)</f>
        <v>0</v>
      </c>
      <c r="U487" s="4">
        <f>IF(COUNTIFS(F:F,F487,H:H,H487)&lt;=VLOOKUP(H487,Dados!$X:$AB,5,0),0,1)</f>
        <v>0</v>
      </c>
    </row>
    <row r="488" spans="6:21">
      <c r="F488" s="4">
        <v>316</v>
      </c>
      <c r="G488" s="4">
        <v>60</v>
      </c>
      <c r="H488" s="4">
        <v>3</v>
      </c>
      <c r="I488" s="4">
        <v>28</v>
      </c>
      <c r="J488" s="4">
        <v>6</v>
      </c>
      <c r="K488" s="4">
        <f t="shared" si="196"/>
        <v>0</v>
      </c>
      <c r="L488" s="4">
        <f t="shared" si="196"/>
        <v>1</v>
      </c>
      <c r="M488" s="4">
        <f t="shared" si="196"/>
        <v>0</v>
      </c>
      <c r="N488" s="4">
        <f t="shared" si="196"/>
        <v>0</v>
      </c>
      <c r="O488" s="4">
        <f t="shared" si="192"/>
        <v>0</v>
      </c>
      <c r="P488" s="4">
        <f t="shared" si="193"/>
        <v>6</v>
      </c>
      <c r="Q488" s="4">
        <f t="shared" si="194"/>
        <v>0</v>
      </c>
      <c r="R488" s="4">
        <f t="shared" si="195"/>
        <v>0</v>
      </c>
      <c r="S488" s="4">
        <f>IF(AND(VLOOKUP(G488,Dados!$D:$L,2,0)=VLOOKUP(I488,Dados!$S:$V,2,0),VLOOKUP(G488,Dados!$D:$L,3,0)=VLOOKUP(I488,Dados!$S:$V,3,0)),0,1)</f>
        <v>0</v>
      </c>
      <c r="T488" s="4">
        <f>IF(AND(VLOOKUP(G488,Dados!$D:$L,3,0)&lt;=VLOOKUP(H488,Dados!$X:$AB,2,0),VLOOKUP(G488,Dados!$D:$L,4,0)&gt;=VLOOKUP(H488,Dados!$X:$AB,3,0),VLOOKUP(G488,Dados!$D:$L,4,0)&lt;=VLOOKUP(H488,Dados!$X:$AB,4,0)),0,1)</f>
        <v>0</v>
      </c>
      <c r="U488" s="4">
        <f>IF(COUNTIFS(F:F,F488,H:H,H488)&lt;=VLOOKUP(H488,Dados!$X:$AB,5,0),0,1)</f>
        <v>0</v>
      </c>
    </row>
    <row r="489" spans="6:21">
      <c r="F489" s="4">
        <v>316</v>
      </c>
      <c r="G489" s="4">
        <v>67</v>
      </c>
      <c r="H489" s="4">
        <v>3</v>
      </c>
      <c r="I489" s="4">
        <v>28</v>
      </c>
      <c r="J489" s="4">
        <v>2</v>
      </c>
      <c r="K489" s="4">
        <f t="shared" si="196"/>
        <v>0</v>
      </c>
      <c r="L489" s="4">
        <f t="shared" si="196"/>
        <v>1</v>
      </c>
      <c r="M489" s="4">
        <f t="shared" si="196"/>
        <v>0</v>
      </c>
      <c r="N489" s="4">
        <f t="shared" si="196"/>
        <v>0</v>
      </c>
      <c r="O489" s="4">
        <f t="shared" si="192"/>
        <v>0</v>
      </c>
      <c r="P489" s="4">
        <f t="shared" si="193"/>
        <v>2</v>
      </c>
      <c r="Q489" s="4">
        <f t="shared" si="194"/>
        <v>0</v>
      </c>
      <c r="R489" s="4">
        <f t="shared" si="195"/>
        <v>0</v>
      </c>
      <c r="S489" s="4">
        <f>IF(AND(VLOOKUP(G489,Dados!$D:$L,2,0)=VLOOKUP(I489,Dados!$S:$V,2,0),VLOOKUP(G489,Dados!$D:$L,3,0)=VLOOKUP(I489,Dados!$S:$V,3,0)),0,1)</f>
        <v>0</v>
      </c>
      <c r="T489" s="4">
        <f>IF(AND(VLOOKUP(G489,Dados!$D:$L,3,0)&lt;=VLOOKUP(H489,Dados!$X:$AB,2,0),VLOOKUP(G489,Dados!$D:$L,4,0)&gt;=VLOOKUP(H489,Dados!$X:$AB,3,0),VLOOKUP(G489,Dados!$D:$L,4,0)&lt;=VLOOKUP(H489,Dados!$X:$AB,4,0)),0,1)</f>
        <v>0</v>
      </c>
      <c r="U489" s="4">
        <f>IF(COUNTIFS(F:F,F489,H:H,H489)&lt;=VLOOKUP(H489,Dados!$X:$AB,5,0),0,1)</f>
        <v>0</v>
      </c>
    </row>
    <row r="490" spans="6:21">
      <c r="F490" s="4">
        <v>317</v>
      </c>
      <c r="G490" s="4">
        <v>60</v>
      </c>
      <c r="H490" s="4">
        <v>1</v>
      </c>
      <c r="I490" s="4">
        <v>29</v>
      </c>
      <c r="J490" s="4">
        <v>8</v>
      </c>
      <c r="K490" s="4">
        <f t="shared" si="196"/>
        <v>0</v>
      </c>
      <c r="L490" s="4">
        <f t="shared" si="196"/>
        <v>0</v>
      </c>
      <c r="M490" s="4">
        <f t="shared" si="196"/>
        <v>0</v>
      </c>
      <c r="N490" s="4">
        <f t="shared" si="196"/>
        <v>0</v>
      </c>
      <c r="O490" s="4">
        <f t="shared" si="192"/>
        <v>0</v>
      </c>
      <c r="P490" s="4">
        <f t="shared" si="193"/>
        <v>0</v>
      </c>
      <c r="Q490" s="4">
        <f t="shared" si="194"/>
        <v>0</v>
      </c>
      <c r="R490" s="4">
        <f t="shared" si="195"/>
        <v>0</v>
      </c>
      <c r="S490" s="4">
        <f>IF(AND(VLOOKUP(G490,Dados!$D:$L,2,0)=VLOOKUP(I490,Dados!$S:$V,2,0),VLOOKUP(G490,Dados!$D:$L,3,0)=VLOOKUP(I490,Dados!$S:$V,3,0)),0,1)</f>
        <v>0</v>
      </c>
      <c r="T490" s="4">
        <f>IF(AND(VLOOKUP(G490,Dados!$D:$L,3,0)&lt;=VLOOKUP(H490,Dados!$X:$AB,2,0),VLOOKUP(G490,Dados!$D:$L,4,0)&gt;=VLOOKUP(H490,Dados!$X:$AB,3,0),VLOOKUP(G490,Dados!$D:$L,4,0)&lt;=VLOOKUP(H490,Dados!$X:$AB,4,0)),0,1)</f>
        <v>0</v>
      </c>
      <c r="U490" s="4">
        <f>IF(COUNTIFS(F:F,F490,H:H,H490)&lt;=VLOOKUP(H490,Dados!$X:$AB,5,0),0,1)</f>
        <v>0</v>
      </c>
    </row>
    <row r="491" spans="6:21">
      <c r="F491" s="4">
        <v>317</v>
      </c>
      <c r="G491" s="4">
        <v>64</v>
      </c>
      <c r="H491" s="4">
        <v>1</v>
      </c>
      <c r="I491" s="4">
        <v>29</v>
      </c>
      <c r="J491" s="4">
        <v>1</v>
      </c>
      <c r="K491" s="4">
        <f t="shared" si="196"/>
        <v>0</v>
      </c>
      <c r="L491" s="4">
        <f t="shared" si="196"/>
        <v>0</v>
      </c>
      <c r="M491" s="4">
        <f t="shared" si="196"/>
        <v>0</v>
      </c>
      <c r="N491" s="4">
        <f t="shared" si="196"/>
        <v>0</v>
      </c>
      <c r="O491" s="4">
        <f t="shared" si="192"/>
        <v>0</v>
      </c>
      <c r="P491" s="4">
        <f t="shared" si="193"/>
        <v>0</v>
      </c>
      <c r="Q491" s="4">
        <f t="shared" si="194"/>
        <v>0</v>
      </c>
      <c r="R491" s="4">
        <f t="shared" si="195"/>
        <v>0</v>
      </c>
      <c r="S491" s="4">
        <f>IF(AND(VLOOKUP(G491,Dados!$D:$L,2,0)=VLOOKUP(I491,Dados!$S:$V,2,0),VLOOKUP(G491,Dados!$D:$L,3,0)=VLOOKUP(I491,Dados!$S:$V,3,0)),0,1)</f>
        <v>0</v>
      </c>
      <c r="T491" s="4">
        <f>IF(AND(VLOOKUP(G491,Dados!$D:$L,3,0)&lt;=VLOOKUP(H491,Dados!$X:$AB,2,0),VLOOKUP(G491,Dados!$D:$L,4,0)&gt;=VLOOKUP(H491,Dados!$X:$AB,3,0),VLOOKUP(G491,Dados!$D:$L,4,0)&lt;=VLOOKUP(H491,Dados!$X:$AB,4,0)),0,1)</f>
        <v>0</v>
      </c>
      <c r="U491" s="4">
        <f>IF(COUNTIFS(F:F,F491,H:H,H491)&lt;=VLOOKUP(H491,Dados!$X:$AB,5,0),0,1)</f>
        <v>0</v>
      </c>
    </row>
    <row r="492" spans="6:21">
      <c r="F492" s="4">
        <v>318</v>
      </c>
      <c r="G492" s="4">
        <v>60</v>
      </c>
      <c r="H492" s="4">
        <v>2</v>
      </c>
      <c r="I492" s="4">
        <v>29</v>
      </c>
      <c r="J492" s="4">
        <v>8</v>
      </c>
      <c r="K492" s="4">
        <f t="shared" si="196"/>
        <v>0</v>
      </c>
      <c r="L492" s="4">
        <f t="shared" si="196"/>
        <v>0</v>
      </c>
      <c r="M492" s="4">
        <f t="shared" si="196"/>
        <v>0</v>
      </c>
      <c r="N492" s="4">
        <f t="shared" si="196"/>
        <v>0</v>
      </c>
      <c r="O492" s="4">
        <f t="shared" si="192"/>
        <v>0</v>
      </c>
      <c r="P492" s="4">
        <f t="shared" si="193"/>
        <v>0</v>
      </c>
      <c r="Q492" s="4">
        <f t="shared" si="194"/>
        <v>0</v>
      </c>
      <c r="R492" s="4">
        <f t="shared" si="195"/>
        <v>0</v>
      </c>
      <c r="S492" s="4">
        <f>IF(AND(VLOOKUP(G492,Dados!$D:$L,2,0)=VLOOKUP(I492,Dados!$S:$V,2,0),VLOOKUP(G492,Dados!$D:$L,3,0)=VLOOKUP(I492,Dados!$S:$V,3,0)),0,1)</f>
        <v>0</v>
      </c>
      <c r="T492" s="4">
        <f>IF(AND(VLOOKUP(G492,Dados!$D:$L,3,0)&lt;=VLOOKUP(H492,Dados!$X:$AB,2,0),VLOOKUP(G492,Dados!$D:$L,4,0)&gt;=VLOOKUP(H492,Dados!$X:$AB,3,0),VLOOKUP(G492,Dados!$D:$L,4,0)&lt;=VLOOKUP(H492,Dados!$X:$AB,4,0)),0,1)</f>
        <v>0</v>
      </c>
      <c r="U492" s="4">
        <f>IF(COUNTIFS(F:F,F492,H:H,H492)&lt;=VLOOKUP(H492,Dados!$X:$AB,5,0),0,1)</f>
        <v>0</v>
      </c>
    </row>
    <row r="493" spans="6:21">
      <c r="F493" s="4">
        <v>318</v>
      </c>
      <c r="G493" s="4">
        <v>64</v>
      </c>
      <c r="H493" s="4">
        <v>2</v>
      </c>
      <c r="I493" s="4">
        <v>29</v>
      </c>
      <c r="J493" s="4">
        <v>1</v>
      </c>
      <c r="K493" s="4">
        <f t="shared" si="196"/>
        <v>0</v>
      </c>
      <c r="L493" s="4">
        <f t="shared" si="196"/>
        <v>0</v>
      </c>
      <c r="M493" s="4">
        <f t="shared" si="196"/>
        <v>0</v>
      </c>
      <c r="N493" s="4">
        <f t="shared" si="196"/>
        <v>0</v>
      </c>
      <c r="O493" s="4">
        <f t="shared" si="192"/>
        <v>0</v>
      </c>
      <c r="P493" s="4">
        <f t="shared" si="193"/>
        <v>0</v>
      </c>
      <c r="Q493" s="4">
        <f t="shared" si="194"/>
        <v>0</v>
      </c>
      <c r="R493" s="4">
        <f t="shared" si="195"/>
        <v>0</v>
      </c>
      <c r="S493" s="4">
        <f>IF(AND(VLOOKUP(G493,Dados!$D:$L,2,0)=VLOOKUP(I493,Dados!$S:$V,2,0),VLOOKUP(G493,Dados!$D:$L,3,0)=VLOOKUP(I493,Dados!$S:$V,3,0)),0,1)</f>
        <v>0</v>
      </c>
      <c r="T493" s="4">
        <f>IF(AND(VLOOKUP(G493,Dados!$D:$L,3,0)&lt;=VLOOKUP(H493,Dados!$X:$AB,2,0),VLOOKUP(G493,Dados!$D:$L,4,0)&gt;=VLOOKUP(H493,Dados!$X:$AB,3,0),VLOOKUP(G493,Dados!$D:$L,4,0)&lt;=VLOOKUP(H493,Dados!$X:$AB,4,0)),0,1)</f>
        <v>0</v>
      </c>
      <c r="U493" s="4">
        <f>IF(COUNTIFS(F:F,F493,H:H,H493)&lt;=VLOOKUP(H493,Dados!$X:$AB,5,0),0,1)</f>
        <v>0</v>
      </c>
    </row>
    <row r="494" spans="6:21">
      <c r="F494" s="4">
        <v>319</v>
      </c>
      <c r="G494" s="4">
        <v>60</v>
      </c>
      <c r="H494" s="4">
        <v>3</v>
      </c>
      <c r="I494" s="4">
        <v>29</v>
      </c>
      <c r="J494" s="4">
        <v>8</v>
      </c>
      <c r="K494" s="4">
        <f t="shared" si="196"/>
        <v>0</v>
      </c>
      <c r="L494" s="4">
        <f t="shared" si="196"/>
        <v>0</v>
      </c>
      <c r="M494" s="4">
        <f t="shared" si="196"/>
        <v>0</v>
      </c>
      <c r="N494" s="4">
        <f t="shared" si="196"/>
        <v>0</v>
      </c>
      <c r="O494" s="4">
        <f t="shared" si="192"/>
        <v>0</v>
      </c>
      <c r="P494" s="4">
        <f t="shared" si="193"/>
        <v>0</v>
      </c>
      <c r="Q494" s="4">
        <f t="shared" si="194"/>
        <v>0</v>
      </c>
      <c r="R494" s="4">
        <f t="shared" si="195"/>
        <v>0</v>
      </c>
      <c r="S494" s="4">
        <f>IF(AND(VLOOKUP(G494,Dados!$D:$L,2,0)=VLOOKUP(I494,Dados!$S:$V,2,0),VLOOKUP(G494,Dados!$D:$L,3,0)=VLOOKUP(I494,Dados!$S:$V,3,0)),0,1)</f>
        <v>0</v>
      </c>
      <c r="T494" s="4">
        <f>IF(AND(VLOOKUP(G494,Dados!$D:$L,3,0)&lt;=VLOOKUP(H494,Dados!$X:$AB,2,0),VLOOKUP(G494,Dados!$D:$L,4,0)&gt;=VLOOKUP(H494,Dados!$X:$AB,3,0),VLOOKUP(G494,Dados!$D:$L,4,0)&lt;=VLOOKUP(H494,Dados!$X:$AB,4,0)),0,1)</f>
        <v>0</v>
      </c>
      <c r="U494" s="4">
        <f>IF(COUNTIFS(F:F,F494,H:H,H494)&lt;=VLOOKUP(H494,Dados!$X:$AB,5,0),0,1)</f>
        <v>0</v>
      </c>
    </row>
    <row r="495" spans="6:21">
      <c r="F495" s="4">
        <v>319</v>
      </c>
      <c r="G495" s="4">
        <v>64</v>
      </c>
      <c r="H495" s="4">
        <v>3</v>
      </c>
      <c r="I495" s="4">
        <v>29</v>
      </c>
      <c r="J495" s="4">
        <v>1</v>
      </c>
      <c r="K495" s="4">
        <f t="shared" si="196"/>
        <v>0</v>
      </c>
      <c r="L495" s="4">
        <f t="shared" si="196"/>
        <v>0</v>
      </c>
      <c r="M495" s="4">
        <f t="shared" si="196"/>
        <v>0</v>
      </c>
      <c r="N495" s="4">
        <f t="shared" si="196"/>
        <v>0</v>
      </c>
      <c r="O495" s="4">
        <f t="shared" si="192"/>
        <v>0</v>
      </c>
      <c r="P495" s="4">
        <f t="shared" si="193"/>
        <v>0</v>
      </c>
      <c r="Q495" s="4">
        <f t="shared" si="194"/>
        <v>0</v>
      </c>
      <c r="R495" s="4">
        <f t="shared" si="195"/>
        <v>0</v>
      </c>
      <c r="S495" s="4">
        <f>IF(AND(VLOOKUP(G495,Dados!$D:$L,2,0)=VLOOKUP(I495,Dados!$S:$V,2,0),VLOOKUP(G495,Dados!$D:$L,3,0)=VLOOKUP(I495,Dados!$S:$V,3,0)),0,1)</f>
        <v>0</v>
      </c>
      <c r="T495" s="4">
        <f>IF(AND(VLOOKUP(G495,Dados!$D:$L,3,0)&lt;=VLOOKUP(H495,Dados!$X:$AB,2,0),VLOOKUP(G495,Dados!$D:$L,4,0)&gt;=VLOOKUP(H495,Dados!$X:$AB,3,0),VLOOKUP(G495,Dados!$D:$L,4,0)&lt;=VLOOKUP(H495,Dados!$X:$AB,4,0)),0,1)</f>
        <v>0</v>
      </c>
      <c r="U495" s="4">
        <f>IF(COUNTIFS(F:F,F495,H:H,H495)&lt;=VLOOKUP(H495,Dados!$X:$AB,5,0),0,1)</f>
        <v>0</v>
      </c>
    </row>
    <row r="496" spans="6:21">
      <c r="F496" s="4">
        <v>320</v>
      </c>
      <c r="G496" s="4">
        <v>1</v>
      </c>
      <c r="H496" s="4">
        <v>1</v>
      </c>
      <c r="I496" s="4">
        <v>1</v>
      </c>
      <c r="J496" s="4">
        <v>1</v>
      </c>
      <c r="K496" s="4">
        <f t="shared" si="196"/>
        <v>0</v>
      </c>
      <c r="L496" s="4">
        <f t="shared" si="196"/>
        <v>0</v>
      </c>
      <c r="M496" s="4">
        <f t="shared" si="196"/>
        <v>22</v>
      </c>
      <c r="N496" s="4">
        <f t="shared" si="196"/>
        <v>0</v>
      </c>
      <c r="O496" s="4">
        <f t="shared" si="192"/>
        <v>0</v>
      </c>
      <c r="P496" s="4">
        <f t="shared" si="193"/>
        <v>0</v>
      </c>
      <c r="Q496" s="4">
        <f t="shared" si="194"/>
        <v>22</v>
      </c>
      <c r="R496" s="4">
        <f t="shared" si="195"/>
        <v>0</v>
      </c>
      <c r="S496" s="4">
        <f>IF(AND(VLOOKUP(G496,Dados!$D:$L,2,0)=VLOOKUP(I496,Dados!$S:$V,2,0),VLOOKUP(G496,Dados!$D:$L,3,0)=VLOOKUP(I496,Dados!$S:$V,3,0)),0,1)</f>
        <v>0</v>
      </c>
      <c r="T496" s="4">
        <f>IF(AND(VLOOKUP(G496,Dados!$D:$L,3,0)&lt;=VLOOKUP(H496,Dados!$X:$AB,2,0),VLOOKUP(G496,Dados!$D:$L,4,0)&gt;=VLOOKUP(H496,Dados!$X:$AB,3,0),VLOOKUP(G496,Dados!$D:$L,4,0)&lt;=VLOOKUP(H496,Dados!$X:$AB,4,0)),0,1)</f>
        <v>0</v>
      </c>
      <c r="U496" s="4">
        <f>IF(COUNTIFS(F:F,F496,H:H,H496)&lt;=VLOOKUP(H496,Dados!$X:$AB,5,0),0,1)</f>
        <v>0</v>
      </c>
    </row>
    <row r="497" spans="6:21">
      <c r="F497" s="4">
        <v>320</v>
      </c>
      <c r="G497" s="4">
        <v>5</v>
      </c>
      <c r="H497" s="4">
        <v>1</v>
      </c>
      <c r="I497" s="4">
        <v>1</v>
      </c>
      <c r="J497" s="4">
        <v>7</v>
      </c>
      <c r="K497" s="4">
        <f t="shared" si="196"/>
        <v>0</v>
      </c>
      <c r="L497" s="4">
        <f t="shared" si="196"/>
        <v>0</v>
      </c>
      <c r="M497" s="4">
        <f t="shared" si="196"/>
        <v>22</v>
      </c>
      <c r="N497" s="4">
        <f t="shared" si="196"/>
        <v>0</v>
      </c>
      <c r="O497" s="4">
        <f t="shared" si="192"/>
        <v>0</v>
      </c>
      <c r="P497" s="4">
        <f t="shared" si="193"/>
        <v>0</v>
      </c>
      <c r="Q497" s="4">
        <f t="shared" si="194"/>
        <v>154</v>
      </c>
      <c r="R497" s="4">
        <f t="shared" si="195"/>
        <v>0</v>
      </c>
      <c r="S497" s="4">
        <f>IF(AND(VLOOKUP(G497,Dados!$D:$L,2,0)=VLOOKUP(I497,Dados!$S:$V,2,0),VLOOKUP(G497,Dados!$D:$L,3,0)=VLOOKUP(I497,Dados!$S:$V,3,0)),0,1)</f>
        <v>0</v>
      </c>
      <c r="T497" s="4">
        <f>IF(AND(VLOOKUP(G497,Dados!$D:$L,3,0)&lt;=VLOOKUP(H497,Dados!$X:$AB,2,0),VLOOKUP(G497,Dados!$D:$L,4,0)&gt;=VLOOKUP(H497,Dados!$X:$AB,3,0),VLOOKUP(G497,Dados!$D:$L,4,0)&lt;=VLOOKUP(H497,Dados!$X:$AB,4,0)),0,1)</f>
        <v>0</v>
      </c>
      <c r="U497" s="4">
        <f>IF(COUNTIFS(F:F,F497,H:H,H497)&lt;=VLOOKUP(H497,Dados!$X:$AB,5,0),0,1)</f>
        <v>0</v>
      </c>
    </row>
    <row r="498" spans="6:21">
      <c r="F498" s="4">
        <v>321</v>
      </c>
      <c r="G498" s="4">
        <v>1</v>
      </c>
      <c r="H498" s="4">
        <v>2</v>
      </c>
      <c r="I498" s="4">
        <v>1</v>
      </c>
      <c r="J498" s="4">
        <v>1</v>
      </c>
      <c r="K498" s="4">
        <f t="shared" si="196"/>
        <v>0</v>
      </c>
      <c r="L498" s="4">
        <f t="shared" si="196"/>
        <v>3</v>
      </c>
      <c r="M498" s="4">
        <f t="shared" si="196"/>
        <v>12</v>
      </c>
      <c r="N498" s="4">
        <f t="shared" si="196"/>
        <v>0</v>
      </c>
      <c r="O498" s="4">
        <f t="shared" si="192"/>
        <v>0</v>
      </c>
      <c r="P498" s="4">
        <f t="shared" si="193"/>
        <v>3</v>
      </c>
      <c r="Q498" s="4">
        <f t="shared" si="194"/>
        <v>12</v>
      </c>
      <c r="R498" s="4">
        <f t="shared" si="195"/>
        <v>0</v>
      </c>
      <c r="S498" s="4">
        <f>IF(AND(VLOOKUP(G498,Dados!$D:$L,2,0)=VLOOKUP(I498,Dados!$S:$V,2,0),VLOOKUP(G498,Dados!$D:$L,3,0)=VLOOKUP(I498,Dados!$S:$V,3,0)),0,1)</f>
        <v>0</v>
      </c>
      <c r="T498" s="4">
        <f>IF(AND(VLOOKUP(G498,Dados!$D:$L,3,0)&lt;=VLOOKUP(H498,Dados!$X:$AB,2,0),VLOOKUP(G498,Dados!$D:$L,4,0)&gt;=VLOOKUP(H498,Dados!$X:$AB,3,0),VLOOKUP(G498,Dados!$D:$L,4,0)&lt;=VLOOKUP(H498,Dados!$X:$AB,4,0)),0,1)</f>
        <v>0</v>
      </c>
      <c r="U498" s="4">
        <f>IF(COUNTIFS(F:F,F498,H:H,H498)&lt;=VLOOKUP(H498,Dados!$X:$AB,5,0),0,1)</f>
        <v>0</v>
      </c>
    </row>
    <row r="499" spans="6:21">
      <c r="F499" s="4">
        <v>321</v>
      </c>
      <c r="G499" s="4">
        <v>5</v>
      </c>
      <c r="H499" s="4">
        <v>2</v>
      </c>
      <c r="I499" s="4">
        <v>1</v>
      </c>
      <c r="J499" s="4">
        <v>7</v>
      </c>
      <c r="K499" s="4">
        <f t="shared" si="196"/>
        <v>0</v>
      </c>
      <c r="L499" s="4">
        <f t="shared" si="196"/>
        <v>3</v>
      </c>
      <c r="M499" s="4">
        <f t="shared" si="196"/>
        <v>12</v>
      </c>
      <c r="N499" s="4">
        <f t="shared" ref="K499:N562" si="197">SUMIFS($X:$X,$W:$W,$F499,$Z:$Z,$I499,$AA:$AA,$H499,$AB:$AB,N$2)</f>
        <v>0</v>
      </c>
      <c r="O499" s="4">
        <f t="shared" ref="O499:O562" si="198">$J499*K499</f>
        <v>0</v>
      </c>
      <c r="P499" s="4">
        <f t="shared" ref="P499:P562" si="199">$J499*L499</f>
        <v>21</v>
      </c>
      <c r="Q499" s="4">
        <f t="shared" ref="Q499:Q562" si="200">$J499*M499</f>
        <v>84</v>
      </c>
      <c r="R499" s="4">
        <f t="shared" ref="R499:R562" si="201">$J499*N499</f>
        <v>0</v>
      </c>
      <c r="S499" s="4">
        <f>IF(AND(VLOOKUP(G499,Dados!$D:$L,2,0)=VLOOKUP(I499,Dados!$S:$V,2,0),VLOOKUP(G499,Dados!$D:$L,3,0)=VLOOKUP(I499,Dados!$S:$V,3,0)),0,1)</f>
        <v>0</v>
      </c>
      <c r="T499" s="4">
        <f>IF(AND(VLOOKUP(G499,Dados!$D:$L,3,0)&lt;=VLOOKUP(H499,Dados!$X:$AB,2,0),VLOOKUP(G499,Dados!$D:$L,4,0)&gt;=VLOOKUP(H499,Dados!$X:$AB,3,0),VLOOKUP(G499,Dados!$D:$L,4,0)&lt;=VLOOKUP(H499,Dados!$X:$AB,4,0)),0,1)</f>
        <v>0</v>
      </c>
      <c r="U499" s="4">
        <f>IF(COUNTIFS(F:F,F499,H:H,H499)&lt;=VLOOKUP(H499,Dados!$X:$AB,5,0),0,1)</f>
        <v>0</v>
      </c>
    </row>
    <row r="500" spans="6:21">
      <c r="F500" s="4">
        <v>322</v>
      </c>
      <c r="G500" s="4">
        <v>1</v>
      </c>
      <c r="H500" s="4">
        <v>3</v>
      </c>
      <c r="I500" s="4">
        <v>1</v>
      </c>
      <c r="J500" s="4">
        <v>1</v>
      </c>
      <c r="K500" s="4">
        <f t="shared" si="197"/>
        <v>0</v>
      </c>
      <c r="L500" s="4">
        <f t="shared" si="197"/>
        <v>1</v>
      </c>
      <c r="M500" s="4">
        <f t="shared" si="197"/>
        <v>0</v>
      </c>
      <c r="N500" s="4">
        <f t="shared" si="197"/>
        <v>0</v>
      </c>
      <c r="O500" s="4">
        <f t="shared" si="198"/>
        <v>0</v>
      </c>
      <c r="P500" s="4">
        <f t="shared" si="199"/>
        <v>1</v>
      </c>
      <c r="Q500" s="4">
        <f t="shared" si="200"/>
        <v>0</v>
      </c>
      <c r="R500" s="4">
        <f t="shared" si="201"/>
        <v>0</v>
      </c>
      <c r="S500" s="4">
        <f>IF(AND(VLOOKUP(G500,Dados!$D:$L,2,0)=VLOOKUP(I500,Dados!$S:$V,2,0),VLOOKUP(G500,Dados!$D:$L,3,0)=VLOOKUP(I500,Dados!$S:$V,3,0)),0,1)</f>
        <v>0</v>
      </c>
      <c r="T500" s="4">
        <f>IF(AND(VLOOKUP(G500,Dados!$D:$L,3,0)&lt;=VLOOKUP(H500,Dados!$X:$AB,2,0),VLOOKUP(G500,Dados!$D:$L,4,0)&gt;=VLOOKUP(H500,Dados!$X:$AB,3,0),VLOOKUP(G500,Dados!$D:$L,4,0)&lt;=VLOOKUP(H500,Dados!$X:$AB,4,0)),0,1)</f>
        <v>0</v>
      </c>
      <c r="U500" s="4">
        <f>IF(COUNTIFS(F:F,F500,H:H,H500)&lt;=VLOOKUP(H500,Dados!$X:$AB,5,0),0,1)</f>
        <v>0</v>
      </c>
    </row>
    <row r="501" spans="6:21">
      <c r="F501" s="4">
        <v>322</v>
      </c>
      <c r="G501" s="4">
        <v>5</v>
      </c>
      <c r="H501" s="4">
        <v>3</v>
      </c>
      <c r="I501" s="4">
        <v>1</v>
      </c>
      <c r="J501" s="4">
        <v>7</v>
      </c>
      <c r="K501" s="4">
        <f t="shared" si="197"/>
        <v>0</v>
      </c>
      <c r="L501" s="4">
        <f t="shared" si="197"/>
        <v>1</v>
      </c>
      <c r="M501" s="4">
        <f t="shared" si="197"/>
        <v>0</v>
      </c>
      <c r="N501" s="4">
        <f t="shared" si="197"/>
        <v>0</v>
      </c>
      <c r="O501" s="4">
        <f t="shared" si="198"/>
        <v>0</v>
      </c>
      <c r="P501" s="4">
        <f t="shared" si="199"/>
        <v>7</v>
      </c>
      <c r="Q501" s="4">
        <f t="shared" si="200"/>
        <v>0</v>
      </c>
      <c r="R501" s="4">
        <f t="shared" si="201"/>
        <v>0</v>
      </c>
      <c r="S501" s="4">
        <f>IF(AND(VLOOKUP(G501,Dados!$D:$L,2,0)=VLOOKUP(I501,Dados!$S:$V,2,0),VLOOKUP(G501,Dados!$D:$L,3,0)=VLOOKUP(I501,Dados!$S:$V,3,0)),0,1)</f>
        <v>0</v>
      </c>
      <c r="T501" s="4">
        <f>IF(AND(VLOOKUP(G501,Dados!$D:$L,3,0)&lt;=VLOOKUP(H501,Dados!$X:$AB,2,0),VLOOKUP(G501,Dados!$D:$L,4,0)&gt;=VLOOKUP(H501,Dados!$X:$AB,3,0),VLOOKUP(G501,Dados!$D:$L,4,0)&lt;=VLOOKUP(H501,Dados!$X:$AB,4,0)),0,1)</f>
        <v>0</v>
      </c>
      <c r="U501" s="4">
        <f>IF(COUNTIFS(F:F,F501,H:H,H501)&lt;=VLOOKUP(H501,Dados!$X:$AB,5,0),0,1)</f>
        <v>0</v>
      </c>
    </row>
    <row r="502" spans="6:21">
      <c r="F502" s="4">
        <v>323</v>
      </c>
      <c r="G502" s="4">
        <v>13</v>
      </c>
      <c r="H502" s="4">
        <v>1</v>
      </c>
      <c r="I502" s="4">
        <v>8</v>
      </c>
      <c r="J502" s="4">
        <v>1</v>
      </c>
      <c r="K502" s="4">
        <f t="shared" si="197"/>
        <v>0</v>
      </c>
      <c r="L502" s="4">
        <f t="shared" si="197"/>
        <v>0</v>
      </c>
      <c r="M502" s="4">
        <f t="shared" si="197"/>
        <v>0</v>
      </c>
      <c r="N502" s="4">
        <f t="shared" si="197"/>
        <v>0</v>
      </c>
      <c r="O502" s="4">
        <f t="shared" si="198"/>
        <v>0</v>
      </c>
      <c r="P502" s="4">
        <f t="shared" si="199"/>
        <v>0</v>
      </c>
      <c r="Q502" s="4">
        <f t="shared" si="200"/>
        <v>0</v>
      </c>
      <c r="R502" s="4">
        <f t="shared" si="201"/>
        <v>0</v>
      </c>
      <c r="S502" s="4">
        <f>IF(AND(VLOOKUP(G502,Dados!$D:$L,2,0)=VLOOKUP(I502,Dados!$S:$V,2,0),VLOOKUP(G502,Dados!$D:$L,3,0)=VLOOKUP(I502,Dados!$S:$V,3,0)),0,1)</f>
        <v>0</v>
      </c>
      <c r="T502" s="4">
        <f>IF(AND(VLOOKUP(G502,Dados!$D:$L,3,0)&lt;=VLOOKUP(H502,Dados!$X:$AB,2,0),VLOOKUP(G502,Dados!$D:$L,4,0)&gt;=VLOOKUP(H502,Dados!$X:$AB,3,0),VLOOKUP(G502,Dados!$D:$L,4,0)&lt;=VLOOKUP(H502,Dados!$X:$AB,4,0)),0,1)</f>
        <v>0</v>
      </c>
      <c r="U502" s="4">
        <f>IF(COUNTIFS(F:F,F502,H:H,H502)&lt;=VLOOKUP(H502,Dados!$X:$AB,5,0),0,1)</f>
        <v>0</v>
      </c>
    </row>
    <row r="503" spans="6:21">
      <c r="F503" s="4">
        <v>323</v>
      </c>
      <c r="G503" s="4">
        <v>14</v>
      </c>
      <c r="H503" s="4">
        <v>1</v>
      </c>
      <c r="I503" s="4">
        <v>8</v>
      </c>
      <c r="J503" s="4">
        <v>7</v>
      </c>
      <c r="K503" s="4">
        <f t="shared" si="197"/>
        <v>0</v>
      </c>
      <c r="L503" s="4">
        <f t="shared" si="197"/>
        <v>0</v>
      </c>
      <c r="M503" s="4">
        <f t="shared" si="197"/>
        <v>0</v>
      </c>
      <c r="N503" s="4">
        <f t="shared" si="197"/>
        <v>0</v>
      </c>
      <c r="O503" s="4">
        <f t="shared" si="198"/>
        <v>0</v>
      </c>
      <c r="P503" s="4">
        <f t="shared" si="199"/>
        <v>0</v>
      </c>
      <c r="Q503" s="4">
        <f t="shared" si="200"/>
        <v>0</v>
      </c>
      <c r="R503" s="4">
        <f t="shared" si="201"/>
        <v>0</v>
      </c>
      <c r="S503" s="4">
        <f>IF(AND(VLOOKUP(G503,Dados!$D:$L,2,0)=VLOOKUP(I503,Dados!$S:$V,2,0),VLOOKUP(G503,Dados!$D:$L,3,0)=VLOOKUP(I503,Dados!$S:$V,3,0)),0,1)</f>
        <v>0</v>
      </c>
      <c r="T503" s="4">
        <f>IF(AND(VLOOKUP(G503,Dados!$D:$L,3,0)&lt;=VLOOKUP(H503,Dados!$X:$AB,2,0),VLOOKUP(G503,Dados!$D:$L,4,0)&gt;=VLOOKUP(H503,Dados!$X:$AB,3,0),VLOOKUP(G503,Dados!$D:$L,4,0)&lt;=VLOOKUP(H503,Dados!$X:$AB,4,0)),0,1)</f>
        <v>0</v>
      </c>
      <c r="U503" s="4">
        <f>IF(COUNTIFS(F:F,F503,H:H,H503)&lt;=VLOOKUP(H503,Dados!$X:$AB,5,0),0,1)</f>
        <v>0</v>
      </c>
    </row>
    <row r="504" spans="6:21">
      <c r="F504" s="4">
        <v>323</v>
      </c>
      <c r="G504" s="4">
        <v>17</v>
      </c>
      <c r="H504" s="4">
        <v>1</v>
      </c>
      <c r="I504" s="4">
        <v>8</v>
      </c>
      <c r="J504" s="4">
        <v>3</v>
      </c>
      <c r="K504" s="4">
        <f t="shared" si="197"/>
        <v>0</v>
      </c>
      <c r="L504" s="4">
        <f t="shared" si="197"/>
        <v>0</v>
      </c>
      <c r="M504" s="4">
        <f t="shared" si="197"/>
        <v>0</v>
      </c>
      <c r="N504" s="4">
        <f t="shared" si="197"/>
        <v>0</v>
      </c>
      <c r="O504" s="4">
        <f t="shared" si="198"/>
        <v>0</v>
      </c>
      <c r="P504" s="4">
        <f t="shared" si="199"/>
        <v>0</v>
      </c>
      <c r="Q504" s="4">
        <f t="shared" si="200"/>
        <v>0</v>
      </c>
      <c r="R504" s="4">
        <f t="shared" si="201"/>
        <v>0</v>
      </c>
      <c r="S504" s="4">
        <f>IF(AND(VLOOKUP(G504,Dados!$D:$L,2,0)=VLOOKUP(I504,Dados!$S:$V,2,0),VLOOKUP(G504,Dados!$D:$L,3,0)=VLOOKUP(I504,Dados!$S:$V,3,0)),0,1)</f>
        <v>0</v>
      </c>
      <c r="T504" s="4">
        <f>IF(AND(VLOOKUP(G504,Dados!$D:$L,3,0)&lt;=VLOOKUP(H504,Dados!$X:$AB,2,0),VLOOKUP(G504,Dados!$D:$L,4,0)&gt;=VLOOKUP(H504,Dados!$X:$AB,3,0),VLOOKUP(G504,Dados!$D:$L,4,0)&lt;=VLOOKUP(H504,Dados!$X:$AB,4,0)),0,1)</f>
        <v>0</v>
      </c>
      <c r="U504" s="4">
        <f>IF(COUNTIFS(F:F,F504,H:H,H504)&lt;=VLOOKUP(H504,Dados!$X:$AB,5,0),0,1)</f>
        <v>0</v>
      </c>
    </row>
    <row r="505" spans="6:21">
      <c r="F505" s="4">
        <v>324</v>
      </c>
      <c r="G505" s="4">
        <v>13</v>
      </c>
      <c r="H505" s="4">
        <v>3</v>
      </c>
      <c r="I505" s="4">
        <v>8</v>
      </c>
      <c r="J505" s="4">
        <v>1</v>
      </c>
      <c r="K505" s="4">
        <f t="shared" si="197"/>
        <v>0</v>
      </c>
      <c r="L505" s="4">
        <f t="shared" si="197"/>
        <v>0</v>
      </c>
      <c r="M505" s="4">
        <f t="shared" si="197"/>
        <v>0</v>
      </c>
      <c r="N505" s="4">
        <f t="shared" si="197"/>
        <v>0</v>
      </c>
      <c r="O505" s="4">
        <f t="shared" si="198"/>
        <v>0</v>
      </c>
      <c r="P505" s="4">
        <f t="shared" si="199"/>
        <v>0</v>
      </c>
      <c r="Q505" s="4">
        <f t="shared" si="200"/>
        <v>0</v>
      </c>
      <c r="R505" s="4">
        <f t="shared" si="201"/>
        <v>0</v>
      </c>
      <c r="S505" s="4">
        <f>IF(AND(VLOOKUP(G505,Dados!$D:$L,2,0)=VLOOKUP(I505,Dados!$S:$V,2,0),VLOOKUP(G505,Dados!$D:$L,3,0)=VLOOKUP(I505,Dados!$S:$V,3,0)),0,1)</f>
        <v>0</v>
      </c>
      <c r="T505" s="4">
        <f>IF(AND(VLOOKUP(G505,Dados!$D:$L,3,0)&lt;=VLOOKUP(H505,Dados!$X:$AB,2,0),VLOOKUP(G505,Dados!$D:$L,4,0)&gt;=VLOOKUP(H505,Dados!$X:$AB,3,0),VLOOKUP(G505,Dados!$D:$L,4,0)&lt;=VLOOKUP(H505,Dados!$X:$AB,4,0)),0,1)</f>
        <v>0</v>
      </c>
      <c r="U505" s="4">
        <f>IF(COUNTIFS(F:F,F505,H:H,H505)&lt;=VLOOKUP(H505,Dados!$X:$AB,5,0),0,1)</f>
        <v>0</v>
      </c>
    </row>
    <row r="506" spans="6:21">
      <c r="F506" s="4">
        <v>324</v>
      </c>
      <c r="G506" s="4">
        <v>14</v>
      </c>
      <c r="H506" s="4">
        <v>3</v>
      </c>
      <c r="I506" s="4">
        <v>8</v>
      </c>
      <c r="J506" s="4">
        <v>7</v>
      </c>
      <c r="K506" s="4">
        <f t="shared" si="197"/>
        <v>0</v>
      </c>
      <c r="L506" s="4">
        <f t="shared" si="197"/>
        <v>0</v>
      </c>
      <c r="M506" s="4">
        <f t="shared" si="197"/>
        <v>0</v>
      </c>
      <c r="N506" s="4">
        <f t="shared" si="197"/>
        <v>0</v>
      </c>
      <c r="O506" s="4">
        <f t="shared" si="198"/>
        <v>0</v>
      </c>
      <c r="P506" s="4">
        <f t="shared" si="199"/>
        <v>0</v>
      </c>
      <c r="Q506" s="4">
        <f t="shared" si="200"/>
        <v>0</v>
      </c>
      <c r="R506" s="4">
        <f t="shared" si="201"/>
        <v>0</v>
      </c>
      <c r="S506" s="4">
        <f>IF(AND(VLOOKUP(G506,Dados!$D:$L,2,0)=VLOOKUP(I506,Dados!$S:$V,2,0),VLOOKUP(G506,Dados!$D:$L,3,0)=VLOOKUP(I506,Dados!$S:$V,3,0)),0,1)</f>
        <v>0</v>
      </c>
      <c r="T506" s="4">
        <f>IF(AND(VLOOKUP(G506,Dados!$D:$L,3,0)&lt;=VLOOKUP(H506,Dados!$X:$AB,2,0),VLOOKUP(G506,Dados!$D:$L,4,0)&gt;=VLOOKUP(H506,Dados!$X:$AB,3,0),VLOOKUP(G506,Dados!$D:$L,4,0)&lt;=VLOOKUP(H506,Dados!$X:$AB,4,0)),0,1)</f>
        <v>0</v>
      </c>
      <c r="U506" s="4">
        <f>IF(COUNTIFS(F:F,F506,H:H,H506)&lt;=VLOOKUP(H506,Dados!$X:$AB,5,0),0,1)</f>
        <v>0</v>
      </c>
    </row>
    <row r="507" spans="6:21">
      <c r="F507" s="4">
        <v>324</v>
      </c>
      <c r="G507" s="4">
        <v>17</v>
      </c>
      <c r="H507" s="4">
        <v>3</v>
      </c>
      <c r="I507" s="4">
        <v>8</v>
      </c>
      <c r="J507" s="4">
        <v>3</v>
      </c>
      <c r="K507" s="4">
        <f t="shared" si="197"/>
        <v>0</v>
      </c>
      <c r="L507" s="4">
        <f t="shared" si="197"/>
        <v>0</v>
      </c>
      <c r="M507" s="4">
        <f t="shared" si="197"/>
        <v>0</v>
      </c>
      <c r="N507" s="4">
        <f t="shared" si="197"/>
        <v>0</v>
      </c>
      <c r="O507" s="4">
        <f t="shared" si="198"/>
        <v>0</v>
      </c>
      <c r="P507" s="4">
        <f t="shared" si="199"/>
        <v>0</v>
      </c>
      <c r="Q507" s="4">
        <f t="shared" si="200"/>
        <v>0</v>
      </c>
      <c r="R507" s="4">
        <f t="shared" si="201"/>
        <v>0</v>
      </c>
      <c r="S507" s="4">
        <f>IF(AND(VLOOKUP(G507,Dados!$D:$L,2,0)=VLOOKUP(I507,Dados!$S:$V,2,0),VLOOKUP(G507,Dados!$D:$L,3,0)=VLOOKUP(I507,Dados!$S:$V,3,0)),0,1)</f>
        <v>0</v>
      </c>
      <c r="T507" s="4">
        <f>IF(AND(VLOOKUP(G507,Dados!$D:$L,3,0)&lt;=VLOOKUP(H507,Dados!$X:$AB,2,0),VLOOKUP(G507,Dados!$D:$L,4,0)&gt;=VLOOKUP(H507,Dados!$X:$AB,3,0),VLOOKUP(G507,Dados!$D:$L,4,0)&lt;=VLOOKUP(H507,Dados!$X:$AB,4,0)),0,1)</f>
        <v>0</v>
      </c>
      <c r="U507" s="4">
        <f>IF(COUNTIFS(F:F,F507,H:H,H507)&lt;=VLOOKUP(H507,Dados!$X:$AB,5,0),0,1)</f>
        <v>0</v>
      </c>
    </row>
    <row r="508" spans="6:21">
      <c r="F508" s="4">
        <v>325</v>
      </c>
      <c r="G508" s="4">
        <v>14</v>
      </c>
      <c r="H508" s="4">
        <v>1</v>
      </c>
      <c r="I508" s="4">
        <v>9</v>
      </c>
      <c r="J508" s="4">
        <v>7</v>
      </c>
      <c r="K508" s="4">
        <f t="shared" si="197"/>
        <v>0</v>
      </c>
      <c r="L508" s="4">
        <f t="shared" si="197"/>
        <v>0</v>
      </c>
      <c r="M508" s="4">
        <f t="shared" si="197"/>
        <v>0</v>
      </c>
      <c r="N508" s="4">
        <f t="shared" si="197"/>
        <v>0</v>
      </c>
      <c r="O508" s="4">
        <f t="shared" si="198"/>
        <v>0</v>
      </c>
      <c r="P508" s="4">
        <f t="shared" si="199"/>
        <v>0</v>
      </c>
      <c r="Q508" s="4">
        <f t="shared" si="200"/>
        <v>0</v>
      </c>
      <c r="R508" s="4">
        <f t="shared" si="201"/>
        <v>0</v>
      </c>
      <c r="S508" s="4">
        <f>IF(AND(VLOOKUP(G508,Dados!$D:$L,2,0)=VLOOKUP(I508,Dados!$S:$V,2,0),VLOOKUP(G508,Dados!$D:$L,3,0)=VLOOKUP(I508,Dados!$S:$V,3,0)),0,1)</f>
        <v>0</v>
      </c>
      <c r="T508" s="4">
        <f>IF(AND(VLOOKUP(G508,Dados!$D:$L,3,0)&lt;=VLOOKUP(H508,Dados!$X:$AB,2,0),VLOOKUP(G508,Dados!$D:$L,4,0)&gt;=VLOOKUP(H508,Dados!$X:$AB,3,0),VLOOKUP(G508,Dados!$D:$L,4,0)&lt;=VLOOKUP(H508,Dados!$X:$AB,4,0)),0,1)</f>
        <v>0</v>
      </c>
      <c r="U508" s="4">
        <f>IF(COUNTIFS(F:F,F508,H:H,H508)&lt;=VLOOKUP(H508,Dados!$X:$AB,5,0),0,1)</f>
        <v>0</v>
      </c>
    </row>
    <row r="509" spans="6:21">
      <c r="F509" s="4">
        <v>325</v>
      </c>
      <c r="G509" s="4">
        <v>17</v>
      </c>
      <c r="H509" s="4">
        <v>1</v>
      </c>
      <c r="I509" s="4">
        <v>9</v>
      </c>
      <c r="J509" s="4">
        <v>4</v>
      </c>
      <c r="K509" s="4">
        <f t="shared" si="197"/>
        <v>0</v>
      </c>
      <c r="L509" s="4">
        <f t="shared" si="197"/>
        <v>0</v>
      </c>
      <c r="M509" s="4">
        <f t="shared" si="197"/>
        <v>0</v>
      </c>
      <c r="N509" s="4">
        <f t="shared" si="197"/>
        <v>0</v>
      </c>
      <c r="O509" s="4">
        <f t="shared" si="198"/>
        <v>0</v>
      </c>
      <c r="P509" s="4">
        <f t="shared" si="199"/>
        <v>0</v>
      </c>
      <c r="Q509" s="4">
        <f t="shared" si="200"/>
        <v>0</v>
      </c>
      <c r="R509" s="4">
        <f t="shared" si="201"/>
        <v>0</v>
      </c>
      <c r="S509" s="4">
        <f>IF(AND(VLOOKUP(G509,Dados!$D:$L,2,0)=VLOOKUP(I509,Dados!$S:$V,2,0),VLOOKUP(G509,Dados!$D:$L,3,0)=VLOOKUP(I509,Dados!$S:$V,3,0)),0,1)</f>
        <v>0</v>
      </c>
      <c r="T509" s="4">
        <f>IF(AND(VLOOKUP(G509,Dados!$D:$L,3,0)&lt;=VLOOKUP(H509,Dados!$X:$AB,2,0),VLOOKUP(G509,Dados!$D:$L,4,0)&gt;=VLOOKUP(H509,Dados!$X:$AB,3,0),VLOOKUP(G509,Dados!$D:$L,4,0)&lt;=VLOOKUP(H509,Dados!$X:$AB,4,0)),0,1)</f>
        <v>0</v>
      </c>
      <c r="U509" s="4">
        <f>IF(COUNTIFS(F:F,F509,H:H,H509)&lt;=VLOOKUP(H509,Dados!$X:$AB,5,0),0,1)</f>
        <v>0</v>
      </c>
    </row>
    <row r="510" spans="6:21">
      <c r="F510" s="4">
        <v>326</v>
      </c>
      <c r="G510" s="4">
        <v>14</v>
      </c>
      <c r="H510" s="4">
        <v>3</v>
      </c>
      <c r="I510" s="4">
        <v>9</v>
      </c>
      <c r="J510" s="4">
        <v>7</v>
      </c>
      <c r="K510" s="4">
        <f t="shared" si="197"/>
        <v>0</v>
      </c>
      <c r="L510" s="4">
        <f t="shared" si="197"/>
        <v>0</v>
      </c>
      <c r="M510" s="4">
        <f t="shared" si="197"/>
        <v>0</v>
      </c>
      <c r="N510" s="4">
        <f t="shared" si="197"/>
        <v>0</v>
      </c>
      <c r="O510" s="4">
        <f t="shared" si="198"/>
        <v>0</v>
      </c>
      <c r="P510" s="4">
        <f t="shared" si="199"/>
        <v>0</v>
      </c>
      <c r="Q510" s="4">
        <f t="shared" si="200"/>
        <v>0</v>
      </c>
      <c r="R510" s="4">
        <f t="shared" si="201"/>
        <v>0</v>
      </c>
      <c r="S510" s="4">
        <f>IF(AND(VLOOKUP(G510,Dados!$D:$L,2,0)=VLOOKUP(I510,Dados!$S:$V,2,0),VLOOKUP(G510,Dados!$D:$L,3,0)=VLOOKUP(I510,Dados!$S:$V,3,0)),0,1)</f>
        <v>0</v>
      </c>
      <c r="T510" s="4">
        <f>IF(AND(VLOOKUP(G510,Dados!$D:$L,3,0)&lt;=VLOOKUP(H510,Dados!$X:$AB,2,0),VLOOKUP(G510,Dados!$D:$L,4,0)&gt;=VLOOKUP(H510,Dados!$X:$AB,3,0),VLOOKUP(G510,Dados!$D:$L,4,0)&lt;=VLOOKUP(H510,Dados!$X:$AB,4,0)),0,1)</f>
        <v>0</v>
      </c>
      <c r="U510" s="4">
        <f>IF(COUNTIFS(F:F,F510,H:H,H510)&lt;=VLOOKUP(H510,Dados!$X:$AB,5,0),0,1)</f>
        <v>0</v>
      </c>
    </row>
    <row r="511" spans="6:21">
      <c r="F511" s="4">
        <v>326</v>
      </c>
      <c r="G511" s="4">
        <v>17</v>
      </c>
      <c r="H511" s="4">
        <v>3</v>
      </c>
      <c r="I511" s="4">
        <v>9</v>
      </c>
      <c r="J511" s="4">
        <v>4</v>
      </c>
      <c r="K511" s="4">
        <f t="shared" si="197"/>
        <v>0</v>
      </c>
      <c r="L511" s="4">
        <f t="shared" si="197"/>
        <v>0</v>
      </c>
      <c r="M511" s="4">
        <f t="shared" si="197"/>
        <v>0</v>
      </c>
      <c r="N511" s="4">
        <f t="shared" si="197"/>
        <v>0</v>
      </c>
      <c r="O511" s="4">
        <f t="shared" si="198"/>
        <v>0</v>
      </c>
      <c r="P511" s="4">
        <f t="shared" si="199"/>
        <v>0</v>
      </c>
      <c r="Q511" s="4">
        <f t="shared" si="200"/>
        <v>0</v>
      </c>
      <c r="R511" s="4">
        <f t="shared" si="201"/>
        <v>0</v>
      </c>
      <c r="S511" s="4">
        <f>IF(AND(VLOOKUP(G511,Dados!$D:$L,2,0)=VLOOKUP(I511,Dados!$S:$V,2,0),VLOOKUP(G511,Dados!$D:$L,3,0)=VLOOKUP(I511,Dados!$S:$V,3,0)),0,1)</f>
        <v>0</v>
      </c>
      <c r="T511" s="4">
        <f>IF(AND(VLOOKUP(G511,Dados!$D:$L,3,0)&lt;=VLOOKUP(H511,Dados!$X:$AB,2,0),VLOOKUP(G511,Dados!$D:$L,4,0)&gt;=VLOOKUP(H511,Dados!$X:$AB,3,0),VLOOKUP(G511,Dados!$D:$L,4,0)&lt;=VLOOKUP(H511,Dados!$X:$AB,4,0)),0,1)</f>
        <v>0</v>
      </c>
      <c r="U511" s="4">
        <f>IF(COUNTIFS(F:F,F511,H:H,H511)&lt;=VLOOKUP(H511,Dados!$X:$AB,5,0),0,1)</f>
        <v>0</v>
      </c>
    </row>
    <row r="512" spans="6:21">
      <c r="F512" s="4">
        <v>327</v>
      </c>
      <c r="G512" s="4">
        <v>13</v>
      </c>
      <c r="H512" s="4">
        <v>1</v>
      </c>
      <c r="I512" s="4">
        <v>10</v>
      </c>
      <c r="J512" s="4">
        <v>1</v>
      </c>
      <c r="K512" s="4">
        <f t="shared" si="197"/>
        <v>0</v>
      </c>
      <c r="L512" s="4">
        <f t="shared" si="197"/>
        <v>0</v>
      </c>
      <c r="M512" s="4">
        <f t="shared" si="197"/>
        <v>0</v>
      </c>
      <c r="N512" s="4">
        <f t="shared" si="197"/>
        <v>0</v>
      </c>
      <c r="O512" s="4">
        <f t="shared" si="198"/>
        <v>0</v>
      </c>
      <c r="P512" s="4">
        <f t="shared" si="199"/>
        <v>0</v>
      </c>
      <c r="Q512" s="4">
        <f t="shared" si="200"/>
        <v>0</v>
      </c>
      <c r="R512" s="4">
        <f t="shared" si="201"/>
        <v>0</v>
      </c>
      <c r="S512" s="4">
        <f>IF(AND(VLOOKUP(G512,Dados!$D:$L,2,0)=VLOOKUP(I512,Dados!$S:$V,2,0),VLOOKUP(G512,Dados!$D:$L,3,0)=VLOOKUP(I512,Dados!$S:$V,3,0)),0,1)</f>
        <v>0</v>
      </c>
      <c r="T512" s="4">
        <f>IF(AND(VLOOKUP(G512,Dados!$D:$L,3,0)&lt;=VLOOKUP(H512,Dados!$X:$AB,2,0),VLOOKUP(G512,Dados!$D:$L,4,0)&gt;=VLOOKUP(H512,Dados!$X:$AB,3,0),VLOOKUP(G512,Dados!$D:$L,4,0)&lt;=VLOOKUP(H512,Dados!$X:$AB,4,0)),0,1)</f>
        <v>0</v>
      </c>
      <c r="U512" s="4">
        <f>IF(COUNTIFS(F:F,F512,H:H,H512)&lt;=VLOOKUP(H512,Dados!$X:$AB,5,0),0,1)</f>
        <v>0</v>
      </c>
    </row>
    <row r="513" spans="6:21">
      <c r="F513" s="4">
        <v>327</v>
      </c>
      <c r="G513" s="4">
        <v>14</v>
      </c>
      <c r="H513" s="4">
        <v>1</v>
      </c>
      <c r="I513" s="4">
        <v>10</v>
      </c>
      <c r="J513" s="4">
        <v>7</v>
      </c>
      <c r="K513" s="4">
        <f t="shared" si="197"/>
        <v>0</v>
      </c>
      <c r="L513" s="4">
        <f t="shared" si="197"/>
        <v>0</v>
      </c>
      <c r="M513" s="4">
        <f t="shared" si="197"/>
        <v>0</v>
      </c>
      <c r="N513" s="4">
        <f t="shared" si="197"/>
        <v>0</v>
      </c>
      <c r="O513" s="4">
        <f t="shared" si="198"/>
        <v>0</v>
      </c>
      <c r="P513" s="4">
        <f t="shared" si="199"/>
        <v>0</v>
      </c>
      <c r="Q513" s="4">
        <f t="shared" si="200"/>
        <v>0</v>
      </c>
      <c r="R513" s="4">
        <f t="shared" si="201"/>
        <v>0</v>
      </c>
      <c r="S513" s="4">
        <f>IF(AND(VLOOKUP(G513,Dados!$D:$L,2,0)=VLOOKUP(I513,Dados!$S:$V,2,0),VLOOKUP(G513,Dados!$D:$L,3,0)=VLOOKUP(I513,Dados!$S:$V,3,0)),0,1)</f>
        <v>0</v>
      </c>
      <c r="T513" s="4">
        <f>IF(AND(VLOOKUP(G513,Dados!$D:$L,3,0)&lt;=VLOOKUP(H513,Dados!$X:$AB,2,0),VLOOKUP(G513,Dados!$D:$L,4,0)&gt;=VLOOKUP(H513,Dados!$X:$AB,3,0),VLOOKUP(G513,Dados!$D:$L,4,0)&lt;=VLOOKUP(H513,Dados!$X:$AB,4,0)),0,1)</f>
        <v>0</v>
      </c>
      <c r="U513" s="4">
        <f>IF(COUNTIFS(F:F,F513,H:H,H513)&lt;=VLOOKUP(H513,Dados!$X:$AB,5,0),0,1)</f>
        <v>0</v>
      </c>
    </row>
    <row r="514" spans="6:21">
      <c r="F514" s="4">
        <v>327</v>
      </c>
      <c r="G514" s="4">
        <v>17</v>
      </c>
      <c r="H514" s="4">
        <v>1</v>
      </c>
      <c r="I514" s="4">
        <v>10</v>
      </c>
      <c r="J514" s="4">
        <v>2</v>
      </c>
      <c r="K514" s="4">
        <f t="shared" si="197"/>
        <v>0</v>
      </c>
      <c r="L514" s="4">
        <f t="shared" si="197"/>
        <v>0</v>
      </c>
      <c r="M514" s="4">
        <f t="shared" si="197"/>
        <v>0</v>
      </c>
      <c r="N514" s="4">
        <f t="shared" si="197"/>
        <v>0</v>
      </c>
      <c r="O514" s="4">
        <f t="shared" si="198"/>
        <v>0</v>
      </c>
      <c r="P514" s="4">
        <f t="shared" si="199"/>
        <v>0</v>
      </c>
      <c r="Q514" s="4">
        <f t="shared" si="200"/>
        <v>0</v>
      </c>
      <c r="R514" s="4">
        <f t="shared" si="201"/>
        <v>0</v>
      </c>
      <c r="S514" s="4">
        <f>IF(AND(VLOOKUP(G514,Dados!$D:$L,2,0)=VLOOKUP(I514,Dados!$S:$V,2,0),VLOOKUP(G514,Dados!$D:$L,3,0)=VLOOKUP(I514,Dados!$S:$V,3,0)),0,1)</f>
        <v>0</v>
      </c>
      <c r="T514" s="4">
        <f>IF(AND(VLOOKUP(G514,Dados!$D:$L,3,0)&lt;=VLOOKUP(H514,Dados!$X:$AB,2,0),VLOOKUP(G514,Dados!$D:$L,4,0)&gt;=VLOOKUP(H514,Dados!$X:$AB,3,0),VLOOKUP(G514,Dados!$D:$L,4,0)&lt;=VLOOKUP(H514,Dados!$X:$AB,4,0)),0,1)</f>
        <v>0</v>
      </c>
      <c r="U514" s="4">
        <f>IF(COUNTIFS(F:F,F514,H:H,H514)&lt;=VLOOKUP(H514,Dados!$X:$AB,5,0),0,1)</f>
        <v>0</v>
      </c>
    </row>
    <row r="515" spans="6:21">
      <c r="F515" s="4">
        <v>328</v>
      </c>
      <c r="G515" s="4">
        <v>13</v>
      </c>
      <c r="H515" s="4">
        <v>3</v>
      </c>
      <c r="I515" s="4">
        <v>10</v>
      </c>
      <c r="J515" s="4">
        <v>1</v>
      </c>
      <c r="K515" s="4">
        <f t="shared" si="197"/>
        <v>1</v>
      </c>
      <c r="L515" s="4">
        <f t="shared" si="197"/>
        <v>0</v>
      </c>
      <c r="M515" s="4">
        <f t="shared" si="197"/>
        <v>0</v>
      </c>
      <c r="N515" s="4">
        <f t="shared" si="197"/>
        <v>0</v>
      </c>
      <c r="O515" s="4">
        <f t="shared" si="198"/>
        <v>1</v>
      </c>
      <c r="P515" s="4">
        <f t="shared" si="199"/>
        <v>0</v>
      </c>
      <c r="Q515" s="4">
        <f t="shared" si="200"/>
        <v>0</v>
      </c>
      <c r="R515" s="4">
        <f t="shared" si="201"/>
        <v>0</v>
      </c>
      <c r="S515" s="4">
        <f>IF(AND(VLOOKUP(G515,Dados!$D:$L,2,0)=VLOOKUP(I515,Dados!$S:$V,2,0),VLOOKUP(G515,Dados!$D:$L,3,0)=VLOOKUP(I515,Dados!$S:$V,3,0)),0,1)</f>
        <v>0</v>
      </c>
      <c r="T515" s="4">
        <f>IF(AND(VLOOKUP(G515,Dados!$D:$L,3,0)&lt;=VLOOKUP(H515,Dados!$X:$AB,2,0),VLOOKUP(G515,Dados!$D:$L,4,0)&gt;=VLOOKUP(H515,Dados!$X:$AB,3,0),VLOOKUP(G515,Dados!$D:$L,4,0)&lt;=VLOOKUP(H515,Dados!$X:$AB,4,0)),0,1)</f>
        <v>0</v>
      </c>
      <c r="U515" s="4">
        <f>IF(COUNTIFS(F:F,F515,H:H,H515)&lt;=VLOOKUP(H515,Dados!$X:$AB,5,0),0,1)</f>
        <v>0</v>
      </c>
    </row>
    <row r="516" spans="6:21">
      <c r="F516" s="4">
        <v>328</v>
      </c>
      <c r="G516" s="4">
        <v>14</v>
      </c>
      <c r="H516" s="4">
        <v>3</v>
      </c>
      <c r="I516" s="4">
        <v>10</v>
      </c>
      <c r="J516" s="4">
        <v>7</v>
      </c>
      <c r="K516" s="4">
        <f t="shared" si="197"/>
        <v>1</v>
      </c>
      <c r="L516" s="4">
        <f t="shared" si="197"/>
        <v>0</v>
      </c>
      <c r="M516" s="4">
        <f t="shared" si="197"/>
        <v>0</v>
      </c>
      <c r="N516" s="4">
        <f t="shared" si="197"/>
        <v>0</v>
      </c>
      <c r="O516" s="4">
        <f t="shared" si="198"/>
        <v>7</v>
      </c>
      <c r="P516" s="4">
        <f t="shared" si="199"/>
        <v>0</v>
      </c>
      <c r="Q516" s="4">
        <f t="shared" si="200"/>
        <v>0</v>
      </c>
      <c r="R516" s="4">
        <f t="shared" si="201"/>
        <v>0</v>
      </c>
      <c r="S516" s="4">
        <f>IF(AND(VLOOKUP(G516,Dados!$D:$L,2,0)=VLOOKUP(I516,Dados!$S:$V,2,0),VLOOKUP(G516,Dados!$D:$L,3,0)=VLOOKUP(I516,Dados!$S:$V,3,0)),0,1)</f>
        <v>0</v>
      </c>
      <c r="T516" s="4">
        <f>IF(AND(VLOOKUP(G516,Dados!$D:$L,3,0)&lt;=VLOOKUP(H516,Dados!$X:$AB,2,0),VLOOKUP(G516,Dados!$D:$L,4,0)&gt;=VLOOKUP(H516,Dados!$X:$AB,3,0),VLOOKUP(G516,Dados!$D:$L,4,0)&lt;=VLOOKUP(H516,Dados!$X:$AB,4,0)),0,1)</f>
        <v>0</v>
      </c>
      <c r="U516" s="4">
        <f>IF(COUNTIFS(F:F,F516,H:H,H516)&lt;=VLOOKUP(H516,Dados!$X:$AB,5,0),0,1)</f>
        <v>0</v>
      </c>
    </row>
    <row r="517" spans="6:21">
      <c r="F517" s="4">
        <v>328</v>
      </c>
      <c r="G517" s="4">
        <v>17</v>
      </c>
      <c r="H517" s="4">
        <v>3</v>
      </c>
      <c r="I517" s="4">
        <v>10</v>
      </c>
      <c r="J517" s="4">
        <v>2</v>
      </c>
      <c r="K517" s="4">
        <f t="shared" si="197"/>
        <v>1</v>
      </c>
      <c r="L517" s="4">
        <f t="shared" si="197"/>
        <v>0</v>
      </c>
      <c r="M517" s="4">
        <f t="shared" si="197"/>
        <v>0</v>
      </c>
      <c r="N517" s="4">
        <f t="shared" si="197"/>
        <v>0</v>
      </c>
      <c r="O517" s="4">
        <f t="shared" si="198"/>
        <v>2</v>
      </c>
      <c r="P517" s="4">
        <f t="shared" si="199"/>
        <v>0</v>
      </c>
      <c r="Q517" s="4">
        <f t="shared" si="200"/>
        <v>0</v>
      </c>
      <c r="R517" s="4">
        <f t="shared" si="201"/>
        <v>0</v>
      </c>
      <c r="S517" s="4">
        <f>IF(AND(VLOOKUP(G517,Dados!$D:$L,2,0)=VLOOKUP(I517,Dados!$S:$V,2,0),VLOOKUP(G517,Dados!$D:$L,3,0)=VLOOKUP(I517,Dados!$S:$V,3,0)),0,1)</f>
        <v>0</v>
      </c>
      <c r="T517" s="4">
        <f>IF(AND(VLOOKUP(G517,Dados!$D:$L,3,0)&lt;=VLOOKUP(H517,Dados!$X:$AB,2,0),VLOOKUP(G517,Dados!$D:$L,4,0)&gt;=VLOOKUP(H517,Dados!$X:$AB,3,0),VLOOKUP(G517,Dados!$D:$L,4,0)&lt;=VLOOKUP(H517,Dados!$X:$AB,4,0)),0,1)</f>
        <v>0</v>
      </c>
      <c r="U517" s="4">
        <f>IF(COUNTIFS(F:F,F517,H:H,H517)&lt;=VLOOKUP(H517,Dados!$X:$AB,5,0),0,1)</f>
        <v>0</v>
      </c>
    </row>
    <row r="518" spans="6:21">
      <c r="F518" s="4">
        <v>329</v>
      </c>
      <c r="G518" s="4">
        <v>14</v>
      </c>
      <c r="H518" s="4">
        <v>1</v>
      </c>
      <c r="I518" s="4">
        <v>11</v>
      </c>
      <c r="J518" s="4">
        <v>6</v>
      </c>
      <c r="K518" s="4">
        <f t="shared" si="197"/>
        <v>0</v>
      </c>
      <c r="L518" s="4">
        <f t="shared" si="197"/>
        <v>0</v>
      </c>
      <c r="M518" s="4">
        <f t="shared" si="197"/>
        <v>0</v>
      </c>
      <c r="N518" s="4">
        <f t="shared" si="197"/>
        <v>0</v>
      </c>
      <c r="O518" s="4">
        <f t="shared" si="198"/>
        <v>0</v>
      </c>
      <c r="P518" s="4">
        <f t="shared" si="199"/>
        <v>0</v>
      </c>
      <c r="Q518" s="4">
        <f t="shared" si="200"/>
        <v>0</v>
      </c>
      <c r="R518" s="4">
        <f t="shared" si="201"/>
        <v>0</v>
      </c>
      <c r="S518" s="4">
        <f>IF(AND(VLOOKUP(G518,Dados!$D:$L,2,0)=VLOOKUP(I518,Dados!$S:$V,2,0),VLOOKUP(G518,Dados!$D:$L,3,0)=VLOOKUP(I518,Dados!$S:$V,3,0)),0,1)</f>
        <v>0</v>
      </c>
      <c r="T518" s="4">
        <f>IF(AND(VLOOKUP(G518,Dados!$D:$L,3,0)&lt;=VLOOKUP(H518,Dados!$X:$AB,2,0),VLOOKUP(G518,Dados!$D:$L,4,0)&gt;=VLOOKUP(H518,Dados!$X:$AB,3,0),VLOOKUP(G518,Dados!$D:$L,4,0)&lt;=VLOOKUP(H518,Dados!$X:$AB,4,0)),0,1)</f>
        <v>0</v>
      </c>
      <c r="U518" s="4">
        <f>IF(COUNTIFS(F:F,F518,H:H,H518)&lt;=VLOOKUP(H518,Dados!$X:$AB,5,0),0,1)</f>
        <v>0</v>
      </c>
    </row>
    <row r="519" spans="6:21">
      <c r="F519" s="4">
        <v>329</v>
      </c>
      <c r="G519" s="4">
        <v>17</v>
      </c>
      <c r="H519" s="4">
        <v>1</v>
      </c>
      <c r="I519" s="4">
        <v>11</v>
      </c>
      <c r="J519" s="4">
        <v>4</v>
      </c>
      <c r="K519" s="4">
        <f t="shared" si="197"/>
        <v>0</v>
      </c>
      <c r="L519" s="4">
        <f t="shared" si="197"/>
        <v>0</v>
      </c>
      <c r="M519" s="4">
        <f t="shared" si="197"/>
        <v>0</v>
      </c>
      <c r="N519" s="4">
        <f t="shared" si="197"/>
        <v>0</v>
      </c>
      <c r="O519" s="4">
        <f t="shared" si="198"/>
        <v>0</v>
      </c>
      <c r="P519" s="4">
        <f t="shared" si="199"/>
        <v>0</v>
      </c>
      <c r="Q519" s="4">
        <f t="shared" si="200"/>
        <v>0</v>
      </c>
      <c r="R519" s="4">
        <f t="shared" si="201"/>
        <v>0</v>
      </c>
      <c r="S519" s="4">
        <f>IF(AND(VLOOKUP(G519,Dados!$D:$L,2,0)=VLOOKUP(I519,Dados!$S:$V,2,0),VLOOKUP(G519,Dados!$D:$L,3,0)=VLOOKUP(I519,Dados!$S:$V,3,0)),0,1)</f>
        <v>0</v>
      </c>
      <c r="T519" s="4">
        <f>IF(AND(VLOOKUP(G519,Dados!$D:$L,3,0)&lt;=VLOOKUP(H519,Dados!$X:$AB,2,0),VLOOKUP(G519,Dados!$D:$L,4,0)&gt;=VLOOKUP(H519,Dados!$X:$AB,3,0),VLOOKUP(G519,Dados!$D:$L,4,0)&lt;=VLOOKUP(H519,Dados!$X:$AB,4,0)),0,1)</f>
        <v>0</v>
      </c>
      <c r="U519" s="4">
        <f>IF(COUNTIFS(F:F,F519,H:H,H519)&lt;=VLOOKUP(H519,Dados!$X:$AB,5,0),0,1)</f>
        <v>0</v>
      </c>
    </row>
    <row r="520" spans="6:21">
      <c r="F520" s="4">
        <v>330</v>
      </c>
      <c r="G520" s="4">
        <v>14</v>
      </c>
      <c r="H520" s="4">
        <v>3</v>
      </c>
      <c r="I520" s="4">
        <v>11</v>
      </c>
      <c r="J520" s="4">
        <v>6</v>
      </c>
      <c r="K520" s="4">
        <f t="shared" si="197"/>
        <v>0</v>
      </c>
      <c r="L520" s="4">
        <f t="shared" si="197"/>
        <v>0</v>
      </c>
      <c r="M520" s="4">
        <f t="shared" si="197"/>
        <v>0</v>
      </c>
      <c r="N520" s="4">
        <f t="shared" si="197"/>
        <v>0</v>
      </c>
      <c r="O520" s="4">
        <f t="shared" si="198"/>
        <v>0</v>
      </c>
      <c r="P520" s="4">
        <f t="shared" si="199"/>
        <v>0</v>
      </c>
      <c r="Q520" s="4">
        <f t="shared" si="200"/>
        <v>0</v>
      </c>
      <c r="R520" s="4">
        <f t="shared" si="201"/>
        <v>0</v>
      </c>
      <c r="S520" s="4">
        <f>IF(AND(VLOOKUP(G520,Dados!$D:$L,2,0)=VLOOKUP(I520,Dados!$S:$V,2,0),VLOOKUP(G520,Dados!$D:$L,3,0)=VLOOKUP(I520,Dados!$S:$V,3,0)),0,1)</f>
        <v>0</v>
      </c>
      <c r="T520" s="4">
        <f>IF(AND(VLOOKUP(G520,Dados!$D:$L,3,0)&lt;=VLOOKUP(H520,Dados!$X:$AB,2,0),VLOOKUP(G520,Dados!$D:$L,4,0)&gt;=VLOOKUP(H520,Dados!$X:$AB,3,0),VLOOKUP(G520,Dados!$D:$L,4,0)&lt;=VLOOKUP(H520,Dados!$X:$AB,4,0)),0,1)</f>
        <v>0</v>
      </c>
      <c r="U520" s="4">
        <f>IF(COUNTIFS(F:F,F520,H:H,H520)&lt;=VLOOKUP(H520,Dados!$X:$AB,5,0),0,1)</f>
        <v>0</v>
      </c>
    </row>
    <row r="521" spans="6:21">
      <c r="F521" s="4">
        <v>330</v>
      </c>
      <c r="G521" s="4">
        <v>17</v>
      </c>
      <c r="H521" s="4">
        <v>3</v>
      </c>
      <c r="I521" s="4">
        <v>11</v>
      </c>
      <c r="J521" s="4">
        <v>4</v>
      </c>
      <c r="K521" s="4">
        <f t="shared" si="197"/>
        <v>0</v>
      </c>
      <c r="L521" s="4">
        <f t="shared" si="197"/>
        <v>0</v>
      </c>
      <c r="M521" s="4">
        <f t="shared" si="197"/>
        <v>0</v>
      </c>
      <c r="N521" s="4">
        <f t="shared" si="197"/>
        <v>0</v>
      </c>
      <c r="O521" s="4">
        <f t="shared" si="198"/>
        <v>0</v>
      </c>
      <c r="P521" s="4">
        <f t="shared" si="199"/>
        <v>0</v>
      </c>
      <c r="Q521" s="4">
        <f t="shared" si="200"/>
        <v>0</v>
      </c>
      <c r="R521" s="4">
        <f t="shared" si="201"/>
        <v>0</v>
      </c>
      <c r="S521" s="4">
        <f>IF(AND(VLOOKUP(G521,Dados!$D:$L,2,0)=VLOOKUP(I521,Dados!$S:$V,2,0),VLOOKUP(G521,Dados!$D:$L,3,0)=VLOOKUP(I521,Dados!$S:$V,3,0)),0,1)</f>
        <v>0</v>
      </c>
      <c r="T521" s="4">
        <f>IF(AND(VLOOKUP(G521,Dados!$D:$L,3,0)&lt;=VLOOKUP(H521,Dados!$X:$AB,2,0),VLOOKUP(G521,Dados!$D:$L,4,0)&gt;=VLOOKUP(H521,Dados!$X:$AB,3,0),VLOOKUP(G521,Dados!$D:$L,4,0)&lt;=VLOOKUP(H521,Dados!$X:$AB,4,0)),0,1)</f>
        <v>0</v>
      </c>
      <c r="U521" s="4">
        <f>IF(COUNTIFS(F:F,F521,H:H,H521)&lt;=VLOOKUP(H521,Dados!$X:$AB,5,0),0,1)</f>
        <v>0</v>
      </c>
    </row>
    <row r="522" spans="6:21">
      <c r="F522" s="4">
        <v>331</v>
      </c>
      <c r="G522" s="4">
        <v>18</v>
      </c>
      <c r="H522" s="4">
        <v>1</v>
      </c>
      <c r="I522" s="4">
        <v>12</v>
      </c>
      <c r="J522" s="4">
        <v>4</v>
      </c>
      <c r="K522" s="4">
        <f t="shared" si="197"/>
        <v>0</v>
      </c>
      <c r="L522" s="4">
        <f t="shared" si="197"/>
        <v>0</v>
      </c>
      <c r="M522" s="4">
        <f t="shared" si="197"/>
        <v>0</v>
      </c>
      <c r="N522" s="4">
        <f t="shared" si="197"/>
        <v>0</v>
      </c>
      <c r="O522" s="4">
        <f t="shared" si="198"/>
        <v>0</v>
      </c>
      <c r="P522" s="4">
        <f t="shared" si="199"/>
        <v>0</v>
      </c>
      <c r="Q522" s="4">
        <f t="shared" si="200"/>
        <v>0</v>
      </c>
      <c r="R522" s="4">
        <f t="shared" si="201"/>
        <v>0</v>
      </c>
      <c r="S522" s="4">
        <f>IF(AND(VLOOKUP(G522,Dados!$D:$L,2,0)=VLOOKUP(I522,Dados!$S:$V,2,0),VLOOKUP(G522,Dados!$D:$L,3,0)=VLOOKUP(I522,Dados!$S:$V,3,0)),0,1)</f>
        <v>0</v>
      </c>
      <c r="T522" s="4">
        <f>IF(AND(VLOOKUP(G522,Dados!$D:$L,3,0)&lt;=VLOOKUP(H522,Dados!$X:$AB,2,0),VLOOKUP(G522,Dados!$D:$L,4,0)&gt;=VLOOKUP(H522,Dados!$X:$AB,3,0),VLOOKUP(G522,Dados!$D:$L,4,0)&lt;=VLOOKUP(H522,Dados!$X:$AB,4,0)),0,1)</f>
        <v>0</v>
      </c>
      <c r="U522" s="4">
        <f>IF(COUNTIFS(F:F,F522,H:H,H522)&lt;=VLOOKUP(H522,Dados!$X:$AB,5,0),0,1)</f>
        <v>0</v>
      </c>
    </row>
    <row r="523" spans="6:21">
      <c r="F523" s="4">
        <v>331</v>
      </c>
      <c r="G523" s="4">
        <v>19</v>
      </c>
      <c r="H523" s="4">
        <v>1</v>
      </c>
      <c r="I523" s="4">
        <v>12</v>
      </c>
      <c r="J523" s="4">
        <v>4</v>
      </c>
      <c r="K523" s="4">
        <f t="shared" si="197"/>
        <v>0</v>
      </c>
      <c r="L523" s="4">
        <f t="shared" si="197"/>
        <v>0</v>
      </c>
      <c r="M523" s="4">
        <f t="shared" si="197"/>
        <v>0</v>
      </c>
      <c r="N523" s="4">
        <f t="shared" si="197"/>
        <v>0</v>
      </c>
      <c r="O523" s="4">
        <f t="shared" si="198"/>
        <v>0</v>
      </c>
      <c r="P523" s="4">
        <f t="shared" si="199"/>
        <v>0</v>
      </c>
      <c r="Q523" s="4">
        <f t="shared" si="200"/>
        <v>0</v>
      </c>
      <c r="R523" s="4">
        <f t="shared" si="201"/>
        <v>0</v>
      </c>
      <c r="S523" s="4">
        <f>IF(AND(VLOOKUP(G523,Dados!$D:$L,2,0)=VLOOKUP(I523,Dados!$S:$V,2,0),VLOOKUP(G523,Dados!$D:$L,3,0)=VLOOKUP(I523,Dados!$S:$V,3,0)),0,1)</f>
        <v>0</v>
      </c>
      <c r="T523" s="4">
        <f>IF(AND(VLOOKUP(G523,Dados!$D:$L,3,0)&lt;=VLOOKUP(H523,Dados!$X:$AB,2,0),VLOOKUP(G523,Dados!$D:$L,4,0)&gt;=VLOOKUP(H523,Dados!$X:$AB,3,0),VLOOKUP(G523,Dados!$D:$L,4,0)&lt;=VLOOKUP(H523,Dados!$X:$AB,4,0)),0,1)</f>
        <v>0</v>
      </c>
      <c r="U523" s="4">
        <f>IF(COUNTIFS(F:F,F523,H:H,H523)&lt;=VLOOKUP(H523,Dados!$X:$AB,5,0),0,1)</f>
        <v>0</v>
      </c>
    </row>
    <row r="524" spans="6:21">
      <c r="F524" s="4">
        <v>332</v>
      </c>
      <c r="G524" s="4">
        <v>18</v>
      </c>
      <c r="H524" s="4">
        <v>2</v>
      </c>
      <c r="I524" s="4">
        <v>12</v>
      </c>
      <c r="J524" s="4">
        <v>4</v>
      </c>
      <c r="K524" s="4">
        <f t="shared" si="197"/>
        <v>0</v>
      </c>
      <c r="L524" s="4">
        <f t="shared" si="197"/>
        <v>0</v>
      </c>
      <c r="M524" s="4">
        <f t="shared" si="197"/>
        <v>1</v>
      </c>
      <c r="N524" s="4">
        <f t="shared" si="197"/>
        <v>0</v>
      </c>
      <c r="O524" s="4">
        <f t="shared" si="198"/>
        <v>0</v>
      </c>
      <c r="P524" s="4">
        <f t="shared" si="199"/>
        <v>0</v>
      </c>
      <c r="Q524" s="4">
        <f t="shared" si="200"/>
        <v>4</v>
      </c>
      <c r="R524" s="4">
        <f t="shared" si="201"/>
        <v>0</v>
      </c>
      <c r="S524" s="4">
        <f>IF(AND(VLOOKUP(G524,Dados!$D:$L,2,0)=VLOOKUP(I524,Dados!$S:$V,2,0),VLOOKUP(G524,Dados!$D:$L,3,0)=VLOOKUP(I524,Dados!$S:$V,3,0)),0,1)</f>
        <v>0</v>
      </c>
      <c r="T524" s="4">
        <f>IF(AND(VLOOKUP(G524,Dados!$D:$L,3,0)&lt;=VLOOKUP(H524,Dados!$X:$AB,2,0),VLOOKUP(G524,Dados!$D:$L,4,0)&gt;=VLOOKUP(H524,Dados!$X:$AB,3,0),VLOOKUP(G524,Dados!$D:$L,4,0)&lt;=VLOOKUP(H524,Dados!$X:$AB,4,0)),0,1)</f>
        <v>0</v>
      </c>
      <c r="U524" s="4">
        <f>IF(COUNTIFS(F:F,F524,H:H,H524)&lt;=VLOOKUP(H524,Dados!$X:$AB,5,0),0,1)</f>
        <v>0</v>
      </c>
    </row>
    <row r="525" spans="6:21">
      <c r="F525" s="4">
        <v>332</v>
      </c>
      <c r="G525" s="4">
        <v>19</v>
      </c>
      <c r="H525" s="4">
        <v>2</v>
      </c>
      <c r="I525" s="4">
        <v>12</v>
      </c>
      <c r="J525" s="4">
        <v>4</v>
      </c>
      <c r="K525" s="4">
        <f t="shared" si="197"/>
        <v>0</v>
      </c>
      <c r="L525" s="4">
        <f t="shared" si="197"/>
        <v>0</v>
      </c>
      <c r="M525" s="4">
        <f t="shared" si="197"/>
        <v>1</v>
      </c>
      <c r="N525" s="4">
        <f t="shared" si="197"/>
        <v>0</v>
      </c>
      <c r="O525" s="4">
        <f t="shared" si="198"/>
        <v>0</v>
      </c>
      <c r="P525" s="4">
        <f t="shared" si="199"/>
        <v>0</v>
      </c>
      <c r="Q525" s="4">
        <f t="shared" si="200"/>
        <v>4</v>
      </c>
      <c r="R525" s="4">
        <f t="shared" si="201"/>
        <v>0</v>
      </c>
      <c r="S525" s="4">
        <f>IF(AND(VLOOKUP(G525,Dados!$D:$L,2,0)=VLOOKUP(I525,Dados!$S:$V,2,0),VLOOKUP(G525,Dados!$D:$L,3,0)=VLOOKUP(I525,Dados!$S:$V,3,0)),0,1)</f>
        <v>0</v>
      </c>
      <c r="T525" s="4">
        <f>IF(AND(VLOOKUP(G525,Dados!$D:$L,3,0)&lt;=VLOOKUP(H525,Dados!$X:$AB,2,0),VLOOKUP(G525,Dados!$D:$L,4,0)&gt;=VLOOKUP(H525,Dados!$X:$AB,3,0),VLOOKUP(G525,Dados!$D:$L,4,0)&lt;=VLOOKUP(H525,Dados!$X:$AB,4,0)),0,1)</f>
        <v>0</v>
      </c>
      <c r="U525" s="4">
        <f>IF(COUNTIFS(F:F,F525,H:H,H525)&lt;=VLOOKUP(H525,Dados!$X:$AB,5,0),0,1)</f>
        <v>0</v>
      </c>
    </row>
    <row r="526" spans="6:21">
      <c r="F526" s="4">
        <v>333</v>
      </c>
      <c r="G526" s="4">
        <v>18</v>
      </c>
      <c r="H526" s="4">
        <v>3</v>
      </c>
      <c r="I526" s="4">
        <v>12</v>
      </c>
      <c r="J526" s="4">
        <v>4</v>
      </c>
      <c r="K526" s="4">
        <f t="shared" si="197"/>
        <v>0</v>
      </c>
      <c r="L526" s="4">
        <f t="shared" si="197"/>
        <v>0</v>
      </c>
      <c r="M526" s="4">
        <f t="shared" si="197"/>
        <v>0</v>
      </c>
      <c r="N526" s="4">
        <f t="shared" si="197"/>
        <v>0</v>
      </c>
      <c r="O526" s="4">
        <f t="shared" si="198"/>
        <v>0</v>
      </c>
      <c r="P526" s="4">
        <f t="shared" si="199"/>
        <v>0</v>
      </c>
      <c r="Q526" s="4">
        <f t="shared" si="200"/>
        <v>0</v>
      </c>
      <c r="R526" s="4">
        <f t="shared" si="201"/>
        <v>0</v>
      </c>
      <c r="S526" s="4">
        <f>IF(AND(VLOOKUP(G526,Dados!$D:$L,2,0)=VLOOKUP(I526,Dados!$S:$V,2,0),VLOOKUP(G526,Dados!$D:$L,3,0)=VLOOKUP(I526,Dados!$S:$V,3,0)),0,1)</f>
        <v>0</v>
      </c>
      <c r="T526" s="4">
        <f>IF(AND(VLOOKUP(G526,Dados!$D:$L,3,0)&lt;=VLOOKUP(H526,Dados!$X:$AB,2,0),VLOOKUP(G526,Dados!$D:$L,4,0)&gt;=VLOOKUP(H526,Dados!$X:$AB,3,0),VLOOKUP(G526,Dados!$D:$L,4,0)&lt;=VLOOKUP(H526,Dados!$X:$AB,4,0)),0,1)</f>
        <v>0</v>
      </c>
      <c r="U526" s="4">
        <f>IF(COUNTIFS(F:F,F526,H:H,H526)&lt;=VLOOKUP(H526,Dados!$X:$AB,5,0),0,1)</f>
        <v>0</v>
      </c>
    </row>
    <row r="527" spans="6:21">
      <c r="F527" s="4">
        <v>333</v>
      </c>
      <c r="G527" s="4">
        <v>19</v>
      </c>
      <c r="H527" s="4">
        <v>3</v>
      </c>
      <c r="I527" s="4">
        <v>12</v>
      </c>
      <c r="J527" s="4">
        <v>4</v>
      </c>
      <c r="K527" s="4">
        <f t="shared" si="197"/>
        <v>0</v>
      </c>
      <c r="L527" s="4">
        <f t="shared" si="197"/>
        <v>0</v>
      </c>
      <c r="M527" s="4">
        <f t="shared" si="197"/>
        <v>0</v>
      </c>
      <c r="N527" s="4">
        <f t="shared" si="197"/>
        <v>0</v>
      </c>
      <c r="O527" s="4">
        <f t="shared" si="198"/>
        <v>0</v>
      </c>
      <c r="P527" s="4">
        <f t="shared" si="199"/>
        <v>0</v>
      </c>
      <c r="Q527" s="4">
        <f t="shared" si="200"/>
        <v>0</v>
      </c>
      <c r="R527" s="4">
        <f t="shared" si="201"/>
        <v>0</v>
      </c>
      <c r="S527" s="4">
        <f>IF(AND(VLOOKUP(G527,Dados!$D:$L,2,0)=VLOOKUP(I527,Dados!$S:$V,2,0),VLOOKUP(G527,Dados!$D:$L,3,0)=VLOOKUP(I527,Dados!$S:$V,3,0)),0,1)</f>
        <v>0</v>
      </c>
      <c r="T527" s="4">
        <f>IF(AND(VLOOKUP(G527,Dados!$D:$L,3,0)&lt;=VLOOKUP(H527,Dados!$X:$AB,2,0),VLOOKUP(G527,Dados!$D:$L,4,0)&gt;=VLOOKUP(H527,Dados!$X:$AB,3,0),VLOOKUP(G527,Dados!$D:$L,4,0)&lt;=VLOOKUP(H527,Dados!$X:$AB,4,0)),0,1)</f>
        <v>0</v>
      </c>
      <c r="U527" s="4">
        <f>IF(COUNTIFS(F:F,F527,H:H,H527)&lt;=VLOOKUP(H527,Dados!$X:$AB,5,0),0,1)</f>
        <v>0</v>
      </c>
    </row>
    <row r="528" spans="6:21">
      <c r="F528" s="4">
        <v>334</v>
      </c>
      <c r="G528" s="4">
        <v>25</v>
      </c>
      <c r="H528" s="4">
        <v>1</v>
      </c>
      <c r="I528" s="4">
        <v>15</v>
      </c>
      <c r="J528" s="4">
        <v>1</v>
      </c>
      <c r="K528" s="4">
        <f t="shared" si="197"/>
        <v>0</v>
      </c>
      <c r="L528" s="4">
        <f t="shared" si="197"/>
        <v>0</v>
      </c>
      <c r="M528" s="4">
        <f t="shared" si="197"/>
        <v>41</v>
      </c>
      <c r="N528" s="4">
        <f t="shared" si="197"/>
        <v>0</v>
      </c>
      <c r="O528" s="4">
        <f t="shared" si="198"/>
        <v>0</v>
      </c>
      <c r="P528" s="4">
        <f t="shared" si="199"/>
        <v>0</v>
      </c>
      <c r="Q528" s="4">
        <f t="shared" si="200"/>
        <v>41</v>
      </c>
      <c r="R528" s="4">
        <f t="shared" si="201"/>
        <v>0</v>
      </c>
      <c r="S528" s="4">
        <f>IF(AND(VLOOKUP(G528,Dados!$D:$L,2,0)=VLOOKUP(I528,Dados!$S:$V,2,0),VLOOKUP(G528,Dados!$D:$L,3,0)=VLOOKUP(I528,Dados!$S:$V,3,0)),0,1)</f>
        <v>0</v>
      </c>
      <c r="T528" s="4">
        <f>IF(AND(VLOOKUP(G528,Dados!$D:$L,3,0)&lt;=VLOOKUP(H528,Dados!$X:$AB,2,0),VLOOKUP(G528,Dados!$D:$L,4,0)&gt;=VLOOKUP(H528,Dados!$X:$AB,3,0),VLOOKUP(G528,Dados!$D:$L,4,0)&lt;=VLOOKUP(H528,Dados!$X:$AB,4,0)),0,1)</f>
        <v>0</v>
      </c>
      <c r="U528" s="4">
        <f>IF(COUNTIFS(F:F,F528,H:H,H528)&lt;=VLOOKUP(H528,Dados!$X:$AB,5,0),0,1)</f>
        <v>0</v>
      </c>
    </row>
    <row r="529" spans="6:21">
      <c r="F529" s="4">
        <v>334</v>
      </c>
      <c r="G529" s="4">
        <v>26</v>
      </c>
      <c r="H529" s="4">
        <v>1</v>
      </c>
      <c r="I529" s="4">
        <v>15</v>
      </c>
      <c r="J529" s="4">
        <v>6</v>
      </c>
      <c r="K529" s="4">
        <f t="shared" si="197"/>
        <v>0</v>
      </c>
      <c r="L529" s="4">
        <f t="shared" si="197"/>
        <v>0</v>
      </c>
      <c r="M529" s="4">
        <f t="shared" si="197"/>
        <v>41</v>
      </c>
      <c r="N529" s="4">
        <f t="shared" si="197"/>
        <v>0</v>
      </c>
      <c r="O529" s="4">
        <f t="shared" si="198"/>
        <v>0</v>
      </c>
      <c r="P529" s="4">
        <f t="shared" si="199"/>
        <v>0</v>
      </c>
      <c r="Q529" s="4">
        <f t="shared" si="200"/>
        <v>246</v>
      </c>
      <c r="R529" s="4">
        <f t="shared" si="201"/>
        <v>0</v>
      </c>
      <c r="S529" s="4">
        <f>IF(AND(VLOOKUP(G529,Dados!$D:$L,2,0)=VLOOKUP(I529,Dados!$S:$V,2,0),VLOOKUP(G529,Dados!$D:$L,3,0)=VLOOKUP(I529,Dados!$S:$V,3,0)),0,1)</f>
        <v>0</v>
      </c>
      <c r="T529" s="4">
        <f>IF(AND(VLOOKUP(G529,Dados!$D:$L,3,0)&lt;=VLOOKUP(H529,Dados!$X:$AB,2,0),VLOOKUP(G529,Dados!$D:$L,4,0)&gt;=VLOOKUP(H529,Dados!$X:$AB,3,0),VLOOKUP(G529,Dados!$D:$L,4,0)&lt;=VLOOKUP(H529,Dados!$X:$AB,4,0)),0,1)</f>
        <v>0</v>
      </c>
      <c r="U529" s="4">
        <f>IF(COUNTIFS(F:F,F529,H:H,H529)&lt;=VLOOKUP(H529,Dados!$X:$AB,5,0),0,1)</f>
        <v>0</v>
      </c>
    </row>
    <row r="530" spans="6:21">
      <c r="F530" s="4">
        <v>335</v>
      </c>
      <c r="G530" s="4">
        <v>25</v>
      </c>
      <c r="H530" s="4">
        <v>3</v>
      </c>
      <c r="I530" s="4">
        <v>15</v>
      </c>
      <c r="J530" s="4">
        <v>1</v>
      </c>
      <c r="K530" s="4">
        <f t="shared" si="197"/>
        <v>0</v>
      </c>
      <c r="L530" s="4">
        <f t="shared" si="197"/>
        <v>0</v>
      </c>
      <c r="M530" s="4">
        <f t="shared" si="197"/>
        <v>3</v>
      </c>
      <c r="N530" s="4">
        <f t="shared" si="197"/>
        <v>0</v>
      </c>
      <c r="O530" s="4">
        <f t="shared" si="198"/>
        <v>0</v>
      </c>
      <c r="P530" s="4">
        <f t="shared" si="199"/>
        <v>0</v>
      </c>
      <c r="Q530" s="4">
        <f t="shared" si="200"/>
        <v>3</v>
      </c>
      <c r="R530" s="4">
        <f t="shared" si="201"/>
        <v>0</v>
      </c>
      <c r="S530" s="4">
        <f>IF(AND(VLOOKUP(G530,Dados!$D:$L,2,0)=VLOOKUP(I530,Dados!$S:$V,2,0),VLOOKUP(G530,Dados!$D:$L,3,0)=VLOOKUP(I530,Dados!$S:$V,3,0)),0,1)</f>
        <v>0</v>
      </c>
      <c r="T530" s="4">
        <f>IF(AND(VLOOKUP(G530,Dados!$D:$L,3,0)&lt;=VLOOKUP(H530,Dados!$X:$AB,2,0),VLOOKUP(G530,Dados!$D:$L,4,0)&gt;=VLOOKUP(H530,Dados!$X:$AB,3,0),VLOOKUP(G530,Dados!$D:$L,4,0)&lt;=VLOOKUP(H530,Dados!$X:$AB,4,0)),0,1)</f>
        <v>0</v>
      </c>
      <c r="U530" s="4">
        <f>IF(COUNTIFS(F:F,F530,H:H,H530)&lt;=VLOOKUP(H530,Dados!$X:$AB,5,0),0,1)</f>
        <v>0</v>
      </c>
    </row>
    <row r="531" spans="6:21">
      <c r="F531" s="4">
        <v>335</v>
      </c>
      <c r="G531" s="4">
        <v>26</v>
      </c>
      <c r="H531" s="4">
        <v>3</v>
      </c>
      <c r="I531" s="4">
        <v>15</v>
      </c>
      <c r="J531" s="4">
        <v>6</v>
      </c>
      <c r="K531" s="4">
        <f t="shared" si="197"/>
        <v>0</v>
      </c>
      <c r="L531" s="4">
        <f t="shared" si="197"/>
        <v>0</v>
      </c>
      <c r="M531" s="4">
        <f t="shared" si="197"/>
        <v>3</v>
      </c>
      <c r="N531" s="4">
        <f t="shared" si="197"/>
        <v>0</v>
      </c>
      <c r="O531" s="4">
        <f t="shared" si="198"/>
        <v>0</v>
      </c>
      <c r="P531" s="4">
        <f t="shared" si="199"/>
        <v>0</v>
      </c>
      <c r="Q531" s="4">
        <f t="shared" si="200"/>
        <v>18</v>
      </c>
      <c r="R531" s="4">
        <f t="shared" si="201"/>
        <v>0</v>
      </c>
      <c r="S531" s="4">
        <f>IF(AND(VLOOKUP(G531,Dados!$D:$L,2,0)=VLOOKUP(I531,Dados!$S:$V,2,0),VLOOKUP(G531,Dados!$D:$L,3,0)=VLOOKUP(I531,Dados!$S:$V,3,0)),0,1)</f>
        <v>0</v>
      </c>
      <c r="T531" s="4">
        <f>IF(AND(VLOOKUP(G531,Dados!$D:$L,3,0)&lt;=VLOOKUP(H531,Dados!$X:$AB,2,0),VLOOKUP(G531,Dados!$D:$L,4,0)&gt;=VLOOKUP(H531,Dados!$X:$AB,3,0),VLOOKUP(G531,Dados!$D:$L,4,0)&lt;=VLOOKUP(H531,Dados!$X:$AB,4,0)),0,1)</f>
        <v>0</v>
      </c>
      <c r="U531" s="4">
        <f>IF(COUNTIFS(F:F,F531,H:H,H531)&lt;=VLOOKUP(H531,Dados!$X:$AB,5,0),0,1)</f>
        <v>0</v>
      </c>
    </row>
    <row r="532" spans="6:21">
      <c r="F532" s="4">
        <v>336</v>
      </c>
      <c r="G532" s="4">
        <v>31</v>
      </c>
      <c r="H532" s="4">
        <v>1</v>
      </c>
      <c r="I532" s="4">
        <v>16</v>
      </c>
      <c r="J532" s="4">
        <v>1</v>
      </c>
      <c r="K532" s="4">
        <f t="shared" si="197"/>
        <v>0</v>
      </c>
      <c r="L532" s="4">
        <f t="shared" si="197"/>
        <v>0</v>
      </c>
      <c r="M532" s="4">
        <f t="shared" si="197"/>
        <v>0</v>
      </c>
      <c r="N532" s="4">
        <f t="shared" si="197"/>
        <v>0</v>
      </c>
      <c r="O532" s="4">
        <f t="shared" si="198"/>
        <v>0</v>
      </c>
      <c r="P532" s="4">
        <f t="shared" si="199"/>
        <v>0</v>
      </c>
      <c r="Q532" s="4">
        <f t="shared" si="200"/>
        <v>0</v>
      </c>
      <c r="R532" s="4">
        <f t="shared" si="201"/>
        <v>0</v>
      </c>
      <c r="S532" s="4">
        <f>IF(AND(VLOOKUP(G532,Dados!$D:$L,2,0)=VLOOKUP(I532,Dados!$S:$V,2,0),VLOOKUP(G532,Dados!$D:$L,3,0)=VLOOKUP(I532,Dados!$S:$V,3,0)),0,1)</f>
        <v>0</v>
      </c>
      <c r="T532" s="4">
        <f>IF(AND(VLOOKUP(G532,Dados!$D:$L,3,0)&lt;=VLOOKUP(H532,Dados!$X:$AB,2,0),VLOOKUP(G532,Dados!$D:$L,4,0)&gt;=VLOOKUP(H532,Dados!$X:$AB,3,0),VLOOKUP(G532,Dados!$D:$L,4,0)&lt;=VLOOKUP(H532,Dados!$X:$AB,4,0)),0,1)</f>
        <v>0</v>
      </c>
      <c r="U532" s="4">
        <f>IF(COUNTIFS(F:F,F532,H:H,H532)&lt;=VLOOKUP(H532,Dados!$X:$AB,5,0),0,1)</f>
        <v>0</v>
      </c>
    </row>
    <row r="533" spans="6:21">
      <c r="F533" s="4">
        <v>336</v>
      </c>
      <c r="G533" s="4">
        <v>34</v>
      </c>
      <c r="H533" s="4">
        <v>1</v>
      </c>
      <c r="I533" s="4">
        <v>16</v>
      </c>
      <c r="J533" s="4">
        <v>6</v>
      </c>
      <c r="K533" s="4">
        <f t="shared" si="197"/>
        <v>0</v>
      </c>
      <c r="L533" s="4">
        <f t="shared" si="197"/>
        <v>0</v>
      </c>
      <c r="M533" s="4">
        <f t="shared" si="197"/>
        <v>0</v>
      </c>
      <c r="N533" s="4">
        <f t="shared" si="197"/>
        <v>0</v>
      </c>
      <c r="O533" s="4">
        <f t="shared" si="198"/>
        <v>0</v>
      </c>
      <c r="P533" s="4">
        <f t="shared" si="199"/>
        <v>0</v>
      </c>
      <c r="Q533" s="4">
        <f t="shared" si="200"/>
        <v>0</v>
      </c>
      <c r="R533" s="4">
        <f t="shared" si="201"/>
        <v>0</v>
      </c>
      <c r="S533" s="4">
        <f>IF(AND(VLOOKUP(G533,Dados!$D:$L,2,0)=VLOOKUP(I533,Dados!$S:$V,2,0),VLOOKUP(G533,Dados!$D:$L,3,0)=VLOOKUP(I533,Dados!$S:$V,3,0)),0,1)</f>
        <v>0</v>
      </c>
      <c r="T533" s="4">
        <f>IF(AND(VLOOKUP(G533,Dados!$D:$L,3,0)&lt;=VLOOKUP(H533,Dados!$X:$AB,2,0),VLOOKUP(G533,Dados!$D:$L,4,0)&gt;=VLOOKUP(H533,Dados!$X:$AB,3,0),VLOOKUP(G533,Dados!$D:$L,4,0)&lt;=VLOOKUP(H533,Dados!$X:$AB,4,0)),0,1)</f>
        <v>0</v>
      </c>
      <c r="U533" s="4">
        <f>IF(COUNTIFS(F:F,F533,H:H,H533)&lt;=VLOOKUP(H533,Dados!$X:$AB,5,0),0,1)</f>
        <v>0</v>
      </c>
    </row>
    <row r="534" spans="6:21">
      <c r="F534" s="4">
        <v>337</v>
      </c>
      <c r="G534" s="4">
        <v>31</v>
      </c>
      <c r="H534" s="4">
        <v>2</v>
      </c>
      <c r="I534" s="4">
        <v>16</v>
      </c>
      <c r="J534" s="4">
        <v>1</v>
      </c>
      <c r="K534" s="4">
        <f t="shared" si="197"/>
        <v>0</v>
      </c>
      <c r="L534" s="4">
        <f t="shared" si="197"/>
        <v>0</v>
      </c>
      <c r="M534" s="4">
        <f t="shared" si="197"/>
        <v>0</v>
      </c>
      <c r="N534" s="4">
        <f t="shared" si="197"/>
        <v>0</v>
      </c>
      <c r="O534" s="4">
        <f t="shared" si="198"/>
        <v>0</v>
      </c>
      <c r="P534" s="4">
        <f t="shared" si="199"/>
        <v>0</v>
      </c>
      <c r="Q534" s="4">
        <f t="shared" si="200"/>
        <v>0</v>
      </c>
      <c r="R534" s="4">
        <f t="shared" si="201"/>
        <v>0</v>
      </c>
      <c r="S534" s="4">
        <f>IF(AND(VLOOKUP(G534,Dados!$D:$L,2,0)=VLOOKUP(I534,Dados!$S:$V,2,0),VLOOKUP(G534,Dados!$D:$L,3,0)=VLOOKUP(I534,Dados!$S:$V,3,0)),0,1)</f>
        <v>0</v>
      </c>
      <c r="T534" s="4">
        <f>IF(AND(VLOOKUP(G534,Dados!$D:$L,3,0)&lt;=VLOOKUP(H534,Dados!$X:$AB,2,0),VLOOKUP(G534,Dados!$D:$L,4,0)&gt;=VLOOKUP(H534,Dados!$X:$AB,3,0),VLOOKUP(G534,Dados!$D:$L,4,0)&lt;=VLOOKUP(H534,Dados!$X:$AB,4,0)),0,1)</f>
        <v>0</v>
      </c>
      <c r="U534" s="4">
        <f>IF(COUNTIFS(F:F,F534,H:H,H534)&lt;=VLOOKUP(H534,Dados!$X:$AB,5,0),0,1)</f>
        <v>0</v>
      </c>
    </row>
    <row r="535" spans="6:21">
      <c r="F535" s="4">
        <v>337</v>
      </c>
      <c r="G535" s="4">
        <v>34</v>
      </c>
      <c r="H535" s="4">
        <v>2</v>
      </c>
      <c r="I535" s="4">
        <v>16</v>
      </c>
      <c r="J535" s="4">
        <v>6</v>
      </c>
      <c r="K535" s="4">
        <f t="shared" si="197"/>
        <v>0</v>
      </c>
      <c r="L535" s="4">
        <f t="shared" si="197"/>
        <v>0</v>
      </c>
      <c r="M535" s="4">
        <f t="shared" si="197"/>
        <v>0</v>
      </c>
      <c r="N535" s="4">
        <f t="shared" si="197"/>
        <v>0</v>
      </c>
      <c r="O535" s="4">
        <f t="shared" si="198"/>
        <v>0</v>
      </c>
      <c r="P535" s="4">
        <f t="shared" si="199"/>
        <v>0</v>
      </c>
      <c r="Q535" s="4">
        <f t="shared" si="200"/>
        <v>0</v>
      </c>
      <c r="R535" s="4">
        <f t="shared" si="201"/>
        <v>0</v>
      </c>
      <c r="S535" s="4">
        <f>IF(AND(VLOOKUP(G535,Dados!$D:$L,2,0)=VLOOKUP(I535,Dados!$S:$V,2,0),VLOOKUP(G535,Dados!$D:$L,3,0)=VLOOKUP(I535,Dados!$S:$V,3,0)),0,1)</f>
        <v>0</v>
      </c>
      <c r="T535" s="4">
        <f>IF(AND(VLOOKUP(G535,Dados!$D:$L,3,0)&lt;=VLOOKUP(H535,Dados!$X:$AB,2,0),VLOOKUP(G535,Dados!$D:$L,4,0)&gt;=VLOOKUP(H535,Dados!$X:$AB,3,0),VLOOKUP(G535,Dados!$D:$L,4,0)&lt;=VLOOKUP(H535,Dados!$X:$AB,4,0)),0,1)</f>
        <v>0</v>
      </c>
      <c r="U535" s="4">
        <f>IF(COUNTIFS(F:F,F535,H:H,H535)&lt;=VLOOKUP(H535,Dados!$X:$AB,5,0),0,1)</f>
        <v>0</v>
      </c>
    </row>
    <row r="536" spans="6:21">
      <c r="F536" s="4">
        <v>338</v>
      </c>
      <c r="G536" s="4">
        <v>31</v>
      </c>
      <c r="H536" s="4">
        <v>3</v>
      </c>
      <c r="I536" s="4">
        <v>16</v>
      </c>
      <c r="J536" s="4">
        <v>1</v>
      </c>
      <c r="K536" s="4">
        <f t="shared" si="197"/>
        <v>0</v>
      </c>
      <c r="L536" s="4">
        <f t="shared" si="197"/>
        <v>0</v>
      </c>
      <c r="M536" s="4">
        <f t="shared" si="197"/>
        <v>4</v>
      </c>
      <c r="N536" s="4">
        <f t="shared" si="197"/>
        <v>0</v>
      </c>
      <c r="O536" s="4">
        <f t="shared" si="198"/>
        <v>0</v>
      </c>
      <c r="P536" s="4">
        <f t="shared" si="199"/>
        <v>0</v>
      </c>
      <c r="Q536" s="4">
        <f t="shared" si="200"/>
        <v>4</v>
      </c>
      <c r="R536" s="4">
        <f t="shared" si="201"/>
        <v>0</v>
      </c>
      <c r="S536" s="4">
        <f>IF(AND(VLOOKUP(G536,Dados!$D:$L,2,0)=VLOOKUP(I536,Dados!$S:$V,2,0),VLOOKUP(G536,Dados!$D:$L,3,0)=VLOOKUP(I536,Dados!$S:$V,3,0)),0,1)</f>
        <v>0</v>
      </c>
      <c r="T536" s="4">
        <f>IF(AND(VLOOKUP(G536,Dados!$D:$L,3,0)&lt;=VLOOKUP(H536,Dados!$X:$AB,2,0),VLOOKUP(G536,Dados!$D:$L,4,0)&gt;=VLOOKUP(H536,Dados!$X:$AB,3,0),VLOOKUP(G536,Dados!$D:$L,4,0)&lt;=VLOOKUP(H536,Dados!$X:$AB,4,0)),0,1)</f>
        <v>0</v>
      </c>
      <c r="U536" s="4">
        <f>IF(COUNTIFS(F:F,F536,H:H,H536)&lt;=VLOOKUP(H536,Dados!$X:$AB,5,0),0,1)</f>
        <v>0</v>
      </c>
    </row>
    <row r="537" spans="6:21">
      <c r="F537" s="4">
        <v>338</v>
      </c>
      <c r="G537" s="4">
        <v>34</v>
      </c>
      <c r="H537" s="4">
        <v>3</v>
      </c>
      <c r="I537" s="4">
        <v>16</v>
      </c>
      <c r="J537" s="4">
        <v>6</v>
      </c>
      <c r="K537" s="4">
        <f t="shared" si="197"/>
        <v>0</v>
      </c>
      <c r="L537" s="4">
        <f t="shared" si="197"/>
        <v>0</v>
      </c>
      <c r="M537" s="4">
        <f t="shared" si="197"/>
        <v>4</v>
      </c>
      <c r="N537" s="4">
        <f t="shared" si="197"/>
        <v>0</v>
      </c>
      <c r="O537" s="4">
        <f t="shared" si="198"/>
        <v>0</v>
      </c>
      <c r="P537" s="4">
        <f t="shared" si="199"/>
        <v>0</v>
      </c>
      <c r="Q537" s="4">
        <f t="shared" si="200"/>
        <v>24</v>
      </c>
      <c r="R537" s="4">
        <f t="shared" si="201"/>
        <v>0</v>
      </c>
      <c r="S537" s="4">
        <f>IF(AND(VLOOKUP(G537,Dados!$D:$L,2,0)=VLOOKUP(I537,Dados!$S:$V,2,0),VLOOKUP(G537,Dados!$D:$L,3,0)=VLOOKUP(I537,Dados!$S:$V,3,0)),0,1)</f>
        <v>0</v>
      </c>
      <c r="T537" s="4">
        <f>IF(AND(VLOOKUP(G537,Dados!$D:$L,3,0)&lt;=VLOOKUP(H537,Dados!$X:$AB,2,0),VLOOKUP(G537,Dados!$D:$L,4,0)&gt;=VLOOKUP(H537,Dados!$X:$AB,3,0),VLOOKUP(G537,Dados!$D:$L,4,0)&lt;=VLOOKUP(H537,Dados!$X:$AB,4,0)),0,1)</f>
        <v>0</v>
      </c>
      <c r="U537" s="4">
        <f>IF(COUNTIFS(F:F,F537,H:H,H537)&lt;=VLOOKUP(H537,Dados!$X:$AB,5,0),0,1)</f>
        <v>0</v>
      </c>
    </row>
    <row r="538" spans="6:21">
      <c r="F538" s="4">
        <v>339</v>
      </c>
      <c r="G538" s="4">
        <v>40</v>
      </c>
      <c r="H538" s="4">
        <v>1</v>
      </c>
      <c r="I538" s="4">
        <v>17</v>
      </c>
      <c r="J538" s="4">
        <v>5</v>
      </c>
      <c r="K538" s="4">
        <f t="shared" si="197"/>
        <v>2</v>
      </c>
      <c r="L538" s="4">
        <f t="shared" si="197"/>
        <v>0</v>
      </c>
      <c r="M538" s="4">
        <f t="shared" si="197"/>
        <v>0</v>
      </c>
      <c r="N538" s="4">
        <f t="shared" si="197"/>
        <v>0</v>
      </c>
      <c r="O538" s="4">
        <f t="shared" si="198"/>
        <v>10</v>
      </c>
      <c r="P538" s="4">
        <f t="shared" si="199"/>
        <v>0</v>
      </c>
      <c r="Q538" s="4">
        <f t="shared" si="200"/>
        <v>0</v>
      </c>
      <c r="R538" s="4">
        <f t="shared" si="201"/>
        <v>0</v>
      </c>
      <c r="S538" s="4">
        <f>IF(AND(VLOOKUP(G538,Dados!$D:$L,2,0)=VLOOKUP(I538,Dados!$S:$V,2,0),VLOOKUP(G538,Dados!$D:$L,3,0)=VLOOKUP(I538,Dados!$S:$V,3,0)),0,1)</f>
        <v>0</v>
      </c>
      <c r="T538" s="4">
        <f>IF(AND(VLOOKUP(G538,Dados!$D:$L,3,0)&lt;=VLOOKUP(H538,Dados!$X:$AB,2,0),VLOOKUP(G538,Dados!$D:$L,4,0)&gt;=VLOOKUP(H538,Dados!$X:$AB,3,0),VLOOKUP(G538,Dados!$D:$L,4,0)&lt;=VLOOKUP(H538,Dados!$X:$AB,4,0)),0,1)</f>
        <v>0</v>
      </c>
      <c r="U538" s="4">
        <f>IF(COUNTIFS(F:F,F538,H:H,H538)&lt;=VLOOKUP(H538,Dados!$X:$AB,5,0),0,1)</f>
        <v>0</v>
      </c>
    </row>
    <row r="539" spans="6:21">
      <c r="F539" s="4">
        <v>339</v>
      </c>
      <c r="G539" s="4">
        <v>41</v>
      </c>
      <c r="H539" s="4">
        <v>1</v>
      </c>
      <c r="I539" s="4">
        <v>17</v>
      </c>
      <c r="J539" s="4">
        <v>1</v>
      </c>
      <c r="K539" s="4">
        <f t="shared" si="197"/>
        <v>2</v>
      </c>
      <c r="L539" s="4">
        <f t="shared" si="197"/>
        <v>0</v>
      </c>
      <c r="M539" s="4">
        <f t="shared" si="197"/>
        <v>0</v>
      </c>
      <c r="N539" s="4">
        <f t="shared" si="197"/>
        <v>0</v>
      </c>
      <c r="O539" s="4">
        <f t="shared" si="198"/>
        <v>2</v>
      </c>
      <c r="P539" s="4">
        <f t="shared" si="199"/>
        <v>0</v>
      </c>
      <c r="Q539" s="4">
        <f t="shared" si="200"/>
        <v>0</v>
      </c>
      <c r="R539" s="4">
        <f t="shared" si="201"/>
        <v>0</v>
      </c>
      <c r="S539" s="4">
        <f>IF(AND(VLOOKUP(G539,Dados!$D:$L,2,0)=VLOOKUP(I539,Dados!$S:$V,2,0),VLOOKUP(G539,Dados!$D:$L,3,0)=VLOOKUP(I539,Dados!$S:$V,3,0)),0,1)</f>
        <v>0</v>
      </c>
      <c r="T539" s="4">
        <f>IF(AND(VLOOKUP(G539,Dados!$D:$L,3,0)&lt;=VLOOKUP(H539,Dados!$X:$AB,2,0),VLOOKUP(G539,Dados!$D:$L,4,0)&gt;=VLOOKUP(H539,Dados!$X:$AB,3,0),VLOOKUP(G539,Dados!$D:$L,4,0)&lt;=VLOOKUP(H539,Dados!$X:$AB,4,0)),0,1)</f>
        <v>0</v>
      </c>
      <c r="U539" s="4">
        <f>IF(COUNTIFS(F:F,F539,H:H,H539)&lt;=VLOOKUP(H539,Dados!$X:$AB,5,0),0,1)</f>
        <v>0</v>
      </c>
    </row>
    <row r="540" spans="6:21">
      <c r="F540" s="4">
        <v>339</v>
      </c>
      <c r="G540" s="4">
        <v>44</v>
      </c>
      <c r="H540" s="4">
        <v>1</v>
      </c>
      <c r="I540" s="4">
        <v>17</v>
      </c>
      <c r="J540" s="4">
        <v>1</v>
      </c>
      <c r="K540" s="4">
        <f t="shared" si="197"/>
        <v>2</v>
      </c>
      <c r="L540" s="4">
        <f t="shared" si="197"/>
        <v>0</v>
      </c>
      <c r="M540" s="4">
        <f t="shared" si="197"/>
        <v>0</v>
      </c>
      <c r="N540" s="4">
        <f t="shared" si="197"/>
        <v>0</v>
      </c>
      <c r="O540" s="4">
        <f t="shared" si="198"/>
        <v>2</v>
      </c>
      <c r="P540" s="4">
        <f t="shared" si="199"/>
        <v>0</v>
      </c>
      <c r="Q540" s="4">
        <f t="shared" si="200"/>
        <v>0</v>
      </c>
      <c r="R540" s="4">
        <f t="shared" si="201"/>
        <v>0</v>
      </c>
      <c r="S540" s="4">
        <f>IF(AND(VLOOKUP(G540,Dados!$D:$L,2,0)=VLOOKUP(I540,Dados!$S:$V,2,0),VLOOKUP(G540,Dados!$D:$L,3,0)=VLOOKUP(I540,Dados!$S:$V,3,0)),0,1)</f>
        <v>0</v>
      </c>
      <c r="T540" s="4">
        <f>IF(AND(VLOOKUP(G540,Dados!$D:$L,3,0)&lt;=VLOOKUP(H540,Dados!$X:$AB,2,0),VLOOKUP(G540,Dados!$D:$L,4,0)&gt;=VLOOKUP(H540,Dados!$X:$AB,3,0),VLOOKUP(G540,Dados!$D:$L,4,0)&lt;=VLOOKUP(H540,Dados!$X:$AB,4,0)),0,1)</f>
        <v>0</v>
      </c>
      <c r="U540" s="4">
        <f>IF(COUNTIFS(F:F,F540,H:H,H540)&lt;=VLOOKUP(H540,Dados!$X:$AB,5,0),0,1)</f>
        <v>0</v>
      </c>
    </row>
    <row r="541" spans="6:21">
      <c r="F541" s="4">
        <v>340</v>
      </c>
      <c r="G541" s="4">
        <v>40</v>
      </c>
      <c r="H541" s="4">
        <v>2</v>
      </c>
      <c r="I541" s="4">
        <v>17</v>
      </c>
      <c r="J541" s="4">
        <v>5</v>
      </c>
      <c r="K541" s="4">
        <f t="shared" si="197"/>
        <v>0</v>
      </c>
      <c r="L541" s="4">
        <f t="shared" si="197"/>
        <v>0</v>
      </c>
      <c r="M541" s="4">
        <f t="shared" si="197"/>
        <v>0</v>
      </c>
      <c r="N541" s="4">
        <f t="shared" si="197"/>
        <v>0</v>
      </c>
      <c r="O541" s="4">
        <f t="shared" si="198"/>
        <v>0</v>
      </c>
      <c r="P541" s="4">
        <f t="shared" si="199"/>
        <v>0</v>
      </c>
      <c r="Q541" s="4">
        <f t="shared" si="200"/>
        <v>0</v>
      </c>
      <c r="R541" s="4">
        <f t="shared" si="201"/>
        <v>0</v>
      </c>
      <c r="S541" s="4">
        <f>IF(AND(VLOOKUP(G541,Dados!$D:$L,2,0)=VLOOKUP(I541,Dados!$S:$V,2,0),VLOOKUP(G541,Dados!$D:$L,3,0)=VLOOKUP(I541,Dados!$S:$V,3,0)),0,1)</f>
        <v>0</v>
      </c>
      <c r="T541" s="4">
        <f>IF(AND(VLOOKUP(G541,Dados!$D:$L,3,0)&lt;=VLOOKUP(H541,Dados!$X:$AB,2,0),VLOOKUP(G541,Dados!$D:$L,4,0)&gt;=VLOOKUP(H541,Dados!$X:$AB,3,0),VLOOKUP(G541,Dados!$D:$L,4,0)&lt;=VLOOKUP(H541,Dados!$X:$AB,4,0)),0,1)</f>
        <v>0</v>
      </c>
      <c r="U541" s="4">
        <f>IF(COUNTIFS(F:F,F541,H:H,H541)&lt;=VLOOKUP(H541,Dados!$X:$AB,5,0),0,1)</f>
        <v>0</v>
      </c>
    </row>
    <row r="542" spans="6:21">
      <c r="F542" s="4">
        <v>340</v>
      </c>
      <c r="G542" s="4">
        <v>41</v>
      </c>
      <c r="H542" s="4">
        <v>2</v>
      </c>
      <c r="I542" s="4">
        <v>17</v>
      </c>
      <c r="J542" s="4">
        <v>1</v>
      </c>
      <c r="K542" s="4">
        <f t="shared" si="197"/>
        <v>0</v>
      </c>
      <c r="L542" s="4">
        <f t="shared" si="197"/>
        <v>0</v>
      </c>
      <c r="M542" s="4">
        <f t="shared" si="197"/>
        <v>0</v>
      </c>
      <c r="N542" s="4">
        <f t="shared" si="197"/>
        <v>0</v>
      </c>
      <c r="O542" s="4">
        <f t="shared" si="198"/>
        <v>0</v>
      </c>
      <c r="P542" s="4">
        <f t="shared" si="199"/>
        <v>0</v>
      </c>
      <c r="Q542" s="4">
        <f t="shared" si="200"/>
        <v>0</v>
      </c>
      <c r="R542" s="4">
        <f t="shared" si="201"/>
        <v>0</v>
      </c>
      <c r="S542" s="4">
        <f>IF(AND(VLOOKUP(G542,Dados!$D:$L,2,0)=VLOOKUP(I542,Dados!$S:$V,2,0),VLOOKUP(G542,Dados!$D:$L,3,0)=VLOOKUP(I542,Dados!$S:$V,3,0)),0,1)</f>
        <v>0</v>
      </c>
      <c r="T542" s="4">
        <f>IF(AND(VLOOKUP(G542,Dados!$D:$L,3,0)&lt;=VLOOKUP(H542,Dados!$X:$AB,2,0),VLOOKUP(G542,Dados!$D:$L,4,0)&gt;=VLOOKUP(H542,Dados!$X:$AB,3,0),VLOOKUP(G542,Dados!$D:$L,4,0)&lt;=VLOOKUP(H542,Dados!$X:$AB,4,0)),0,1)</f>
        <v>0</v>
      </c>
      <c r="U542" s="4">
        <f>IF(COUNTIFS(F:F,F542,H:H,H542)&lt;=VLOOKUP(H542,Dados!$X:$AB,5,0),0,1)</f>
        <v>0</v>
      </c>
    </row>
    <row r="543" spans="6:21">
      <c r="F543" s="4">
        <v>340</v>
      </c>
      <c r="G543" s="4">
        <v>44</v>
      </c>
      <c r="H543" s="4">
        <v>2</v>
      </c>
      <c r="I543" s="4">
        <v>17</v>
      </c>
      <c r="J543" s="4">
        <v>1</v>
      </c>
      <c r="K543" s="4">
        <f t="shared" si="197"/>
        <v>0</v>
      </c>
      <c r="L543" s="4">
        <f t="shared" si="197"/>
        <v>0</v>
      </c>
      <c r="M543" s="4">
        <f t="shared" si="197"/>
        <v>0</v>
      </c>
      <c r="N543" s="4">
        <f t="shared" si="197"/>
        <v>0</v>
      </c>
      <c r="O543" s="4">
        <f t="shared" si="198"/>
        <v>0</v>
      </c>
      <c r="P543" s="4">
        <f t="shared" si="199"/>
        <v>0</v>
      </c>
      <c r="Q543" s="4">
        <f t="shared" si="200"/>
        <v>0</v>
      </c>
      <c r="R543" s="4">
        <f t="shared" si="201"/>
        <v>0</v>
      </c>
      <c r="S543" s="4">
        <f>IF(AND(VLOOKUP(G543,Dados!$D:$L,2,0)=VLOOKUP(I543,Dados!$S:$V,2,0),VLOOKUP(G543,Dados!$D:$L,3,0)=VLOOKUP(I543,Dados!$S:$V,3,0)),0,1)</f>
        <v>0</v>
      </c>
      <c r="T543" s="4">
        <f>IF(AND(VLOOKUP(G543,Dados!$D:$L,3,0)&lt;=VLOOKUP(H543,Dados!$X:$AB,2,0),VLOOKUP(G543,Dados!$D:$L,4,0)&gt;=VLOOKUP(H543,Dados!$X:$AB,3,0),VLOOKUP(G543,Dados!$D:$L,4,0)&lt;=VLOOKUP(H543,Dados!$X:$AB,4,0)),0,1)</f>
        <v>0</v>
      </c>
      <c r="U543" s="4">
        <f>IF(COUNTIFS(F:F,F543,H:H,H543)&lt;=VLOOKUP(H543,Dados!$X:$AB,5,0),0,1)</f>
        <v>0</v>
      </c>
    </row>
    <row r="544" spans="6:21">
      <c r="F544" s="4">
        <v>341</v>
      </c>
      <c r="G544" s="4">
        <v>40</v>
      </c>
      <c r="H544" s="4">
        <v>3</v>
      </c>
      <c r="I544" s="4">
        <v>17</v>
      </c>
      <c r="J544" s="4">
        <v>5</v>
      </c>
      <c r="K544" s="4">
        <f t="shared" si="197"/>
        <v>0</v>
      </c>
      <c r="L544" s="4">
        <f t="shared" si="197"/>
        <v>6</v>
      </c>
      <c r="M544" s="4">
        <f t="shared" si="197"/>
        <v>0</v>
      </c>
      <c r="N544" s="4">
        <f t="shared" si="197"/>
        <v>0</v>
      </c>
      <c r="O544" s="4">
        <f t="shared" si="198"/>
        <v>0</v>
      </c>
      <c r="P544" s="4">
        <f t="shared" si="199"/>
        <v>30</v>
      </c>
      <c r="Q544" s="4">
        <f t="shared" si="200"/>
        <v>0</v>
      </c>
      <c r="R544" s="4">
        <f t="shared" si="201"/>
        <v>0</v>
      </c>
      <c r="S544" s="4">
        <f>IF(AND(VLOOKUP(G544,Dados!$D:$L,2,0)=VLOOKUP(I544,Dados!$S:$V,2,0),VLOOKUP(G544,Dados!$D:$L,3,0)=VLOOKUP(I544,Dados!$S:$V,3,0)),0,1)</f>
        <v>0</v>
      </c>
      <c r="T544" s="4">
        <f>IF(AND(VLOOKUP(G544,Dados!$D:$L,3,0)&lt;=VLOOKUP(H544,Dados!$X:$AB,2,0),VLOOKUP(G544,Dados!$D:$L,4,0)&gt;=VLOOKUP(H544,Dados!$X:$AB,3,0),VLOOKUP(G544,Dados!$D:$L,4,0)&lt;=VLOOKUP(H544,Dados!$X:$AB,4,0)),0,1)</f>
        <v>0</v>
      </c>
      <c r="U544" s="4">
        <f>IF(COUNTIFS(F:F,F544,H:H,H544)&lt;=VLOOKUP(H544,Dados!$X:$AB,5,0),0,1)</f>
        <v>0</v>
      </c>
    </row>
    <row r="545" spans="6:21">
      <c r="F545" s="4">
        <v>341</v>
      </c>
      <c r="G545" s="4">
        <v>41</v>
      </c>
      <c r="H545" s="4">
        <v>3</v>
      </c>
      <c r="I545" s="4">
        <v>17</v>
      </c>
      <c r="J545" s="4">
        <v>1</v>
      </c>
      <c r="K545" s="4">
        <f t="shared" si="197"/>
        <v>0</v>
      </c>
      <c r="L545" s="4">
        <f t="shared" si="197"/>
        <v>6</v>
      </c>
      <c r="M545" s="4">
        <f t="shared" si="197"/>
        <v>0</v>
      </c>
      <c r="N545" s="4">
        <f t="shared" si="197"/>
        <v>0</v>
      </c>
      <c r="O545" s="4">
        <f t="shared" si="198"/>
        <v>0</v>
      </c>
      <c r="P545" s="4">
        <f t="shared" si="199"/>
        <v>6</v>
      </c>
      <c r="Q545" s="4">
        <f t="shared" si="200"/>
        <v>0</v>
      </c>
      <c r="R545" s="4">
        <f t="shared" si="201"/>
        <v>0</v>
      </c>
      <c r="S545" s="4">
        <f>IF(AND(VLOOKUP(G545,Dados!$D:$L,2,0)=VLOOKUP(I545,Dados!$S:$V,2,0),VLOOKUP(G545,Dados!$D:$L,3,0)=VLOOKUP(I545,Dados!$S:$V,3,0)),0,1)</f>
        <v>0</v>
      </c>
      <c r="T545" s="4">
        <f>IF(AND(VLOOKUP(G545,Dados!$D:$L,3,0)&lt;=VLOOKUP(H545,Dados!$X:$AB,2,0),VLOOKUP(G545,Dados!$D:$L,4,0)&gt;=VLOOKUP(H545,Dados!$X:$AB,3,0),VLOOKUP(G545,Dados!$D:$L,4,0)&lt;=VLOOKUP(H545,Dados!$X:$AB,4,0)),0,1)</f>
        <v>0</v>
      </c>
      <c r="U545" s="4">
        <f>IF(COUNTIFS(F:F,F545,H:H,H545)&lt;=VLOOKUP(H545,Dados!$X:$AB,5,0),0,1)</f>
        <v>0</v>
      </c>
    </row>
    <row r="546" spans="6:21">
      <c r="F546" s="4">
        <v>341</v>
      </c>
      <c r="G546" s="4">
        <v>44</v>
      </c>
      <c r="H546" s="4">
        <v>3</v>
      </c>
      <c r="I546" s="4">
        <v>17</v>
      </c>
      <c r="J546" s="4">
        <v>1</v>
      </c>
      <c r="K546" s="4">
        <f t="shared" si="197"/>
        <v>0</v>
      </c>
      <c r="L546" s="4">
        <f t="shared" si="197"/>
        <v>6</v>
      </c>
      <c r="M546" s="4">
        <f t="shared" si="197"/>
        <v>0</v>
      </c>
      <c r="N546" s="4">
        <f t="shared" si="197"/>
        <v>0</v>
      </c>
      <c r="O546" s="4">
        <f t="shared" si="198"/>
        <v>0</v>
      </c>
      <c r="P546" s="4">
        <f t="shared" si="199"/>
        <v>6</v>
      </c>
      <c r="Q546" s="4">
        <f t="shared" si="200"/>
        <v>0</v>
      </c>
      <c r="R546" s="4">
        <f t="shared" si="201"/>
        <v>0</v>
      </c>
      <c r="S546" s="4">
        <f>IF(AND(VLOOKUP(G546,Dados!$D:$L,2,0)=VLOOKUP(I546,Dados!$S:$V,2,0),VLOOKUP(G546,Dados!$D:$L,3,0)=VLOOKUP(I546,Dados!$S:$V,3,0)),0,1)</f>
        <v>0</v>
      </c>
      <c r="T546" s="4">
        <f>IF(AND(VLOOKUP(G546,Dados!$D:$L,3,0)&lt;=VLOOKUP(H546,Dados!$X:$AB,2,0),VLOOKUP(G546,Dados!$D:$L,4,0)&gt;=VLOOKUP(H546,Dados!$X:$AB,3,0),VLOOKUP(G546,Dados!$D:$L,4,0)&lt;=VLOOKUP(H546,Dados!$X:$AB,4,0)),0,1)</f>
        <v>0</v>
      </c>
      <c r="U546" s="4">
        <f>IF(COUNTIFS(F:F,F546,H:H,H546)&lt;=VLOOKUP(H546,Dados!$X:$AB,5,0),0,1)</f>
        <v>0</v>
      </c>
    </row>
    <row r="547" spans="6:21">
      <c r="F547" s="4">
        <v>342</v>
      </c>
      <c r="G547" s="4">
        <v>48</v>
      </c>
      <c r="H547" s="4">
        <v>1</v>
      </c>
      <c r="I547" s="4">
        <v>18</v>
      </c>
      <c r="J547" s="4">
        <v>1</v>
      </c>
      <c r="K547" s="4">
        <f t="shared" si="197"/>
        <v>0</v>
      </c>
      <c r="L547" s="4">
        <f t="shared" si="197"/>
        <v>0</v>
      </c>
      <c r="M547" s="4">
        <f t="shared" si="197"/>
        <v>0</v>
      </c>
      <c r="N547" s="4">
        <f t="shared" si="197"/>
        <v>0</v>
      </c>
      <c r="O547" s="4">
        <f t="shared" si="198"/>
        <v>0</v>
      </c>
      <c r="P547" s="4">
        <f t="shared" si="199"/>
        <v>0</v>
      </c>
      <c r="Q547" s="4">
        <f t="shared" si="200"/>
        <v>0</v>
      </c>
      <c r="R547" s="4">
        <f t="shared" si="201"/>
        <v>0</v>
      </c>
      <c r="S547" s="4">
        <f>IF(AND(VLOOKUP(G547,Dados!$D:$L,2,0)=VLOOKUP(I547,Dados!$S:$V,2,0),VLOOKUP(G547,Dados!$D:$L,3,0)=VLOOKUP(I547,Dados!$S:$V,3,0)),0,1)</f>
        <v>0</v>
      </c>
      <c r="T547" s="4">
        <f>IF(AND(VLOOKUP(G547,Dados!$D:$L,3,0)&lt;=VLOOKUP(H547,Dados!$X:$AB,2,0),VLOOKUP(G547,Dados!$D:$L,4,0)&gt;=VLOOKUP(H547,Dados!$X:$AB,3,0),VLOOKUP(G547,Dados!$D:$L,4,0)&lt;=VLOOKUP(H547,Dados!$X:$AB,4,0)),0,1)</f>
        <v>0</v>
      </c>
      <c r="U547" s="4">
        <f>IF(COUNTIFS(F:F,F547,H:H,H547)&lt;=VLOOKUP(H547,Dados!$X:$AB,5,0),0,1)</f>
        <v>0</v>
      </c>
    </row>
    <row r="548" spans="6:21">
      <c r="F548" s="4">
        <v>342</v>
      </c>
      <c r="G548" s="4">
        <v>52</v>
      </c>
      <c r="H548" s="4">
        <v>1</v>
      </c>
      <c r="I548" s="4">
        <v>18</v>
      </c>
      <c r="J548" s="4">
        <v>8</v>
      </c>
      <c r="K548" s="4">
        <f t="shared" si="197"/>
        <v>0</v>
      </c>
      <c r="L548" s="4">
        <f t="shared" si="197"/>
        <v>0</v>
      </c>
      <c r="M548" s="4">
        <f t="shared" si="197"/>
        <v>0</v>
      </c>
      <c r="N548" s="4">
        <f t="shared" si="197"/>
        <v>0</v>
      </c>
      <c r="O548" s="4">
        <f t="shared" si="198"/>
        <v>0</v>
      </c>
      <c r="P548" s="4">
        <f t="shared" si="199"/>
        <v>0</v>
      </c>
      <c r="Q548" s="4">
        <f t="shared" si="200"/>
        <v>0</v>
      </c>
      <c r="R548" s="4">
        <f t="shared" si="201"/>
        <v>0</v>
      </c>
      <c r="S548" s="4">
        <f>IF(AND(VLOOKUP(G548,Dados!$D:$L,2,0)=VLOOKUP(I548,Dados!$S:$V,2,0),VLOOKUP(G548,Dados!$D:$L,3,0)=VLOOKUP(I548,Dados!$S:$V,3,0)),0,1)</f>
        <v>0</v>
      </c>
      <c r="T548" s="4">
        <f>IF(AND(VLOOKUP(G548,Dados!$D:$L,3,0)&lt;=VLOOKUP(H548,Dados!$X:$AB,2,0),VLOOKUP(G548,Dados!$D:$L,4,0)&gt;=VLOOKUP(H548,Dados!$X:$AB,3,0),VLOOKUP(G548,Dados!$D:$L,4,0)&lt;=VLOOKUP(H548,Dados!$X:$AB,4,0)),0,1)</f>
        <v>0</v>
      </c>
      <c r="U548" s="4">
        <f>IF(COUNTIFS(F:F,F548,H:H,H548)&lt;=VLOOKUP(H548,Dados!$X:$AB,5,0),0,1)</f>
        <v>0</v>
      </c>
    </row>
    <row r="549" spans="6:21">
      <c r="F549" s="4">
        <v>343</v>
      </c>
      <c r="G549" s="4">
        <v>48</v>
      </c>
      <c r="H549" s="4">
        <v>3</v>
      </c>
      <c r="I549" s="4">
        <v>18</v>
      </c>
      <c r="J549" s="4">
        <v>1</v>
      </c>
      <c r="K549" s="4">
        <f t="shared" si="197"/>
        <v>0</v>
      </c>
      <c r="L549" s="4">
        <f t="shared" si="197"/>
        <v>0</v>
      </c>
      <c r="M549" s="4">
        <f t="shared" si="197"/>
        <v>0</v>
      </c>
      <c r="N549" s="4">
        <f t="shared" si="197"/>
        <v>0</v>
      </c>
      <c r="O549" s="4">
        <f t="shared" si="198"/>
        <v>0</v>
      </c>
      <c r="P549" s="4">
        <f t="shared" si="199"/>
        <v>0</v>
      </c>
      <c r="Q549" s="4">
        <f t="shared" si="200"/>
        <v>0</v>
      </c>
      <c r="R549" s="4">
        <f t="shared" si="201"/>
        <v>0</v>
      </c>
      <c r="S549" s="4">
        <f>IF(AND(VLOOKUP(G549,Dados!$D:$L,2,0)=VLOOKUP(I549,Dados!$S:$V,2,0),VLOOKUP(G549,Dados!$D:$L,3,0)=VLOOKUP(I549,Dados!$S:$V,3,0)),0,1)</f>
        <v>0</v>
      </c>
      <c r="T549" s="4">
        <f>IF(AND(VLOOKUP(G549,Dados!$D:$L,3,0)&lt;=VLOOKUP(H549,Dados!$X:$AB,2,0),VLOOKUP(G549,Dados!$D:$L,4,0)&gt;=VLOOKUP(H549,Dados!$X:$AB,3,0),VLOOKUP(G549,Dados!$D:$L,4,0)&lt;=VLOOKUP(H549,Dados!$X:$AB,4,0)),0,1)</f>
        <v>0</v>
      </c>
      <c r="U549" s="4">
        <f>IF(COUNTIFS(F:F,F549,H:H,H549)&lt;=VLOOKUP(H549,Dados!$X:$AB,5,0),0,1)</f>
        <v>0</v>
      </c>
    </row>
    <row r="550" spans="6:21">
      <c r="F550" s="4">
        <v>343</v>
      </c>
      <c r="G550" s="4">
        <v>52</v>
      </c>
      <c r="H550" s="4">
        <v>3</v>
      </c>
      <c r="I550" s="4">
        <v>18</v>
      </c>
      <c r="J550" s="4">
        <v>8</v>
      </c>
      <c r="K550" s="4">
        <f t="shared" si="197"/>
        <v>0</v>
      </c>
      <c r="L550" s="4">
        <f t="shared" si="197"/>
        <v>0</v>
      </c>
      <c r="M550" s="4">
        <f t="shared" si="197"/>
        <v>0</v>
      </c>
      <c r="N550" s="4">
        <f t="shared" si="197"/>
        <v>0</v>
      </c>
      <c r="O550" s="4">
        <f t="shared" si="198"/>
        <v>0</v>
      </c>
      <c r="P550" s="4">
        <f t="shared" si="199"/>
        <v>0</v>
      </c>
      <c r="Q550" s="4">
        <f t="shared" si="200"/>
        <v>0</v>
      </c>
      <c r="R550" s="4">
        <f t="shared" si="201"/>
        <v>0</v>
      </c>
      <c r="S550" s="4">
        <f>IF(AND(VLOOKUP(G550,Dados!$D:$L,2,0)=VLOOKUP(I550,Dados!$S:$V,2,0),VLOOKUP(G550,Dados!$D:$L,3,0)=VLOOKUP(I550,Dados!$S:$V,3,0)),0,1)</f>
        <v>0</v>
      </c>
      <c r="T550" s="4">
        <f>IF(AND(VLOOKUP(G550,Dados!$D:$L,3,0)&lt;=VLOOKUP(H550,Dados!$X:$AB,2,0),VLOOKUP(G550,Dados!$D:$L,4,0)&gt;=VLOOKUP(H550,Dados!$X:$AB,3,0),VLOOKUP(G550,Dados!$D:$L,4,0)&lt;=VLOOKUP(H550,Dados!$X:$AB,4,0)),0,1)</f>
        <v>0</v>
      </c>
      <c r="U550" s="4">
        <f>IF(COUNTIFS(F:F,F550,H:H,H550)&lt;=VLOOKUP(H550,Dados!$X:$AB,5,0),0,1)</f>
        <v>0</v>
      </c>
    </row>
    <row r="551" spans="6:21">
      <c r="F551" s="4">
        <v>344</v>
      </c>
      <c r="G551" s="4">
        <v>52</v>
      </c>
      <c r="H551" s="4">
        <v>1</v>
      </c>
      <c r="I551" s="4">
        <v>19</v>
      </c>
      <c r="J551" s="4">
        <v>11</v>
      </c>
      <c r="K551" s="4">
        <f t="shared" si="197"/>
        <v>0</v>
      </c>
      <c r="L551" s="4">
        <f t="shared" si="197"/>
        <v>0</v>
      </c>
      <c r="M551" s="4">
        <f t="shared" si="197"/>
        <v>0</v>
      </c>
      <c r="N551" s="4">
        <f t="shared" si="197"/>
        <v>0</v>
      </c>
      <c r="O551" s="4">
        <f t="shared" si="198"/>
        <v>0</v>
      </c>
      <c r="P551" s="4">
        <f t="shared" si="199"/>
        <v>0</v>
      </c>
      <c r="Q551" s="4">
        <f t="shared" si="200"/>
        <v>0</v>
      </c>
      <c r="R551" s="4">
        <f t="shared" si="201"/>
        <v>0</v>
      </c>
      <c r="S551" s="4">
        <f>IF(AND(VLOOKUP(G551,Dados!$D:$L,2,0)=VLOOKUP(I551,Dados!$S:$V,2,0),VLOOKUP(G551,Dados!$D:$L,3,0)=VLOOKUP(I551,Dados!$S:$V,3,0)),0,1)</f>
        <v>0</v>
      </c>
      <c r="T551" s="4">
        <f>IF(AND(VLOOKUP(G551,Dados!$D:$L,3,0)&lt;=VLOOKUP(H551,Dados!$X:$AB,2,0),VLOOKUP(G551,Dados!$D:$L,4,0)&gt;=VLOOKUP(H551,Dados!$X:$AB,3,0),VLOOKUP(G551,Dados!$D:$L,4,0)&lt;=VLOOKUP(H551,Dados!$X:$AB,4,0)),0,1)</f>
        <v>0</v>
      </c>
      <c r="U551" s="4">
        <f>IF(COUNTIFS(F:F,F551,H:H,H551)&lt;=VLOOKUP(H551,Dados!$X:$AB,5,0),0,1)</f>
        <v>0</v>
      </c>
    </row>
    <row r="552" spans="6:21">
      <c r="F552" s="4">
        <v>345</v>
      </c>
      <c r="G552" s="4">
        <v>52</v>
      </c>
      <c r="H552" s="4">
        <v>3</v>
      </c>
      <c r="I552" s="4">
        <v>19</v>
      </c>
      <c r="J552" s="4">
        <v>11</v>
      </c>
      <c r="K552" s="4">
        <f t="shared" si="197"/>
        <v>0</v>
      </c>
      <c r="L552" s="4">
        <f t="shared" si="197"/>
        <v>0</v>
      </c>
      <c r="M552" s="4">
        <f t="shared" si="197"/>
        <v>26</v>
      </c>
      <c r="N552" s="4">
        <f t="shared" si="197"/>
        <v>0</v>
      </c>
      <c r="O552" s="4">
        <f t="shared" si="198"/>
        <v>0</v>
      </c>
      <c r="P552" s="4">
        <f t="shared" si="199"/>
        <v>0</v>
      </c>
      <c r="Q552" s="4">
        <f t="shared" si="200"/>
        <v>286</v>
      </c>
      <c r="R552" s="4">
        <f t="shared" si="201"/>
        <v>0</v>
      </c>
      <c r="S552" s="4">
        <f>IF(AND(VLOOKUP(G552,Dados!$D:$L,2,0)=VLOOKUP(I552,Dados!$S:$V,2,0),VLOOKUP(G552,Dados!$D:$L,3,0)=VLOOKUP(I552,Dados!$S:$V,3,0)),0,1)</f>
        <v>0</v>
      </c>
      <c r="T552" s="4">
        <f>IF(AND(VLOOKUP(G552,Dados!$D:$L,3,0)&lt;=VLOOKUP(H552,Dados!$X:$AB,2,0),VLOOKUP(G552,Dados!$D:$L,4,0)&gt;=VLOOKUP(H552,Dados!$X:$AB,3,0),VLOOKUP(G552,Dados!$D:$L,4,0)&lt;=VLOOKUP(H552,Dados!$X:$AB,4,0)),0,1)</f>
        <v>0</v>
      </c>
      <c r="U552" s="4">
        <f>IF(COUNTIFS(F:F,F552,H:H,H552)&lt;=VLOOKUP(H552,Dados!$X:$AB,5,0),0,1)</f>
        <v>0</v>
      </c>
    </row>
    <row r="553" spans="6:21">
      <c r="F553" s="4">
        <v>346</v>
      </c>
      <c r="G553" s="4">
        <v>59</v>
      </c>
      <c r="H553" s="4">
        <v>1</v>
      </c>
      <c r="I553" s="4">
        <v>21</v>
      </c>
      <c r="J553" s="4">
        <v>6</v>
      </c>
      <c r="K553" s="4">
        <f t="shared" si="197"/>
        <v>0</v>
      </c>
      <c r="L553" s="4">
        <f t="shared" si="197"/>
        <v>0</v>
      </c>
      <c r="M553" s="4">
        <f t="shared" si="197"/>
        <v>0</v>
      </c>
      <c r="N553" s="4">
        <f t="shared" si="197"/>
        <v>0</v>
      </c>
      <c r="O553" s="4">
        <f t="shared" si="198"/>
        <v>0</v>
      </c>
      <c r="P553" s="4">
        <f t="shared" si="199"/>
        <v>0</v>
      </c>
      <c r="Q553" s="4">
        <f t="shared" si="200"/>
        <v>0</v>
      </c>
      <c r="R553" s="4">
        <f t="shared" si="201"/>
        <v>0</v>
      </c>
      <c r="S553" s="4">
        <f>IF(AND(VLOOKUP(G553,Dados!$D:$L,2,0)=VLOOKUP(I553,Dados!$S:$V,2,0),VLOOKUP(G553,Dados!$D:$L,3,0)=VLOOKUP(I553,Dados!$S:$V,3,0)),0,1)</f>
        <v>0</v>
      </c>
      <c r="T553" s="4">
        <f>IF(AND(VLOOKUP(G553,Dados!$D:$L,3,0)&lt;=VLOOKUP(H553,Dados!$X:$AB,2,0),VLOOKUP(G553,Dados!$D:$L,4,0)&gt;=VLOOKUP(H553,Dados!$X:$AB,3,0),VLOOKUP(G553,Dados!$D:$L,4,0)&lt;=VLOOKUP(H553,Dados!$X:$AB,4,0)),0,1)</f>
        <v>0</v>
      </c>
      <c r="U553" s="4">
        <f>IF(COUNTIFS(F:F,F553,H:H,H553)&lt;=VLOOKUP(H553,Dados!$X:$AB,5,0),0,1)</f>
        <v>0</v>
      </c>
    </row>
    <row r="554" spans="6:21">
      <c r="F554" s="4">
        <v>346</v>
      </c>
      <c r="G554" s="4">
        <v>62</v>
      </c>
      <c r="H554" s="4">
        <v>1</v>
      </c>
      <c r="I554" s="4">
        <v>21</v>
      </c>
      <c r="J554" s="4">
        <v>1</v>
      </c>
      <c r="K554" s="4">
        <f t="shared" si="197"/>
        <v>0</v>
      </c>
      <c r="L554" s="4">
        <f t="shared" si="197"/>
        <v>0</v>
      </c>
      <c r="M554" s="4">
        <f t="shared" si="197"/>
        <v>0</v>
      </c>
      <c r="N554" s="4">
        <f t="shared" si="197"/>
        <v>0</v>
      </c>
      <c r="O554" s="4">
        <f t="shared" si="198"/>
        <v>0</v>
      </c>
      <c r="P554" s="4">
        <f t="shared" si="199"/>
        <v>0</v>
      </c>
      <c r="Q554" s="4">
        <f t="shared" si="200"/>
        <v>0</v>
      </c>
      <c r="R554" s="4">
        <f t="shared" si="201"/>
        <v>0</v>
      </c>
      <c r="S554" s="4">
        <f>IF(AND(VLOOKUP(G554,Dados!$D:$L,2,0)=VLOOKUP(I554,Dados!$S:$V,2,0),VLOOKUP(G554,Dados!$D:$L,3,0)=VLOOKUP(I554,Dados!$S:$V,3,0)),0,1)</f>
        <v>0</v>
      </c>
      <c r="T554" s="4">
        <f>IF(AND(VLOOKUP(G554,Dados!$D:$L,3,0)&lt;=VLOOKUP(H554,Dados!$X:$AB,2,0),VLOOKUP(G554,Dados!$D:$L,4,0)&gt;=VLOOKUP(H554,Dados!$X:$AB,3,0),VLOOKUP(G554,Dados!$D:$L,4,0)&lt;=VLOOKUP(H554,Dados!$X:$AB,4,0)),0,1)</f>
        <v>0</v>
      </c>
      <c r="U554" s="4">
        <f>IF(COUNTIFS(F:F,F554,H:H,H554)&lt;=VLOOKUP(H554,Dados!$X:$AB,5,0),0,1)</f>
        <v>0</v>
      </c>
    </row>
    <row r="555" spans="6:21">
      <c r="F555" s="4">
        <v>346</v>
      </c>
      <c r="G555" s="4">
        <v>64</v>
      </c>
      <c r="H555" s="4">
        <v>1</v>
      </c>
      <c r="I555" s="4">
        <v>21</v>
      </c>
      <c r="J555" s="4">
        <v>3</v>
      </c>
      <c r="K555" s="4">
        <f t="shared" si="197"/>
        <v>0</v>
      </c>
      <c r="L555" s="4">
        <f t="shared" si="197"/>
        <v>0</v>
      </c>
      <c r="M555" s="4">
        <f t="shared" si="197"/>
        <v>0</v>
      </c>
      <c r="N555" s="4">
        <f t="shared" si="197"/>
        <v>0</v>
      </c>
      <c r="O555" s="4">
        <f t="shared" si="198"/>
        <v>0</v>
      </c>
      <c r="P555" s="4">
        <f t="shared" si="199"/>
        <v>0</v>
      </c>
      <c r="Q555" s="4">
        <f t="shared" si="200"/>
        <v>0</v>
      </c>
      <c r="R555" s="4">
        <f t="shared" si="201"/>
        <v>0</v>
      </c>
      <c r="S555" s="4">
        <f>IF(AND(VLOOKUP(G555,Dados!$D:$L,2,0)=VLOOKUP(I555,Dados!$S:$V,2,0),VLOOKUP(G555,Dados!$D:$L,3,0)=VLOOKUP(I555,Dados!$S:$V,3,0)),0,1)</f>
        <v>0</v>
      </c>
      <c r="T555" s="4">
        <f>IF(AND(VLOOKUP(G555,Dados!$D:$L,3,0)&lt;=VLOOKUP(H555,Dados!$X:$AB,2,0),VLOOKUP(G555,Dados!$D:$L,4,0)&gt;=VLOOKUP(H555,Dados!$X:$AB,3,0),VLOOKUP(G555,Dados!$D:$L,4,0)&lt;=VLOOKUP(H555,Dados!$X:$AB,4,0)),0,1)</f>
        <v>0</v>
      </c>
      <c r="U555" s="4">
        <f>IF(COUNTIFS(F:F,F555,H:H,H555)&lt;=VLOOKUP(H555,Dados!$X:$AB,5,0),0,1)</f>
        <v>0</v>
      </c>
    </row>
    <row r="556" spans="6:21">
      <c r="F556" s="4">
        <v>347</v>
      </c>
      <c r="G556" s="4">
        <v>59</v>
      </c>
      <c r="H556" s="4">
        <v>2</v>
      </c>
      <c r="I556" s="4">
        <v>21</v>
      </c>
      <c r="J556" s="4">
        <v>6</v>
      </c>
      <c r="K556" s="4">
        <f t="shared" si="197"/>
        <v>0</v>
      </c>
      <c r="L556" s="4">
        <f t="shared" si="197"/>
        <v>0</v>
      </c>
      <c r="M556" s="4">
        <f t="shared" si="197"/>
        <v>0</v>
      </c>
      <c r="N556" s="4">
        <f t="shared" si="197"/>
        <v>0</v>
      </c>
      <c r="O556" s="4">
        <f t="shared" si="198"/>
        <v>0</v>
      </c>
      <c r="P556" s="4">
        <f t="shared" si="199"/>
        <v>0</v>
      </c>
      <c r="Q556" s="4">
        <f t="shared" si="200"/>
        <v>0</v>
      </c>
      <c r="R556" s="4">
        <f t="shared" si="201"/>
        <v>0</v>
      </c>
      <c r="S556" s="4">
        <f>IF(AND(VLOOKUP(G556,Dados!$D:$L,2,0)=VLOOKUP(I556,Dados!$S:$V,2,0),VLOOKUP(G556,Dados!$D:$L,3,0)=VLOOKUP(I556,Dados!$S:$V,3,0)),0,1)</f>
        <v>0</v>
      </c>
      <c r="T556" s="4">
        <f>IF(AND(VLOOKUP(G556,Dados!$D:$L,3,0)&lt;=VLOOKUP(H556,Dados!$X:$AB,2,0),VLOOKUP(G556,Dados!$D:$L,4,0)&gt;=VLOOKUP(H556,Dados!$X:$AB,3,0),VLOOKUP(G556,Dados!$D:$L,4,0)&lt;=VLOOKUP(H556,Dados!$X:$AB,4,0)),0,1)</f>
        <v>0</v>
      </c>
      <c r="U556" s="4">
        <f>IF(COUNTIFS(F:F,F556,H:H,H556)&lt;=VLOOKUP(H556,Dados!$X:$AB,5,0),0,1)</f>
        <v>0</v>
      </c>
    </row>
    <row r="557" spans="6:21">
      <c r="F557" s="4">
        <v>347</v>
      </c>
      <c r="G557" s="4">
        <v>62</v>
      </c>
      <c r="H557" s="4">
        <v>2</v>
      </c>
      <c r="I557" s="4">
        <v>21</v>
      </c>
      <c r="J557" s="4">
        <v>1</v>
      </c>
      <c r="K557" s="4">
        <f t="shared" si="197"/>
        <v>0</v>
      </c>
      <c r="L557" s="4">
        <f t="shared" si="197"/>
        <v>0</v>
      </c>
      <c r="M557" s="4">
        <f t="shared" si="197"/>
        <v>0</v>
      </c>
      <c r="N557" s="4">
        <f t="shared" si="197"/>
        <v>0</v>
      </c>
      <c r="O557" s="4">
        <f t="shared" si="198"/>
        <v>0</v>
      </c>
      <c r="P557" s="4">
        <f t="shared" si="199"/>
        <v>0</v>
      </c>
      <c r="Q557" s="4">
        <f t="shared" si="200"/>
        <v>0</v>
      </c>
      <c r="R557" s="4">
        <f t="shared" si="201"/>
        <v>0</v>
      </c>
      <c r="S557" s="4">
        <f>IF(AND(VLOOKUP(G557,Dados!$D:$L,2,0)=VLOOKUP(I557,Dados!$S:$V,2,0),VLOOKUP(G557,Dados!$D:$L,3,0)=VLOOKUP(I557,Dados!$S:$V,3,0)),0,1)</f>
        <v>0</v>
      </c>
      <c r="T557" s="4">
        <f>IF(AND(VLOOKUP(G557,Dados!$D:$L,3,0)&lt;=VLOOKUP(H557,Dados!$X:$AB,2,0),VLOOKUP(G557,Dados!$D:$L,4,0)&gt;=VLOOKUP(H557,Dados!$X:$AB,3,0),VLOOKUP(G557,Dados!$D:$L,4,0)&lt;=VLOOKUP(H557,Dados!$X:$AB,4,0)),0,1)</f>
        <v>0</v>
      </c>
      <c r="U557" s="4">
        <f>IF(COUNTIFS(F:F,F557,H:H,H557)&lt;=VLOOKUP(H557,Dados!$X:$AB,5,0),0,1)</f>
        <v>0</v>
      </c>
    </row>
    <row r="558" spans="6:21">
      <c r="F558" s="4">
        <v>347</v>
      </c>
      <c r="G558" s="4">
        <v>64</v>
      </c>
      <c r="H558" s="4">
        <v>2</v>
      </c>
      <c r="I558" s="4">
        <v>21</v>
      </c>
      <c r="J558" s="4">
        <v>3</v>
      </c>
      <c r="K558" s="4">
        <f t="shared" si="197"/>
        <v>0</v>
      </c>
      <c r="L558" s="4">
        <f t="shared" si="197"/>
        <v>0</v>
      </c>
      <c r="M558" s="4">
        <f t="shared" si="197"/>
        <v>0</v>
      </c>
      <c r="N558" s="4">
        <f t="shared" si="197"/>
        <v>0</v>
      </c>
      <c r="O558" s="4">
        <f t="shared" si="198"/>
        <v>0</v>
      </c>
      <c r="P558" s="4">
        <f t="shared" si="199"/>
        <v>0</v>
      </c>
      <c r="Q558" s="4">
        <f t="shared" si="200"/>
        <v>0</v>
      </c>
      <c r="R558" s="4">
        <f t="shared" si="201"/>
        <v>0</v>
      </c>
      <c r="S558" s="4">
        <f>IF(AND(VLOOKUP(G558,Dados!$D:$L,2,0)=VLOOKUP(I558,Dados!$S:$V,2,0),VLOOKUP(G558,Dados!$D:$L,3,0)=VLOOKUP(I558,Dados!$S:$V,3,0)),0,1)</f>
        <v>0</v>
      </c>
      <c r="T558" s="4">
        <f>IF(AND(VLOOKUP(G558,Dados!$D:$L,3,0)&lt;=VLOOKUP(H558,Dados!$X:$AB,2,0),VLOOKUP(G558,Dados!$D:$L,4,0)&gt;=VLOOKUP(H558,Dados!$X:$AB,3,0),VLOOKUP(G558,Dados!$D:$L,4,0)&lt;=VLOOKUP(H558,Dados!$X:$AB,4,0)),0,1)</f>
        <v>0</v>
      </c>
      <c r="U558" s="4">
        <f>IF(COUNTIFS(F:F,F558,H:H,H558)&lt;=VLOOKUP(H558,Dados!$X:$AB,5,0),0,1)</f>
        <v>0</v>
      </c>
    </row>
    <row r="559" spans="6:21">
      <c r="F559" s="4">
        <v>348</v>
      </c>
      <c r="G559" s="4">
        <v>59</v>
      </c>
      <c r="H559" s="4">
        <v>3</v>
      </c>
      <c r="I559" s="4">
        <v>21</v>
      </c>
      <c r="J559" s="4">
        <v>6</v>
      </c>
      <c r="K559" s="4">
        <f t="shared" si="197"/>
        <v>0</v>
      </c>
      <c r="L559" s="4">
        <f t="shared" si="197"/>
        <v>0</v>
      </c>
      <c r="M559" s="4">
        <f t="shared" si="197"/>
        <v>0</v>
      </c>
      <c r="N559" s="4">
        <f t="shared" si="197"/>
        <v>0</v>
      </c>
      <c r="O559" s="4">
        <f t="shared" si="198"/>
        <v>0</v>
      </c>
      <c r="P559" s="4">
        <f t="shared" si="199"/>
        <v>0</v>
      </c>
      <c r="Q559" s="4">
        <f t="shared" si="200"/>
        <v>0</v>
      </c>
      <c r="R559" s="4">
        <f t="shared" si="201"/>
        <v>0</v>
      </c>
      <c r="S559" s="4">
        <f>IF(AND(VLOOKUP(G559,Dados!$D:$L,2,0)=VLOOKUP(I559,Dados!$S:$V,2,0),VLOOKUP(G559,Dados!$D:$L,3,0)=VLOOKUP(I559,Dados!$S:$V,3,0)),0,1)</f>
        <v>0</v>
      </c>
      <c r="T559" s="4">
        <f>IF(AND(VLOOKUP(G559,Dados!$D:$L,3,0)&lt;=VLOOKUP(H559,Dados!$X:$AB,2,0),VLOOKUP(G559,Dados!$D:$L,4,0)&gt;=VLOOKUP(H559,Dados!$X:$AB,3,0),VLOOKUP(G559,Dados!$D:$L,4,0)&lt;=VLOOKUP(H559,Dados!$X:$AB,4,0)),0,1)</f>
        <v>0</v>
      </c>
      <c r="U559" s="4">
        <f>IF(COUNTIFS(F:F,F559,H:H,H559)&lt;=VLOOKUP(H559,Dados!$X:$AB,5,0),0,1)</f>
        <v>0</v>
      </c>
    </row>
    <row r="560" spans="6:21">
      <c r="F560" s="4">
        <v>348</v>
      </c>
      <c r="G560" s="4">
        <v>62</v>
      </c>
      <c r="H560" s="4">
        <v>3</v>
      </c>
      <c r="I560" s="4">
        <v>21</v>
      </c>
      <c r="J560" s="4">
        <v>1</v>
      </c>
      <c r="K560" s="4">
        <f t="shared" si="197"/>
        <v>0</v>
      </c>
      <c r="L560" s="4">
        <f t="shared" si="197"/>
        <v>0</v>
      </c>
      <c r="M560" s="4">
        <f t="shared" si="197"/>
        <v>0</v>
      </c>
      <c r="N560" s="4">
        <f t="shared" si="197"/>
        <v>0</v>
      </c>
      <c r="O560" s="4">
        <f t="shared" si="198"/>
        <v>0</v>
      </c>
      <c r="P560" s="4">
        <f t="shared" si="199"/>
        <v>0</v>
      </c>
      <c r="Q560" s="4">
        <f t="shared" si="200"/>
        <v>0</v>
      </c>
      <c r="R560" s="4">
        <f t="shared" si="201"/>
        <v>0</v>
      </c>
      <c r="S560" s="4">
        <f>IF(AND(VLOOKUP(G560,Dados!$D:$L,2,0)=VLOOKUP(I560,Dados!$S:$V,2,0),VLOOKUP(G560,Dados!$D:$L,3,0)=VLOOKUP(I560,Dados!$S:$V,3,0)),0,1)</f>
        <v>0</v>
      </c>
      <c r="T560" s="4">
        <f>IF(AND(VLOOKUP(G560,Dados!$D:$L,3,0)&lt;=VLOOKUP(H560,Dados!$X:$AB,2,0),VLOOKUP(G560,Dados!$D:$L,4,0)&gt;=VLOOKUP(H560,Dados!$X:$AB,3,0),VLOOKUP(G560,Dados!$D:$L,4,0)&lt;=VLOOKUP(H560,Dados!$X:$AB,4,0)),0,1)</f>
        <v>0</v>
      </c>
      <c r="U560" s="4">
        <f>IF(COUNTIFS(F:F,F560,H:H,H560)&lt;=VLOOKUP(H560,Dados!$X:$AB,5,0),0,1)</f>
        <v>0</v>
      </c>
    </row>
    <row r="561" spans="6:21">
      <c r="F561" s="4">
        <v>348</v>
      </c>
      <c r="G561" s="4">
        <v>64</v>
      </c>
      <c r="H561" s="4">
        <v>3</v>
      </c>
      <c r="I561" s="4">
        <v>21</v>
      </c>
      <c r="J561" s="4">
        <v>3</v>
      </c>
      <c r="K561" s="4">
        <f t="shared" si="197"/>
        <v>0</v>
      </c>
      <c r="L561" s="4">
        <f t="shared" si="197"/>
        <v>0</v>
      </c>
      <c r="M561" s="4">
        <f t="shared" si="197"/>
        <v>0</v>
      </c>
      <c r="N561" s="4">
        <f t="shared" si="197"/>
        <v>0</v>
      </c>
      <c r="O561" s="4">
        <f t="shared" si="198"/>
        <v>0</v>
      </c>
      <c r="P561" s="4">
        <f t="shared" si="199"/>
        <v>0</v>
      </c>
      <c r="Q561" s="4">
        <f t="shared" si="200"/>
        <v>0</v>
      </c>
      <c r="R561" s="4">
        <f t="shared" si="201"/>
        <v>0</v>
      </c>
      <c r="S561" s="4">
        <f>IF(AND(VLOOKUP(G561,Dados!$D:$L,2,0)=VLOOKUP(I561,Dados!$S:$V,2,0),VLOOKUP(G561,Dados!$D:$L,3,0)=VLOOKUP(I561,Dados!$S:$V,3,0)),0,1)</f>
        <v>0</v>
      </c>
      <c r="T561" s="4">
        <f>IF(AND(VLOOKUP(G561,Dados!$D:$L,3,0)&lt;=VLOOKUP(H561,Dados!$X:$AB,2,0),VLOOKUP(G561,Dados!$D:$L,4,0)&gt;=VLOOKUP(H561,Dados!$X:$AB,3,0),VLOOKUP(G561,Dados!$D:$L,4,0)&lt;=VLOOKUP(H561,Dados!$X:$AB,4,0)),0,1)</f>
        <v>0</v>
      </c>
      <c r="U561" s="4">
        <f>IF(COUNTIFS(F:F,F561,H:H,H561)&lt;=VLOOKUP(H561,Dados!$X:$AB,5,0),0,1)</f>
        <v>0</v>
      </c>
    </row>
    <row r="562" spans="6:21">
      <c r="F562" s="4">
        <v>349</v>
      </c>
      <c r="G562" s="4">
        <v>59</v>
      </c>
      <c r="H562" s="4">
        <v>1</v>
      </c>
      <c r="I562" s="4">
        <v>22</v>
      </c>
      <c r="J562" s="4">
        <v>5</v>
      </c>
      <c r="K562" s="4">
        <f t="shared" si="197"/>
        <v>0</v>
      </c>
      <c r="L562" s="4">
        <f t="shared" si="197"/>
        <v>0</v>
      </c>
      <c r="M562" s="4">
        <f t="shared" si="197"/>
        <v>0</v>
      </c>
      <c r="N562" s="4">
        <f t="shared" si="197"/>
        <v>0</v>
      </c>
      <c r="O562" s="4">
        <f t="shared" si="198"/>
        <v>0</v>
      </c>
      <c r="P562" s="4">
        <f t="shared" si="199"/>
        <v>0</v>
      </c>
      <c r="Q562" s="4">
        <f t="shared" si="200"/>
        <v>0</v>
      </c>
      <c r="R562" s="4">
        <f t="shared" si="201"/>
        <v>0</v>
      </c>
      <c r="S562" s="4">
        <f>IF(AND(VLOOKUP(G562,Dados!$D:$L,2,0)=VLOOKUP(I562,Dados!$S:$V,2,0),VLOOKUP(G562,Dados!$D:$L,3,0)=VLOOKUP(I562,Dados!$S:$V,3,0)),0,1)</f>
        <v>0</v>
      </c>
      <c r="T562" s="4">
        <f>IF(AND(VLOOKUP(G562,Dados!$D:$L,3,0)&lt;=VLOOKUP(H562,Dados!$X:$AB,2,0),VLOOKUP(G562,Dados!$D:$L,4,0)&gt;=VLOOKUP(H562,Dados!$X:$AB,3,0),VLOOKUP(G562,Dados!$D:$L,4,0)&lt;=VLOOKUP(H562,Dados!$X:$AB,4,0)),0,1)</f>
        <v>0</v>
      </c>
      <c r="U562" s="4">
        <f>IF(COUNTIFS(F:F,F562,H:H,H562)&lt;=VLOOKUP(H562,Dados!$X:$AB,5,0),0,1)</f>
        <v>0</v>
      </c>
    </row>
    <row r="563" spans="6:21">
      <c r="F563" s="4">
        <v>349</v>
      </c>
      <c r="G563" s="4">
        <v>64</v>
      </c>
      <c r="H563" s="4">
        <v>1</v>
      </c>
      <c r="I563" s="4">
        <v>22</v>
      </c>
      <c r="J563" s="4">
        <v>3</v>
      </c>
      <c r="K563" s="4">
        <f t="shared" ref="K563:N626" si="202">SUMIFS($X:$X,$W:$W,$F563,$Z:$Z,$I563,$AA:$AA,$H563,$AB:$AB,K$2)</f>
        <v>0</v>
      </c>
      <c r="L563" s="4">
        <f t="shared" si="202"/>
        <v>0</v>
      </c>
      <c r="M563" s="4">
        <f t="shared" si="202"/>
        <v>0</v>
      </c>
      <c r="N563" s="4">
        <f t="shared" si="202"/>
        <v>0</v>
      </c>
      <c r="O563" s="4">
        <f t="shared" ref="O563:O626" si="203">$J563*K563</f>
        <v>0</v>
      </c>
      <c r="P563" s="4">
        <f t="shared" ref="P563:P626" si="204">$J563*L563</f>
        <v>0</v>
      </c>
      <c r="Q563" s="4">
        <f t="shared" ref="Q563:Q626" si="205">$J563*M563</f>
        <v>0</v>
      </c>
      <c r="R563" s="4">
        <f t="shared" ref="R563:R626" si="206">$J563*N563</f>
        <v>0</v>
      </c>
      <c r="S563" s="4">
        <f>IF(AND(VLOOKUP(G563,Dados!$D:$L,2,0)=VLOOKUP(I563,Dados!$S:$V,2,0),VLOOKUP(G563,Dados!$D:$L,3,0)=VLOOKUP(I563,Dados!$S:$V,3,0)),0,1)</f>
        <v>0</v>
      </c>
      <c r="T563" s="4">
        <f>IF(AND(VLOOKUP(G563,Dados!$D:$L,3,0)&lt;=VLOOKUP(H563,Dados!$X:$AB,2,0),VLOOKUP(G563,Dados!$D:$L,4,0)&gt;=VLOOKUP(H563,Dados!$X:$AB,3,0),VLOOKUP(G563,Dados!$D:$L,4,0)&lt;=VLOOKUP(H563,Dados!$X:$AB,4,0)),0,1)</f>
        <v>0</v>
      </c>
      <c r="U563" s="4">
        <f>IF(COUNTIFS(F:F,F563,H:H,H563)&lt;=VLOOKUP(H563,Dados!$X:$AB,5,0),0,1)</f>
        <v>0</v>
      </c>
    </row>
    <row r="564" spans="6:21">
      <c r="F564" s="4">
        <v>350</v>
      </c>
      <c r="G564" s="4">
        <v>59</v>
      </c>
      <c r="H564" s="4">
        <v>2</v>
      </c>
      <c r="I564" s="4">
        <v>22</v>
      </c>
      <c r="J564" s="4">
        <v>5</v>
      </c>
      <c r="K564" s="4">
        <f t="shared" si="202"/>
        <v>0</v>
      </c>
      <c r="L564" s="4">
        <f t="shared" si="202"/>
        <v>0</v>
      </c>
      <c r="M564" s="4">
        <f t="shared" si="202"/>
        <v>0</v>
      </c>
      <c r="N564" s="4">
        <f t="shared" si="202"/>
        <v>0</v>
      </c>
      <c r="O564" s="4">
        <f t="shared" si="203"/>
        <v>0</v>
      </c>
      <c r="P564" s="4">
        <f t="shared" si="204"/>
        <v>0</v>
      </c>
      <c r="Q564" s="4">
        <f t="shared" si="205"/>
        <v>0</v>
      </c>
      <c r="R564" s="4">
        <f t="shared" si="206"/>
        <v>0</v>
      </c>
      <c r="S564" s="4">
        <f>IF(AND(VLOOKUP(G564,Dados!$D:$L,2,0)=VLOOKUP(I564,Dados!$S:$V,2,0),VLOOKUP(G564,Dados!$D:$L,3,0)=VLOOKUP(I564,Dados!$S:$V,3,0)),0,1)</f>
        <v>0</v>
      </c>
      <c r="T564" s="4">
        <f>IF(AND(VLOOKUP(G564,Dados!$D:$L,3,0)&lt;=VLOOKUP(H564,Dados!$X:$AB,2,0),VLOOKUP(G564,Dados!$D:$L,4,0)&gt;=VLOOKUP(H564,Dados!$X:$AB,3,0),VLOOKUP(G564,Dados!$D:$L,4,0)&lt;=VLOOKUP(H564,Dados!$X:$AB,4,0)),0,1)</f>
        <v>0</v>
      </c>
      <c r="U564" s="4">
        <f>IF(COUNTIFS(F:F,F564,H:H,H564)&lt;=VLOOKUP(H564,Dados!$X:$AB,5,0),0,1)</f>
        <v>0</v>
      </c>
    </row>
    <row r="565" spans="6:21">
      <c r="F565" s="4">
        <v>350</v>
      </c>
      <c r="G565" s="4">
        <v>64</v>
      </c>
      <c r="H565" s="4">
        <v>2</v>
      </c>
      <c r="I565" s="4">
        <v>22</v>
      </c>
      <c r="J565" s="4">
        <v>3</v>
      </c>
      <c r="K565" s="4">
        <f t="shared" si="202"/>
        <v>0</v>
      </c>
      <c r="L565" s="4">
        <f t="shared" si="202"/>
        <v>0</v>
      </c>
      <c r="M565" s="4">
        <f t="shared" si="202"/>
        <v>0</v>
      </c>
      <c r="N565" s="4">
        <f t="shared" si="202"/>
        <v>0</v>
      </c>
      <c r="O565" s="4">
        <f t="shared" si="203"/>
        <v>0</v>
      </c>
      <c r="P565" s="4">
        <f t="shared" si="204"/>
        <v>0</v>
      </c>
      <c r="Q565" s="4">
        <f t="shared" si="205"/>
        <v>0</v>
      </c>
      <c r="R565" s="4">
        <f t="shared" si="206"/>
        <v>0</v>
      </c>
      <c r="S565" s="4">
        <f>IF(AND(VLOOKUP(G565,Dados!$D:$L,2,0)=VLOOKUP(I565,Dados!$S:$V,2,0),VLOOKUP(G565,Dados!$D:$L,3,0)=VLOOKUP(I565,Dados!$S:$V,3,0)),0,1)</f>
        <v>0</v>
      </c>
      <c r="T565" s="4">
        <f>IF(AND(VLOOKUP(G565,Dados!$D:$L,3,0)&lt;=VLOOKUP(H565,Dados!$X:$AB,2,0),VLOOKUP(G565,Dados!$D:$L,4,0)&gt;=VLOOKUP(H565,Dados!$X:$AB,3,0),VLOOKUP(G565,Dados!$D:$L,4,0)&lt;=VLOOKUP(H565,Dados!$X:$AB,4,0)),0,1)</f>
        <v>0</v>
      </c>
      <c r="U565" s="4">
        <f>IF(COUNTIFS(F:F,F565,H:H,H565)&lt;=VLOOKUP(H565,Dados!$X:$AB,5,0),0,1)</f>
        <v>0</v>
      </c>
    </row>
    <row r="566" spans="6:21">
      <c r="F566" s="4">
        <v>351</v>
      </c>
      <c r="G566" s="4">
        <v>59</v>
      </c>
      <c r="H566" s="4">
        <v>3</v>
      </c>
      <c r="I566" s="4">
        <v>22</v>
      </c>
      <c r="J566" s="4">
        <v>5</v>
      </c>
      <c r="K566" s="4">
        <f t="shared" si="202"/>
        <v>0</v>
      </c>
      <c r="L566" s="4">
        <f t="shared" si="202"/>
        <v>0</v>
      </c>
      <c r="M566" s="4">
        <f t="shared" si="202"/>
        <v>0</v>
      </c>
      <c r="N566" s="4">
        <f t="shared" si="202"/>
        <v>0</v>
      </c>
      <c r="O566" s="4">
        <f t="shared" si="203"/>
        <v>0</v>
      </c>
      <c r="P566" s="4">
        <f t="shared" si="204"/>
        <v>0</v>
      </c>
      <c r="Q566" s="4">
        <f t="shared" si="205"/>
        <v>0</v>
      </c>
      <c r="R566" s="4">
        <f t="shared" si="206"/>
        <v>0</v>
      </c>
      <c r="S566" s="4">
        <f>IF(AND(VLOOKUP(G566,Dados!$D:$L,2,0)=VLOOKUP(I566,Dados!$S:$V,2,0),VLOOKUP(G566,Dados!$D:$L,3,0)=VLOOKUP(I566,Dados!$S:$V,3,0)),0,1)</f>
        <v>0</v>
      </c>
      <c r="T566" s="4">
        <f>IF(AND(VLOOKUP(G566,Dados!$D:$L,3,0)&lt;=VLOOKUP(H566,Dados!$X:$AB,2,0),VLOOKUP(G566,Dados!$D:$L,4,0)&gt;=VLOOKUP(H566,Dados!$X:$AB,3,0),VLOOKUP(G566,Dados!$D:$L,4,0)&lt;=VLOOKUP(H566,Dados!$X:$AB,4,0)),0,1)</f>
        <v>0</v>
      </c>
      <c r="U566" s="4">
        <f>IF(COUNTIFS(F:F,F566,H:H,H566)&lt;=VLOOKUP(H566,Dados!$X:$AB,5,0),0,1)</f>
        <v>0</v>
      </c>
    </row>
    <row r="567" spans="6:21">
      <c r="F567" s="4">
        <v>351</v>
      </c>
      <c r="G567" s="4">
        <v>64</v>
      </c>
      <c r="H567" s="4">
        <v>3</v>
      </c>
      <c r="I567" s="4">
        <v>22</v>
      </c>
      <c r="J567" s="4">
        <v>3</v>
      </c>
      <c r="K567" s="4">
        <f t="shared" si="202"/>
        <v>0</v>
      </c>
      <c r="L567" s="4">
        <f t="shared" si="202"/>
        <v>0</v>
      </c>
      <c r="M567" s="4">
        <f t="shared" si="202"/>
        <v>0</v>
      </c>
      <c r="N567" s="4">
        <f t="shared" si="202"/>
        <v>0</v>
      </c>
      <c r="O567" s="4">
        <f t="shared" si="203"/>
        <v>0</v>
      </c>
      <c r="P567" s="4">
        <f t="shared" si="204"/>
        <v>0</v>
      </c>
      <c r="Q567" s="4">
        <f t="shared" si="205"/>
        <v>0</v>
      </c>
      <c r="R567" s="4">
        <f t="shared" si="206"/>
        <v>0</v>
      </c>
      <c r="S567" s="4">
        <f>IF(AND(VLOOKUP(G567,Dados!$D:$L,2,0)=VLOOKUP(I567,Dados!$S:$V,2,0),VLOOKUP(G567,Dados!$D:$L,3,0)=VLOOKUP(I567,Dados!$S:$V,3,0)),0,1)</f>
        <v>0</v>
      </c>
      <c r="T567" s="4">
        <f>IF(AND(VLOOKUP(G567,Dados!$D:$L,3,0)&lt;=VLOOKUP(H567,Dados!$X:$AB,2,0),VLOOKUP(G567,Dados!$D:$L,4,0)&gt;=VLOOKUP(H567,Dados!$X:$AB,3,0),VLOOKUP(G567,Dados!$D:$L,4,0)&lt;=VLOOKUP(H567,Dados!$X:$AB,4,0)),0,1)</f>
        <v>0</v>
      </c>
      <c r="U567" s="4">
        <f>IF(COUNTIFS(F:F,F567,H:H,H567)&lt;=VLOOKUP(H567,Dados!$X:$AB,5,0),0,1)</f>
        <v>0</v>
      </c>
    </row>
    <row r="568" spans="6:21">
      <c r="F568" s="4">
        <v>352</v>
      </c>
      <c r="G568" s="4">
        <v>59</v>
      </c>
      <c r="H568" s="4">
        <v>1</v>
      </c>
      <c r="I568" s="4">
        <v>23</v>
      </c>
      <c r="J568" s="4">
        <v>4</v>
      </c>
      <c r="K568" s="4">
        <f t="shared" si="202"/>
        <v>0</v>
      </c>
      <c r="L568" s="4">
        <f t="shared" si="202"/>
        <v>0</v>
      </c>
      <c r="M568" s="4">
        <f t="shared" si="202"/>
        <v>0</v>
      </c>
      <c r="N568" s="4">
        <f t="shared" si="202"/>
        <v>0</v>
      </c>
      <c r="O568" s="4">
        <f t="shared" si="203"/>
        <v>0</v>
      </c>
      <c r="P568" s="4">
        <f t="shared" si="204"/>
        <v>0</v>
      </c>
      <c r="Q568" s="4">
        <f t="shared" si="205"/>
        <v>0</v>
      </c>
      <c r="R568" s="4">
        <f t="shared" si="206"/>
        <v>0</v>
      </c>
      <c r="S568" s="4">
        <f>IF(AND(VLOOKUP(G568,Dados!$D:$L,2,0)=VLOOKUP(I568,Dados!$S:$V,2,0),VLOOKUP(G568,Dados!$D:$L,3,0)=VLOOKUP(I568,Dados!$S:$V,3,0)),0,1)</f>
        <v>0</v>
      </c>
      <c r="T568" s="4">
        <f>IF(AND(VLOOKUP(G568,Dados!$D:$L,3,0)&lt;=VLOOKUP(H568,Dados!$X:$AB,2,0),VLOOKUP(G568,Dados!$D:$L,4,0)&gt;=VLOOKUP(H568,Dados!$X:$AB,3,0),VLOOKUP(G568,Dados!$D:$L,4,0)&lt;=VLOOKUP(H568,Dados!$X:$AB,4,0)),0,1)</f>
        <v>0</v>
      </c>
      <c r="U568" s="4">
        <f>IF(COUNTIFS(F:F,F568,H:H,H568)&lt;=VLOOKUP(H568,Dados!$X:$AB,5,0),0,1)</f>
        <v>0</v>
      </c>
    </row>
    <row r="569" spans="6:21">
      <c r="F569" s="4">
        <v>352</v>
      </c>
      <c r="G569" s="4">
        <v>64</v>
      </c>
      <c r="H569" s="4">
        <v>1</v>
      </c>
      <c r="I569" s="4">
        <v>23</v>
      </c>
      <c r="J569" s="4">
        <v>4</v>
      </c>
      <c r="K569" s="4">
        <f t="shared" si="202"/>
        <v>0</v>
      </c>
      <c r="L569" s="4">
        <f t="shared" si="202"/>
        <v>0</v>
      </c>
      <c r="M569" s="4">
        <f t="shared" si="202"/>
        <v>0</v>
      </c>
      <c r="N569" s="4">
        <f t="shared" si="202"/>
        <v>0</v>
      </c>
      <c r="O569" s="4">
        <f t="shared" si="203"/>
        <v>0</v>
      </c>
      <c r="P569" s="4">
        <f t="shared" si="204"/>
        <v>0</v>
      </c>
      <c r="Q569" s="4">
        <f t="shared" si="205"/>
        <v>0</v>
      </c>
      <c r="R569" s="4">
        <f t="shared" si="206"/>
        <v>0</v>
      </c>
      <c r="S569" s="4">
        <f>IF(AND(VLOOKUP(G569,Dados!$D:$L,2,0)=VLOOKUP(I569,Dados!$S:$V,2,0),VLOOKUP(G569,Dados!$D:$L,3,0)=VLOOKUP(I569,Dados!$S:$V,3,0)),0,1)</f>
        <v>0</v>
      </c>
      <c r="T569" s="4">
        <f>IF(AND(VLOOKUP(G569,Dados!$D:$L,3,0)&lt;=VLOOKUP(H569,Dados!$X:$AB,2,0),VLOOKUP(G569,Dados!$D:$L,4,0)&gt;=VLOOKUP(H569,Dados!$X:$AB,3,0),VLOOKUP(G569,Dados!$D:$L,4,0)&lt;=VLOOKUP(H569,Dados!$X:$AB,4,0)),0,1)</f>
        <v>0</v>
      </c>
      <c r="U569" s="4">
        <f>IF(COUNTIFS(F:F,F569,H:H,H569)&lt;=VLOOKUP(H569,Dados!$X:$AB,5,0),0,1)</f>
        <v>0</v>
      </c>
    </row>
    <row r="570" spans="6:21">
      <c r="F570" s="4">
        <v>353</v>
      </c>
      <c r="G570" s="4">
        <v>59</v>
      </c>
      <c r="H570" s="4">
        <v>2</v>
      </c>
      <c r="I570" s="4">
        <v>23</v>
      </c>
      <c r="J570" s="4">
        <v>4</v>
      </c>
      <c r="K570" s="4">
        <f t="shared" si="202"/>
        <v>0</v>
      </c>
      <c r="L570" s="4">
        <f t="shared" si="202"/>
        <v>0</v>
      </c>
      <c r="M570" s="4">
        <f t="shared" si="202"/>
        <v>0</v>
      </c>
      <c r="N570" s="4">
        <f t="shared" si="202"/>
        <v>0</v>
      </c>
      <c r="O570" s="4">
        <f t="shared" si="203"/>
        <v>0</v>
      </c>
      <c r="P570" s="4">
        <f t="shared" si="204"/>
        <v>0</v>
      </c>
      <c r="Q570" s="4">
        <f t="shared" si="205"/>
        <v>0</v>
      </c>
      <c r="R570" s="4">
        <f t="shared" si="206"/>
        <v>0</v>
      </c>
      <c r="S570" s="4">
        <f>IF(AND(VLOOKUP(G570,Dados!$D:$L,2,0)=VLOOKUP(I570,Dados!$S:$V,2,0),VLOOKUP(G570,Dados!$D:$L,3,0)=VLOOKUP(I570,Dados!$S:$V,3,0)),0,1)</f>
        <v>0</v>
      </c>
      <c r="T570" s="4">
        <f>IF(AND(VLOOKUP(G570,Dados!$D:$L,3,0)&lt;=VLOOKUP(H570,Dados!$X:$AB,2,0),VLOOKUP(G570,Dados!$D:$L,4,0)&gt;=VLOOKUP(H570,Dados!$X:$AB,3,0),VLOOKUP(G570,Dados!$D:$L,4,0)&lt;=VLOOKUP(H570,Dados!$X:$AB,4,0)),0,1)</f>
        <v>0</v>
      </c>
      <c r="U570" s="4">
        <f>IF(COUNTIFS(F:F,F570,H:H,H570)&lt;=VLOOKUP(H570,Dados!$X:$AB,5,0),0,1)</f>
        <v>0</v>
      </c>
    </row>
    <row r="571" spans="6:21">
      <c r="F571" s="4">
        <v>353</v>
      </c>
      <c r="G571" s="4">
        <v>64</v>
      </c>
      <c r="H571" s="4">
        <v>2</v>
      </c>
      <c r="I571" s="4">
        <v>23</v>
      </c>
      <c r="J571" s="4">
        <v>4</v>
      </c>
      <c r="K571" s="4">
        <f t="shared" si="202"/>
        <v>0</v>
      </c>
      <c r="L571" s="4">
        <f t="shared" si="202"/>
        <v>0</v>
      </c>
      <c r="M571" s="4">
        <f t="shared" si="202"/>
        <v>0</v>
      </c>
      <c r="N571" s="4">
        <f t="shared" si="202"/>
        <v>0</v>
      </c>
      <c r="O571" s="4">
        <f t="shared" si="203"/>
        <v>0</v>
      </c>
      <c r="P571" s="4">
        <f t="shared" si="204"/>
        <v>0</v>
      </c>
      <c r="Q571" s="4">
        <f t="shared" si="205"/>
        <v>0</v>
      </c>
      <c r="R571" s="4">
        <f t="shared" si="206"/>
        <v>0</v>
      </c>
      <c r="S571" s="4">
        <f>IF(AND(VLOOKUP(G571,Dados!$D:$L,2,0)=VLOOKUP(I571,Dados!$S:$V,2,0),VLOOKUP(G571,Dados!$D:$L,3,0)=VLOOKUP(I571,Dados!$S:$V,3,0)),0,1)</f>
        <v>0</v>
      </c>
      <c r="T571" s="4">
        <f>IF(AND(VLOOKUP(G571,Dados!$D:$L,3,0)&lt;=VLOOKUP(H571,Dados!$X:$AB,2,0),VLOOKUP(G571,Dados!$D:$L,4,0)&gt;=VLOOKUP(H571,Dados!$X:$AB,3,0),VLOOKUP(G571,Dados!$D:$L,4,0)&lt;=VLOOKUP(H571,Dados!$X:$AB,4,0)),0,1)</f>
        <v>0</v>
      </c>
      <c r="U571" s="4">
        <f>IF(COUNTIFS(F:F,F571,H:H,H571)&lt;=VLOOKUP(H571,Dados!$X:$AB,5,0),0,1)</f>
        <v>0</v>
      </c>
    </row>
    <row r="572" spans="6:21">
      <c r="F572" s="4">
        <v>354</v>
      </c>
      <c r="G572" s="4">
        <v>59</v>
      </c>
      <c r="H572" s="4">
        <v>3</v>
      </c>
      <c r="I572" s="4">
        <v>23</v>
      </c>
      <c r="J572" s="4">
        <v>4</v>
      </c>
      <c r="K572" s="4">
        <f t="shared" si="202"/>
        <v>0</v>
      </c>
      <c r="L572" s="4">
        <f t="shared" si="202"/>
        <v>0</v>
      </c>
      <c r="M572" s="4">
        <f t="shared" si="202"/>
        <v>0</v>
      </c>
      <c r="N572" s="4">
        <f t="shared" si="202"/>
        <v>0</v>
      </c>
      <c r="O572" s="4">
        <f t="shared" si="203"/>
        <v>0</v>
      </c>
      <c r="P572" s="4">
        <f t="shared" si="204"/>
        <v>0</v>
      </c>
      <c r="Q572" s="4">
        <f t="shared" si="205"/>
        <v>0</v>
      </c>
      <c r="R572" s="4">
        <f t="shared" si="206"/>
        <v>0</v>
      </c>
      <c r="S572" s="4">
        <f>IF(AND(VLOOKUP(G572,Dados!$D:$L,2,0)=VLOOKUP(I572,Dados!$S:$V,2,0),VLOOKUP(G572,Dados!$D:$L,3,0)=VLOOKUP(I572,Dados!$S:$V,3,0)),0,1)</f>
        <v>0</v>
      </c>
      <c r="T572" s="4">
        <f>IF(AND(VLOOKUP(G572,Dados!$D:$L,3,0)&lt;=VLOOKUP(H572,Dados!$X:$AB,2,0),VLOOKUP(G572,Dados!$D:$L,4,0)&gt;=VLOOKUP(H572,Dados!$X:$AB,3,0),VLOOKUP(G572,Dados!$D:$L,4,0)&lt;=VLOOKUP(H572,Dados!$X:$AB,4,0)),0,1)</f>
        <v>0</v>
      </c>
      <c r="U572" s="4">
        <f>IF(COUNTIFS(F:F,F572,H:H,H572)&lt;=VLOOKUP(H572,Dados!$X:$AB,5,0),0,1)</f>
        <v>0</v>
      </c>
    </row>
    <row r="573" spans="6:21">
      <c r="F573" s="4">
        <v>354</v>
      </c>
      <c r="G573" s="4">
        <v>64</v>
      </c>
      <c r="H573" s="4">
        <v>3</v>
      </c>
      <c r="I573" s="4">
        <v>23</v>
      </c>
      <c r="J573" s="4">
        <v>4</v>
      </c>
      <c r="K573" s="4">
        <f t="shared" si="202"/>
        <v>0</v>
      </c>
      <c r="L573" s="4">
        <f t="shared" si="202"/>
        <v>0</v>
      </c>
      <c r="M573" s="4">
        <f t="shared" si="202"/>
        <v>0</v>
      </c>
      <c r="N573" s="4">
        <f t="shared" si="202"/>
        <v>0</v>
      </c>
      <c r="O573" s="4">
        <f t="shared" si="203"/>
        <v>0</v>
      </c>
      <c r="P573" s="4">
        <f t="shared" si="204"/>
        <v>0</v>
      </c>
      <c r="Q573" s="4">
        <f t="shared" si="205"/>
        <v>0</v>
      </c>
      <c r="R573" s="4">
        <f t="shared" si="206"/>
        <v>0</v>
      </c>
      <c r="S573" s="4">
        <f>IF(AND(VLOOKUP(G573,Dados!$D:$L,2,0)=VLOOKUP(I573,Dados!$S:$V,2,0),VLOOKUP(G573,Dados!$D:$L,3,0)=VLOOKUP(I573,Dados!$S:$V,3,0)),0,1)</f>
        <v>0</v>
      </c>
      <c r="T573" s="4">
        <f>IF(AND(VLOOKUP(G573,Dados!$D:$L,3,0)&lt;=VLOOKUP(H573,Dados!$X:$AB,2,0),VLOOKUP(G573,Dados!$D:$L,4,0)&gt;=VLOOKUP(H573,Dados!$X:$AB,3,0),VLOOKUP(G573,Dados!$D:$L,4,0)&lt;=VLOOKUP(H573,Dados!$X:$AB,4,0)),0,1)</f>
        <v>0</v>
      </c>
      <c r="U573" s="4">
        <f>IF(COUNTIFS(F:F,F573,H:H,H573)&lt;=VLOOKUP(H573,Dados!$X:$AB,5,0),0,1)</f>
        <v>0</v>
      </c>
    </row>
    <row r="574" spans="6:21">
      <c r="F574" s="4">
        <v>355</v>
      </c>
      <c r="G574" s="4">
        <v>59</v>
      </c>
      <c r="H574" s="4">
        <v>1</v>
      </c>
      <c r="I574" s="4">
        <v>24</v>
      </c>
      <c r="J574" s="4">
        <v>6</v>
      </c>
      <c r="K574" s="4">
        <f t="shared" si="202"/>
        <v>0</v>
      </c>
      <c r="L574" s="4">
        <f t="shared" si="202"/>
        <v>0</v>
      </c>
      <c r="M574" s="4">
        <f t="shared" si="202"/>
        <v>0</v>
      </c>
      <c r="N574" s="4">
        <f t="shared" si="202"/>
        <v>0</v>
      </c>
      <c r="O574" s="4">
        <f t="shared" si="203"/>
        <v>0</v>
      </c>
      <c r="P574" s="4">
        <f t="shared" si="204"/>
        <v>0</v>
      </c>
      <c r="Q574" s="4">
        <f t="shared" si="205"/>
        <v>0</v>
      </c>
      <c r="R574" s="4">
        <f t="shared" si="206"/>
        <v>0</v>
      </c>
      <c r="S574" s="4">
        <f>IF(AND(VLOOKUP(G574,Dados!$D:$L,2,0)=VLOOKUP(I574,Dados!$S:$V,2,0),VLOOKUP(G574,Dados!$D:$L,3,0)=VLOOKUP(I574,Dados!$S:$V,3,0)),0,1)</f>
        <v>0</v>
      </c>
      <c r="T574" s="4">
        <f>IF(AND(VLOOKUP(G574,Dados!$D:$L,3,0)&lt;=VLOOKUP(H574,Dados!$X:$AB,2,0),VLOOKUP(G574,Dados!$D:$L,4,0)&gt;=VLOOKUP(H574,Dados!$X:$AB,3,0),VLOOKUP(G574,Dados!$D:$L,4,0)&lt;=VLOOKUP(H574,Dados!$X:$AB,4,0)),0,1)</f>
        <v>0</v>
      </c>
      <c r="U574" s="4">
        <f>IF(COUNTIFS(F:F,F574,H:H,H574)&lt;=VLOOKUP(H574,Dados!$X:$AB,5,0),0,1)</f>
        <v>0</v>
      </c>
    </row>
    <row r="575" spans="6:21">
      <c r="F575" s="4">
        <v>355</v>
      </c>
      <c r="G575" s="4">
        <v>62</v>
      </c>
      <c r="H575" s="4">
        <v>1</v>
      </c>
      <c r="I575" s="4">
        <v>24</v>
      </c>
      <c r="J575" s="4">
        <v>3</v>
      </c>
      <c r="K575" s="4">
        <f t="shared" si="202"/>
        <v>0</v>
      </c>
      <c r="L575" s="4">
        <f t="shared" si="202"/>
        <v>0</v>
      </c>
      <c r="M575" s="4">
        <f t="shared" si="202"/>
        <v>0</v>
      </c>
      <c r="N575" s="4">
        <f t="shared" si="202"/>
        <v>0</v>
      </c>
      <c r="O575" s="4">
        <f t="shared" si="203"/>
        <v>0</v>
      </c>
      <c r="P575" s="4">
        <f t="shared" si="204"/>
        <v>0</v>
      </c>
      <c r="Q575" s="4">
        <f t="shared" si="205"/>
        <v>0</v>
      </c>
      <c r="R575" s="4">
        <f t="shared" si="206"/>
        <v>0</v>
      </c>
      <c r="S575" s="4">
        <f>IF(AND(VLOOKUP(G575,Dados!$D:$L,2,0)=VLOOKUP(I575,Dados!$S:$V,2,0),VLOOKUP(G575,Dados!$D:$L,3,0)=VLOOKUP(I575,Dados!$S:$V,3,0)),0,1)</f>
        <v>0</v>
      </c>
      <c r="T575" s="4">
        <f>IF(AND(VLOOKUP(G575,Dados!$D:$L,3,0)&lt;=VLOOKUP(H575,Dados!$X:$AB,2,0),VLOOKUP(G575,Dados!$D:$L,4,0)&gt;=VLOOKUP(H575,Dados!$X:$AB,3,0),VLOOKUP(G575,Dados!$D:$L,4,0)&lt;=VLOOKUP(H575,Dados!$X:$AB,4,0)),0,1)</f>
        <v>0</v>
      </c>
      <c r="U575" s="4">
        <f>IF(COUNTIFS(F:F,F575,H:H,H575)&lt;=VLOOKUP(H575,Dados!$X:$AB,5,0),0,1)</f>
        <v>0</v>
      </c>
    </row>
    <row r="576" spans="6:21">
      <c r="F576" s="4">
        <v>356</v>
      </c>
      <c r="G576" s="4">
        <v>59</v>
      </c>
      <c r="H576" s="4">
        <v>2</v>
      </c>
      <c r="I576" s="4">
        <v>24</v>
      </c>
      <c r="J576" s="4">
        <v>6</v>
      </c>
      <c r="K576" s="4">
        <f t="shared" si="202"/>
        <v>0</v>
      </c>
      <c r="L576" s="4">
        <f t="shared" si="202"/>
        <v>0</v>
      </c>
      <c r="M576" s="4">
        <f t="shared" si="202"/>
        <v>0</v>
      </c>
      <c r="N576" s="4">
        <f t="shared" si="202"/>
        <v>0</v>
      </c>
      <c r="O576" s="4">
        <f t="shared" si="203"/>
        <v>0</v>
      </c>
      <c r="P576" s="4">
        <f t="shared" si="204"/>
        <v>0</v>
      </c>
      <c r="Q576" s="4">
        <f t="shared" si="205"/>
        <v>0</v>
      </c>
      <c r="R576" s="4">
        <f t="shared" si="206"/>
        <v>0</v>
      </c>
      <c r="S576" s="4">
        <f>IF(AND(VLOOKUP(G576,Dados!$D:$L,2,0)=VLOOKUP(I576,Dados!$S:$V,2,0),VLOOKUP(G576,Dados!$D:$L,3,0)=VLOOKUP(I576,Dados!$S:$V,3,0)),0,1)</f>
        <v>0</v>
      </c>
      <c r="T576" s="4">
        <f>IF(AND(VLOOKUP(G576,Dados!$D:$L,3,0)&lt;=VLOOKUP(H576,Dados!$X:$AB,2,0),VLOOKUP(G576,Dados!$D:$L,4,0)&gt;=VLOOKUP(H576,Dados!$X:$AB,3,0),VLOOKUP(G576,Dados!$D:$L,4,0)&lt;=VLOOKUP(H576,Dados!$X:$AB,4,0)),0,1)</f>
        <v>0</v>
      </c>
      <c r="U576" s="4">
        <f>IF(COUNTIFS(F:F,F576,H:H,H576)&lt;=VLOOKUP(H576,Dados!$X:$AB,5,0),0,1)</f>
        <v>0</v>
      </c>
    </row>
    <row r="577" spans="6:21">
      <c r="F577" s="4">
        <v>356</v>
      </c>
      <c r="G577" s="4">
        <v>62</v>
      </c>
      <c r="H577" s="4">
        <v>2</v>
      </c>
      <c r="I577" s="4">
        <v>24</v>
      </c>
      <c r="J577" s="4">
        <v>3</v>
      </c>
      <c r="K577" s="4">
        <f t="shared" si="202"/>
        <v>0</v>
      </c>
      <c r="L577" s="4">
        <f t="shared" si="202"/>
        <v>0</v>
      </c>
      <c r="M577" s="4">
        <f t="shared" si="202"/>
        <v>0</v>
      </c>
      <c r="N577" s="4">
        <f t="shared" si="202"/>
        <v>0</v>
      </c>
      <c r="O577" s="4">
        <f t="shared" si="203"/>
        <v>0</v>
      </c>
      <c r="P577" s="4">
        <f t="shared" si="204"/>
        <v>0</v>
      </c>
      <c r="Q577" s="4">
        <f t="shared" si="205"/>
        <v>0</v>
      </c>
      <c r="R577" s="4">
        <f t="shared" si="206"/>
        <v>0</v>
      </c>
      <c r="S577" s="4">
        <f>IF(AND(VLOOKUP(G577,Dados!$D:$L,2,0)=VLOOKUP(I577,Dados!$S:$V,2,0),VLOOKUP(G577,Dados!$D:$L,3,0)=VLOOKUP(I577,Dados!$S:$V,3,0)),0,1)</f>
        <v>0</v>
      </c>
      <c r="T577" s="4">
        <f>IF(AND(VLOOKUP(G577,Dados!$D:$L,3,0)&lt;=VLOOKUP(H577,Dados!$X:$AB,2,0),VLOOKUP(G577,Dados!$D:$L,4,0)&gt;=VLOOKUP(H577,Dados!$X:$AB,3,0),VLOOKUP(G577,Dados!$D:$L,4,0)&lt;=VLOOKUP(H577,Dados!$X:$AB,4,0)),0,1)</f>
        <v>0</v>
      </c>
      <c r="U577" s="4">
        <f>IF(COUNTIFS(F:F,F577,H:H,H577)&lt;=VLOOKUP(H577,Dados!$X:$AB,5,0),0,1)</f>
        <v>0</v>
      </c>
    </row>
    <row r="578" spans="6:21">
      <c r="F578" s="4">
        <v>357</v>
      </c>
      <c r="G578" s="4">
        <v>59</v>
      </c>
      <c r="H578" s="4">
        <v>3</v>
      </c>
      <c r="I578" s="4">
        <v>24</v>
      </c>
      <c r="J578" s="4">
        <v>6</v>
      </c>
      <c r="K578" s="4">
        <f t="shared" si="202"/>
        <v>0</v>
      </c>
      <c r="L578" s="4">
        <f t="shared" si="202"/>
        <v>0</v>
      </c>
      <c r="M578" s="4">
        <f t="shared" si="202"/>
        <v>0</v>
      </c>
      <c r="N578" s="4">
        <f t="shared" si="202"/>
        <v>0</v>
      </c>
      <c r="O578" s="4">
        <f t="shared" si="203"/>
        <v>0</v>
      </c>
      <c r="P578" s="4">
        <f t="shared" si="204"/>
        <v>0</v>
      </c>
      <c r="Q578" s="4">
        <f t="shared" si="205"/>
        <v>0</v>
      </c>
      <c r="R578" s="4">
        <f t="shared" si="206"/>
        <v>0</v>
      </c>
      <c r="S578" s="4">
        <f>IF(AND(VLOOKUP(G578,Dados!$D:$L,2,0)=VLOOKUP(I578,Dados!$S:$V,2,0),VLOOKUP(G578,Dados!$D:$L,3,0)=VLOOKUP(I578,Dados!$S:$V,3,0)),0,1)</f>
        <v>0</v>
      </c>
      <c r="T578" s="4">
        <f>IF(AND(VLOOKUP(G578,Dados!$D:$L,3,0)&lt;=VLOOKUP(H578,Dados!$X:$AB,2,0),VLOOKUP(G578,Dados!$D:$L,4,0)&gt;=VLOOKUP(H578,Dados!$X:$AB,3,0),VLOOKUP(G578,Dados!$D:$L,4,0)&lt;=VLOOKUP(H578,Dados!$X:$AB,4,0)),0,1)</f>
        <v>0</v>
      </c>
      <c r="U578" s="4">
        <f>IF(COUNTIFS(F:F,F578,H:H,H578)&lt;=VLOOKUP(H578,Dados!$X:$AB,5,0),0,1)</f>
        <v>0</v>
      </c>
    </row>
    <row r="579" spans="6:21">
      <c r="F579" s="4">
        <v>357</v>
      </c>
      <c r="G579" s="4">
        <v>62</v>
      </c>
      <c r="H579" s="4">
        <v>3</v>
      </c>
      <c r="I579" s="4">
        <v>24</v>
      </c>
      <c r="J579" s="4">
        <v>3</v>
      </c>
      <c r="K579" s="4">
        <f t="shared" si="202"/>
        <v>0</v>
      </c>
      <c r="L579" s="4">
        <f t="shared" si="202"/>
        <v>0</v>
      </c>
      <c r="M579" s="4">
        <f t="shared" si="202"/>
        <v>0</v>
      </c>
      <c r="N579" s="4">
        <f t="shared" si="202"/>
        <v>0</v>
      </c>
      <c r="O579" s="4">
        <f t="shared" si="203"/>
        <v>0</v>
      </c>
      <c r="P579" s="4">
        <f t="shared" si="204"/>
        <v>0</v>
      </c>
      <c r="Q579" s="4">
        <f t="shared" si="205"/>
        <v>0</v>
      </c>
      <c r="R579" s="4">
        <f t="shared" si="206"/>
        <v>0</v>
      </c>
      <c r="S579" s="4">
        <f>IF(AND(VLOOKUP(G579,Dados!$D:$L,2,0)=VLOOKUP(I579,Dados!$S:$V,2,0),VLOOKUP(G579,Dados!$D:$L,3,0)=VLOOKUP(I579,Dados!$S:$V,3,0)),0,1)</f>
        <v>0</v>
      </c>
      <c r="T579" s="4">
        <f>IF(AND(VLOOKUP(G579,Dados!$D:$L,3,0)&lt;=VLOOKUP(H579,Dados!$X:$AB,2,0),VLOOKUP(G579,Dados!$D:$L,4,0)&gt;=VLOOKUP(H579,Dados!$X:$AB,3,0),VLOOKUP(G579,Dados!$D:$L,4,0)&lt;=VLOOKUP(H579,Dados!$X:$AB,4,0)),0,1)</f>
        <v>0</v>
      </c>
      <c r="U579" s="4">
        <f>IF(COUNTIFS(F:F,F579,H:H,H579)&lt;=VLOOKUP(H579,Dados!$X:$AB,5,0),0,1)</f>
        <v>0</v>
      </c>
    </row>
    <row r="580" spans="6:21">
      <c r="F580" s="4">
        <v>358</v>
      </c>
      <c r="G580" s="4">
        <v>59</v>
      </c>
      <c r="H580" s="4">
        <v>1</v>
      </c>
      <c r="I580" s="4">
        <v>25</v>
      </c>
      <c r="J580" s="4">
        <v>5</v>
      </c>
      <c r="K580" s="4">
        <f t="shared" si="202"/>
        <v>0</v>
      </c>
      <c r="L580" s="4">
        <f t="shared" si="202"/>
        <v>0</v>
      </c>
      <c r="M580" s="4">
        <f t="shared" si="202"/>
        <v>0</v>
      </c>
      <c r="N580" s="4">
        <f t="shared" si="202"/>
        <v>0</v>
      </c>
      <c r="O580" s="4">
        <f t="shared" si="203"/>
        <v>0</v>
      </c>
      <c r="P580" s="4">
        <f t="shared" si="204"/>
        <v>0</v>
      </c>
      <c r="Q580" s="4">
        <f t="shared" si="205"/>
        <v>0</v>
      </c>
      <c r="R580" s="4">
        <f t="shared" si="206"/>
        <v>0</v>
      </c>
      <c r="S580" s="4">
        <f>IF(AND(VLOOKUP(G580,Dados!$D:$L,2,0)=VLOOKUP(I580,Dados!$S:$V,2,0),VLOOKUP(G580,Dados!$D:$L,3,0)=VLOOKUP(I580,Dados!$S:$V,3,0)),0,1)</f>
        <v>0</v>
      </c>
      <c r="T580" s="4">
        <f>IF(AND(VLOOKUP(G580,Dados!$D:$L,3,0)&lt;=VLOOKUP(H580,Dados!$X:$AB,2,0),VLOOKUP(G580,Dados!$D:$L,4,0)&gt;=VLOOKUP(H580,Dados!$X:$AB,3,0),VLOOKUP(G580,Dados!$D:$L,4,0)&lt;=VLOOKUP(H580,Dados!$X:$AB,4,0)),0,1)</f>
        <v>0</v>
      </c>
      <c r="U580" s="4">
        <f>IF(COUNTIFS(F:F,F580,H:H,H580)&lt;=VLOOKUP(H580,Dados!$X:$AB,5,0),0,1)</f>
        <v>0</v>
      </c>
    </row>
    <row r="581" spans="6:21">
      <c r="F581" s="4">
        <v>358</v>
      </c>
      <c r="G581" s="4">
        <v>64</v>
      </c>
      <c r="H581" s="4">
        <v>1</v>
      </c>
      <c r="I581" s="4">
        <v>25</v>
      </c>
      <c r="J581" s="4">
        <v>4</v>
      </c>
      <c r="K581" s="4">
        <f t="shared" si="202"/>
        <v>0</v>
      </c>
      <c r="L581" s="4">
        <f t="shared" si="202"/>
        <v>0</v>
      </c>
      <c r="M581" s="4">
        <f t="shared" si="202"/>
        <v>0</v>
      </c>
      <c r="N581" s="4">
        <f t="shared" si="202"/>
        <v>0</v>
      </c>
      <c r="O581" s="4">
        <f t="shared" si="203"/>
        <v>0</v>
      </c>
      <c r="P581" s="4">
        <f t="shared" si="204"/>
        <v>0</v>
      </c>
      <c r="Q581" s="4">
        <f t="shared" si="205"/>
        <v>0</v>
      </c>
      <c r="R581" s="4">
        <f t="shared" si="206"/>
        <v>0</v>
      </c>
      <c r="S581" s="4">
        <f>IF(AND(VLOOKUP(G581,Dados!$D:$L,2,0)=VLOOKUP(I581,Dados!$S:$V,2,0),VLOOKUP(G581,Dados!$D:$L,3,0)=VLOOKUP(I581,Dados!$S:$V,3,0)),0,1)</f>
        <v>0</v>
      </c>
      <c r="T581" s="4">
        <f>IF(AND(VLOOKUP(G581,Dados!$D:$L,3,0)&lt;=VLOOKUP(H581,Dados!$X:$AB,2,0),VLOOKUP(G581,Dados!$D:$L,4,0)&gt;=VLOOKUP(H581,Dados!$X:$AB,3,0),VLOOKUP(G581,Dados!$D:$L,4,0)&lt;=VLOOKUP(H581,Dados!$X:$AB,4,0)),0,1)</f>
        <v>0</v>
      </c>
      <c r="U581" s="4">
        <f>IF(COUNTIFS(F:F,F581,H:H,H581)&lt;=VLOOKUP(H581,Dados!$X:$AB,5,0),0,1)</f>
        <v>0</v>
      </c>
    </row>
    <row r="582" spans="6:21">
      <c r="F582" s="4">
        <v>359</v>
      </c>
      <c r="G582" s="4">
        <v>59</v>
      </c>
      <c r="H582" s="4">
        <v>2</v>
      </c>
      <c r="I582" s="4">
        <v>25</v>
      </c>
      <c r="J582" s="4">
        <v>5</v>
      </c>
      <c r="K582" s="4">
        <f t="shared" si="202"/>
        <v>0</v>
      </c>
      <c r="L582" s="4">
        <f t="shared" si="202"/>
        <v>0</v>
      </c>
      <c r="M582" s="4">
        <f t="shared" si="202"/>
        <v>0</v>
      </c>
      <c r="N582" s="4">
        <f t="shared" si="202"/>
        <v>0</v>
      </c>
      <c r="O582" s="4">
        <f t="shared" si="203"/>
        <v>0</v>
      </c>
      <c r="P582" s="4">
        <f t="shared" si="204"/>
        <v>0</v>
      </c>
      <c r="Q582" s="4">
        <f t="shared" si="205"/>
        <v>0</v>
      </c>
      <c r="R582" s="4">
        <f t="shared" si="206"/>
        <v>0</v>
      </c>
      <c r="S582" s="4">
        <f>IF(AND(VLOOKUP(G582,Dados!$D:$L,2,0)=VLOOKUP(I582,Dados!$S:$V,2,0),VLOOKUP(G582,Dados!$D:$L,3,0)=VLOOKUP(I582,Dados!$S:$V,3,0)),0,1)</f>
        <v>0</v>
      </c>
      <c r="T582" s="4">
        <f>IF(AND(VLOOKUP(G582,Dados!$D:$L,3,0)&lt;=VLOOKUP(H582,Dados!$X:$AB,2,0),VLOOKUP(G582,Dados!$D:$L,4,0)&gt;=VLOOKUP(H582,Dados!$X:$AB,3,0),VLOOKUP(G582,Dados!$D:$L,4,0)&lt;=VLOOKUP(H582,Dados!$X:$AB,4,0)),0,1)</f>
        <v>0</v>
      </c>
      <c r="U582" s="4">
        <f>IF(COUNTIFS(F:F,F582,H:H,H582)&lt;=VLOOKUP(H582,Dados!$X:$AB,5,0),0,1)</f>
        <v>0</v>
      </c>
    </row>
    <row r="583" spans="6:21">
      <c r="F583" s="4">
        <v>359</v>
      </c>
      <c r="G583" s="4">
        <v>64</v>
      </c>
      <c r="H583" s="4">
        <v>2</v>
      </c>
      <c r="I583" s="4">
        <v>25</v>
      </c>
      <c r="J583" s="4">
        <v>4</v>
      </c>
      <c r="K583" s="4">
        <f t="shared" si="202"/>
        <v>0</v>
      </c>
      <c r="L583" s="4">
        <f t="shared" si="202"/>
        <v>0</v>
      </c>
      <c r="M583" s="4">
        <f t="shared" si="202"/>
        <v>0</v>
      </c>
      <c r="N583" s="4">
        <f t="shared" si="202"/>
        <v>0</v>
      </c>
      <c r="O583" s="4">
        <f t="shared" si="203"/>
        <v>0</v>
      </c>
      <c r="P583" s="4">
        <f t="shared" si="204"/>
        <v>0</v>
      </c>
      <c r="Q583" s="4">
        <f t="shared" si="205"/>
        <v>0</v>
      </c>
      <c r="R583" s="4">
        <f t="shared" si="206"/>
        <v>0</v>
      </c>
      <c r="S583" s="4">
        <f>IF(AND(VLOOKUP(G583,Dados!$D:$L,2,0)=VLOOKUP(I583,Dados!$S:$V,2,0),VLOOKUP(G583,Dados!$D:$L,3,0)=VLOOKUP(I583,Dados!$S:$V,3,0)),0,1)</f>
        <v>0</v>
      </c>
      <c r="T583" s="4">
        <f>IF(AND(VLOOKUP(G583,Dados!$D:$L,3,0)&lt;=VLOOKUP(H583,Dados!$X:$AB,2,0),VLOOKUP(G583,Dados!$D:$L,4,0)&gt;=VLOOKUP(H583,Dados!$X:$AB,3,0),VLOOKUP(G583,Dados!$D:$L,4,0)&lt;=VLOOKUP(H583,Dados!$X:$AB,4,0)),0,1)</f>
        <v>0</v>
      </c>
      <c r="U583" s="4">
        <f>IF(COUNTIFS(F:F,F583,H:H,H583)&lt;=VLOOKUP(H583,Dados!$X:$AB,5,0),0,1)</f>
        <v>0</v>
      </c>
    </row>
    <row r="584" spans="6:21">
      <c r="F584" s="4">
        <v>360</v>
      </c>
      <c r="G584" s="4">
        <v>59</v>
      </c>
      <c r="H584" s="4">
        <v>3</v>
      </c>
      <c r="I584" s="4">
        <v>25</v>
      </c>
      <c r="J584" s="4">
        <v>5</v>
      </c>
      <c r="K584" s="4">
        <f t="shared" si="202"/>
        <v>0</v>
      </c>
      <c r="L584" s="4">
        <f t="shared" si="202"/>
        <v>0</v>
      </c>
      <c r="M584" s="4">
        <f t="shared" si="202"/>
        <v>0</v>
      </c>
      <c r="N584" s="4">
        <f t="shared" si="202"/>
        <v>0</v>
      </c>
      <c r="O584" s="4">
        <f t="shared" si="203"/>
        <v>0</v>
      </c>
      <c r="P584" s="4">
        <f t="shared" si="204"/>
        <v>0</v>
      </c>
      <c r="Q584" s="4">
        <f t="shared" si="205"/>
        <v>0</v>
      </c>
      <c r="R584" s="4">
        <f t="shared" si="206"/>
        <v>0</v>
      </c>
      <c r="S584" s="4">
        <f>IF(AND(VLOOKUP(G584,Dados!$D:$L,2,0)=VLOOKUP(I584,Dados!$S:$V,2,0),VLOOKUP(G584,Dados!$D:$L,3,0)=VLOOKUP(I584,Dados!$S:$V,3,0)),0,1)</f>
        <v>0</v>
      </c>
      <c r="T584" s="4">
        <f>IF(AND(VLOOKUP(G584,Dados!$D:$L,3,0)&lt;=VLOOKUP(H584,Dados!$X:$AB,2,0),VLOOKUP(G584,Dados!$D:$L,4,0)&gt;=VLOOKUP(H584,Dados!$X:$AB,3,0),VLOOKUP(G584,Dados!$D:$L,4,0)&lt;=VLOOKUP(H584,Dados!$X:$AB,4,0)),0,1)</f>
        <v>0</v>
      </c>
      <c r="U584" s="4">
        <f>IF(COUNTIFS(F:F,F584,H:H,H584)&lt;=VLOOKUP(H584,Dados!$X:$AB,5,0),0,1)</f>
        <v>0</v>
      </c>
    </row>
    <row r="585" spans="6:21">
      <c r="F585" s="4">
        <v>360</v>
      </c>
      <c r="G585" s="4">
        <v>64</v>
      </c>
      <c r="H585" s="4">
        <v>3</v>
      </c>
      <c r="I585" s="4">
        <v>25</v>
      </c>
      <c r="J585" s="4">
        <v>4</v>
      </c>
      <c r="K585" s="4">
        <f t="shared" si="202"/>
        <v>0</v>
      </c>
      <c r="L585" s="4">
        <f t="shared" si="202"/>
        <v>0</v>
      </c>
      <c r="M585" s="4">
        <f t="shared" si="202"/>
        <v>0</v>
      </c>
      <c r="N585" s="4">
        <f t="shared" si="202"/>
        <v>0</v>
      </c>
      <c r="O585" s="4">
        <f t="shared" si="203"/>
        <v>0</v>
      </c>
      <c r="P585" s="4">
        <f t="shared" si="204"/>
        <v>0</v>
      </c>
      <c r="Q585" s="4">
        <f t="shared" si="205"/>
        <v>0</v>
      </c>
      <c r="R585" s="4">
        <f t="shared" si="206"/>
        <v>0</v>
      </c>
      <c r="S585" s="4">
        <f>IF(AND(VLOOKUP(G585,Dados!$D:$L,2,0)=VLOOKUP(I585,Dados!$S:$V,2,0),VLOOKUP(G585,Dados!$D:$L,3,0)=VLOOKUP(I585,Dados!$S:$V,3,0)),0,1)</f>
        <v>0</v>
      </c>
      <c r="T585" s="4">
        <f>IF(AND(VLOOKUP(G585,Dados!$D:$L,3,0)&lt;=VLOOKUP(H585,Dados!$X:$AB,2,0),VLOOKUP(G585,Dados!$D:$L,4,0)&gt;=VLOOKUP(H585,Dados!$X:$AB,3,0),VLOOKUP(G585,Dados!$D:$L,4,0)&lt;=VLOOKUP(H585,Dados!$X:$AB,4,0)),0,1)</f>
        <v>0</v>
      </c>
      <c r="U585" s="4">
        <f>IF(COUNTIFS(F:F,F585,H:H,H585)&lt;=VLOOKUP(H585,Dados!$X:$AB,5,0),0,1)</f>
        <v>0</v>
      </c>
    </row>
    <row r="586" spans="6:21">
      <c r="F586" s="4">
        <v>361</v>
      </c>
      <c r="G586" s="4">
        <v>59</v>
      </c>
      <c r="H586" s="4">
        <v>1</v>
      </c>
      <c r="I586" s="4">
        <v>26</v>
      </c>
      <c r="J586" s="4">
        <v>4</v>
      </c>
      <c r="K586" s="4">
        <f t="shared" si="202"/>
        <v>0</v>
      </c>
      <c r="L586" s="4">
        <f t="shared" si="202"/>
        <v>0</v>
      </c>
      <c r="M586" s="4">
        <f t="shared" si="202"/>
        <v>0</v>
      </c>
      <c r="N586" s="4">
        <f t="shared" si="202"/>
        <v>0</v>
      </c>
      <c r="O586" s="4">
        <f t="shared" si="203"/>
        <v>0</v>
      </c>
      <c r="P586" s="4">
        <f t="shared" si="204"/>
        <v>0</v>
      </c>
      <c r="Q586" s="4">
        <f t="shared" si="205"/>
        <v>0</v>
      </c>
      <c r="R586" s="4">
        <f t="shared" si="206"/>
        <v>0</v>
      </c>
      <c r="S586" s="4">
        <f>IF(AND(VLOOKUP(G586,Dados!$D:$L,2,0)=VLOOKUP(I586,Dados!$S:$V,2,0),VLOOKUP(G586,Dados!$D:$L,3,0)=VLOOKUP(I586,Dados!$S:$V,3,0)),0,1)</f>
        <v>0</v>
      </c>
      <c r="T586" s="4">
        <f>IF(AND(VLOOKUP(G586,Dados!$D:$L,3,0)&lt;=VLOOKUP(H586,Dados!$X:$AB,2,0),VLOOKUP(G586,Dados!$D:$L,4,0)&gt;=VLOOKUP(H586,Dados!$X:$AB,3,0),VLOOKUP(G586,Dados!$D:$L,4,0)&lt;=VLOOKUP(H586,Dados!$X:$AB,4,0)),0,1)</f>
        <v>0</v>
      </c>
      <c r="U586" s="4">
        <f>IF(COUNTIFS(F:F,F586,H:H,H586)&lt;=VLOOKUP(H586,Dados!$X:$AB,5,0),0,1)</f>
        <v>0</v>
      </c>
    </row>
    <row r="587" spans="6:21">
      <c r="F587" s="4">
        <v>361</v>
      </c>
      <c r="G587" s="4">
        <v>64</v>
      </c>
      <c r="H587" s="4">
        <v>1</v>
      </c>
      <c r="I587" s="4">
        <v>26</v>
      </c>
      <c r="J587" s="4">
        <v>4</v>
      </c>
      <c r="K587" s="4">
        <f t="shared" si="202"/>
        <v>0</v>
      </c>
      <c r="L587" s="4">
        <f t="shared" si="202"/>
        <v>0</v>
      </c>
      <c r="M587" s="4">
        <f t="shared" si="202"/>
        <v>0</v>
      </c>
      <c r="N587" s="4">
        <f t="shared" si="202"/>
        <v>0</v>
      </c>
      <c r="O587" s="4">
        <f t="shared" si="203"/>
        <v>0</v>
      </c>
      <c r="P587" s="4">
        <f t="shared" si="204"/>
        <v>0</v>
      </c>
      <c r="Q587" s="4">
        <f t="shared" si="205"/>
        <v>0</v>
      </c>
      <c r="R587" s="4">
        <f t="shared" si="206"/>
        <v>0</v>
      </c>
      <c r="S587" s="4">
        <f>IF(AND(VLOOKUP(G587,Dados!$D:$L,2,0)=VLOOKUP(I587,Dados!$S:$V,2,0),VLOOKUP(G587,Dados!$D:$L,3,0)=VLOOKUP(I587,Dados!$S:$V,3,0)),0,1)</f>
        <v>0</v>
      </c>
      <c r="T587" s="4">
        <f>IF(AND(VLOOKUP(G587,Dados!$D:$L,3,0)&lt;=VLOOKUP(H587,Dados!$X:$AB,2,0),VLOOKUP(G587,Dados!$D:$L,4,0)&gt;=VLOOKUP(H587,Dados!$X:$AB,3,0),VLOOKUP(G587,Dados!$D:$L,4,0)&lt;=VLOOKUP(H587,Dados!$X:$AB,4,0)),0,1)</f>
        <v>0</v>
      </c>
      <c r="U587" s="4">
        <f>IF(COUNTIFS(F:F,F587,H:H,H587)&lt;=VLOOKUP(H587,Dados!$X:$AB,5,0),0,1)</f>
        <v>0</v>
      </c>
    </row>
    <row r="588" spans="6:21">
      <c r="F588" s="4">
        <v>362</v>
      </c>
      <c r="G588" s="4">
        <v>59</v>
      </c>
      <c r="H588" s="4">
        <v>2</v>
      </c>
      <c r="I588" s="4">
        <v>26</v>
      </c>
      <c r="J588" s="4">
        <v>4</v>
      </c>
      <c r="K588" s="4">
        <f t="shared" si="202"/>
        <v>0</v>
      </c>
      <c r="L588" s="4">
        <f t="shared" si="202"/>
        <v>0</v>
      </c>
      <c r="M588" s="4">
        <f t="shared" si="202"/>
        <v>0</v>
      </c>
      <c r="N588" s="4">
        <f t="shared" si="202"/>
        <v>0</v>
      </c>
      <c r="O588" s="4">
        <f t="shared" si="203"/>
        <v>0</v>
      </c>
      <c r="P588" s="4">
        <f t="shared" si="204"/>
        <v>0</v>
      </c>
      <c r="Q588" s="4">
        <f t="shared" si="205"/>
        <v>0</v>
      </c>
      <c r="R588" s="4">
        <f t="shared" si="206"/>
        <v>0</v>
      </c>
      <c r="S588" s="4">
        <f>IF(AND(VLOOKUP(G588,Dados!$D:$L,2,0)=VLOOKUP(I588,Dados!$S:$V,2,0),VLOOKUP(G588,Dados!$D:$L,3,0)=VLOOKUP(I588,Dados!$S:$V,3,0)),0,1)</f>
        <v>0</v>
      </c>
      <c r="T588" s="4">
        <f>IF(AND(VLOOKUP(G588,Dados!$D:$L,3,0)&lt;=VLOOKUP(H588,Dados!$X:$AB,2,0),VLOOKUP(G588,Dados!$D:$L,4,0)&gt;=VLOOKUP(H588,Dados!$X:$AB,3,0),VLOOKUP(G588,Dados!$D:$L,4,0)&lt;=VLOOKUP(H588,Dados!$X:$AB,4,0)),0,1)</f>
        <v>0</v>
      </c>
      <c r="U588" s="4">
        <f>IF(COUNTIFS(F:F,F588,H:H,H588)&lt;=VLOOKUP(H588,Dados!$X:$AB,5,0),0,1)</f>
        <v>0</v>
      </c>
    </row>
    <row r="589" spans="6:21">
      <c r="F589" s="4">
        <v>362</v>
      </c>
      <c r="G589" s="4">
        <v>64</v>
      </c>
      <c r="H589" s="4">
        <v>2</v>
      </c>
      <c r="I589" s="4">
        <v>26</v>
      </c>
      <c r="J589" s="4">
        <v>4</v>
      </c>
      <c r="K589" s="4">
        <f t="shared" si="202"/>
        <v>0</v>
      </c>
      <c r="L589" s="4">
        <f t="shared" si="202"/>
        <v>0</v>
      </c>
      <c r="M589" s="4">
        <f t="shared" si="202"/>
        <v>0</v>
      </c>
      <c r="N589" s="4">
        <f t="shared" si="202"/>
        <v>0</v>
      </c>
      <c r="O589" s="4">
        <f t="shared" si="203"/>
        <v>0</v>
      </c>
      <c r="P589" s="4">
        <f t="shared" si="204"/>
        <v>0</v>
      </c>
      <c r="Q589" s="4">
        <f t="shared" si="205"/>
        <v>0</v>
      </c>
      <c r="R589" s="4">
        <f t="shared" si="206"/>
        <v>0</v>
      </c>
      <c r="S589" s="4">
        <f>IF(AND(VLOOKUP(G589,Dados!$D:$L,2,0)=VLOOKUP(I589,Dados!$S:$V,2,0),VLOOKUP(G589,Dados!$D:$L,3,0)=VLOOKUP(I589,Dados!$S:$V,3,0)),0,1)</f>
        <v>0</v>
      </c>
      <c r="T589" s="4">
        <f>IF(AND(VLOOKUP(G589,Dados!$D:$L,3,0)&lt;=VLOOKUP(H589,Dados!$X:$AB,2,0),VLOOKUP(G589,Dados!$D:$L,4,0)&gt;=VLOOKUP(H589,Dados!$X:$AB,3,0),VLOOKUP(G589,Dados!$D:$L,4,0)&lt;=VLOOKUP(H589,Dados!$X:$AB,4,0)),0,1)</f>
        <v>0</v>
      </c>
      <c r="U589" s="4">
        <f>IF(COUNTIFS(F:F,F589,H:H,H589)&lt;=VLOOKUP(H589,Dados!$X:$AB,5,0),0,1)</f>
        <v>0</v>
      </c>
    </row>
    <row r="590" spans="6:21">
      <c r="F590" s="4">
        <v>363</v>
      </c>
      <c r="G590" s="4">
        <v>59</v>
      </c>
      <c r="H590" s="4">
        <v>3</v>
      </c>
      <c r="I590" s="4">
        <v>26</v>
      </c>
      <c r="J590" s="4">
        <v>4</v>
      </c>
      <c r="K590" s="4">
        <f t="shared" si="202"/>
        <v>0</v>
      </c>
      <c r="L590" s="4">
        <f t="shared" si="202"/>
        <v>0</v>
      </c>
      <c r="M590" s="4">
        <f t="shared" si="202"/>
        <v>0</v>
      </c>
      <c r="N590" s="4">
        <f t="shared" si="202"/>
        <v>0</v>
      </c>
      <c r="O590" s="4">
        <f t="shared" si="203"/>
        <v>0</v>
      </c>
      <c r="P590" s="4">
        <f t="shared" si="204"/>
        <v>0</v>
      </c>
      <c r="Q590" s="4">
        <f t="shared" si="205"/>
        <v>0</v>
      </c>
      <c r="R590" s="4">
        <f t="shared" si="206"/>
        <v>0</v>
      </c>
      <c r="S590" s="4">
        <f>IF(AND(VLOOKUP(G590,Dados!$D:$L,2,0)=VLOOKUP(I590,Dados!$S:$V,2,0),VLOOKUP(G590,Dados!$D:$L,3,0)=VLOOKUP(I590,Dados!$S:$V,3,0)),0,1)</f>
        <v>0</v>
      </c>
      <c r="T590" s="4">
        <f>IF(AND(VLOOKUP(G590,Dados!$D:$L,3,0)&lt;=VLOOKUP(H590,Dados!$X:$AB,2,0),VLOOKUP(G590,Dados!$D:$L,4,0)&gt;=VLOOKUP(H590,Dados!$X:$AB,3,0),VLOOKUP(G590,Dados!$D:$L,4,0)&lt;=VLOOKUP(H590,Dados!$X:$AB,4,0)),0,1)</f>
        <v>0</v>
      </c>
      <c r="U590" s="4">
        <f>IF(COUNTIFS(F:F,F590,H:H,H590)&lt;=VLOOKUP(H590,Dados!$X:$AB,5,0),0,1)</f>
        <v>0</v>
      </c>
    </row>
    <row r="591" spans="6:21">
      <c r="F591" s="4">
        <v>363</v>
      </c>
      <c r="G591" s="4">
        <v>64</v>
      </c>
      <c r="H591" s="4">
        <v>3</v>
      </c>
      <c r="I591" s="4">
        <v>26</v>
      </c>
      <c r="J591" s="4">
        <v>4</v>
      </c>
      <c r="K591" s="4">
        <f t="shared" si="202"/>
        <v>0</v>
      </c>
      <c r="L591" s="4">
        <f t="shared" si="202"/>
        <v>0</v>
      </c>
      <c r="M591" s="4">
        <f t="shared" si="202"/>
        <v>0</v>
      </c>
      <c r="N591" s="4">
        <f t="shared" si="202"/>
        <v>0</v>
      </c>
      <c r="O591" s="4">
        <f t="shared" si="203"/>
        <v>0</v>
      </c>
      <c r="P591" s="4">
        <f t="shared" si="204"/>
        <v>0</v>
      </c>
      <c r="Q591" s="4">
        <f t="shared" si="205"/>
        <v>0</v>
      </c>
      <c r="R591" s="4">
        <f t="shared" si="206"/>
        <v>0</v>
      </c>
      <c r="S591" s="4">
        <f>IF(AND(VLOOKUP(G591,Dados!$D:$L,2,0)=VLOOKUP(I591,Dados!$S:$V,2,0),VLOOKUP(G591,Dados!$D:$L,3,0)=VLOOKUP(I591,Dados!$S:$V,3,0)),0,1)</f>
        <v>0</v>
      </c>
      <c r="T591" s="4">
        <f>IF(AND(VLOOKUP(G591,Dados!$D:$L,3,0)&lt;=VLOOKUP(H591,Dados!$X:$AB,2,0),VLOOKUP(G591,Dados!$D:$L,4,0)&gt;=VLOOKUP(H591,Dados!$X:$AB,3,0),VLOOKUP(G591,Dados!$D:$L,4,0)&lt;=VLOOKUP(H591,Dados!$X:$AB,4,0)),0,1)</f>
        <v>0</v>
      </c>
      <c r="U591" s="4">
        <f>IF(COUNTIFS(F:F,F591,H:H,H591)&lt;=VLOOKUP(H591,Dados!$X:$AB,5,0),0,1)</f>
        <v>0</v>
      </c>
    </row>
    <row r="592" spans="6:21">
      <c r="F592" s="4">
        <v>364</v>
      </c>
      <c r="G592" s="4">
        <v>59</v>
      </c>
      <c r="H592" s="4">
        <v>1</v>
      </c>
      <c r="I592" s="4">
        <v>27</v>
      </c>
      <c r="J592" s="4">
        <v>4</v>
      </c>
      <c r="K592" s="4">
        <f t="shared" si="202"/>
        <v>0</v>
      </c>
      <c r="L592" s="4">
        <f t="shared" si="202"/>
        <v>0</v>
      </c>
      <c r="M592" s="4">
        <f t="shared" si="202"/>
        <v>0</v>
      </c>
      <c r="N592" s="4">
        <f t="shared" si="202"/>
        <v>0</v>
      </c>
      <c r="O592" s="4">
        <f t="shared" si="203"/>
        <v>0</v>
      </c>
      <c r="P592" s="4">
        <f t="shared" si="204"/>
        <v>0</v>
      </c>
      <c r="Q592" s="4">
        <f t="shared" si="205"/>
        <v>0</v>
      </c>
      <c r="R592" s="4">
        <f t="shared" si="206"/>
        <v>0</v>
      </c>
      <c r="S592" s="4">
        <f>IF(AND(VLOOKUP(G592,Dados!$D:$L,2,0)=VLOOKUP(I592,Dados!$S:$V,2,0),VLOOKUP(G592,Dados!$D:$L,3,0)=VLOOKUP(I592,Dados!$S:$V,3,0)),0,1)</f>
        <v>0</v>
      </c>
      <c r="T592" s="4">
        <f>IF(AND(VLOOKUP(G592,Dados!$D:$L,3,0)&lt;=VLOOKUP(H592,Dados!$X:$AB,2,0),VLOOKUP(G592,Dados!$D:$L,4,0)&gt;=VLOOKUP(H592,Dados!$X:$AB,3,0),VLOOKUP(G592,Dados!$D:$L,4,0)&lt;=VLOOKUP(H592,Dados!$X:$AB,4,0)),0,1)</f>
        <v>0</v>
      </c>
      <c r="U592" s="4">
        <f>IF(COUNTIFS(F:F,F592,H:H,H592)&lt;=VLOOKUP(H592,Dados!$X:$AB,5,0),0,1)</f>
        <v>0</v>
      </c>
    </row>
    <row r="593" spans="6:21">
      <c r="F593" s="4">
        <v>364</v>
      </c>
      <c r="G593" s="4">
        <v>62</v>
      </c>
      <c r="H593" s="4">
        <v>1</v>
      </c>
      <c r="I593" s="4">
        <v>27</v>
      </c>
      <c r="J593" s="4">
        <v>4</v>
      </c>
      <c r="K593" s="4">
        <f t="shared" si="202"/>
        <v>0</v>
      </c>
      <c r="L593" s="4">
        <f t="shared" si="202"/>
        <v>0</v>
      </c>
      <c r="M593" s="4">
        <f t="shared" si="202"/>
        <v>0</v>
      </c>
      <c r="N593" s="4">
        <f t="shared" si="202"/>
        <v>0</v>
      </c>
      <c r="O593" s="4">
        <f t="shared" si="203"/>
        <v>0</v>
      </c>
      <c r="P593" s="4">
        <f t="shared" si="204"/>
        <v>0</v>
      </c>
      <c r="Q593" s="4">
        <f t="shared" si="205"/>
        <v>0</v>
      </c>
      <c r="R593" s="4">
        <f t="shared" si="206"/>
        <v>0</v>
      </c>
      <c r="S593" s="4">
        <f>IF(AND(VLOOKUP(G593,Dados!$D:$L,2,0)=VLOOKUP(I593,Dados!$S:$V,2,0),VLOOKUP(G593,Dados!$D:$L,3,0)=VLOOKUP(I593,Dados!$S:$V,3,0)),0,1)</f>
        <v>0</v>
      </c>
      <c r="T593" s="4">
        <f>IF(AND(VLOOKUP(G593,Dados!$D:$L,3,0)&lt;=VLOOKUP(H593,Dados!$X:$AB,2,0),VLOOKUP(G593,Dados!$D:$L,4,0)&gt;=VLOOKUP(H593,Dados!$X:$AB,3,0),VLOOKUP(G593,Dados!$D:$L,4,0)&lt;=VLOOKUP(H593,Dados!$X:$AB,4,0)),0,1)</f>
        <v>0</v>
      </c>
      <c r="U593" s="4">
        <f>IF(COUNTIFS(F:F,F593,H:H,H593)&lt;=VLOOKUP(H593,Dados!$X:$AB,5,0),0,1)</f>
        <v>0</v>
      </c>
    </row>
    <row r="594" spans="6:21">
      <c r="F594" s="4">
        <v>364</v>
      </c>
      <c r="G594" s="4">
        <v>64</v>
      </c>
      <c r="H594" s="4">
        <v>1</v>
      </c>
      <c r="I594" s="4">
        <v>27</v>
      </c>
      <c r="J594" s="4">
        <v>2</v>
      </c>
      <c r="K594" s="4">
        <f t="shared" si="202"/>
        <v>0</v>
      </c>
      <c r="L594" s="4">
        <f t="shared" si="202"/>
        <v>0</v>
      </c>
      <c r="M594" s="4">
        <f t="shared" si="202"/>
        <v>0</v>
      </c>
      <c r="N594" s="4">
        <f t="shared" si="202"/>
        <v>0</v>
      </c>
      <c r="O594" s="4">
        <f t="shared" si="203"/>
        <v>0</v>
      </c>
      <c r="P594" s="4">
        <f t="shared" si="204"/>
        <v>0</v>
      </c>
      <c r="Q594" s="4">
        <f t="shared" si="205"/>
        <v>0</v>
      </c>
      <c r="R594" s="4">
        <f t="shared" si="206"/>
        <v>0</v>
      </c>
      <c r="S594" s="4">
        <f>IF(AND(VLOOKUP(G594,Dados!$D:$L,2,0)=VLOOKUP(I594,Dados!$S:$V,2,0),VLOOKUP(G594,Dados!$D:$L,3,0)=VLOOKUP(I594,Dados!$S:$V,3,0)),0,1)</f>
        <v>0</v>
      </c>
      <c r="T594" s="4">
        <f>IF(AND(VLOOKUP(G594,Dados!$D:$L,3,0)&lt;=VLOOKUP(H594,Dados!$X:$AB,2,0),VLOOKUP(G594,Dados!$D:$L,4,0)&gt;=VLOOKUP(H594,Dados!$X:$AB,3,0),VLOOKUP(G594,Dados!$D:$L,4,0)&lt;=VLOOKUP(H594,Dados!$X:$AB,4,0)),0,1)</f>
        <v>0</v>
      </c>
      <c r="U594" s="4">
        <f>IF(COUNTIFS(F:F,F594,H:H,H594)&lt;=VLOOKUP(H594,Dados!$X:$AB,5,0),0,1)</f>
        <v>0</v>
      </c>
    </row>
    <row r="595" spans="6:21">
      <c r="F595" s="4">
        <v>365</v>
      </c>
      <c r="G595" s="4">
        <v>59</v>
      </c>
      <c r="H595" s="4">
        <v>2</v>
      </c>
      <c r="I595" s="4">
        <v>27</v>
      </c>
      <c r="J595" s="4">
        <v>4</v>
      </c>
      <c r="K595" s="4">
        <f t="shared" si="202"/>
        <v>0</v>
      </c>
      <c r="L595" s="4">
        <f t="shared" si="202"/>
        <v>0</v>
      </c>
      <c r="M595" s="4">
        <f t="shared" si="202"/>
        <v>0</v>
      </c>
      <c r="N595" s="4">
        <f t="shared" si="202"/>
        <v>0</v>
      </c>
      <c r="O595" s="4">
        <f t="shared" si="203"/>
        <v>0</v>
      </c>
      <c r="P595" s="4">
        <f t="shared" si="204"/>
        <v>0</v>
      </c>
      <c r="Q595" s="4">
        <f t="shared" si="205"/>
        <v>0</v>
      </c>
      <c r="R595" s="4">
        <f t="shared" si="206"/>
        <v>0</v>
      </c>
      <c r="S595" s="4">
        <f>IF(AND(VLOOKUP(G595,Dados!$D:$L,2,0)=VLOOKUP(I595,Dados!$S:$V,2,0),VLOOKUP(G595,Dados!$D:$L,3,0)=VLOOKUP(I595,Dados!$S:$V,3,0)),0,1)</f>
        <v>0</v>
      </c>
      <c r="T595" s="4">
        <f>IF(AND(VLOOKUP(G595,Dados!$D:$L,3,0)&lt;=VLOOKUP(H595,Dados!$X:$AB,2,0),VLOOKUP(G595,Dados!$D:$L,4,0)&gt;=VLOOKUP(H595,Dados!$X:$AB,3,0),VLOOKUP(G595,Dados!$D:$L,4,0)&lt;=VLOOKUP(H595,Dados!$X:$AB,4,0)),0,1)</f>
        <v>0</v>
      </c>
      <c r="U595" s="4">
        <f>IF(COUNTIFS(F:F,F595,H:H,H595)&lt;=VLOOKUP(H595,Dados!$X:$AB,5,0),0,1)</f>
        <v>0</v>
      </c>
    </row>
    <row r="596" spans="6:21">
      <c r="F596" s="4">
        <v>365</v>
      </c>
      <c r="G596" s="4">
        <v>62</v>
      </c>
      <c r="H596" s="4">
        <v>2</v>
      </c>
      <c r="I596" s="4">
        <v>27</v>
      </c>
      <c r="J596" s="4">
        <v>4</v>
      </c>
      <c r="K596" s="4">
        <f t="shared" si="202"/>
        <v>0</v>
      </c>
      <c r="L596" s="4">
        <f t="shared" si="202"/>
        <v>0</v>
      </c>
      <c r="M596" s="4">
        <f t="shared" si="202"/>
        <v>0</v>
      </c>
      <c r="N596" s="4">
        <f t="shared" si="202"/>
        <v>0</v>
      </c>
      <c r="O596" s="4">
        <f t="shared" si="203"/>
        <v>0</v>
      </c>
      <c r="P596" s="4">
        <f t="shared" si="204"/>
        <v>0</v>
      </c>
      <c r="Q596" s="4">
        <f t="shared" si="205"/>
        <v>0</v>
      </c>
      <c r="R596" s="4">
        <f t="shared" si="206"/>
        <v>0</v>
      </c>
      <c r="S596" s="4">
        <f>IF(AND(VLOOKUP(G596,Dados!$D:$L,2,0)=VLOOKUP(I596,Dados!$S:$V,2,0),VLOOKUP(G596,Dados!$D:$L,3,0)=VLOOKUP(I596,Dados!$S:$V,3,0)),0,1)</f>
        <v>0</v>
      </c>
      <c r="T596" s="4">
        <f>IF(AND(VLOOKUP(G596,Dados!$D:$L,3,0)&lt;=VLOOKUP(H596,Dados!$X:$AB,2,0),VLOOKUP(G596,Dados!$D:$L,4,0)&gt;=VLOOKUP(H596,Dados!$X:$AB,3,0),VLOOKUP(G596,Dados!$D:$L,4,0)&lt;=VLOOKUP(H596,Dados!$X:$AB,4,0)),0,1)</f>
        <v>0</v>
      </c>
      <c r="U596" s="4">
        <f>IF(COUNTIFS(F:F,F596,H:H,H596)&lt;=VLOOKUP(H596,Dados!$X:$AB,5,0),0,1)</f>
        <v>0</v>
      </c>
    </row>
    <row r="597" spans="6:21">
      <c r="F597" s="4">
        <v>365</v>
      </c>
      <c r="G597" s="4">
        <v>64</v>
      </c>
      <c r="H597" s="4">
        <v>2</v>
      </c>
      <c r="I597" s="4">
        <v>27</v>
      </c>
      <c r="J597" s="4">
        <v>2</v>
      </c>
      <c r="K597" s="4">
        <f t="shared" si="202"/>
        <v>0</v>
      </c>
      <c r="L597" s="4">
        <f t="shared" si="202"/>
        <v>0</v>
      </c>
      <c r="M597" s="4">
        <f t="shared" si="202"/>
        <v>0</v>
      </c>
      <c r="N597" s="4">
        <f t="shared" si="202"/>
        <v>0</v>
      </c>
      <c r="O597" s="4">
        <f t="shared" si="203"/>
        <v>0</v>
      </c>
      <c r="P597" s="4">
        <f t="shared" si="204"/>
        <v>0</v>
      </c>
      <c r="Q597" s="4">
        <f t="shared" si="205"/>
        <v>0</v>
      </c>
      <c r="R597" s="4">
        <f t="shared" si="206"/>
        <v>0</v>
      </c>
      <c r="S597" s="4">
        <f>IF(AND(VLOOKUP(G597,Dados!$D:$L,2,0)=VLOOKUP(I597,Dados!$S:$V,2,0),VLOOKUP(G597,Dados!$D:$L,3,0)=VLOOKUP(I597,Dados!$S:$V,3,0)),0,1)</f>
        <v>0</v>
      </c>
      <c r="T597" s="4">
        <f>IF(AND(VLOOKUP(G597,Dados!$D:$L,3,0)&lt;=VLOOKUP(H597,Dados!$X:$AB,2,0),VLOOKUP(G597,Dados!$D:$L,4,0)&gt;=VLOOKUP(H597,Dados!$X:$AB,3,0),VLOOKUP(G597,Dados!$D:$L,4,0)&lt;=VLOOKUP(H597,Dados!$X:$AB,4,0)),0,1)</f>
        <v>0</v>
      </c>
      <c r="U597" s="4">
        <f>IF(COUNTIFS(F:F,F597,H:H,H597)&lt;=VLOOKUP(H597,Dados!$X:$AB,5,0),0,1)</f>
        <v>0</v>
      </c>
    </row>
    <row r="598" spans="6:21">
      <c r="F598" s="4">
        <v>366</v>
      </c>
      <c r="G598" s="4">
        <v>59</v>
      </c>
      <c r="H598" s="4">
        <v>3</v>
      </c>
      <c r="I598" s="4">
        <v>27</v>
      </c>
      <c r="J598" s="4">
        <v>4</v>
      </c>
      <c r="K598" s="4">
        <f t="shared" si="202"/>
        <v>0</v>
      </c>
      <c r="L598" s="4">
        <f t="shared" si="202"/>
        <v>0</v>
      </c>
      <c r="M598" s="4">
        <f t="shared" si="202"/>
        <v>0</v>
      </c>
      <c r="N598" s="4">
        <f t="shared" si="202"/>
        <v>0</v>
      </c>
      <c r="O598" s="4">
        <f t="shared" si="203"/>
        <v>0</v>
      </c>
      <c r="P598" s="4">
        <f t="shared" si="204"/>
        <v>0</v>
      </c>
      <c r="Q598" s="4">
        <f t="shared" si="205"/>
        <v>0</v>
      </c>
      <c r="R598" s="4">
        <f t="shared" si="206"/>
        <v>0</v>
      </c>
      <c r="S598" s="4">
        <f>IF(AND(VLOOKUP(G598,Dados!$D:$L,2,0)=VLOOKUP(I598,Dados!$S:$V,2,0),VLOOKUP(G598,Dados!$D:$L,3,0)=VLOOKUP(I598,Dados!$S:$V,3,0)),0,1)</f>
        <v>0</v>
      </c>
      <c r="T598" s="4">
        <f>IF(AND(VLOOKUP(G598,Dados!$D:$L,3,0)&lt;=VLOOKUP(H598,Dados!$X:$AB,2,0),VLOOKUP(G598,Dados!$D:$L,4,0)&gt;=VLOOKUP(H598,Dados!$X:$AB,3,0),VLOOKUP(G598,Dados!$D:$L,4,0)&lt;=VLOOKUP(H598,Dados!$X:$AB,4,0)),0,1)</f>
        <v>0</v>
      </c>
      <c r="U598" s="4">
        <f>IF(COUNTIFS(F:F,F598,H:H,H598)&lt;=VLOOKUP(H598,Dados!$X:$AB,5,0),0,1)</f>
        <v>0</v>
      </c>
    </row>
    <row r="599" spans="6:21">
      <c r="F599" s="4">
        <v>366</v>
      </c>
      <c r="G599" s="4">
        <v>62</v>
      </c>
      <c r="H599" s="4">
        <v>3</v>
      </c>
      <c r="I599" s="4">
        <v>27</v>
      </c>
      <c r="J599" s="4">
        <v>4</v>
      </c>
      <c r="K599" s="4">
        <f t="shared" si="202"/>
        <v>0</v>
      </c>
      <c r="L599" s="4">
        <f t="shared" si="202"/>
        <v>0</v>
      </c>
      <c r="M599" s="4">
        <f t="shared" si="202"/>
        <v>0</v>
      </c>
      <c r="N599" s="4">
        <f t="shared" si="202"/>
        <v>0</v>
      </c>
      <c r="O599" s="4">
        <f t="shared" si="203"/>
        <v>0</v>
      </c>
      <c r="P599" s="4">
        <f t="shared" si="204"/>
        <v>0</v>
      </c>
      <c r="Q599" s="4">
        <f t="shared" si="205"/>
        <v>0</v>
      </c>
      <c r="R599" s="4">
        <f t="shared" si="206"/>
        <v>0</v>
      </c>
      <c r="S599" s="4">
        <f>IF(AND(VLOOKUP(G599,Dados!$D:$L,2,0)=VLOOKUP(I599,Dados!$S:$V,2,0),VLOOKUP(G599,Dados!$D:$L,3,0)=VLOOKUP(I599,Dados!$S:$V,3,0)),0,1)</f>
        <v>0</v>
      </c>
      <c r="T599" s="4">
        <f>IF(AND(VLOOKUP(G599,Dados!$D:$L,3,0)&lt;=VLOOKUP(H599,Dados!$X:$AB,2,0),VLOOKUP(G599,Dados!$D:$L,4,0)&gt;=VLOOKUP(H599,Dados!$X:$AB,3,0),VLOOKUP(G599,Dados!$D:$L,4,0)&lt;=VLOOKUP(H599,Dados!$X:$AB,4,0)),0,1)</f>
        <v>0</v>
      </c>
      <c r="U599" s="4">
        <f>IF(COUNTIFS(F:F,F599,H:H,H599)&lt;=VLOOKUP(H599,Dados!$X:$AB,5,0),0,1)</f>
        <v>0</v>
      </c>
    </row>
    <row r="600" spans="6:21">
      <c r="F600" s="4">
        <v>366</v>
      </c>
      <c r="G600" s="4">
        <v>64</v>
      </c>
      <c r="H600" s="4">
        <v>3</v>
      </c>
      <c r="I600" s="4">
        <v>27</v>
      </c>
      <c r="J600" s="4">
        <v>2</v>
      </c>
      <c r="K600" s="4">
        <f t="shared" si="202"/>
        <v>0</v>
      </c>
      <c r="L600" s="4">
        <f t="shared" si="202"/>
        <v>0</v>
      </c>
      <c r="M600" s="4">
        <f t="shared" si="202"/>
        <v>0</v>
      </c>
      <c r="N600" s="4">
        <f t="shared" si="202"/>
        <v>0</v>
      </c>
      <c r="O600" s="4">
        <f t="shared" si="203"/>
        <v>0</v>
      </c>
      <c r="P600" s="4">
        <f t="shared" si="204"/>
        <v>0</v>
      </c>
      <c r="Q600" s="4">
        <f t="shared" si="205"/>
        <v>0</v>
      </c>
      <c r="R600" s="4">
        <f t="shared" si="206"/>
        <v>0</v>
      </c>
      <c r="S600" s="4">
        <f>IF(AND(VLOOKUP(G600,Dados!$D:$L,2,0)=VLOOKUP(I600,Dados!$S:$V,2,0),VLOOKUP(G600,Dados!$D:$L,3,0)=VLOOKUP(I600,Dados!$S:$V,3,0)),0,1)</f>
        <v>0</v>
      </c>
      <c r="T600" s="4">
        <f>IF(AND(VLOOKUP(G600,Dados!$D:$L,3,0)&lt;=VLOOKUP(H600,Dados!$X:$AB,2,0),VLOOKUP(G600,Dados!$D:$L,4,0)&gt;=VLOOKUP(H600,Dados!$X:$AB,3,0),VLOOKUP(G600,Dados!$D:$L,4,0)&lt;=VLOOKUP(H600,Dados!$X:$AB,4,0)),0,1)</f>
        <v>0</v>
      </c>
      <c r="U600" s="4">
        <f>IF(COUNTIFS(F:F,F600,H:H,H600)&lt;=VLOOKUP(H600,Dados!$X:$AB,5,0),0,1)</f>
        <v>0</v>
      </c>
    </row>
    <row r="601" spans="6:21">
      <c r="F601" s="4">
        <v>367</v>
      </c>
      <c r="G601" s="4">
        <v>59</v>
      </c>
      <c r="H601" s="4">
        <v>1</v>
      </c>
      <c r="I601" s="4">
        <v>28</v>
      </c>
      <c r="J601" s="4">
        <v>6</v>
      </c>
      <c r="K601" s="4">
        <f t="shared" si="202"/>
        <v>0</v>
      </c>
      <c r="L601" s="4">
        <f t="shared" si="202"/>
        <v>0</v>
      </c>
      <c r="M601" s="4">
        <f t="shared" si="202"/>
        <v>0</v>
      </c>
      <c r="N601" s="4">
        <f t="shared" si="202"/>
        <v>0</v>
      </c>
      <c r="O601" s="4">
        <f t="shared" si="203"/>
        <v>0</v>
      </c>
      <c r="P601" s="4">
        <f t="shared" si="204"/>
        <v>0</v>
      </c>
      <c r="Q601" s="4">
        <f t="shared" si="205"/>
        <v>0</v>
      </c>
      <c r="R601" s="4">
        <f t="shared" si="206"/>
        <v>0</v>
      </c>
      <c r="S601" s="4">
        <f>IF(AND(VLOOKUP(G601,Dados!$D:$L,2,0)=VLOOKUP(I601,Dados!$S:$V,2,0),VLOOKUP(G601,Dados!$D:$L,3,0)=VLOOKUP(I601,Dados!$S:$V,3,0)),0,1)</f>
        <v>0</v>
      </c>
      <c r="T601" s="4">
        <f>IF(AND(VLOOKUP(G601,Dados!$D:$L,3,0)&lt;=VLOOKUP(H601,Dados!$X:$AB,2,0),VLOOKUP(G601,Dados!$D:$L,4,0)&gt;=VLOOKUP(H601,Dados!$X:$AB,3,0),VLOOKUP(G601,Dados!$D:$L,4,0)&lt;=VLOOKUP(H601,Dados!$X:$AB,4,0)),0,1)</f>
        <v>0</v>
      </c>
      <c r="U601" s="4">
        <f>IF(COUNTIFS(F:F,F601,H:H,H601)&lt;=VLOOKUP(H601,Dados!$X:$AB,5,0),0,1)</f>
        <v>0</v>
      </c>
    </row>
    <row r="602" spans="6:21">
      <c r="F602" s="4">
        <v>367</v>
      </c>
      <c r="G602" s="4">
        <v>62</v>
      </c>
      <c r="H602" s="4">
        <v>1</v>
      </c>
      <c r="I602" s="4">
        <v>28</v>
      </c>
      <c r="J602" s="4">
        <v>2</v>
      </c>
      <c r="K602" s="4">
        <f t="shared" si="202"/>
        <v>0</v>
      </c>
      <c r="L602" s="4">
        <f t="shared" si="202"/>
        <v>0</v>
      </c>
      <c r="M602" s="4">
        <f t="shared" si="202"/>
        <v>0</v>
      </c>
      <c r="N602" s="4">
        <f t="shared" si="202"/>
        <v>0</v>
      </c>
      <c r="O602" s="4">
        <f t="shared" si="203"/>
        <v>0</v>
      </c>
      <c r="P602" s="4">
        <f t="shared" si="204"/>
        <v>0</v>
      </c>
      <c r="Q602" s="4">
        <f t="shared" si="205"/>
        <v>0</v>
      </c>
      <c r="R602" s="4">
        <f t="shared" si="206"/>
        <v>0</v>
      </c>
      <c r="S602" s="4">
        <f>IF(AND(VLOOKUP(G602,Dados!$D:$L,2,0)=VLOOKUP(I602,Dados!$S:$V,2,0),VLOOKUP(G602,Dados!$D:$L,3,0)=VLOOKUP(I602,Dados!$S:$V,3,0)),0,1)</f>
        <v>0</v>
      </c>
      <c r="T602" s="4">
        <f>IF(AND(VLOOKUP(G602,Dados!$D:$L,3,0)&lt;=VLOOKUP(H602,Dados!$X:$AB,2,0),VLOOKUP(G602,Dados!$D:$L,4,0)&gt;=VLOOKUP(H602,Dados!$X:$AB,3,0),VLOOKUP(G602,Dados!$D:$L,4,0)&lt;=VLOOKUP(H602,Dados!$X:$AB,4,0)),0,1)</f>
        <v>0</v>
      </c>
      <c r="U602" s="4">
        <f>IF(COUNTIFS(F:F,F602,H:H,H602)&lt;=VLOOKUP(H602,Dados!$X:$AB,5,0),0,1)</f>
        <v>0</v>
      </c>
    </row>
    <row r="603" spans="6:21">
      <c r="F603" s="4">
        <v>367</v>
      </c>
      <c r="G603" s="4">
        <v>64</v>
      </c>
      <c r="H603" s="4">
        <v>1</v>
      </c>
      <c r="I603" s="4">
        <v>28</v>
      </c>
      <c r="J603" s="4">
        <v>2</v>
      </c>
      <c r="K603" s="4">
        <f t="shared" si="202"/>
        <v>0</v>
      </c>
      <c r="L603" s="4">
        <f t="shared" si="202"/>
        <v>0</v>
      </c>
      <c r="M603" s="4">
        <f t="shared" si="202"/>
        <v>0</v>
      </c>
      <c r="N603" s="4">
        <f t="shared" si="202"/>
        <v>0</v>
      </c>
      <c r="O603" s="4">
        <f t="shared" si="203"/>
        <v>0</v>
      </c>
      <c r="P603" s="4">
        <f t="shared" si="204"/>
        <v>0</v>
      </c>
      <c r="Q603" s="4">
        <f t="shared" si="205"/>
        <v>0</v>
      </c>
      <c r="R603" s="4">
        <f t="shared" si="206"/>
        <v>0</v>
      </c>
      <c r="S603" s="4">
        <f>IF(AND(VLOOKUP(G603,Dados!$D:$L,2,0)=VLOOKUP(I603,Dados!$S:$V,2,0),VLOOKUP(G603,Dados!$D:$L,3,0)=VLOOKUP(I603,Dados!$S:$V,3,0)),0,1)</f>
        <v>0</v>
      </c>
      <c r="T603" s="4">
        <f>IF(AND(VLOOKUP(G603,Dados!$D:$L,3,0)&lt;=VLOOKUP(H603,Dados!$X:$AB,2,0),VLOOKUP(G603,Dados!$D:$L,4,0)&gt;=VLOOKUP(H603,Dados!$X:$AB,3,0),VLOOKUP(G603,Dados!$D:$L,4,0)&lt;=VLOOKUP(H603,Dados!$X:$AB,4,0)),0,1)</f>
        <v>0</v>
      </c>
      <c r="U603" s="4">
        <f>IF(COUNTIFS(F:F,F603,H:H,H603)&lt;=VLOOKUP(H603,Dados!$X:$AB,5,0),0,1)</f>
        <v>0</v>
      </c>
    </row>
    <row r="604" spans="6:21">
      <c r="F604" s="4">
        <v>368</v>
      </c>
      <c r="G604" s="4">
        <v>59</v>
      </c>
      <c r="H604" s="4">
        <v>2</v>
      </c>
      <c r="I604" s="4">
        <v>28</v>
      </c>
      <c r="J604" s="4">
        <v>6</v>
      </c>
      <c r="K604" s="4">
        <f t="shared" si="202"/>
        <v>0</v>
      </c>
      <c r="L604" s="4">
        <f t="shared" si="202"/>
        <v>0</v>
      </c>
      <c r="M604" s="4">
        <f t="shared" si="202"/>
        <v>0</v>
      </c>
      <c r="N604" s="4">
        <f t="shared" si="202"/>
        <v>0</v>
      </c>
      <c r="O604" s="4">
        <f t="shared" si="203"/>
        <v>0</v>
      </c>
      <c r="P604" s="4">
        <f t="shared" si="204"/>
        <v>0</v>
      </c>
      <c r="Q604" s="4">
        <f t="shared" si="205"/>
        <v>0</v>
      </c>
      <c r="R604" s="4">
        <f t="shared" si="206"/>
        <v>0</v>
      </c>
      <c r="S604" s="4">
        <f>IF(AND(VLOOKUP(G604,Dados!$D:$L,2,0)=VLOOKUP(I604,Dados!$S:$V,2,0),VLOOKUP(G604,Dados!$D:$L,3,0)=VLOOKUP(I604,Dados!$S:$V,3,0)),0,1)</f>
        <v>0</v>
      </c>
      <c r="T604" s="4">
        <f>IF(AND(VLOOKUP(G604,Dados!$D:$L,3,0)&lt;=VLOOKUP(H604,Dados!$X:$AB,2,0),VLOOKUP(G604,Dados!$D:$L,4,0)&gt;=VLOOKUP(H604,Dados!$X:$AB,3,0),VLOOKUP(G604,Dados!$D:$L,4,0)&lt;=VLOOKUP(H604,Dados!$X:$AB,4,0)),0,1)</f>
        <v>0</v>
      </c>
      <c r="U604" s="4">
        <f>IF(COUNTIFS(F:F,F604,H:H,H604)&lt;=VLOOKUP(H604,Dados!$X:$AB,5,0),0,1)</f>
        <v>0</v>
      </c>
    </row>
    <row r="605" spans="6:21">
      <c r="F605" s="4">
        <v>368</v>
      </c>
      <c r="G605" s="4">
        <v>62</v>
      </c>
      <c r="H605" s="4">
        <v>2</v>
      </c>
      <c r="I605" s="4">
        <v>28</v>
      </c>
      <c r="J605" s="4">
        <v>2</v>
      </c>
      <c r="K605" s="4">
        <f t="shared" si="202"/>
        <v>0</v>
      </c>
      <c r="L605" s="4">
        <f t="shared" si="202"/>
        <v>0</v>
      </c>
      <c r="M605" s="4">
        <f t="shared" si="202"/>
        <v>0</v>
      </c>
      <c r="N605" s="4">
        <f t="shared" si="202"/>
        <v>0</v>
      </c>
      <c r="O605" s="4">
        <f t="shared" si="203"/>
        <v>0</v>
      </c>
      <c r="P605" s="4">
        <f t="shared" si="204"/>
        <v>0</v>
      </c>
      <c r="Q605" s="4">
        <f t="shared" si="205"/>
        <v>0</v>
      </c>
      <c r="R605" s="4">
        <f t="shared" si="206"/>
        <v>0</v>
      </c>
      <c r="S605" s="4">
        <f>IF(AND(VLOOKUP(G605,Dados!$D:$L,2,0)=VLOOKUP(I605,Dados!$S:$V,2,0),VLOOKUP(G605,Dados!$D:$L,3,0)=VLOOKUP(I605,Dados!$S:$V,3,0)),0,1)</f>
        <v>0</v>
      </c>
      <c r="T605" s="4">
        <f>IF(AND(VLOOKUP(G605,Dados!$D:$L,3,0)&lt;=VLOOKUP(H605,Dados!$X:$AB,2,0),VLOOKUP(G605,Dados!$D:$L,4,0)&gt;=VLOOKUP(H605,Dados!$X:$AB,3,0),VLOOKUP(G605,Dados!$D:$L,4,0)&lt;=VLOOKUP(H605,Dados!$X:$AB,4,0)),0,1)</f>
        <v>0</v>
      </c>
      <c r="U605" s="4">
        <f>IF(COUNTIFS(F:F,F605,H:H,H605)&lt;=VLOOKUP(H605,Dados!$X:$AB,5,0),0,1)</f>
        <v>0</v>
      </c>
    </row>
    <row r="606" spans="6:21">
      <c r="F606" s="4">
        <v>368</v>
      </c>
      <c r="G606" s="4">
        <v>64</v>
      </c>
      <c r="H606" s="4">
        <v>2</v>
      </c>
      <c r="I606" s="4">
        <v>28</v>
      </c>
      <c r="J606" s="4">
        <v>2</v>
      </c>
      <c r="K606" s="4">
        <f t="shared" si="202"/>
        <v>0</v>
      </c>
      <c r="L606" s="4">
        <f t="shared" si="202"/>
        <v>0</v>
      </c>
      <c r="M606" s="4">
        <f t="shared" si="202"/>
        <v>0</v>
      </c>
      <c r="N606" s="4">
        <f t="shared" si="202"/>
        <v>0</v>
      </c>
      <c r="O606" s="4">
        <f t="shared" si="203"/>
        <v>0</v>
      </c>
      <c r="P606" s="4">
        <f t="shared" si="204"/>
        <v>0</v>
      </c>
      <c r="Q606" s="4">
        <f t="shared" si="205"/>
        <v>0</v>
      </c>
      <c r="R606" s="4">
        <f t="shared" si="206"/>
        <v>0</v>
      </c>
      <c r="S606" s="4">
        <f>IF(AND(VLOOKUP(G606,Dados!$D:$L,2,0)=VLOOKUP(I606,Dados!$S:$V,2,0),VLOOKUP(G606,Dados!$D:$L,3,0)=VLOOKUP(I606,Dados!$S:$V,3,0)),0,1)</f>
        <v>0</v>
      </c>
      <c r="T606" s="4">
        <f>IF(AND(VLOOKUP(G606,Dados!$D:$L,3,0)&lt;=VLOOKUP(H606,Dados!$X:$AB,2,0),VLOOKUP(G606,Dados!$D:$L,4,0)&gt;=VLOOKUP(H606,Dados!$X:$AB,3,0),VLOOKUP(G606,Dados!$D:$L,4,0)&lt;=VLOOKUP(H606,Dados!$X:$AB,4,0)),0,1)</f>
        <v>0</v>
      </c>
      <c r="U606" s="4">
        <f>IF(COUNTIFS(F:F,F606,H:H,H606)&lt;=VLOOKUP(H606,Dados!$X:$AB,5,0),0,1)</f>
        <v>0</v>
      </c>
    </row>
    <row r="607" spans="6:21">
      <c r="F607" s="4">
        <v>369</v>
      </c>
      <c r="G607" s="4">
        <v>59</v>
      </c>
      <c r="H607" s="4">
        <v>3</v>
      </c>
      <c r="I607" s="4">
        <v>28</v>
      </c>
      <c r="J607" s="4">
        <v>6</v>
      </c>
      <c r="K607" s="4">
        <f t="shared" si="202"/>
        <v>0</v>
      </c>
      <c r="L607" s="4">
        <f t="shared" si="202"/>
        <v>0</v>
      </c>
      <c r="M607" s="4">
        <f t="shared" si="202"/>
        <v>0</v>
      </c>
      <c r="N607" s="4">
        <f t="shared" si="202"/>
        <v>0</v>
      </c>
      <c r="O607" s="4">
        <f t="shared" si="203"/>
        <v>0</v>
      </c>
      <c r="P607" s="4">
        <f t="shared" si="204"/>
        <v>0</v>
      </c>
      <c r="Q607" s="4">
        <f t="shared" si="205"/>
        <v>0</v>
      </c>
      <c r="R607" s="4">
        <f t="shared" si="206"/>
        <v>0</v>
      </c>
      <c r="S607" s="4">
        <f>IF(AND(VLOOKUP(G607,Dados!$D:$L,2,0)=VLOOKUP(I607,Dados!$S:$V,2,0),VLOOKUP(G607,Dados!$D:$L,3,0)=VLOOKUP(I607,Dados!$S:$V,3,0)),0,1)</f>
        <v>0</v>
      </c>
      <c r="T607" s="4">
        <f>IF(AND(VLOOKUP(G607,Dados!$D:$L,3,0)&lt;=VLOOKUP(H607,Dados!$X:$AB,2,0),VLOOKUP(G607,Dados!$D:$L,4,0)&gt;=VLOOKUP(H607,Dados!$X:$AB,3,0),VLOOKUP(G607,Dados!$D:$L,4,0)&lt;=VLOOKUP(H607,Dados!$X:$AB,4,0)),0,1)</f>
        <v>0</v>
      </c>
      <c r="U607" s="4">
        <f>IF(COUNTIFS(F:F,F607,H:H,H607)&lt;=VLOOKUP(H607,Dados!$X:$AB,5,0),0,1)</f>
        <v>0</v>
      </c>
    </row>
    <row r="608" spans="6:21">
      <c r="F608" s="4">
        <v>369</v>
      </c>
      <c r="G608" s="4">
        <v>62</v>
      </c>
      <c r="H608" s="4">
        <v>3</v>
      </c>
      <c r="I608" s="4">
        <v>28</v>
      </c>
      <c r="J608" s="4">
        <v>2</v>
      </c>
      <c r="K608" s="4">
        <f t="shared" si="202"/>
        <v>0</v>
      </c>
      <c r="L608" s="4">
        <f t="shared" si="202"/>
        <v>0</v>
      </c>
      <c r="M608" s="4">
        <f t="shared" si="202"/>
        <v>0</v>
      </c>
      <c r="N608" s="4">
        <f t="shared" si="202"/>
        <v>0</v>
      </c>
      <c r="O608" s="4">
        <f t="shared" si="203"/>
        <v>0</v>
      </c>
      <c r="P608" s="4">
        <f t="shared" si="204"/>
        <v>0</v>
      </c>
      <c r="Q608" s="4">
        <f t="shared" si="205"/>
        <v>0</v>
      </c>
      <c r="R608" s="4">
        <f t="shared" si="206"/>
        <v>0</v>
      </c>
      <c r="S608" s="4">
        <f>IF(AND(VLOOKUP(G608,Dados!$D:$L,2,0)=VLOOKUP(I608,Dados!$S:$V,2,0),VLOOKUP(G608,Dados!$D:$L,3,0)=VLOOKUP(I608,Dados!$S:$V,3,0)),0,1)</f>
        <v>0</v>
      </c>
      <c r="T608" s="4">
        <f>IF(AND(VLOOKUP(G608,Dados!$D:$L,3,0)&lt;=VLOOKUP(H608,Dados!$X:$AB,2,0),VLOOKUP(G608,Dados!$D:$L,4,0)&gt;=VLOOKUP(H608,Dados!$X:$AB,3,0),VLOOKUP(G608,Dados!$D:$L,4,0)&lt;=VLOOKUP(H608,Dados!$X:$AB,4,0)),0,1)</f>
        <v>0</v>
      </c>
      <c r="U608" s="4">
        <f>IF(COUNTIFS(F:F,F608,H:H,H608)&lt;=VLOOKUP(H608,Dados!$X:$AB,5,0),0,1)</f>
        <v>0</v>
      </c>
    </row>
    <row r="609" spans="6:21">
      <c r="F609" s="4">
        <v>369</v>
      </c>
      <c r="G609" s="4">
        <v>64</v>
      </c>
      <c r="H609" s="4">
        <v>3</v>
      </c>
      <c r="I609" s="4">
        <v>28</v>
      </c>
      <c r="J609" s="4">
        <v>2</v>
      </c>
      <c r="K609" s="4">
        <f t="shared" si="202"/>
        <v>0</v>
      </c>
      <c r="L609" s="4">
        <f t="shared" si="202"/>
        <v>0</v>
      </c>
      <c r="M609" s="4">
        <f t="shared" si="202"/>
        <v>0</v>
      </c>
      <c r="N609" s="4">
        <f t="shared" si="202"/>
        <v>0</v>
      </c>
      <c r="O609" s="4">
        <f t="shared" si="203"/>
        <v>0</v>
      </c>
      <c r="P609" s="4">
        <f t="shared" si="204"/>
        <v>0</v>
      </c>
      <c r="Q609" s="4">
        <f t="shared" si="205"/>
        <v>0</v>
      </c>
      <c r="R609" s="4">
        <f t="shared" si="206"/>
        <v>0</v>
      </c>
      <c r="S609" s="4">
        <f>IF(AND(VLOOKUP(G609,Dados!$D:$L,2,0)=VLOOKUP(I609,Dados!$S:$V,2,0),VLOOKUP(G609,Dados!$D:$L,3,0)=VLOOKUP(I609,Dados!$S:$V,3,0)),0,1)</f>
        <v>0</v>
      </c>
      <c r="T609" s="4">
        <f>IF(AND(VLOOKUP(G609,Dados!$D:$L,3,0)&lt;=VLOOKUP(H609,Dados!$X:$AB,2,0),VLOOKUP(G609,Dados!$D:$L,4,0)&gt;=VLOOKUP(H609,Dados!$X:$AB,3,0),VLOOKUP(G609,Dados!$D:$L,4,0)&lt;=VLOOKUP(H609,Dados!$X:$AB,4,0)),0,1)</f>
        <v>0</v>
      </c>
      <c r="U609" s="4">
        <f>IF(COUNTIFS(F:F,F609,H:H,H609)&lt;=VLOOKUP(H609,Dados!$X:$AB,5,0),0,1)</f>
        <v>0</v>
      </c>
    </row>
    <row r="610" spans="6:21">
      <c r="F610" s="4">
        <v>370</v>
      </c>
      <c r="G610" s="4">
        <v>59</v>
      </c>
      <c r="H610" s="4">
        <v>1</v>
      </c>
      <c r="I610" s="4">
        <v>29</v>
      </c>
      <c r="J610" s="4">
        <v>3</v>
      </c>
      <c r="K610" s="4">
        <f t="shared" si="202"/>
        <v>0</v>
      </c>
      <c r="L610" s="4">
        <f t="shared" si="202"/>
        <v>0</v>
      </c>
      <c r="M610" s="4">
        <f t="shared" si="202"/>
        <v>0</v>
      </c>
      <c r="N610" s="4">
        <f t="shared" si="202"/>
        <v>0</v>
      </c>
      <c r="O610" s="4">
        <f t="shared" si="203"/>
        <v>0</v>
      </c>
      <c r="P610" s="4">
        <f t="shared" si="204"/>
        <v>0</v>
      </c>
      <c r="Q610" s="4">
        <f t="shared" si="205"/>
        <v>0</v>
      </c>
      <c r="R610" s="4">
        <f t="shared" si="206"/>
        <v>0</v>
      </c>
      <c r="S610" s="4">
        <f>IF(AND(VLOOKUP(G610,Dados!$D:$L,2,0)=VLOOKUP(I610,Dados!$S:$V,2,0),VLOOKUP(G610,Dados!$D:$L,3,0)=VLOOKUP(I610,Dados!$S:$V,3,0)),0,1)</f>
        <v>0</v>
      </c>
      <c r="T610" s="4">
        <f>IF(AND(VLOOKUP(G610,Dados!$D:$L,3,0)&lt;=VLOOKUP(H610,Dados!$X:$AB,2,0),VLOOKUP(G610,Dados!$D:$L,4,0)&gt;=VLOOKUP(H610,Dados!$X:$AB,3,0),VLOOKUP(G610,Dados!$D:$L,4,0)&lt;=VLOOKUP(H610,Dados!$X:$AB,4,0)),0,1)</f>
        <v>0</v>
      </c>
      <c r="U610" s="4">
        <f>IF(COUNTIFS(F:F,F610,H:H,H610)&lt;=VLOOKUP(H610,Dados!$X:$AB,5,0),0,1)</f>
        <v>0</v>
      </c>
    </row>
    <row r="611" spans="6:21">
      <c r="F611" s="4">
        <v>370</v>
      </c>
      <c r="G611" s="4">
        <v>62</v>
      </c>
      <c r="H611" s="4">
        <v>1</v>
      </c>
      <c r="I611" s="4">
        <v>29</v>
      </c>
      <c r="J611" s="4">
        <v>2</v>
      </c>
      <c r="K611" s="4">
        <f t="shared" si="202"/>
        <v>0</v>
      </c>
      <c r="L611" s="4">
        <f t="shared" si="202"/>
        <v>0</v>
      </c>
      <c r="M611" s="4">
        <f t="shared" si="202"/>
        <v>0</v>
      </c>
      <c r="N611" s="4">
        <f t="shared" si="202"/>
        <v>0</v>
      </c>
      <c r="O611" s="4">
        <f t="shared" si="203"/>
        <v>0</v>
      </c>
      <c r="P611" s="4">
        <f t="shared" si="204"/>
        <v>0</v>
      </c>
      <c r="Q611" s="4">
        <f t="shared" si="205"/>
        <v>0</v>
      </c>
      <c r="R611" s="4">
        <f t="shared" si="206"/>
        <v>0</v>
      </c>
      <c r="S611" s="4">
        <f>IF(AND(VLOOKUP(G611,Dados!$D:$L,2,0)=VLOOKUP(I611,Dados!$S:$V,2,0),VLOOKUP(G611,Dados!$D:$L,3,0)=VLOOKUP(I611,Dados!$S:$V,3,0)),0,1)</f>
        <v>0</v>
      </c>
      <c r="T611" s="4">
        <f>IF(AND(VLOOKUP(G611,Dados!$D:$L,3,0)&lt;=VLOOKUP(H611,Dados!$X:$AB,2,0),VLOOKUP(G611,Dados!$D:$L,4,0)&gt;=VLOOKUP(H611,Dados!$X:$AB,3,0),VLOOKUP(G611,Dados!$D:$L,4,0)&lt;=VLOOKUP(H611,Dados!$X:$AB,4,0)),0,1)</f>
        <v>0</v>
      </c>
      <c r="U611" s="4">
        <f>IF(COUNTIFS(F:F,F611,H:H,H611)&lt;=VLOOKUP(H611,Dados!$X:$AB,5,0),0,1)</f>
        <v>0</v>
      </c>
    </row>
    <row r="612" spans="6:21">
      <c r="F612" s="4">
        <v>370</v>
      </c>
      <c r="G612" s="4">
        <v>64</v>
      </c>
      <c r="H612" s="4">
        <v>1</v>
      </c>
      <c r="I612" s="4">
        <v>29</v>
      </c>
      <c r="J612" s="4">
        <v>4</v>
      </c>
      <c r="K612" s="4">
        <f t="shared" si="202"/>
        <v>0</v>
      </c>
      <c r="L612" s="4">
        <f t="shared" si="202"/>
        <v>0</v>
      </c>
      <c r="M612" s="4">
        <f t="shared" si="202"/>
        <v>0</v>
      </c>
      <c r="N612" s="4">
        <f t="shared" si="202"/>
        <v>0</v>
      </c>
      <c r="O612" s="4">
        <f t="shared" si="203"/>
        <v>0</v>
      </c>
      <c r="P612" s="4">
        <f t="shared" si="204"/>
        <v>0</v>
      </c>
      <c r="Q612" s="4">
        <f t="shared" si="205"/>
        <v>0</v>
      </c>
      <c r="R612" s="4">
        <f t="shared" si="206"/>
        <v>0</v>
      </c>
      <c r="S612" s="4">
        <f>IF(AND(VLOOKUP(G612,Dados!$D:$L,2,0)=VLOOKUP(I612,Dados!$S:$V,2,0),VLOOKUP(G612,Dados!$D:$L,3,0)=VLOOKUP(I612,Dados!$S:$V,3,0)),0,1)</f>
        <v>0</v>
      </c>
      <c r="T612" s="4">
        <f>IF(AND(VLOOKUP(G612,Dados!$D:$L,3,0)&lt;=VLOOKUP(H612,Dados!$X:$AB,2,0),VLOOKUP(G612,Dados!$D:$L,4,0)&gt;=VLOOKUP(H612,Dados!$X:$AB,3,0),VLOOKUP(G612,Dados!$D:$L,4,0)&lt;=VLOOKUP(H612,Dados!$X:$AB,4,0)),0,1)</f>
        <v>0</v>
      </c>
      <c r="U612" s="4">
        <f>IF(COUNTIFS(F:F,F612,H:H,H612)&lt;=VLOOKUP(H612,Dados!$X:$AB,5,0),0,1)</f>
        <v>0</v>
      </c>
    </row>
    <row r="613" spans="6:21">
      <c r="F613" s="4">
        <v>371</v>
      </c>
      <c r="G613" s="4">
        <v>59</v>
      </c>
      <c r="H613" s="4">
        <v>2</v>
      </c>
      <c r="I613" s="4">
        <v>29</v>
      </c>
      <c r="J613" s="4">
        <v>3</v>
      </c>
      <c r="K613" s="4">
        <f t="shared" si="202"/>
        <v>0</v>
      </c>
      <c r="L613" s="4">
        <f t="shared" si="202"/>
        <v>0</v>
      </c>
      <c r="M613" s="4">
        <f t="shared" si="202"/>
        <v>1</v>
      </c>
      <c r="N613" s="4">
        <f t="shared" si="202"/>
        <v>0</v>
      </c>
      <c r="O613" s="4">
        <f t="shared" si="203"/>
        <v>0</v>
      </c>
      <c r="P613" s="4">
        <f t="shared" si="204"/>
        <v>0</v>
      </c>
      <c r="Q613" s="4">
        <f t="shared" si="205"/>
        <v>3</v>
      </c>
      <c r="R613" s="4">
        <f t="shared" si="206"/>
        <v>0</v>
      </c>
      <c r="S613" s="4">
        <f>IF(AND(VLOOKUP(G613,Dados!$D:$L,2,0)=VLOOKUP(I613,Dados!$S:$V,2,0),VLOOKUP(G613,Dados!$D:$L,3,0)=VLOOKUP(I613,Dados!$S:$V,3,0)),0,1)</f>
        <v>0</v>
      </c>
      <c r="T613" s="4">
        <f>IF(AND(VLOOKUP(G613,Dados!$D:$L,3,0)&lt;=VLOOKUP(H613,Dados!$X:$AB,2,0),VLOOKUP(G613,Dados!$D:$L,4,0)&gt;=VLOOKUP(H613,Dados!$X:$AB,3,0),VLOOKUP(G613,Dados!$D:$L,4,0)&lt;=VLOOKUP(H613,Dados!$X:$AB,4,0)),0,1)</f>
        <v>0</v>
      </c>
      <c r="U613" s="4">
        <f>IF(COUNTIFS(F:F,F613,H:H,H613)&lt;=VLOOKUP(H613,Dados!$X:$AB,5,0),0,1)</f>
        <v>0</v>
      </c>
    </row>
    <row r="614" spans="6:21">
      <c r="F614" s="4">
        <v>371</v>
      </c>
      <c r="G614" s="4">
        <v>62</v>
      </c>
      <c r="H614" s="4">
        <v>2</v>
      </c>
      <c r="I614" s="4">
        <v>29</v>
      </c>
      <c r="J614" s="4">
        <v>2</v>
      </c>
      <c r="K614" s="4">
        <f t="shared" si="202"/>
        <v>0</v>
      </c>
      <c r="L614" s="4">
        <f t="shared" si="202"/>
        <v>0</v>
      </c>
      <c r="M614" s="4">
        <f t="shared" si="202"/>
        <v>1</v>
      </c>
      <c r="N614" s="4">
        <f t="shared" si="202"/>
        <v>0</v>
      </c>
      <c r="O614" s="4">
        <f t="shared" si="203"/>
        <v>0</v>
      </c>
      <c r="P614" s="4">
        <f t="shared" si="204"/>
        <v>0</v>
      </c>
      <c r="Q614" s="4">
        <f t="shared" si="205"/>
        <v>2</v>
      </c>
      <c r="R614" s="4">
        <f t="shared" si="206"/>
        <v>0</v>
      </c>
      <c r="S614" s="4">
        <f>IF(AND(VLOOKUP(G614,Dados!$D:$L,2,0)=VLOOKUP(I614,Dados!$S:$V,2,0),VLOOKUP(G614,Dados!$D:$L,3,0)=VLOOKUP(I614,Dados!$S:$V,3,0)),0,1)</f>
        <v>0</v>
      </c>
      <c r="T614" s="4">
        <f>IF(AND(VLOOKUP(G614,Dados!$D:$L,3,0)&lt;=VLOOKUP(H614,Dados!$X:$AB,2,0),VLOOKUP(G614,Dados!$D:$L,4,0)&gt;=VLOOKUP(H614,Dados!$X:$AB,3,0),VLOOKUP(G614,Dados!$D:$L,4,0)&lt;=VLOOKUP(H614,Dados!$X:$AB,4,0)),0,1)</f>
        <v>0</v>
      </c>
      <c r="U614" s="4">
        <f>IF(COUNTIFS(F:F,F614,H:H,H614)&lt;=VLOOKUP(H614,Dados!$X:$AB,5,0),0,1)</f>
        <v>0</v>
      </c>
    </row>
    <row r="615" spans="6:21">
      <c r="F615" s="4">
        <v>371</v>
      </c>
      <c r="G615" s="4">
        <v>64</v>
      </c>
      <c r="H615" s="4">
        <v>2</v>
      </c>
      <c r="I615" s="4">
        <v>29</v>
      </c>
      <c r="J615" s="4">
        <v>4</v>
      </c>
      <c r="K615" s="4">
        <f t="shared" si="202"/>
        <v>0</v>
      </c>
      <c r="L615" s="4">
        <f t="shared" si="202"/>
        <v>0</v>
      </c>
      <c r="M615" s="4">
        <f t="shared" si="202"/>
        <v>1</v>
      </c>
      <c r="N615" s="4">
        <f t="shared" si="202"/>
        <v>0</v>
      </c>
      <c r="O615" s="4">
        <f t="shared" si="203"/>
        <v>0</v>
      </c>
      <c r="P615" s="4">
        <f t="shared" si="204"/>
        <v>0</v>
      </c>
      <c r="Q615" s="4">
        <f t="shared" si="205"/>
        <v>4</v>
      </c>
      <c r="R615" s="4">
        <f t="shared" si="206"/>
        <v>0</v>
      </c>
      <c r="S615" s="4">
        <f>IF(AND(VLOOKUP(G615,Dados!$D:$L,2,0)=VLOOKUP(I615,Dados!$S:$V,2,0),VLOOKUP(G615,Dados!$D:$L,3,0)=VLOOKUP(I615,Dados!$S:$V,3,0)),0,1)</f>
        <v>0</v>
      </c>
      <c r="T615" s="4">
        <f>IF(AND(VLOOKUP(G615,Dados!$D:$L,3,0)&lt;=VLOOKUP(H615,Dados!$X:$AB,2,0),VLOOKUP(G615,Dados!$D:$L,4,0)&gt;=VLOOKUP(H615,Dados!$X:$AB,3,0),VLOOKUP(G615,Dados!$D:$L,4,0)&lt;=VLOOKUP(H615,Dados!$X:$AB,4,0)),0,1)</f>
        <v>0</v>
      </c>
      <c r="U615" s="4">
        <f>IF(COUNTIFS(F:F,F615,H:H,H615)&lt;=VLOOKUP(H615,Dados!$X:$AB,5,0),0,1)</f>
        <v>0</v>
      </c>
    </row>
    <row r="616" spans="6:21">
      <c r="F616" s="4">
        <v>372</v>
      </c>
      <c r="G616" s="4">
        <v>59</v>
      </c>
      <c r="H616" s="4">
        <v>3</v>
      </c>
      <c r="I616" s="4">
        <v>29</v>
      </c>
      <c r="J616" s="4">
        <v>3</v>
      </c>
      <c r="K616" s="4">
        <f t="shared" si="202"/>
        <v>0</v>
      </c>
      <c r="L616" s="4">
        <f t="shared" si="202"/>
        <v>0</v>
      </c>
      <c r="M616" s="4">
        <f t="shared" si="202"/>
        <v>0</v>
      </c>
      <c r="N616" s="4">
        <f t="shared" si="202"/>
        <v>0</v>
      </c>
      <c r="O616" s="4">
        <f t="shared" si="203"/>
        <v>0</v>
      </c>
      <c r="P616" s="4">
        <f t="shared" si="204"/>
        <v>0</v>
      </c>
      <c r="Q616" s="4">
        <f t="shared" si="205"/>
        <v>0</v>
      </c>
      <c r="R616" s="4">
        <f t="shared" si="206"/>
        <v>0</v>
      </c>
      <c r="S616" s="4">
        <f>IF(AND(VLOOKUP(G616,Dados!$D:$L,2,0)=VLOOKUP(I616,Dados!$S:$V,2,0),VLOOKUP(G616,Dados!$D:$L,3,0)=VLOOKUP(I616,Dados!$S:$V,3,0)),0,1)</f>
        <v>0</v>
      </c>
      <c r="T616" s="4">
        <f>IF(AND(VLOOKUP(G616,Dados!$D:$L,3,0)&lt;=VLOOKUP(H616,Dados!$X:$AB,2,0),VLOOKUP(G616,Dados!$D:$L,4,0)&gt;=VLOOKUP(H616,Dados!$X:$AB,3,0),VLOOKUP(G616,Dados!$D:$L,4,0)&lt;=VLOOKUP(H616,Dados!$X:$AB,4,0)),0,1)</f>
        <v>0</v>
      </c>
      <c r="U616" s="4">
        <f>IF(COUNTIFS(F:F,F616,H:H,H616)&lt;=VLOOKUP(H616,Dados!$X:$AB,5,0),0,1)</f>
        <v>0</v>
      </c>
    </row>
    <row r="617" spans="6:21">
      <c r="F617" s="4">
        <v>372</v>
      </c>
      <c r="G617" s="4">
        <v>62</v>
      </c>
      <c r="H617" s="4">
        <v>3</v>
      </c>
      <c r="I617" s="4">
        <v>29</v>
      </c>
      <c r="J617" s="4">
        <v>2</v>
      </c>
      <c r="K617" s="4">
        <f t="shared" si="202"/>
        <v>0</v>
      </c>
      <c r="L617" s="4">
        <f t="shared" si="202"/>
        <v>0</v>
      </c>
      <c r="M617" s="4">
        <f t="shared" si="202"/>
        <v>0</v>
      </c>
      <c r="N617" s="4">
        <f t="shared" si="202"/>
        <v>0</v>
      </c>
      <c r="O617" s="4">
        <f t="shared" si="203"/>
        <v>0</v>
      </c>
      <c r="P617" s="4">
        <f t="shared" si="204"/>
        <v>0</v>
      </c>
      <c r="Q617" s="4">
        <f t="shared" si="205"/>
        <v>0</v>
      </c>
      <c r="R617" s="4">
        <f t="shared" si="206"/>
        <v>0</v>
      </c>
      <c r="S617" s="4">
        <f>IF(AND(VLOOKUP(G617,Dados!$D:$L,2,0)=VLOOKUP(I617,Dados!$S:$V,2,0),VLOOKUP(G617,Dados!$D:$L,3,0)=VLOOKUP(I617,Dados!$S:$V,3,0)),0,1)</f>
        <v>0</v>
      </c>
      <c r="T617" s="4">
        <f>IF(AND(VLOOKUP(G617,Dados!$D:$L,3,0)&lt;=VLOOKUP(H617,Dados!$X:$AB,2,0),VLOOKUP(G617,Dados!$D:$L,4,0)&gt;=VLOOKUP(H617,Dados!$X:$AB,3,0),VLOOKUP(G617,Dados!$D:$L,4,0)&lt;=VLOOKUP(H617,Dados!$X:$AB,4,0)),0,1)</f>
        <v>0</v>
      </c>
      <c r="U617" s="4">
        <f>IF(COUNTIFS(F:F,F617,H:H,H617)&lt;=VLOOKUP(H617,Dados!$X:$AB,5,0),0,1)</f>
        <v>0</v>
      </c>
    </row>
    <row r="618" spans="6:21">
      <c r="F618" s="4">
        <v>372</v>
      </c>
      <c r="G618" s="4">
        <v>64</v>
      </c>
      <c r="H618" s="4">
        <v>3</v>
      </c>
      <c r="I618" s="4">
        <v>29</v>
      </c>
      <c r="J618" s="4">
        <v>4</v>
      </c>
      <c r="K618" s="4">
        <f t="shared" si="202"/>
        <v>0</v>
      </c>
      <c r="L618" s="4">
        <f t="shared" si="202"/>
        <v>0</v>
      </c>
      <c r="M618" s="4">
        <f t="shared" si="202"/>
        <v>0</v>
      </c>
      <c r="N618" s="4">
        <f t="shared" si="202"/>
        <v>0</v>
      </c>
      <c r="O618" s="4">
        <f t="shared" si="203"/>
        <v>0</v>
      </c>
      <c r="P618" s="4">
        <f t="shared" si="204"/>
        <v>0</v>
      </c>
      <c r="Q618" s="4">
        <f t="shared" si="205"/>
        <v>0</v>
      </c>
      <c r="R618" s="4">
        <f t="shared" si="206"/>
        <v>0</v>
      </c>
      <c r="S618" s="4">
        <f>IF(AND(VLOOKUP(G618,Dados!$D:$L,2,0)=VLOOKUP(I618,Dados!$S:$V,2,0),VLOOKUP(G618,Dados!$D:$L,3,0)=VLOOKUP(I618,Dados!$S:$V,3,0)),0,1)</f>
        <v>0</v>
      </c>
      <c r="T618" s="4">
        <f>IF(AND(VLOOKUP(G618,Dados!$D:$L,3,0)&lt;=VLOOKUP(H618,Dados!$X:$AB,2,0),VLOOKUP(G618,Dados!$D:$L,4,0)&gt;=VLOOKUP(H618,Dados!$X:$AB,3,0),VLOOKUP(G618,Dados!$D:$L,4,0)&lt;=VLOOKUP(H618,Dados!$X:$AB,4,0)),0,1)</f>
        <v>0</v>
      </c>
      <c r="U618" s="4">
        <f>IF(COUNTIFS(F:F,F618,H:H,H618)&lt;=VLOOKUP(H618,Dados!$X:$AB,5,0),0,1)</f>
        <v>0</v>
      </c>
    </row>
    <row r="619" spans="6:21">
      <c r="F619" s="4">
        <v>373</v>
      </c>
      <c r="G619" s="4">
        <v>15</v>
      </c>
      <c r="H619" s="4">
        <v>1</v>
      </c>
      <c r="I619" s="4">
        <v>8</v>
      </c>
      <c r="J619" s="4">
        <v>6</v>
      </c>
      <c r="K619" s="4">
        <f t="shared" si="202"/>
        <v>0</v>
      </c>
      <c r="L619" s="4">
        <f t="shared" si="202"/>
        <v>0</v>
      </c>
      <c r="M619" s="4">
        <f t="shared" si="202"/>
        <v>0</v>
      </c>
      <c r="N619" s="4">
        <f t="shared" si="202"/>
        <v>0</v>
      </c>
      <c r="O619" s="4">
        <f t="shared" si="203"/>
        <v>0</v>
      </c>
      <c r="P619" s="4">
        <f t="shared" si="204"/>
        <v>0</v>
      </c>
      <c r="Q619" s="4">
        <f t="shared" si="205"/>
        <v>0</v>
      </c>
      <c r="R619" s="4">
        <f t="shared" si="206"/>
        <v>0</v>
      </c>
      <c r="S619" s="4">
        <f>IF(AND(VLOOKUP(G619,Dados!$D:$L,2,0)=VLOOKUP(I619,Dados!$S:$V,2,0),VLOOKUP(G619,Dados!$D:$L,3,0)=VLOOKUP(I619,Dados!$S:$V,3,0)),0,1)</f>
        <v>0</v>
      </c>
      <c r="T619" s="4">
        <f>IF(AND(VLOOKUP(G619,Dados!$D:$L,3,0)&lt;=VLOOKUP(H619,Dados!$X:$AB,2,0),VLOOKUP(G619,Dados!$D:$L,4,0)&gt;=VLOOKUP(H619,Dados!$X:$AB,3,0),VLOOKUP(G619,Dados!$D:$L,4,0)&lt;=VLOOKUP(H619,Dados!$X:$AB,4,0)),0,1)</f>
        <v>0</v>
      </c>
      <c r="U619" s="4">
        <f>IF(COUNTIFS(F:F,F619,H:H,H619)&lt;=VLOOKUP(H619,Dados!$X:$AB,5,0),0,1)</f>
        <v>0</v>
      </c>
    </row>
    <row r="620" spans="6:21">
      <c r="F620" s="4">
        <v>373</v>
      </c>
      <c r="G620" s="4">
        <v>16</v>
      </c>
      <c r="H620" s="4">
        <v>1</v>
      </c>
      <c r="I620" s="4">
        <v>8</v>
      </c>
      <c r="J620" s="4">
        <v>1</v>
      </c>
      <c r="K620" s="4">
        <f t="shared" si="202"/>
        <v>0</v>
      </c>
      <c r="L620" s="4">
        <f t="shared" si="202"/>
        <v>0</v>
      </c>
      <c r="M620" s="4">
        <f t="shared" si="202"/>
        <v>0</v>
      </c>
      <c r="N620" s="4">
        <f t="shared" si="202"/>
        <v>0</v>
      </c>
      <c r="O620" s="4">
        <f t="shared" si="203"/>
        <v>0</v>
      </c>
      <c r="P620" s="4">
        <f t="shared" si="204"/>
        <v>0</v>
      </c>
      <c r="Q620" s="4">
        <f t="shared" si="205"/>
        <v>0</v>
      </c>
      <c r="R620" s="4">
        <f t="shared" si="206"/>
        <v>0</v>
      </c>
      <c r="S620" s="4">
        <f>IF(AND(VLOOKUP(G620,Dados!$D:$L,2,0)=VLOOKUP(I620,Dados!$S:$V,2,0),VLOOKUP(G620,Dados!$D:$L,3,0)=VLOOKUP(I620,Dados!$S:$V,3,0)),0,1)</f>
        <v>0</v>
      </c>
      <c r="T620" s="4">
        <f>IF(AND(VLOOKUP(G620,Dados!$D:$L,3,0)&lt;=VLOOKUP(H620,Dados!$X:$AB,2,0),VLOOKUP(G620,Dados!$D:$L,4,0)&gt;=VLOOKUP(H620,Dados!$X:$AB,3,0),VLOOKUP(G620,Dados!$D:$L,4,0)&lt;=VLOOKUP(H620,Dados!$X:$AB,4,0)),0,1)</f>
        <v>0</v>
      </c>
      <c r="U620" s="4">
        <f>IF(COUNTIFS(F:F,F620,H:H,H620)&lt;=VLOOKUP(H620,Dados!$X:$AB,5,0),0,1)</f>
        <v>0</v>
      </c>
    </row>
    <row r="621" spans="6:21">
      <c r="F621" s="4">
        <v>373</v>
      </c>
      <c r="G621" s="4">
        <v>17</v>
      </c>
      <c r="H621" s="4">
        <v>1</v>
      </c>
      <c r="I621" s="4">
        <v>8</v>
      </c>
      <c r="J621" s="4">
        <v>2</v>
      </c>
      <c r="K621" s="4">
        <f t="shared" si="202"/>
        <v>0</v>
      </c>
      <c r="L621" s="4">
        <f t="shared" si="202"/>
        <v>0</v>
      </c>
      <c r="M621" s="4">
        <f t="shared" si="202"/>
        <v>0</v>
      </c>
      <c r="N621" s="4">
        <f t="shared" si="202"/>
        <v>0</v>
      </c>
      <c r="O621" s="4">
        <f t="shared" si="203"/>
        <v>0</v>
      </c>
      <c r="P621" s="4">
        <f t="shared" si="204"/>
        <v>0</v>
      </c>
      <c r="Q621" s="4">
        <f t="shared" si="205"/>
        <v>0</v>
      </c>
      <c r="R621" s="4">
        <f t="shared" si="206"/>
        <v>0</v>
      </c>
      <c r="S621" s="4">
        <f>IF(AND(VLOOKUP(G621,Dados!$D:$L,2,0)=VLOOKUP(I621,Dados!$S:$V,2,0),VLOOKUP(G621,Dados!$D:$L,3,0)=VLOOKUP(I621,Dados!$S:$V,3,0)),0,1)</f>
        <v>0</v>
      </c>
      <c r="T621" s="4">
        <f>IF(AND(VLOOKUP(G621,Dados!$D:$L,3,0)&lt;=VLOOKUP(H621,Dados!$X:$AB,2,0),VLOOKUP(G621,Dados!$D:$L,4,0)&gt;=VLOOKUP(H621,Dados!$X:$AB,3,0),VLOOKUP(G621,Dados!$D:$L,4,0)&lt;=VLOOKUP(H621,Dados!$X:$AB,4,0)),0,1)</f>
        <v>0</v>
      </c>
      <c r="U621" s="4">
        <f>IF(COUNTIFS(F:F,F621,H:H,H621)&lt;=VLOOKUP(H621,Dados!$X:$AB,5,0),0,1)</f>
        <v>0</v>
      </c>
    </row>
    <row r="622" spans="6:21">
      <c r="F622" s="4">
        <v>374</v>
      </c>
      <c r="G622" s="4">
        <v>15</v>
      </c>
      <c r="H622" s="4">
        <v>3</v>
      </c>
      <c r="I622" s="4">
        <v>8</v>
      </c>
      <c r="J622" s="4">
        <v>6</v>
      </c>
      <c r="K622" s="4">
        <f t="shared" si="202"/>
        <v>0</v>
      </c>
      <c r="L622" s="4">
        <f t="shared" si="202"/>
        <v>0</v>
      </c>
      <c r="M622" s="4">
        <f t="shared" si="202"/>
        <v>0</v>
      </c>
      <c r="N622" s="4">
        <f t="shared" si="202"/>
        <v>3</v>
      </c>
      <c r="O622" s="4">
        <f t="shared" si="203"/>
        <v>0</v>
      </c>
      <c r="P622" s="4">
        <f t="shared" si="204"/>
        <v>0</v>
      </c>
      <c r="Q622" s="4">
        <f t="shared" si="205"/>
        <v>0</v>
      </c>
      <c r="R622" s="4">
        <f t="shared" si="206"/>
        <v>18</v>
      </c>
      <c r="S622" s="4">
        <f>IF(AND(VLOOKUP(G622,Dados!$D:$L,2,0)=VLOOKUP(I622,Dados!$S:$V,2,0),VLOOKUP(G622,Dados!$D:$L,3,0)=VLOOKUP(I622,Dados!$S:$V,3,0)),0,1)</f>
        <v>0</v>
      </c>
      <c r="T622" s="4">
        <f>IF(AND(VLOOKUP(G622,Dados!$D:$L,3,0)&lt;=VLOOKUP(H622,Dados!$X:$AB,2,0),VLOOKUP(G622,Dados!$D:$L,4,0)&gt;=VLOOKUP(H622,Dados!$X:$AB,3,0),VLOOKUP(G622,Dados!$D:$L,4,0)&lt;=VLOOKUP(H622,Dados!$X:$AB,4,0)),0,1)</f>
        <v>0</v>
      </c>
      <c r="U622" s="4">
        <f>IF(COUNTIFS(F:F,F622,H:H,H622)&lt;=VLOOKUP(H622,Dados!$X:$AB,5,0),0,1)</f>
        <v>0</v>
      </c>
    </row>
    <row r="623" spans="6:21">
      <c r="F623" s="4">
        <v>374</v>
      </c>
      <c r="G623" s="4">
        <v>16</v>
      </c>
      <c r="H623" s="4">
        <v>3</v>
      </c>
      <c r="I623" s="4">
        <v>8</v>
      </c>
      <c r="J623" s="4">
        <v>1</v>
      </c>
      <c r="K623" s="4">
        <f t="shared" si="202"/>
        <v>0</v>
      </c>
      <c r="L623" s="4">
        <f t="shared" si="202"/>
        <v>0</v>
      </c>
      <c r="M623" s="4">
        <f t="shared" si="202"/>
        <v>0</v>
      </c>
      <c r="N623" s="4">
        <f t="shared" si="202"/>
        <v>3</v>
      </c>
      <c r="O623" s="4">
        <f t="shared" si="203"/>
        <v>0</v>
      </c>
      <c r="P623" s="4">
        <f t="shared" si="204"/>
        <v>0</v>
      </c>
      <c r="Q623" s="4">
        <f t="shared" si="205"/>
        <v>0</v>
      </c>
      <c r="R623" s="4">
        <f t="shared" si="206"/>
        <v>3</v>
      </c>
      <c r="S623" s="4">
        <f>IF(AND(VLOOKUP(G623,Dados!$D:$L,2,0)=VLOOKUP(I623,Dados!$S:$V,2,0),VLOOKUP(G623,Dados!$D:$L,3,0)=VLOOKUP(I623,Dados!$S:$V,3,0)),0,1)</f>
        <v>0</v>
      </c>
      <c r="T623" s="4">
        <f>IF(AND(VLOOKUP(G623,Dados!$D:$L,3,0)&lt;=VLOOKUP(H623,Dados!$X:$AB,2,0),VLOOKUP(G623,Dados!$D:$L,4,0)&gt;=VLOOKUP(H623,Dados!$X:$AB,3,0),VLOOKUP(G623,Dados!$D:$L,4,0)&lt;=VLOOKUP(H623,Dados!$X:$AB,4,0)),0,1)</f>
        <v>0</v>
      </c>
      <c r="U623" s="4">
        <f>IF(COUNTIFS(F:F,F623,H:H,H623)&lt;=VLOOKUP(H623,Dados!$X:$AB,5,0),0,1)</f>
        <v>0</v>
      </c>
    </row>
    <row r="624" spans="6:21">
      <c r="F624" s="4">
        <v>374</v>
      </c>
      <c r="G624" s="4">
        <v>17</v>
      </c>
      <c r="H624" s="4">
        <v>3</v>
      </c>
      <c r="I624" s="4">
        <v>8</v>
      </c>
      <c r="J624" s="4">
        <v>2</v>
      </c>
      <c r="K624" s="4">
        <f t="shared" si="202"/>
        <v>0</v>
      </c>
      <c r="L624" s="4">
        <f t="shared" si="202"/>
        <v>0</v>
      </c>
      <c r="M624" s="4">
        <f t="shared" si="202"/>
        <v>0</v>
      </c>
      <c r="N624" s="4">
        <f t="shared" si="202"/>
        <v>3</v>
      </c>
      <c r="O624" s="4">
        <f t="shared" si="203"/>
        <v>0</v>
      </c>
      <c r="P624" s="4">
        <f t="shared" si="204"/>
        <v>0</v>
      </c>
      <c r="Q624" s="4">
        <f t="shared" si="205"/>
        <v>0</v>
      </c>
      <c r="R624" s="4">
        <f t="shared" si="206"/>
        <v>6</v>
      </c>
      <c r="S624" s="4">
        <f>IF(AND(VLOOKUP(G624,Dados!$D:$L,2,0)=VLOOKUP(I624,Dados!$S:$V,2,0),VLOOKUP(G624,Dados!$D:$L,3,0)=VLOOKUP(I624,Dados!$S:$V,3,0)),0,1)</f>
        <v>0</v>
      </c>
      <c r="T624" s="4">
        <f>IF(AND(VLOOKUP(G624,Dados!$D:$L,3,0)&lt;=VLOOKUP(H624,Dados!$X:$AB,2,0),VLOOKUP(G624,Dados!$D:$L,4,0)&gt;=VLOOKUP(H624,Dados!$X:$AB,3,0),VLOOKUP(G624,Dados!$D:$L,4,0)&lt;=VLOOKUP(H624,Dados!$X:$AB,4,0)),0,1)</f>
        <v>0</v>
      </c>
      <c r="U624" s="4">
        <f>IF(COUNTIFS(F:F,F624,H:H,H624)&lt;=VLOOKUP(H624,Dados!$X:$AB,5,0),0,1)</f>
        <v>0</v>
      </c>
    </row>
    <row r="625" spans="6:21">
      <c r="F625" s="4">
        <v>375</v>
      </c>
      <c r="G625" s="4">
        <v>13</v>
      </c>
      <c r="H625" s="4">
        <v>1</v>
      </c>
      <c r="I625" s="4">
        <v>9</v>
      </c>
      <c r="J625" s="4">
        <v>4</v>
      </c>
      <c r="K625" s="4">
        <f t="shared" si="202"/>
        <v>0</v>
      </c>
      <c r="L625" s="4">
        <f t="shared" si="202"/>
        <v>0</v>
      </c>
      <c r="M625" s="4">
        <f t="shared" si="202"/>
        <v>0</v>
      </c>
      <c r="N625" s="4">
        <f t="shared" si="202"/>
        <v>2</v>
      </c>
      <c r="O625" s="4">
        <f t="shared" si="203"/>
        <v>0</v>
      </c>
      <c r="P625" s="4">
        <f t="shared" si="204"/>
        <v>0</v>
      </c>
      <c r="Q625" s="4">
        <f t="shared" si="205"/>
        <v>0</v>
      </c>
      <c r="R625" s="4">
        <f t="shared" si="206"/>
        <v>8</v>
      </c>
      <c r="S625" s="4">
        <f>IF(AND(VLOOKUP(G625,Dados!$D:$L,2,0)=VLOOKUP(I625,Dados!$S:$V,2,0),VLOOKUP(G625,Dados!$D:$L,3,0)=VLOOKUP(I625,Dados!$S:$V,3,0)),0,1)</f>
        <v>0</v>
      </c>
      <c r="T625" s="4">
        <f>IF(AND(VLOOKUP(G625,Dados!$D:$L,3,0)&lt;=VLOOKUP(H625,Dados!$X:$AB,2,0),VLOOKUP(G625,Dados!$D:$L,4,0)&gt;=VLOOKUP(H625,Dados!$X:$AB,3,0),VLOOKUP(G625,Dados!$D:$L,4,0)&lt;=VLOOKUP(H625,Dados!$X:$AB,4,0)),0,1)</f>
        <v>0</v>
      </c>
      <c r="U625" s="4">
        <f>IF(COUNTIFS(F:F,F625,H:H,H625)&lt;=VLOOKUP(H625,Dados!$X:$AB,5,0),0,1)</f>
        <v>0</v>
      </c>
    </row>
    <row r="626" spans="6:21">
      <c r="F626" s="4">
        <v>375</v>
      </c>
      <c r="G626" s="4">
        <v>15</v>
      </c>
      <c r="H626" s="4">
        <v>1</v>
      </c>
      <c r="I626" s="4">
        <v>9</v>
      </c>
      <c r="J626" s="4">
        <v>4</v>
      </c>
      <c r="K626" s="4">
        <f t="shared" si="202"/>
        <v>0</v>
      </c>
      <c r="L626" s="4">
        <f t="shared" si="202"/>
        <v>0</v>
      </c>
      <c r="M626" s="4">
        <f t="shared" si="202"/>
        <v>0</v>
      </c>
      <c r="N626" s="4">
        <f t="shared" ref="K626:N689" si="207">SUMIFS($X:$X,$W:$W,$F626,$Z:$Z,$I626,$AA:$AA,$H626,$AB:$AB,N$2)</f>
        <v>2</v>
      </c>
      <c r="O626" s="4">
        <f t="shared" si="203"/>
        <v>0</v>
      </c>
      <c r="P626" s="4">
        <f t="shared" si="204"/>
        <v>0</v>
      </c>
      <c r="Q626" s="4">
        <f t="shared" si="205"/>
        <v>0</v>
      </c>
      <c r="R626" s="4">
        <f t="shared" si="206"/>
        <v>8</v>
      </c>
      <c r="S626" s="4">
        <f>IF(AND(VLOOKUP(G626,Dados!$D:$L,2,0)=VLOOKUP(I626,Dados!$S:$V,2,0),VLOOKUP(G626,Dados!$D:$L,3,0)=VLOOKUP(I626,Dados!$S:$V,3,0)),0,1)</f>
        <v>0</v>
      </c>
      <c r="T626" s="4">
        <f>IF(AND(VLOOKUP(G626,Dados!$D:$L,3,0)&lt;=VLOOKUP(H626,Dados!$X:$AB,2,0),VLOOKUP(G626,Dados!$D:$L,4,0)&gt;=VLOOKUP(H626,Dados!$X:$AB,3,0),VLOOKUP(G626,Dados!$D:$L,4,0)&lt;=VLOOKUP(H626,Dados!$X:$AB,4,0)),0,1)</f>
        <v>0</v>
      </c>
      <c r="U626" s="4">
        <f>IF(COUNTIFS(F:F,F626,H:H,H626)&lt;=VLOOKUP(H626,Dados!$X:$AB,5,0),0,1)</f>
        <v>0</v>
      </c>
    </row>
    <row r="627" spans="6:21">
      <c r="F627" s="4">
        <v>375</v>
      </c>
      <c r="G627" s="4">
        <v>17</v>
      </c>
      <c r="H627" s="4">
        <v>1</v>
      </c>
      <c r="I627" s="4">
        <v>9</v>
      </c>
      <c r="J627" s="4">
        <v>1</v>
      </c>
      <c r="K627" s="4">
        <f t="shared" si="207"/>
        <v>0</v>
      </c>
      <c r="L627" s="4">
        <f t="shared" si="207"/>
        <v>0</v>
      </c>
      <c r="M627" s="4">
        <f t="shared" si="207"/>
        <v>0</v>
      </c>
      <c r="N627" s="4">
        <f t="shared" si="207"/>
        <v>2</v>
      </c>
      <c r="O627" s="4">
        <f t="shared" ref="O627:O690" si="208">$J627*K627</f>
        <v>0</v>
      </c>
      <c r="P627" s="4">
        <f t="shared" ref="P627:P690" si="209">$J627*L627</f>
        <v>0</v>
      </c>
      <c r="Q627" s="4">
        <f t="shared" ref="Q627:Q690" si="210">$J627*M627</f>
        <v>0</v>
      </c>
      <c r="R627" s="4">
        <f t="shared" ref="R627:R690" si="211">$J627*N627</f>
        <v>2</v>
      </c>
      <c r="S627" s="4">
        <f>IF(AND(VLOOKUP(G627,Dados!$D:$L,2,0)=VLOOKUP(I627,Dados!$S:$V,2,0),VLOOKUP(G627,Dados!$D:$L,3,0)=VLOOKUP(I627,Dados!$S:$V,3,0)),0,1)</f>
        <v>0</v>
      </c>
      <c r="T627" s="4">
        <f>IF(AND(VLOOKUP(G627,Dados!$D:$L,3,0)&lt;=VLOOKUP(H627,Dados!$X:$AB,2,0),VLOOKUP(G627,Dados!$D:$L,4,0)&gt;=VLOOKUP(H627,Dados!$X:$AB,3,0),VLOOKUP(G627,Dados!$D:$L,4,0)&lt;=VLOOKUP(H627,Dados!$X:$AB,4,0)),0,1)</f>
        <v>0</v>
      </c>
      <c r="U627" s="4">
        <f>IF(COUNTIFS(F:F,F627,H:H,H627)&lt;=VLOOKUP(H627,Dados!$X:$AB,5,0),0,1)</f>
        <v>0</v>
      </c>
    </row>
    <row r="628" spans="6:21">
      <c r="F628" s="4">
        <v>376</v>
      </c>
      <c r="G628" s="4">
        <v>14</v>
      </c>
      <c r="H628" s="4">
        <v>3</v>
      </c>
      <c r="I628" s="4">
        <v>9</v>
      </c>
      <c r="J628" s="4">
        <v>1</v>
      </c>
      <c r="K628" s="4">
        <f t="shared" si="207"/>
        <v>0</v>
      </c>
      <c r="L628" s="4">
        <f t="shared" si="207"/>
        <v>0</v>
      </c>
      <c r="M628" s="4">
        <f t="shared" si="207"/>
        <v>0</v>
      </c>
      <c r="N628" s="4">
        <f t="shared" si="207"/>
        <v>0</v>
      </c>
      <c r="O628" s="4">
        <f t="shared" si="208"/>
        <v>0</v>
      </c>
      <c r="P628" s="4">
        <f t="shared" si="209"/>
        <v>0</v>
      </c>
      <c r="Q628" s="4">
        <f t="shared" si="210"/>
        <v>0</v>
      </c>
      <c r="R628" s="4">
        <f t="shared" si="211"/>
        <v>0</v>
      </c>
      <c r="S628" s="4">
        <f>IF(AND(VLOOKUP(G628,Dados!$D:$L,2,0)=VLOOKUP(I628,Dados!$S:$V,2,0),VLOOKUP(G628,Dados!$D:$L,3,0)=VLOOKUP(I628,Dados!$S:$V,3,0)),0,1)</f>
        <v>0</v>
      </c>
      <c r="T628" s="4">
        <f>IF(AND(VLOOKUP(G628,Dados!$D:$L,3,0)&lt;=VLOOKUP(H628,Dados!$X:$AB,2,0),VLOOKUP(G628,Dados!$D:$L,4,0)&gt;=VLOOKUP(H628,Dados!$X:$AB,3,0),VLOOKUP(G628,Dados!$D:$L,4,0)&lt;=VLOOKUP(H628,Dados!$X:$AB,4,0)),0,1)</f>
        <v>0</v>
      </c>
      <c r="U628" s="4">
        <f>IF(COUNTIFS(F:F,F628,H:H,H628)&lt;=VLOOKUP(H628,Dados!$X:$AB,5,0),0,1)</f>
        <v>0</v>
      </c>
    </row>
    <row r="629" spans="6:21">
      <c r="F629" s="4">
        <v>376</v>
      </c>
      <c r="G629" s="4">
        <v>15</v>
      </c>
      <c r="H629" s="4">
        <v>3</v>
      </c>
      <c r="I629" s="4">
        <v>9</v>
      </c>
      <c r="J629" s="4">
        <v>5</v>
      </c>
      <c r="K629" s="4">
        <f t="shared" si="207"/>
        <v>0</v>
      </c>
      <c r="L629" s="4">
        <f t="shared" si="207"/>
        <v>0</v>
      </c>
      <c r="M629" s="4">
        <f t="shared" si="207"/>
        <v>0</v>
      </c>
      <c r="N629" s="4">
        <f t="shared" si="207"/>
        <v>0</v>
      </c>
      <c r="O629" s="4">
        <f t="shared" si="208"/>
        <v>0</v>
      </c>
      <c r="P629" s="4">
        <f t="shared" si="209"/>
        <v>0</v>
      </c>
      <c r="Q629" s="4">
        <f t="shared" si="210"/>
        <v>0</v>
      </c>
      <c r="R629" s="4">
        <f t="shared" si="211"/>
        <v>0</v>
      </c>
      <c r="S629" s="4">
        <f>IF(AND(VLOOKUP(G629,Dados!$D:$L,2,0)=VLOOKUP(I629,Dados!$S:$V,2,0),VLOOKUP(G629,Dados!$D:$L,3,0)=VLOOKUP(I629,Dados!$S:$V,3,0)),0,1)</f>
        <v>0</v>
      </c>
      <c r="T629" s="4">
        <f>IF(AND(VLOOKUP(G629,Dados!$D:$L,3,0)&lt;=VLOOKUP(H629,Dados!$X:$AB,2,0),VLOOKUP(G629,Dados!$D:$L,4,0)&gt;=VLOOKUP(H629,Dados!$X:$AB,3,0),VLOOKUP(G629,Dados!$D:$L,4,0)&lt;=VLOOKUP(H629,Dados!$X:$AB,4,0)),0,1)</f>
        <v>0</v>
      </c>
      <c r="U629" s="4">
        <f>IF(COUNTIFS(F:F,F629,H:H,H629)&lt;=VLOOKUP(H629,Dados!$X:$AB,5,0),0,1)</f>
        <v>0</v>
      </c>
    </row>
    <row r="630" spans="6:21">
      <c r="F630" s="4">
        <v>376</v>
      </c>
      <c r="G630" s="4">
        <v>16</v>
      </c>
      <c r="H630" s="4">
        <v>3</v>
      </c>
      <c r="I630" s="4">
        <v>9</v>
      </c>
      <c r="J630" s="4">
        <v>1</v>
      </c>
      <c r="K630" s="4">
        <f t="shared" si="207"/>
        <v>0</v>
      </c>
      <c r="L630" s="4">
        <f t="shared" si="207"/>
        <v>0</v>
      </c>
      <c r="M630" s="4">
        <f t="shared" si="207"/>
        <v>0</v>
      </c>
      <c r="N630" s="4">
        <f t="shared" si="207"/>
        <v>0</v>
      </c>
      <c r="O630" s="4">
        <f t="shared" si="208"/>
        <v>0</v>
      </c>
      <c r="P630" s="4">
        <f t="shared" si="209"/>
        <v>0</v>
      </c>
      <c r="Q630" s="4">
        <f t="shared" si="210"/>
        <v>0</v>
      </c>
      <c r="R630" s="4">
        <f t="shared" si="211"/>
        <v>0</v>
      </c>
      <c r="S630" s="4">
        <f>IF(AND(VLOOKUP(G630,Dados!$D:$L,2,0)=VLOOKUP(I630,Dados!$S:$V,2,0),VLOOKUP(G630,Dados!$D:$L,3,0)=VLOOKUP(I630,Dados!$S:$V,3,0)),0,1)</f>
        <v>0</v>
      </c>
      <c r="T630" s="4">
        <f>IF(AND(VLOOKUP(G630,Dados!$D:$L,3,0)&lt;=VLOOKUP(H630,Dados!$X:$AB,2,0),VLOOKUP(G630,Dados!$D:$L,4,0)&gt;=VLOOKUP(H630,Dados!$X:$AB,3,0),VLOOKUP(G630,Dados!$D:$L,4,0)&lt;=VLOOKUP(H630,Dados!$X:$AB,4,0)),0,1)</f>
        <v>0</v>
      </c>
      <c r="U630" s="4">
        <f>IF(COUNTIFS(F:F,F630,H:H,H630)&lt;=VLOOKUP(H630,Dados!$X:$AB,5,0),0,1)</f>
        <v>0</v>
      </c>
    </row>
    <row r="631" spans="6:21">
      <c r="F631" s="4">
        <v>376</v>
      </c>
      <c r="G631" s="4">
        <v>17</v>
      </c>
      <c r="H631" s="4">
        <v>3</v>
      </c>
      <c r="I631" s="4">
        <v>9</v>
      </c>
      <c r="J631" s="4">
        <v>2</v>
      </c>
      <c r="K631" s="4">
        <f t="shared" si="207"/>
        <v>0</v>
      </c>
      <c r="L631" s="4">
        <f t="shared" si="207"/>
        <v>0</v>
      </c>
      <c r="M631" s="4">
        <f t="shared" si="207"/>
        <v>0</v>
      </c>
      <c r="N631" s="4">
        <f t="shared" si="207"/>
        <v>0</v>
      </c>
      <c r="O631" s="4">
        <f t="shared" si="208"/>
        <v>0</v>
      </c>
      <c r="P631" s="4">
        <f t="shared" si="209"/>
        <v>0</v>
      </c>
      <c r="Q631" s="4">
        <f t="shared" si="210"/>
        <v>0</v>
      </c>
      <c r="R631" s="4">
        <f t="shared" si="211"/>
        <v>0</v>
      </c>
      <c r="S631" s="4">
        <f>IF(AND(VLOOKUP(G631,Dados!$D:$L,2,0)=VLOOKUP(I631,Dados!$S:$V,2,0),VLOOKUP(G631,Dados!$D:$L,3,0)=VLOOKUP(I631,Dados!$S:$V,3,0)),0,1)</f>
        <v>0</v>
      </c>
      <c r="T631" s="4">
        <f>IF(AND(VLOOKUP(G631,Dados!$D:$L,3,0)&lt;=VLOOKUP(H631,Dados!$X:$AB,2,0),VLOOKUP(G631,Dados!$D:$L,4,0)&gt;=VLOOKUP(H631,Dados!$X:$AB,3,0),VLOOKUP(G631,Dados!$D:$L,4,0)&lt;=VLOOKUP(H631,Dados!$X:$AB,4,0)),0,1)</f>
        <v>0</v>
      </c>
      <c r="U631" s="4">
        <f>IF(COUNTIFS(F:F,F631,H:H,H631)&lt;=VLOOKUP(H631,Dados!$X:$AB,5,0),0,1)</f>
        <v>0</v>
      </c>
    </row>
    <row r="632" spans="6:21">
      <c r="F632" s="4">
        <v>377</v>
      </c>
      <c r="G632" s="4">
        <v>15</v>
      </c>
      <c r="H632" s="4">
        <v>1</v>
      </c>
      <c r="I632" s="4">
        <v>10</v>
      </c>
      <c r="J632" s="4">
        <v>6</v>
      </c>
      <c r="K632" s="4">
        <f t="shared" si="207"/>
        <v>0</v>
      </c>
      <c r="L632" s="4">
        <f t="shared" si="207"/>
        <v>0</v>
      </c>
      <c r="M632" s="4">
        <f t="shared" si="207"/>
        <v>0</v>
      </c>
      <c r="N632" s="4">
        <f t="shared" si="207"/>
        <v>1</v>
      </c>
      <c r="O632" s="4">
        <f t="shared" si="208"/>
        <v>0</v>
      </c>
      <c r="P632" s="4">
        <f t="shared" si="209"/>
        <v>0</v>
      </c>
      <c r="Q632" s="4">
        <f t="shared" si="210"/>
        <v>0</v>
      </c>
      <c r="R632" s="4">
        <f t="shared" si="211"/>
        <v>6</v>
      </c>
      <c r="S632" s="4">
        <f>IF(AND(VLOOKUP(G632,Dados!$D:$L,2,0)=VLOOKUP(I632,Dados!$S:$V,2,0),VLOOKUP(G632,Dados!$D:$L,3,0)=VLOOKUP(I632,Dados!$S:$V,3,0)),0,1)</f>
        <v>0</v>
      </c>
      <c r="T632" s="4">
        <f>IF(AND(VLOOKUP(G632,Dados!$D:$L,3,0)&lt;=VLOOKUP(H632,Dados!$X:$AB,2,0),VLOOKUP(G632,Dados!$D:$L,4,0)&gt;=VLOOKUP(H632,Dados!$X:$AB,3,0),VLOOKUP(G632,Dados!$D:$L,4,0)&lt;=VLOOKUP(H632,Dados!$X:$AB,4,0)),0,1)</f>
        <v>0</v>
      </c>
      <c r="U632" s="4">
        <f>IF(COUNTIFS(F:F,F632,H:H,H632)&lt;=VLOOKUP(H632,Dados!$X:$AB,5,0),0,1)</f>
        <v>0</v>
      </c>
    </row>
    <row r="633" spans="6:21">
      <c r="F633" s="4">
        <v>377</v>
      </c>
      <c r="G633" s="4">
        <v>16</v>
      </c>
      <c r="H633" s="4">
        <v>1</v>
      </c>
      <c r="I633" s="4">
        <v>10</v>
      </c>
      <c r="J633" s="4">
        <v>1</v>
      </c>
      <c r="K633" s="4">
        <f t="shared" si="207"/>
        <v>0</v>
      </c>
      <c r="L633" s="4">
        <f t="shared" si="207"/>
        <v>0</v>
      </c>
      <c r="M633" s="4">
        <f t="shared" si="207"/>
        <v>0</v>
      </c>
      <c r="N633" s="4">
        <f t="shared" si="207"/>
        <v>1</v>
      </c>
      <c r="O633" s="4">
        <f t="shared" si="208"/>
        <v>0</v>
      </c>
      <c r="P633" s="4">
        <f t="shared" si="209"/>
        <v>0</v>
      </c>
      <c r="Q633" s="4">
        <f t="shared" si="210"/>
        <v>0</v>
      </c>
      <c r="R633" s="4">
        <f t="shared" si="211"/>
        <v>1</v>
      </c>
      <c r="S633" s="4">
        <f>IF(AND(VLOOKUP(G633,Dados!$D:$L,2,0)=VLOOKUP(I633,Dados!$S:$V,2,0),VLOOKUP(G633,Dados!$D:$L,3,0)=VLOOKUP(I633,Dados!$S:$V,3,0)),0,1)</f>
        <v>0</v>
      </c>
      <c r="T633" s="4">
        <f>IF(AND(VLOOKUP(G633,Dados!$D:$L,3,0)&lt;=VLOOKUP(H633,Dados!$X:$AB,2,0),VLOOKUP(G633,Dados!$D:$L,4,0)&gt;=VLOOKUP(H633,Dados!$X:$AB,3,0),VLOOKUP(G633,Dados!$D:$L,4,0)&lt;=VLOOKUP(H633,Dados!$X:$AB,4,0)),0,1)</f>
        <v>0</v>
      </c>
      <c r="U633" s="4">
        <f>IF(COUNTIFS(F:F,F633,H:H,H633)&lt;=VLOOKUP(H633,Dados!$X:$AB,5,0),0,1)</f>
        <v>0</v>
      </c>
    </row>
    <row r="634" spans="6:21">
      <c r="F634" s="4">
        <v>377</v>
      </c>
      <c r="G634" s="4">
        <v>17</v>
      </c>
      <c r="H634" s="4">
        <v>1</v>
      </c>
      <c r="I634" s="4">
        <v>10</v>
      </c>
      <c r="J634" s="4">
        <v>1</v>
      </c>
      <c r="K634" s="4">
        <f t="shared" si="207"/>
        <v>0</v>
      </c>
      <c r="L634" s="4">
        <f t="shared" si="207"/>
        <v>0</v>
      </c>
      <c r="M634" s="4">
        <f t="shared" si="207"/>
        <v>0</v>
      </c>
      <c r="N634" s="4">
        <f t="shared" si="207"/>
        <v>1</v>
      </c>
      <c r="O634" s="4">
        <f t="shared" si="208"/>
        <v>0</v>
      </c>
      <c r="P634" s="4">
        <f t="shared" si="209"/>
        <v>0</v>
      </c>
      <c r="Q634" s="4">
        <f t="shared" si="210"/>
        <v>0</v>
      </c>
      <c r="R634" s="4">
        <f t="shared" si="211"/>
        <v>1</v>
      </c>
      <c r="S634" s="4">
        <f>IF(AND(VLOOKUP(G634,Dados!$D:$L,2,0)=VLOOKUP(I634,Dados!$S:$V,2,0),VLOOKUP(G634,Dados!$D:$L,3,0)=VLOOKUP(I634,Dados!$S:$V,3,0)),0,1)</f>
        <v>0</v>
      </c>
      <c r="T634" s="4">
        <f>IF(AND(VLOOKUP(G634,Dados!$D:$L,3,0)&lt;=VLOOKUP(H634,Dados!$X:$AB,2,0),VLOOKUP(G634,Dados!$D:$L,4,0)&gt;=VLOOKUP(H634,Dados!$X:$AB,3,0),VLOOKUP(G634,Dados!$D:$L,4,0)&lt;=VLOOKUP(H634,Dados!$X:$AB,4,0)),0,1)</f>
        <v>0</v>
      </c>
      <c r="U634" s="4">
        <f>IF(COUNTIFS(F:F,F634,H:H,H634)&lt;=VLOOKUP(H634,Dados!$X:$AB,5,0),0,1)</f>
        <v>0</v>
      </c>
    </row>
    <row r="635" spans="6:21">
      <c r="F635" s="4">
        <v>378</v>
      </c>
      <c r="G635" s="4">
        <v>15</v>
      </c>
      <c r="H635" s="4">
        <v>3</v>
      </c>
      <c r="I635" s="4">
        <v>10</v>
      </c>
      <c r="J635" s="4">
        <v>6</v>
      </c>
      <c r="K635" s="4">
        <f t="shared" si="207"/>
        <v>0</v>
      </c>
      <c r="L635" s="4">
        <f t="shared" si="207"/>
        <v>0</v>
      </c>
      <c r="M635" s="4">
        <f t="shared" si="207"/>
        <v>0</v>
      </c>
      <c r="N635" s="4">
        <f t="shared" si="207"/>
        <v>0</v>
      </c>
      <c r="O635" s="4">
        <f t="shared" si="208"/>
        <v>0</v>
      </c>
      <c r="P635" s="4">
        <f t="shared" si="209"/>
        <v>0</v>
      </c>
      <c r="Q635" s="4">
        <f t="shared" si="210"/>
        <v>0</v>
      </c>
      <c r="R635" s="4">
        <f t="shared" si="211"/>
        <v>0</v>
      </c>
      <c r="S635" s="4">
        <f>IF(AND(VLOOKUP(G635,Dados!$D:$L,2,0)=VLOOKUP(I635,Dados!$S:$V,2,0),VLOOKUP(G635,Dados!$D:$L,3,0)=VLOOKUP(I635,Dados!$S:$V,3,0)),0,1)</f>
        <v>0</v>
      </c>
      <c r="T635" s="4">
        <f>IF(AND(VLOOKUP(G635,Dados!$D:$L,3,0)&lt;=VLOOKUP(H635,Dados!$X:$AB,2,0),VLOOKUP(G635,Dados!$D:$L,4,0)&gt;=VLOOKUP(H635,Dados!$X:$AB,3,0),VLOOKUP(G635,Dados!$D:$L,4,0)&lt;=VLOOKUP(H635,Dados!$X:$AB,4,0)),0,1)</f>
        <v>0</v>
      </c>
      <c r="U635" s="4">
        <f>IF(COUNTIFS(F:F,F635,H:H,H635)&lt;=VLOOKUP(H635,Dados!$X:$AB,5,0),0,1)</f>
        <v>0</v>
      </c>
    </row>
    <row r="636" spans="6:21">
      <c r="F636" s="4">
        <v>378</v>
      </c>
      <c r="G636" s="4">
        <v>16</v>
      </c>
      <c r="H636" s="4">
        <v>3</v>
      </c>
      <c r="I636" s="4">
        <v>10</v>
      </c>
      <c r="J636" s="4">
        <v>1</v>
      </c>
      <c r="K636" s="4">
        <f t="shared" si="207"/>
        <v>0</v>
      </c>
      <c r="L636" s="4">
        <f t="shared" si="207"/>
        <v>0</v>
      </c>
      <c r="M636" s="4">
        <f t="shared" si="207"/>
        <v>0</v>
      </c>
      <c r="N636" s="4">
        <f t="shared" si="207"/>
        <v>0</v>
      </c>
      <c r="O636" s="4">
        <f t="shared" si="208"/>
        <v>0</v>
      </c>
      <c r="P636" s="4">
        <f t="shared" si="209"/>
        <v>0</v>
      </c>
      <c r="Q636" s="4">
        <f t="shared" si="210"/>
        <v>0</v>
      </c>
      <c r="R636" s="4">
        <f t="shared" si="211"/>
        <v>0</v>
      </c>
      <c r="S636" s="4">
        <f>IF(AND(VLOOKUP(G636,Dados!$D:$L,2,0)=VLOOKUP(I636,Dados!$S:$V,2,0),VLOOKUP(G636,Dados!$D:$L,3,0)=VLOOKUP(I636,Dados!$S:$V,3,0)),0,1)</f>
        <v>0</v>
      </c>
      <c r="T636" s="4">
        <f>IF(AND(VLOOKUP(G636,Dados!$D:$L,3,0)&lt;=VLOOKUP(H636,Dados!$X:$AB,2,0),VLOOKUP(G636,Dados!$D:$L,4,0)&gt;=VLOOKUP(H636,Dados!$X:$AB,3,0),VLOOKUP(G636,Dados!$D:$L,4,0)&lt;=VLOOKUP(H636,Dados!$X:$AB,4,0)),0,1)</f>
        <v>0</v>
      </c>
      <c r="U636" s="4">
        <f>IF(COUNTIFS(F:F,F636,H:H,H636)&lt;=VLOOKUP(H636,Dados!$X:$AB,5,0),0,1)</f>
        <v>0</v>
      </c>
    </row>
    <row r="637" spans="6:21">
      <c r="F637" s="4">
        <v>378</v>
      </c>
      <c r="G637" s="4">
        <v>17</v>
      </c>
      <c r="H637" s="4">
        <v>3</v>
      </c>
      <c r="I637" s="4">
        <v>10</v>
      </c>
      <c r="J637" s="4">
        <v>1</v>
      </c>
      <c r="K637" s="4">
        <f t="shared" si="207"/>
        <v>0</v>
      </c>
      <c r="L637" s="4">
        <f t="shared" si="207"/>
        <v>0</v>
      </c>
      <c r="M637" s="4">
        <f t="shared" si="207"/>
        <v>0</v>
      </c>
      <c r="N637" s="4">
        <f t="shared" si="207"/>
        <v>0</v>
      </c>
      <c r="O637" s="4">
        <f t="shared" si="208"/>
        <v>0</v>
      </c>
      <c r="P637" s="4">
        <f t="shared" si="209"/>
        <v>0</v>
      </c>
      <c r="Q637" s="4">
        <f t="shared" si="210"/>
        <v>0</v>
      </c>
      <c r="R637" s="4">
        <f t="shared" si="211"/>
        <v>0</v>
      </c>
      <c r="S637" s="4">
        <f>IF(AND(VLOOKUP(G637,Dados!$D:$L,2,0)=VLOOKUP(I637,Dados!$S:$V,2,0),VLOOKUP(G637,Dados!$D:$L,3,0)=VLOOKUP(I637,Dados!$S:$V,3,0)),0,1)</f>
        <v>0</v>
      </c>
      <c r="T637" s="4">
        <f>IF(AND(VLOOKUP(G637,Dados!$D:$L,3,0)&lt;=VLOOKUP(H637,Dados!$X:$AB,2,0),VLOOKUP(G637,Dados!$D:$L,4,0)&gt;=VLOOKUP(H637,Dados!$X:$AB,3,0),VLOOKUP(G637,Dados!$D:$L,4,0)&lt;=VLOOKUP(H637,Dados!$X:$AB,4,0)),0,1)</f>
        <v>0</v>
      </c>
      <c r="U637" s="4">
        <f>IF(COUNTIFS(F:F,F637,H:H,H637)&lt;=VLOOKUP(H637,Dados!$X:$AB,5,0),0,1)</f>
        <v>0</v>
      </c>
    </row>
    <row r="638" spans="6:21">
      <c r="F638" s="4">
        <v>379</v>
      </c>
      <c r="G638" s="4">
        <v>21</v>
      </c>
      <c r="H638" s="4">
        <v>1</v>
      </c>
      <c r="I638" s="4">
        <v>14</v>
      </c>
      <c r="J638" s="4">
        <v>2</v>
      </c>
      <c r="K638" s="4">
        <f t="shared" si="207"/>
        <v>0</v>
      </c>
      <c r="L638" s="4">
        <f t="shared" si="207"/>
        <v>0</v>
      </c>
      <c r="M638" s="4">
        <f t="shared" si="207"/>
        <v>0</v>
      </c>
      <c r="N638" s="4">
        <f t="shared" si="207"/>
        <v>0</v>
      </c>
      <c r="O638" s="4">
        <f t="shared" si="208"/>
        <v>0</v>
      </c>
      <c r="P638" s="4">
        <f t="shared" si="209"/>
        <v>0</v>
      </c>
      <c r="Q638" s="4">
        <f t="shared" si="210"/>
        <v>0</v>
      </c>
      <c r="R638" s="4">
        <f t="shared" si="211"/>
        <v>0</v>
      </c>
      <c r="S638" s="4">
        <f>IF(AND(VLOOKUP(G638,Dados!$D:$L,2,0)=VLOOKUP(I638,Dados!$S:$V,2,0),VLOOKUP(G638,Dados!$D:$L,3,0)=VLOOKUP(I638,Dados!$S:$V,3,0)),0,1)</f>
        <v>0</v>
      </c>
      <c r="T638" s="4">
        <f>IF(AND(VLOOKUP(G638,Dados!$D:$L,3,0)&lt;=VLOOKUP(H638,Dados!$X:$AB,2,0),VLOOKUP(G638,Dados!$D:$L,4,0)&gt;=VLOOKUP(H638,Dados!$X:$AB,3,0),VLOOKUP(G638,Dados!$D:$L,4,0)&lt;=VLOOKUP(H638,Dados!$X:$AB,4,0)),0,1)</f>
        <v>0</v>
      </c>
      <c r="U638" s="4">
        <f>IF(COUNTIFS(F:F,F638,H:H,H638)&lt;=VLOOKUP(H638,Dados!$X:$AB,5,0),0,1)</f>
        <v>0</v>
      </c>
    </row>
    <row r="639" spans="6:21">
      <c r="F639" s="4">
        <v>379</v>
      </c>
      <c r="G639" s="4">
        <v>22</v>
      </c>
      <c r="H639" s="4">
        <v>1</v>
      </c>
      <c r="I639" s="4">
        <v>14</v>
      </c>
      <c r="J639" s="4">
        <v>4</v>
      </c>
      <c r="K639" s="4">
        <f t="shared" si="207"/>
        <v>0</v>
      </c>
      <c r="L639" s="4">
        <f t="shared" si="207"/>
        <v>0</v>
      </c>
      <c r="M639" s="4">
        <f t="shared" si="207"/>
        <v>0</v>
      </c>
      <c r="N639" s="4">
        <f t="shared" si="207"/>
        <v>0</v>
      </c>
      <c r="O639" s="4">
        <f t="shared" si="208"/>
        <v>0</v>
      </c>
      <c r="P639" s="4">
        <f t="shared" si="209"/>
        <v>0</v>
      </c>
      <c r="Q639" s="4">
        <f t="shared" si="210"/>
        <v>0</v>
      </c>
      <c r="R639" s="4">
        <f t="shared" si="211"/>
        <v>0</v>
      </c>
      <c r="S639" s="4">
        <f>IF(AND(VLOOKUP(G639,Dados!$D:$L,2,0)=VLOOKUP(I639,Dados!$S:$V,2,0),VLOOKUP(G639,Dados!$D:$L,3,0)=VLOOKUP(I639,Dados!$S:$V,3,0)),0,1)</f>
        <v>0</v>
      </c>
      <c r="T639" s="4">
        <f>IF(AND(VLOOKUP(G639,Dados!$D:$L,3,0)&lt;=VLOOKUP(H639,Dados!$X:$AB,2,0),VLOOKUP(G639,Dados!$D:$L,4,0)&gt;=VLOOKUP(H639,Dados!$X:$AB,3,0),VLOOKUP(G639,Dados!$D:$L,4,0)&lt;=VLOOKUP(H639,Dados!$X:$AB,4,0)),0,1)</f>
        <v>0</v>
      </c>
      <c r="U639" s="4">
        <f>IF(COUNTIFS(F:F,F639,H:H,H639)&lt;=VLOOKUP(H639,Dados!$X:$AB,5,0),0,1)</f>
        <v>0</v>
      </c>
    </row>
    <row r="640" spans="6:21">
      <c r="F640" s="4">
        <v>379</v>
      </c>
      <c r="G640" s="4">
        <v>23</v>
      </c>
      <c r="H640" s="4">
        <v>1</v>
      </c>
      <c r="I640" s="4">
        <v>14</v>
      </c>
      <c r="J640" s="4">
        <v>2</v>
      </c>
      <c r="K640" s="4">
        <f t="shared" si="207"/>
        <v>0</v>
      </c>
      <c r="L640" s="4">
        <f t="shared" si="207"/>
        <v>0</v>
      </c>
      <c r="M640" s="4">
        <f t="shared" si="207"/>
        <v>0</v>
      </c>
      <c r="N640" s="4">
        <f t="shared" si="207"/>
        <v>0</v>
      </c>
      <c r="O640" s="4">
        <f t="shared" si="208"/>
        <v>0</v>
      </c>
      <c r="P640" s="4">
        <f t="shared" si="209"/>
        <v>0</v>
      </c>
      <c r="Q640" s="4">
        <f t="shared" si="210"/>
        <v>0</v>
      </c>
      <c r="R640" s="4">
        <f t="shared" si="211"/>
        <v>0</v>
      </c>
      <c r="S640" s="4">
        <f>IF(AND(VLOOKUP(G640,Dados!$D:$L,2,0)=VLOOKUP(I640,Dados!$S:$V,2,0),VLOOKUP(G640,Dados!$D:$L,3,0)=VLOOKUP(I640,Dados!$S:$V,3,0)),0,1)</f>
        <v>0</v>
      </c>
      <c r="T640" s="4">
        <f>IF(AND(VLOOKUP(G640,Dados!$D:$L,3,0)&lt;=VLOOKUP(H640,Dados!$X:$AB,2,0),VLOOKUP(G640,Dados!$D:$L,4,0)&gt;=VLOOKUP(H640,Dados!$X:$AB,3,0),VLOOKUP(G640,Dados!$D:$L,4,0)&lt;=VLOOKUP(H640,Dados!$X:$AB,4,0)),0,1)</f>
        <v>0</v>
      </c>
      <c r="U640" s="4">
        <f>IF(COUNTIFS(F:F,F640,H:H,H640)&lt;=VLOOKUP(H640,Dados!$X:$AB,5,0),0,1)</f>
        <v>0</v>
      </c>
    </row>
    <row r="641" spans="6:21">
      <c r="F641" s="4">
        <v>380</v>
      </c>
      <c r="G641" s="4">
        <v>21</v>
      </c>
      <c r="H641" s="4">
        <v>2</v>
      </c>
      <c r="I641" s="4">
        <v>14</v>
      </c>
      <c r="J641" s="4">
        <v>2</v>
      </c>
      <c r="K641" s="4">
        <f t="shared" si="207"/>
        <v>0</v>
      </c>
      <c r="L641" s="4">
        <f t="shared" si="207"/>
        <v>1</v>
      </c>
      <c r="M641" s="4">
        <f t="shared" si="207"/>
        <v>0</v>
      </c>
      <c r="N641" s="4">
        <f t="shared" si="207"/>
        <v>0</v>
      </c>
      <c r="O641" s="4">
        <f t="shared" si="208"/>
        <v>0</v>
      </c>
      <c r="P641" s="4">
        <f t="shared" si="209"/>
        <v>2</v>
      </c>
      <c r="Q641" s="4">
        <f t="shared" si="210"/>
        <v>0</v>
      </c>
      <c r="R641" s="4">
        <f t="shared" si="211"/>
        <v>0</v>
      </c>
      <c r="S641" s="4">
        <f>IF(AND(VLOOKUP(G641,Dados!$D:$L,2,0)=VLOOKUP(I641,Dados!$S:$V,2,0),VLOOKUP(G641,Dados!$D:$L,3,0)=VLOOKUP(I641,Dados!$S:$V,3,0)),0,1)</f>
        <v>0</v>
      </c>
      <c r="T641" s="4">
        <f>IF(AND(VLOOKUP(G641,Dados!$D:$L,3,0)&lt;=VLOOKUP(H641,Dados!$X:$AB,2,0),VLOOKUP(G641,Dados!$D:$L,4,0)&gt;=VLOOKUP(H641,Dados!$X:$AB,3,0),VLOOKUP(G641,Dados!$D:$L,4,0)&lt;=VLOOKUP(H641,Dados!$X:$AB,4,0)),0,1)</f>
        <v>0</v>
      </c>
      <c r="U641" s="4">
        <f>IF(COUNTIFS(F:F,F641,H:H,H641)&lt;=VLOOKUP(H641,Dados!$X:$AB,5,0),0,1)</f>
        <v>0</v>
      </c>
    </row>
    <row r="642" spans="6:21">
      <c r="F642" s="4">
        <v>380</v>
      </c>
      <c r="G642" s="4">
        <v>22</v>
      </c>
      <c r="H642" s="4">
        <v>2</v>
      </c>
      <c r="I642" s="4">
        <v>14</v>
      </c>
      <c r="J642" s="4">
        <v>4</v>
      </c>
      <c r="K642" s="4">
        <f t="shared" si="207"/>
        <v>0</v>
      </c>
      <c r="L642" s="4">
        <f t="shared" si="207"/>
        <v>1</v>
      </c>
      <c r="M642" s="4">
        <f t="shared" si="207"/>
        <v>0</v>
      </c>
      <c r="N642" s="4">
        <f t="shared" si="207"/>
        <v>0</v>
      </c>
      <c r="O642" s="4">
        <f t="shared" si="208"/>
        <v>0</v>
      </c>
      <c r="P642" s="4">
        <f t="shared" si="209"/>
        <v>4</v>
      </c>
      <c r="Q642" s="4">
        <f t="shared" si="210"/>
        <v>0</v>
      </c>
      <c r="R642" s="4">
        <f t="shared" si="211"/>
        <v>0</v>
      </c>
      <c r="S642" s="4">
        <f>IF(AND(VLOOKUP(G642,Dados!$D:$L,2,0)=VLOOKUP(I642,Dados!$S:$V,2,0),VLOOKUP(G642,Dados!$D:$L,3,0)=VLOOKUP(I642,Dados!$S:$V,3,0)),0,1)</f>
        <v>0</v>
      </c>
      <c r="T642" s="4">
        <f>IF(AND(VLOOKUP(G642,Dados!$D:$L,3,0)&lt;=VLOOKUP(H642,Dados!$X:$AB,2,0),VLOOKUP(G642,Dados!$D:$L,4,0)&gt;=VLOOKUP(H642,Dados!$X:$AB,3,0),VLOOKUP(G642,Dados!$D:$L,4,0)&lt;=VLOOKUP(H642,Dados!$X:$AB,4,0)),0,1)</f>
        <v>0</v>
      </c>
      <c r="U642" s="4">
        <f>IF(COUNTIFS(F:F,F642,H:H,H642)&lt;=VLOOKUP(H642,Dados!$X:$AB,5,0),0,1)</f>
        <v>0</v>
      </c>
    </row>
    <row r="643" spans="6:21">
      <c r="F643" s="4">
        <v>380</v>
      </c>
      <c r="G643" s="4">
        <v>23</v>
      </c>
      <c r="H643" s="4">
        <v>2</v>
      </c>
      <c r="I643" s="4">
        <v>14</v>
      </c>
      <c r="J643" s="4">
        <v>2</v>
      </c>
      <c r="K643" s="4">
        <f t="shared" si="207"/>
        <v>0</v>
      </c>
      <c r="L643" s="4">
        <f t="shared" si="207"/>
        <v>1</v>
      </c>
      <c r="M643" s="4">
        <f t="shared" si="207"/>
        <v>0</v>
      </c>
      <c r="N643" s="4">
        <f t="shared" si="207"/>
        <v>0</v>
      </c>
      <c r="O643" s="4">
        <f t="shared" si="208"/>
        <v>0</v>
      </c>
      <c r="P643" s="4">
        <f t="shared" si="209"/>
        <v>2</v>
      </c>
      <c r="Q643" s="4">
        <f t="shared" si="210"/>
        <v>0</v>
      </c>
      <c r="R643" s="4">
        <f t="shared" si="211"/>
        <v>0</v>
      </c>
      <c r="S643" s="4">
        <f>IF(AND(VLOOKUP(G643,Dados!$D:$L,2,0)=VLOOKUP(I643,Dados!$S:$V,2,0),VLOOKUP(G643,Dados!$D:$L,3,0)=VLOOKUP(I643,Dados!$S:$V,3,0)),0,1)</f>
        <v>0</v>
      </c>
      <c r="T643" s="4">
        <f>IF(AND(VLOOKUP(G643,Dados!$D:$L,3,0)&lt;=VLOOKUP(H643,Dados!$X:$AB,2,0),VLOOKUP(G643,Dados!$D:$L,4,0)&gt;=VLOOKUP(H643,Dados!$X:$AB,3,0),VLOOKUP(G643,Dados!$D:$L,4,0)&lt;=VLOOKUP(H643,Dados!$X:$AB,4,0)),0,1)</f>
        <v>0</v>
      </c>
      <c r="U643" s="4">
        <f>IF(COUNTIFS(F:F,F643,H:H,H643)&lt;=VLOOKUP(H643,Dados!$X:$AB,5,0),0,1)</f>
        <v>0</v>
      </c>
    </row>
    <row r="644" spans="6:21">
      <c r="F644" s="4">
        <v>381</v>
      </c>
      <c r="G644" s="4">
        <v>21</v>
      </c>
      <c r="H644" s="4">
        <v>3</v>
      </c>
      <c r="I644" s="4">
        <v>14</v>
      </c>
      <c r="J644" s="4">
        <v>2</v>
      </c>
      <c r="K644" s="4">
        <f t="shared" si="207"/>
        <v>0</v>
      </c>
      <c r="L644" s="4">
        <f t="shared" si="207"/>
        <v>0</v>
      </c>
      <c r="M644" s="4">
        <f t="shared" si="207"/>
        <v>0</v>
      </c>
      <c r="N644" s="4">
        <f t="shared" si="207"/>
        <v>0</v>
      </c>
      <c r="O644" s="4">
        <f t="shared" si="208"/>
        <v>0</v>
      </c>
      <c r="P644" s="4">
        <f t="shared" si="209"/>
        <v>0</v>
      </c>
      <c r="Q644" s="4">
        <f t="shared" si="210"/>
        <v>0</v>
      </c>
      <c r="R644" s="4">
        <f t="shared" si="211"/>
        <v>0</v>
      </c>
      <c r="S644" s="4">
        <f>IF(AND(VLOOKUP(G644,Dados!$D:$L,2,0)=VLOOKUP(I644,Dados!$S:$V,2,0),VLOOKUP(G644,Dados!$D:$L,3,0)=VLOOKUP(I644,Dados!$S:$V,3,0)),0,1)</f>
        <v>0</v>
      </c>
      <c r="T644" s="4">
        <f>IF(AND(VLOOKUP(G644,Dados!$D:$L,3,0)&lt;=VLOOKUP(H644,Dados!$X:$AB,2,0),VLOOKUP(G644,Dados!$D:$L,4,0)&gt;=VLOOKUP(H644,Dados!$X:$AB,3,0),VLOOKUP(G644,Dados!$D:$L,4,0)&lt;=VLOOKUP(H644,Dados!$X:$AB,4,0)),0,1)</f>
        <v>0</v>
      </c>
      <c r="U644" s="4">
        <f>IF(COUNTIFS(F:F,F644,H:H,H644)&lt;=VLOOKUP(H644,Dados!$X:$AB,5,0),0,1)</f>
        <v>0</v>
      </c>
    </row>
    <row r="645" spans="6:21">
      <c r="F645" s="4">
        <v>381</v>
      </c>
      <c r="G645" s="4">
        <v>22</v>
      </c>
      <c r="H645" s="4">
        <v>3</v>
      </c>
      <c r="I645" s="4">
        <v>14</v>
      </c>
      <c r="J645" s="4">
        <v>4</v>
      </c>
      <c r="K645" s="4">
        <f t="shared" si="207"/>
        <v>0</v>
      </c>
      <c r="L645" s="4">
        <f t="shared" si="207"/>
        <v>0</v>
      </c>
      <c r="M645" s="4">
        <f t="shared" si="207"/>
        <v>0</v>
      </c>
      <c r="N645" s="4">
        <f t="shared" si="207"/>
        <v>0</v>
      </c>
      <c r="O645" s="4">
        <f t="shared" si="208"/>
        <v>0</v>
      </c>
      <c r="P645" s="4">
        <f t="shared" si="209"/>
        <v>0</v>
      </c>
      <c r="Q645" s="4">
        <f t="shared" si="210"/>
        <v>0</v>
      </c>
      <c r="R645" s="4">
        <f t="shared" si="211"/>
        <v>0</v>
      </c>
      <c r="S645" s="4">
        <f>IF(AND(VLOOKUP(G645,Dados!$D:$L,2,0)=VLOOKUP(I645,Dados!$S:$V,2,0),VLOOKUP(G645,Dados!$D:$L,3,0)=VLOOKUP(I645,Dados!$S:$V,3,0)),0,1)</f>
        <v>0</v>
      </c>
      <c r="T645" s="4">
        <f>IF(AND(VLOOKUP(G645,Dados!$D:$L,3,0)&lt;=VLOOKUP(H645,Dados!$X:$AB,2,0),VLOOKUP(G645,Dados!$D:$L,4,0)&gt;=VLOOKUP(H645,Dados!$X:$AB,3,0),VLOOKUP(G645,Dados!$D:$L,4,0)&lt;=VLOOKUP(H645,Dados!$X:$AB,4,0)),0,1)</f>
        <v>0</v>
      </c>
      <c r="U645" s="4">
        <f>IF(COUNTIFS(F:F,F645,H:H,H645)&lt;=VLOOKUP(H645,Dados!$X:$AB,5,0),0,1)</f>
        <v>0</v>
      </c>
    </row>
    <row r="646" spans="6:21">
      <c r="F646" s="4">
        <v>381</v>
      </c>
      <c r="G646" s="4">
        <v>23</v>
      </c>
      <c r="H646" s="4">
        <v>3</v>
      </c>
      <c r="I646" s="4">
        <v>14</v>
      </c>
      <c r="J646" s="4">
        <v>2</v>
      </c>
      <c r="K646" s="4">
        <f t="shared" si="207"/>
        <v>0</v>
      </c>
      <c r="L646" s="4">
        <f t="shared" si="207"/>
        <v>0</v>
      </c>
      <c r="M646" s="4">
        <f t="shared" si="207"/>
        <v>0</v>
      </c>
      <c r="N646" s="4">
        <f t="shared" si="207"/>
        <v>0</v>
      </c>
      <c r="O646" s="4">
        <f t="shared" si="208"/>
        <v>0</v>
      </c>
      <c r="P646" s="4">
        <f t="shared" si="209"/>
        <v>0</v>
      </c>
      <c r="Q646" s="4">
        <f t="shared" si="210"/>
        <v>0</v>
      </c>
      <c r="R646" s="4">
        <f t="shared" si="211"/>
        <v>0</v>
      </c>
      <c r="S646" s="4">
        <f>IF(AND(VLOOKUP(G646,Dados!$D:$L,2,0)=VLOOKUP(I646,Dados!$S:$V,2,0),VLOOKUP(G646,Dados!$D:$L,3,0)=VLOOKUP(I646,Dados!$S:$V,3,0)),0,1)</f>
        <v>0</v>
      </c>
      <c r="T646" s="4">
        <f>IF(AND(VLOOKUP(G646,Dados!$D:$L,3,0)&lt;=VLOOKUP(H646,Dados!$X:$AB,2,0),VLOOKUP(G646,Dados!$D:$L,4,0)&gt;=VLOOKUP(H646,Dados!$X:$AB,3,0),VLOOKUP(G646,Dados!$D:$L,4,0)&lt;=VLOOKUP(H646,Dados!$X:$AB,4,0)),0,1)</f>
        <v>0</v>
      </c>
      <c r="U646" s="4">
        <f>IF(COUNTIFS(F:F,F646,H:H,H646)&lt;=VLOOKUP(H646,Dados!$X:$AB,5,0),0,1)</f>
        <v>0</v>
      </c>
    </row>
    <row r="647" spans="6:21">
      <c r="F647" s="4">
        <v>382</v>
      </c>
      <c r="G647" s="4">
        <v>32</v>
      </c>
      <c r="H647" s="4">
        <v>1</v>
      </c>
      <c r="I647" s="4">
        <v>16</v>
      </c>
      <c r="J647" s="4">
        <v>1</v>
      </c>
      <c r="K647" s="4">
        <f t="shared" si="207"/>
        <v>0</v>
      </c>
      <c r="L647" s="4">
        <f t="shared" si="207"/>
        <v>0</v>
      </c>
      <c r="M647" s="4">
        <f t="shared" si="207"/>
        <v>0</v>
      </c>
      <c r="N647" s="4">
        <f t="shared" si="207"/>
        <v>0</v>
      </c>
      <c r="O647" s="4">
        <f t="shared" si="208"/>
        <v>0</v>
      </c>
      <c r="P647" s="4">
        <f t="shared" si="209"/>
        <v>0</v>
      </c>
      <c r="Q647" s="4">
        <f t="shared" si="210"/>
        <v>0</v>
      </c>
      <c r="R647" s="4">
        <f t="shared" si="211"/>
        <v>0</v>
      </c>
      <c r="S647" s="4">
        <f>IF(AND(VLOOKUP(G647,Dados!$D:$L,2,0)=VLOOKUP(I647,Dados!$S:$V,2,0),VLOOKUP(G647,Dados!$D:$L,3,0)=VLOOKUP(I647,Dados!$S:$V,3,0)),0,1)</f>
        <v>0</v>
      </c>
      <c r="T647" s="4">
        <f>IF(AND(VLOOKUP(G647,Dados!$D:$L,3,0)&lt;=VLOOKUP(H647,Dados!$X:$AB,2,0),VLOOKUP(G647,Dados!$D:$L,4,0)&gt;=VLOOKUP(H647,Dados!$X:$AB,3,0),VLOOKUP(G647,Dados!$D:$L,4,0)&lt;=VLOOKUP(H647,Dados!$X:$AB,4,0)),0,1)</f>
        <v>0</v>
      </c>
      <c r="U647" s="4">
        <f>IF(COUNTIFS(F:F,F647,H:H,H647)&lt;=VLOOKUP(H647,Dados!$X:$AB,5,0),0,1)</f>
        <v>0</v>
      </c>
    </row>
    <row r="648" spans="6:21">
      <c r="F648" s="4">
        <v>382</v>
      </c>
      <c r="G648" s="4">
        <v>35</v>
      </c>
      <c r="H648" s="4">
        <v>1</v>
      </c>
      <c r="I648" s="4">
        <v>16</v>
      </c>
      <c r="J648" s="4">
        <v>3</v>
      </c>
      <c r="K648" s="4">
        <f t="shared" si="207"/>
        <v>0</v>
      </c>
      <c r="L648" s="4">
        <f t="shared" si="207"/>
        <v>0</v>
      </c>
      <c r="M648" s="4">
        <f t="shared" si="207"/>
        <v>0</v>
      </c>
      <c r="N648" s="4">
        <f t="shared" si="207"/>
        <v>0</v>
      </c>
      <c r="O648" s="4">
        <f t="shared" si="208"/>
        <v>0</v>
      </c>
      <c r="P648" s="4">
        <f t="shared" si="209"/>
        <v>0</v>
      </c>
      <c r="Q648" s="4">
        <f t="shared" si="210"/>
        <v>0</v>
      </c>
      <c r="R648" s="4">
        <f t="shared" si="211"/>
        <v>0</v>
      </c>
      <c r="S648" s="4">
        <f>IF(AND(VLOOKUP(G648,Dados!$D:$L,2,0)=VLOOKUP(I648,Dados!$S:$V,2,0),VLOOKUP(G648,Dados!$D:$L,3,0)=VLOOKUP(I648,Dados!$S:$V,3,0)),0,1)</f>
        <v>0</v>
      </c>
      <c r="T648" s="4">
        <f>IF(AND(VLOOKUP(G648,Dados!$D:$L,3,0)&lt;=VLOOKUP(H648,Dados!$X:$AB,2,0),VLOOKUP(G648,Dados!$D:$L,4,0)&gt;=VLOOKUP(H648,Dados!$X:$AB,3,0),VLOOKUP(G648,Dados!$D:$L,4,0)&lt;=VLOOKUP(H648,Dados!$X:$AB,4,0)),0,1)</f>
        <v>0</v>
      </c>
      <c r="U648" s="4">
        <f>IF(COUNTIFS(F:F,F648,H:H,H648)&lt;=VLOOKUP(H648,Dados!$X:$AB,5,0),0,1)</f>
        <v>0</v>
      </c>
    </row>
    <row r="649" spans="6:21">
      <c r="F649" s="4">
        <v>382</v>
      </c>
      <c r="G649" s="4">
        <v>37</v>
      </c>
      <c r="H649" s="4">
        <v>1</v>
      </c>
      <c r="I649" s="4">
        <v>16</v>
      </c>
      <c r="J649" s="4">
        <v>2</v>
      </c>
      <c r="K649" s="4">
        <f t="shared" si="207"/>
        <v>0</v>
      </c>
      <c r="L649" s="4">
        <f t="shared" si="207"/>
        <v>0</v>
      </c>
      <c r="M649" s="4">
        <f t="shared" si="207"/>
        <v>0</v>
      </c>
      <c r="N649" s="4">
        <f t="shared" si="207"/>
        <v>0</v>
      </c>
      <c r="O649" s="4">
        <f t="shared" si="208"/>
        <v>0</v>
      </c>
      <c r="P649" s="4">
        <f t="shared" si="209"/>
        <v>0</v>
      </c>
      <c r="Q649" s="4">
        <f t="shared" si="210"/>
        <v>0</v>
      </c>
      <c r="R649" s="4">
        <f t="shared" si="211"/>
        <v>0</v>
      </c>
      <c r="S649" s="4">
        <f>IF(AND(VLOOKUP(G649,Dados!$D:$L,2,0)=VLOOKUP(I649,Dados!$S:$V,2,0),VLOOKUP(G649,Dados!$D:$L,3,0)=VLOOKUP(I649,Dados!$S:$V,3,0)),0,1)</f>
        <v>0</v>
      </c>
      <c r="T649" s="4">
        <f>IF(AND(VLOOKUP(G649,Dados!$D:$L,3,0)&lt;=VLOOKUP(H649,Dados!$X:$AB,2,0),VLOOKUP(G649,Dados!$D:$L,4,0)&gt;=VLOOKUP(H649,Dados!$X:$AB,3,0),VLOOKUP(G649,Dados!$D:$L,4,0)&lt;=VLOOKUP(H649,Dados!$X:$AB,4,0)),0,1)</f>
        <v>0</v>
      </c>
      <c r="U649" s="4">
        <f>IF(COUNTIFS(F:F,F649,H:H,H649)&lt;=VLOOKUP(H649,Dados!$X:$AB,5,0),0,1)</f>
        <v>0</v>
      </c>
    </row>
    <row r="650" spans="6:21">
      <c r="F650" s="4">
        <v>383</v>
      </c>
      <c r="G650" s="4">
        <v>32</v>
      </c>
      <c r="H650" s="4">
        <v>2</v>
      </c>
      <c r="I650" s="4">
        <v>16</v>
      </c>
      <c r="J650" s="4">
        <v>1</v>
      </c>
      <c r="K650" s="4">
        <f t="shared" si="207"/>
        <v>0</v>
      </c>
      <c r="L650" s="4">
        <f t="shared" si="207"/>
        <v>0</v>
      </c>
      <c r="M650" s="4">
        <f t="shared" si="207"/>
        <v>0</v>
      </c>
      <c r="N650" s="4">
        <f t="shared" si="207"/>
        <v>0</v>
      </c>
      <c r="O650" s="4">
        <f t="shared" si="208"/>
        <v>0</v>
      </c>
      <c r="P650" s="4">
        <f t="shared" si="209"/>
        <v>0</v>
      </c>
      <c r="Q650" s="4">
        <f t="shared" si="210"/>
        <v>0</v>
      </c>
      <c r="R650" s="4">
        <f t="shared" si="211"/>
        <v>0</v>
      </c>
      <c r="S650" s="4">
        <f>IF(AND(VLOOKUP(G650,Dados!$D:$L,2,0)=VLOOKUP(I650,Dados!$S:$V,2,0),VLOOKUP(G650,Dados!$D:$L,3,0)=VLOOKUP(I650,Dados!$S:$V,3,0)),0,1)</f>
        <v>0</v>
      </c>
      <c r="T650" s="4">
        <f>IF(AND(VLOOKUP(G650,Dados!$D:$L,3,0)&lt;=VLOOKUP(H650,Dados!$X:$AB,2,0),VLOOKUP(G650,Dados!$D:$L,4,0)&gt;=VLOOKUP(H650,Dados!$X:$AB,3,0),VLOOKUP(G650,Dados!$D:$L,4,0)&lt;=VLOOKUP(H650,Dados!$X:$AB,4,0)),0,1)</f>
        <v>0</v>
      </c>
      <c r="U650" s="4">
        <f>IF(COUNTIFS(F:F,F650,H:H,H650)&lt;=VLOOKUP(H650,Dados!$X:$AB,5,0),0,1)</f>
        <v>0</v>
      </c>
    </row>
    <row r="651" spans="6:21">
      <c r="F651" s="4">
        <v>383</v>
      </c>
      <c r="G651" s="4">
        <v>35</v>
      </c>
      <c r="H651" s="4">
        <v>2</v>
      </c>
      <c r="I651" s="4">
        <v>16</v>
      </c>
      <c r="J651" s="4">
        <v>3</v>
      </c>
      <c r="K651" s="4">
        <f t="shared" si="207"/>
        <v>0</v>
      </c>
      <c r="L651" s="4">
        <f t="shared" si="207"/>
        <v>0</v>
      </c>
      <c r="M651" s="4">
        <f t="shared" si="207"/>
        <v>0</v>
      </c>
      <c r="N651" s="4">
        <f t="shared" si="207"/>
        <v>0</v>
      </c>
      <c r="O651" s="4">
        <f t="shared" si="208"/>
        <v>0</v>
      </c>
      <c r="P651" s="4">
        <f t="shared" si="209"/>
        <v>0</v>
      </c>
      <c r="Q651" s="4">
        <f t="shared" si="210"/>
        <v>0</v>
      </c>
      <c r="R651" s="4">
        <f t="shared" si="211"/>
        <v>0</v>
      </c>
      <c r="S651" s="4">
        <f>IF(AND(VLOOKUP(G651,Dados!$D:$L,2,0)=VLOOKUP(I651,Dados!$S:$V,2,0),VLOOKUP(G651,Dados!$D:$L,3,0)=VLOOKUP(I651,Dados!$S:$V,3,0)),0,1)</f>
        <v>0</v>
      </c>
      <c r="T651" s="4">
        <f>IF(AND(VLOOKUP(G651,Dados!$D:$L,3,0)&lt;=VLOOKUP(H651,Dados!$X:$AB,2,0),VLOOKUP(G651,Dados!$D:$L,4,0)&gt;=VLOOKUP(H651,Dados!$X:$AB,3,0),VLOOKUP(G651,Dados!$D:$L,4,0)&lt;=VLOOKUP(H651,Dados!$X:$AB,4,0)),0,1)</f>
        <v>0</v>
      </c>
      <c r="U651" s="4">
        <f>IF(COUNTIFS(F:F,F651,H:H,H651)&lt;=VLOOKUP(H651,Dados!$X:$AB,5,0),0,1)</f>
        <v>0</v>
      </c>
    </row>
    <row r="652" spans="6:21">
      <c r="F652" s="4">
        <v>383</v>
      </c>
      <c r="G652" s="4">
        <v>37</v>
      </c>
      <c r="H652" s="4">
        <v>2</v>
      </c>
      <c r="I652" s="4">
        <v>16</v>
      </c>
      <c r="J652" s="4">
        <v>2</v>
      </c>
      <c r="K652" s="4">
        <f t="shared" si="207"/>
        <v>0</v>
      </c>
      <c r="L652" s="4">
        <f t="shared" si="207"/>
        <v>0</v>
      </c>
      <c r="M652" s="4">
        <f t="shared" si="207"/>
        <v>0</v>
      </c>
      <c r="N652" s="4">
        <f t="shared" si="207"/>
        <v>0</v>
      </c>
      <c r="O652" s="4">
        <f t="shared" si="208"/>
        <v>0</v>
      </c>
      <c r="P652" s="4">
        <f t="shared" si="209"/>
        <v>0</v>
      </c>
      <c r="Q652" s="4">
        <f t="shared" si="210"/>
        <v>0</v>
      </c>
      <c r="R652" s="4">
        <f t="shared" si="211"/>
        <v>0</v>
      </c>
      <c r="S652" s="4">
        <f>IF(AND(VLOOKUP(G652,Dados!$D:$L,2,0)=VLOOKUP(I652,Dados!$S:$V,2,0),VLOOKUP(G652,Dados!$D:$L,3,0)=VLOOKUP(I652,Dados!$S:$V,3,0)),0,1)</f>
        <v>0</v>
      </c>
      <c r="T652" s="4">
        <f>IF(AND(VLOOKUP(G652,Dados!$D:$L,3,0)&lt;=VLOOKUP(H652,Dados!$X:$AB,2,0),VLOOKUP(G652,Dados!$D:$L,4,0)&gt;=VLOOKUP(H652,Dados!$X:$AB,3,0),VLOOKUP(G652,Dados!$D:$L,4,0)&lt;=VLOOKUP(H652,Dados!$X:$AB,4,0)),0,1)</f>
        <v>0</v>
      </c>
      <c r="U652" s="4">
        <f>IF(COUNTIFS(F:F,F652,H:H,H652)&lt;=VLOOKUP(H652,Dados!$X:$AB,5,0),0,1)</f>
        <v>0</v>
      </c>
    </row>
    <row r="653" spans="6:21">
      <c r="F653" s="4">
        <v>384</v>
      </c>
      <c r="G653" s="4">
        <v>32</v>
      </c>
      <c r="H653" s="4">
        <v>3</v>
      </c>
      <c r="I653" s="4">
        <v>16</v>
      </c>
      <c r="J653" s="4">
        <v>1</v>
      </c>
      <c r="K653" s="4">
        <f t="shared" si="207"/>
        <v>0</v>
      </c>
      <c r="L653" s="4">
        <f t="shared" si="207"/>
        <v>0</v>
      </c>
      <c r="M653" s="4">
        <f t="shared" si="207"/>
        <v>0</v>
      </c>
      <c r="N653" s="4">
        <f t="shared" si="207"/>
        <v>0</v>
      </c>
      <c r="O653" s="4">
        <f t="shared" si="208"/>
        <v>0</v>
      </c>
      <c r="P653" s="4">
        <f t="shared" si="209"/>
        <v>0</v>
      </c>
      <c r="Q653" s="4">
        <f t="shared" si="210"/>
        <v>0</v>
      </c>
      <c r="R653" s="4">
        <f t="shared" si="211"/>
        <v>0</v>
      </c>
      <c r="S653" s="4">
        <f>IF(AND(VLOOKUP(G653,Dados!$D:$L,2,0)=VLOOKUP(I653,Dados!$S:$V,2,0),VLOOKUP(G653,Dados!$D:$L,3,0)=VLOOKUP(I653,Dados!$S:$V,3,0)),0,1)</f>
        <v>0</v>
      </c>
      <c r="T653" s="4">
        <f>IF(AND(VLOOKUP(G653,Dados!$D:$L,3,0)&lt;=VLOOKUP(H653,Dados!$X:$AB,2,0),VLOOKUP(G653,Dados!$D:$L,4,0)&gt;=VLOOKUP(H653,Dados!$X:$AB,3,0),VLOOKUP(G653,Dados!$D:$L,4,0)&lt;=VLOOKUP(H653,Dados!$X:$AB,4,0)),0,1)</f>
        <v>0</v>
      </c>
      <c r="U653" s="4">
        <f>IF(COUNTIFS(F:F,F653,H:H,H653)&lt;=VLOOKUP(H653,Dados!$X:$AB,5,0),0,1)</f>
        <v>0</v>
      </c>
    </row>
    <row r="654" spans="6:21">
      <c r="F654" s="4">
        <v>384</v>
      </c>
      <c r="G654" s="4">
        <v>35</v>
      </c>
      <c r="H654" s="4">
        <v>3</v>
      </c>
      <c r="I654" s="4">
        <v>16</v>
      </c>
      <c r="J654" s="4">
        <v>3</v>
      </c>
      <c r="K654" s="4">
        <f t="shared" si="207"/>
        <v>0</v>
      </c>
      <c r="L654" s="4">
        <f t="shared" si="207"/>
        <v>0</v>
      </c>
      <c r="M654" s="4">
        <f t="shared" si="207"/>
        <v>0</v>
      </c>
      <c r="N654" s="4">
        <f t="shared" si="207"/>
        <v>0</v>
      </c>
      <c r="O654" s="4">
        <f t="shared" si="208"/>
        <v>0</v>
      </c>
      <c r="P654" s="4">
        <f t="shared" si="209"/>
        <v>0</v>
      </c>
      <c r="Q654" s="4">
        <f t="shared" si="210"/>
        <v>0</v>
      </c>
      <c r="R654" s="4">
        <f t="shared" si="211"/>
        <v>0</v>
      </c>
      <c r="S654" s="4">
        <f>IF(AND(VLOOKUP(G654,Dados!$D:$L,2,0)=VLOOKUP(I654,Dados!$S:$V,2,0),VLOOKUP(G654,Dados!$D:$L,3,0)=VLOOKUP(I654,Dados!$S:$V,3,0)),0,1)</f>
        <v>0</v>
      </c>
      <c r="T654" s="4">
        <f>IF(AND(VLOOKUP(G654,Dados!$D:$L,3,0)&lt;=VLOOKUP(H654,Dados!$X:$AB,2,0),VLOOKUP(G654,Dados!$D:$L,4,0)&gt;=VLOOKUP(H654,Dados!$X:$AB,3,0),VLOOKUP(G654,Dados!$D:$L,4,0)&lt;=VLOOKUP(H654,Dados!$X:$AB,4,0)),0,1)</f>
        <v>0</v>
      </c>
      <c r="U654" s="4">
        <f>IF(COUNTIFS(F:F,F654,H:H,H654)&lt;=VLOOKUP(H654,Dados!$X:$AB,5,0),0,1)</f>
        <v>0</v>
      </c>
    </row>
    <row r="655" spans="6:21">
      <c r="F655" s="4">
        <v>384</v>
      </c>
      <c r="G655" s="4">
        <v>37</v>
      </c>
      <c r="H655" s="4">
        <v>3</v>
      </c>
      <c r="I655" s="4">
        <v>16</v>
      </c>
      <c r="J655" s="4">
        <v>2</v>
      </c>
      <c r="K655" s="4">
        <f t="shared" si="207"/>
        <v>0</v>
      </c>
      <c r="L655" s="4">
        <f t="shared" si="207"/>
        <v>0</v>
      </c>
      <c r="M655" s="4">
        <f t="shared" si="207"/>
        <v>0</v>
      </c>
      <c r="N655" s="4">
        <f t="shared" si="207"/>
        <v>0</v>
      </c>
      <c r="O655" s="4">
        <f t="shared" si="208"/>
        <v>0</v>
      </c>
      <c r="P655" s="4">
        <f t="shared" si="209"/>
        <v>0</v>
      </c>
      <c r="Q655" s="4">
        <f t="shared" si="210"/>
        <v>0</v>
      </c>
      <c r="R655" s="4">
        <f t="shared" si="211"/>
        <v>0</v>
      </c>
      <c r="S655" s="4">
        <f>IF(AND(VLOOKUP(G655,Dados!$D:$L,2,0)=VLOOKUP(I655,Dados!$S:$V,2,0),VLOOKUP(G655,Dados!$D:$L,3,0)=VLOOKUP(I655,Dados!$S:$V,3,0)),0,1)</f>
        <v>0</v>
      </c>
      <c r="T655" s="4">
        <f>IF(AND(VLOOKUP(G655,Dados!$D:$L,3,0)&lt;=VLOOKUP(H655,Dados!$X:$AB,2,0),VLOOKUP(G655,Dados!$D:$L,4,0)&gt;=VLOOKUP(H655,Dados!$X:$AB,3,0),VLOOKUP(G655,Dados!$D:$L,4,0)&lt;=VLOOKUP(H655,Dados!$X:$AB,4,0)),0,1)</f>
        <v>0</v>
      </c>
      <c r="U655" s="4">
        <f>IF(COUNTIFS(F:F,F655,H:H,H655)&lt;=VLOOKUP(H655,Dados!$X:$AB,5,0),0,1)</f>
        <v>0</v>
      </c>
    </row>
    <row r="656" spans="6:21">
      <c r="F656" s="4">
        <v>385</v>
      </c>
      <c r="G656" s="4">
        <v>43</v>
      </c>
      <c r="H656" s="4">
        <v>1</v>
      </c>
      <c r="I656" s="4">
        <v>17</v>
      </c>
      <c r="J656" s="4">
        <v>3</v>
      </c>
      <c r="K656" s="4">
        <f t="shared" si="207"/>
        <v>0</v>
      </c>
      <c r="L656" s="4">
        <f t="shared" si="207"/>
        <v>0</v>
      </c>
      <c r="M656" s="4">
        <f t="shared" si="207"/>
        <v>0</v>
      </c>
      <c r="N656" s="4">
        <f t="shared" si="207"/>
        <v>0</v>
      </c>
      <c r="O656" s="4">
        <f t="shared" si="208"/>
        <v>0</v>
      </c>
      <c r="P656" s="4">
        <f t="shared" si="209"/>
        <v>0</v>
      </c>
      <c r="Q656" s="4">
        <f t="shared" si="210"/>
        <v>0</v>
      </c>
      <c r="R656" s="4">
        <f t="shared" si="211"/>
        <v>0</v>
      </c>
      <c r="S656" s="4">
        <f>IF(AND(VLOOKUP(G656,Dados!$D:$L,2,0)=VLOOKUP(I656,Dados!$S:$V,2,0),VLOOKUP(G656,Dados!$D:$L,3,0)=VLOOKUP(I656,Dados!$S:$V,3,0)),0,1)</f>
        <v>0</v>
      </c>
      <c r="T656" s="4">
        <f>IF(AND(VLOOKUP(G656,Dados!$D:$L,3,0)&lt;=VLOOKUP(H656,Dados!$X:$AB,2,0),VLOOKUP(G656,Dados!$D:$L,4,0)&gt;=VLOOKUP(H656,Dados!$X:$AB,3,0),VLOOKUP(G656,Dados!$D:$L,4,0)&lt;=VLOOKUP(H656,Dados!$X:$AB,4,0)),0,1)</f>
        <v>0</v>
      </c>
      <c r="U656" s="4">
        <f>IF(COUNTIFS(F:F,F656,H:H,H656)&lt;=VLOOKUP(H656,Dados!$X:$AB,5,0),0,1)</f>
        <v>0</v>
      </c>
    </row>
    <row r="657" spans="6:21">
      <c r="F657" s="4">
        <v>385</v>
      </c>
      <c r="G657" s="4">
        <v>44</v>
      </c>
      <c r="H657" s="4">
        <v>1</v>
      </c>
      <c r="I657" s="4">
        <v>17</v>
      </c>
      <c r="J657" s="4">
        <v>7</v>
      </c>
      <c r="K657" s="4">
        <f t="shared" si="207"/>
        <v>0</v>
      </c>
      <c r="L657" s="4">
        <f t="shared" si="207"/>
        <v>0</v>
      </c>
      <c r="M657" s="4">
        <f t="shared" si="207"/>
        <v>0</v>
      </c>
      <c r="N657" s="4">
        <f t="shared" si="207"/>
        <v>0</v>
      </c>
      <c r="O657" s="4">
        <f t="shared" si="208"/>
        <v>0</v>
      </c>
      <c r="P657" s="4">
        <f t="shared" si="209"/>
        <v>0</v>
      </c>
      <c r="Q657" s="4">
        <f t="shared" si="210"/>
        <v>0</v>
      </c>
      <c r="R657" s="4">
        <f t="shared" si="211"/>
        <v>0</v>
      </c>
      <c r="S657" s="4">
        <f>IF(AND(VLOOKUP(G657,Dados!$D:$L,2,0)=VLOOKUP(I657,Dados!$S:$V,2,0),VLOOKUP(G657,Dados!$D:$L,3,0)=VLOOKUP(I657,Dados!$S:$V,3,0)),0,1)</f>
        <v>0</v>
      </c>
      <c r="T657" s="4">
        <f>IF(AND(VLOOKUP(G657,Dados!$D:$L,3,0)&lt;=VLOOKUP(H657,Dados!$X:$AB,2,0),VLOOKUP(G657,Dados!$D:$L,4,0)&gt;=VLOOKUP(H657,Dados!$X:$AB,3,0),VLOOKUP(G657,Dados!$D:$L,4,0)&lt;=VLOOKUP(H657,Dados!$X:$AB,4,0)),0,1)</f>
        <v>0</v>
      </c>
      <c r="U657" s="4">
        <f>IF(COUNTIFS(F:F,F657,H:H,H657)&lt;=VLOOKUP(H657,Dados!$X:$AB,5,0),0,1)</f>
        <v>0</v>
      </c>
    </row>
    <row r="658" spans="6:21">
      <c r="F658" s="4">
        <v>386</v>
      </c>
      <c r="G658" s="4">
        <v>43</v>
      </c>
      <c r="H658" s="4">
        <v>2</v>
      </c>
      <c r="I658" s="4">
        <v>17</v>
      </c>
      <c r="J658" s="4">
        <v>3</v>
      </c>
      <c r="K658" s="4">
        <f t="shared" si="207"/>
        <v>0</v>
      </c>
      <c r="L658" s="4">
        <f t="shared" si="207"/>
        <v>0</v>
      </c>
      <c r="M658" s="4">
        <f t="shared" si="207"/>
        <v>0</v>
      </c>
      <c r="N658" s="4">
        <f t="shared" si="207"/>
        <v>0</v>
      </c>
      <c r="O658" s="4">
        <f t="shared" si="208"/>
        <v>0</v>
      </c>
      <c r="P658" s="4">
        <f t="shared" si="209"/>
        <v>0</v>
      </c>
      <c r="Q658" s="4">
        <f t="shared" si="210"/>
        <v>0</v>
      </c>
      <c r="R658" s="4">
        <f t="shared" si="211"/>
        <v>0</v>
      </c>
      <c r="S658" s="4">
        <f>IF(AND(VLOOKUP(G658,Dados!$D:$L,2,0)=VLOOKUP(I658,Dados!$S:$V,2,0),VLOOKUP(G658,Dados!$D:$L,3,0)=VLOOKUP(I658,Dados!$S:$V,3,0)),0,1)</f>
        <v>0</v>
      </c>
      <c r="T658" s="4">
        <f>IF(AND(VLOOKUP(G658,Dados!$D:$L,3,0)&lt;=VLOOKUP(H658,Dados!$X:$AB,2,0),VLOOKUP(G658,Dados!$D:$L,4,0)&gt;=VLOOKUP(H658,Dados!$X:$AB,3,0),VLOOKUP(G658,Dados!$D:$L,4,0)&lt;=VLOOKUP(H658,Dados!$X:$AB,4,0)),0,1)</f>
        <v>0</v>
      </c>
      <c r="U658" s="4">
        <f>IF(COUNTIFS(F:F,F658,H:H,H658)&lt;=VLOOKUP(H658,Dados!$X:$AB,5,0),0,1)</f>
        <v>0</v>
      </c>
    </row>
    <row r="659" spans="6:21">
      <c r="F659" s="4">
        <v>386</v>
      </c>
      <c r="G659" s="4">
        <v>44</v>
      </c>
      <c r="H659" s="4">
        <v>2</v>
      </c>
      <c r="I659" s="4">
        <v>17</v>
      </c>
      <c r="J659" s="4">
        <v>7</v>
      </c>
      <c r="K659" s="4">
        <f t="shared" si="207"/>
        <v>0</v>
      </c>
      <c r="L659" s="4">
        <f t="shared" si="207"/>
        <v>0</v>
      </c>
      <c r="M659" s="4">
        <f t="shared" si="207"/>
        <v>0</v>
      </c>
      <c r="N659" s="4">
        <f t="shared" si="207"/>
        <v>0</v>
      </c>
      <c r="O659" s="4">
        <f t="shared" si="208"/>
        <v>0</v>
      </c>
      <c r="P659" s="4">
        <f t="shared" si="209"/>
        <v>0</v>
      </c>
      <c r="Q659" s="4">
        <f t="shared" si="210"/>
        <v>0</v>
      </c>
      <c r="R659" s="4">
        <f t="shared" si="211"/>
        <v>0</v>
      </c>
      <c r="S659" s="4">
        <f>IF(AND(VLOOKUP(G659,Dados!$D:$L,2,0)=VLOOKUP(I659,Dados!$S:$V,2,0),VLOOKUP(G659,Dados!$D:$L,3,0)=VLOOKUP(I659,Dados!$S:$V,3,0)),0,1)</f>
        <v>0</v>
      </c>
      <c r="T659" s="4">
        <f>IF(AND(VLOOKUP(G659,Dados!$D:$L,3,0)&lt;=VLOOKUP(H659,Dados!$X:$AB,2,0),VLOOKUP(G659,Dados!$D:$L,4,0)&gt;=VLOOKUP(H659,Dados!$X:$AB,3,0),VLOOKUP(G659,Dados!$D:$L,4,0)&lt;=VLOOKUP(H659,Dados!$X:$AB,4,0)),0,1)</f>
        <v>0</v>
      </c>
      <c r="U659" s="4">
        <f>IF(COUNTIFS(F:F,F659,H:H,H659)&lt;=VLOOKUP(H659,Dados!$X:$AB,5,0),0,1)</f>
        <v>0</v>
      </c>
    </row>
    <row r="660" spans="6:21">
      <c r="F660" s="4">
        <v>387</v>
      </c>
      <c r="G660" s="4">
        <v>43</v>
      </c>
      <c r="H660" s="4">
        <v>3</v>
      </c>
      <c r="I660" s="4">
        <v>17</v>
      </c>
      <c r="J660" s="4">
        <v>3</v>
      </c>
      <c r="K660" s="4">
        <f t="shared" si="207"/>
        <v>0</v>
      </c>
      <c r="L660" s="4">
        <f t="shared" si="207"/>
        <v>0</v>
      </c>
      <c r="M660" s="4">
        <f t="shared" si="207"/>
        <v>0</v>
      </c>
      <c r="N660" s="4">
        <f t="shared" si="207"/>
        <v>0</v>
      </c>
      <c r="O660" s="4">
        <f t="shared" si="208"/>
        <v>0</v>
      </c>
      <c r="P660" s="4">
        <f t="shared" si="209"/>
        <v>0</v>
      </c>
      <c r="Q660" s="4">
        <f t="shared" si="210"/>
        <v>0</v>
      </c>
      <c r="R660" s="4">
        <f t="shared" si="211"/>
        <v>0</v>
      </c>
      <c r="S660" s="4">
        <f>IF(AND(VLOOKUP(G660,Dados!$D:$L,2,0)=VLOOKUP(I660,Dados!$S:$V,2,0),VLOOKUP(G660,Dados!$D:$L,3,0)=VLOOKUP(I660,Dados!$S:$V,3,0)),0,1)</f>
        <v>0</v>
      </c>
      <c r="T660" s="4">
        <f>IF(AND(VLOOKUP(G660,Dados!$D:$L,3,0)&lt;=VLOOKUP(H660,Dados!$X:$AB,2,0),VLOOKUP(G660,Dados!$D:$L,4,0)&gt;=VLOOKUP(H660,Dados!$X:$AB,3,0),VLOOKUP(G660,Dados!$D:$L,4,0)&lt;=VLOOKUP(H660,Dados!$X:$AB,4,0)),0,1)</f>
        <v>0</v>
      </c>
      <c r="U660" s="4">
        <f>IF(COUNTIFS(F:F,F660,H:H,H660)&lt;=VLOOKUP(H660,Dados!$X:$AB,5,0),0,1)</f>
        <v>0</v>
      </c>
    </row>
    <row r="661" spans="6:21">
      <c r="F661" s="4">
        <v>387</v>
      </c>
      <c r="G661" s="4">
        <v>44</v>
      </c>
      <c r="H661" s="4">
        <v>3</v>
      </c>
      <c r="I661" s="4">
        <v>17</v>
      </c>
      <c r="J661" s="4">
        <v>7</v>
      </c>
      <c r="K661" s="4">
        <f t="shared" si="207"/>
        <v>0</v>
      </c>
      <c r="L661" s="4">
        <f t="shared" si="207"/>
        <v>0</v>
      </c>
      <c r="M661" s="4">
        <f t="shared" si="207"/>
        <v>0</v>
      </c>
      <c r="N661" s="4">
        <f t="shared" si="207"/>
        <v>0</v>
      </c>
      <c r="O661" s="4">
        <f t="shared" si="208"/>
        <v>0</v>
      </c>
      <c r="P661" s="4">
        <f t="shared" si="209"/>
        <v>0</v>
      </c>
      <c r="Q661" s="4">
        <f t="shared" si="210"/>
        <v>0</v>
      </c>
      <c r="R661" s="4">
        <f t="shared" si="211"/>
        <v>0</v>
      </c>
      <c r="S661" s="4">
        <f>IF(AND(VLOOKUP(G661,Dados!$D:$L,2,0)=VLOOKUP(I661,Dados!$S:$V,2,0),VLOOKUP(G661,Dados!$D:$L,3,0)=VLOOKUP(I661,Dados!$S:$V,3,0)),0,1)</f>
        <v>0</v>
      </c>
      <c r="T661" s="4">
        <f>IF(AND(VLOOKUP(G661,Dados!$D:$L,3,0)&lt;=VLOOKUP(H661,Dados!$X:$AB,2,0),VLOOKUP(G661,Dados!$D:$L,4,0)&gt;=VLOOKUP(H661,Dados!$X:$AB,3,0),VLOOKUP(G661,Dados!$D:$L,4,0)&lt;=VLOOKUP(H661,Dados!$X:$AB,4,0)),0,1)</f>
        <v>0</v>
      </c>
      <c r="U661" s="4">
        <f>IF(COUNTIFS(F:F,F661,H:H,H661)&lt;=VLOOKUP(H661,Dados!$X:$AB,5,0),0,1)</f>
        <v>0</v>
      </c>
    </row>
    <row r="662" spans="6:21">
      <c r="F662" s="4">
        <v>388</v>
      </c>
      <c r="G662" s="4">
        <v>50</v>
      </c>
      <c r="H662" s="4">
        <v>1</v>
      </c>
      <c r="I662" s="4">
        <v>18</v>
      </c>
      <c r="J662" s="4">
        <v>1</v>
      </c>
      <c r="K662" s="4">
        <f t="shared" si="207"/>
        <v>0</v>
      </c>
      <c r="L662" s="4">
        <f t="shared" si="207"/>
        <v>0</v>
      </c>
      <c r="M662" s="4">
        <f t="shared" si="207"/>
        <v>0</v>
      </c>
      <c r="N662" s="4">
        <f t="shared" si="207"/>
        <v>0</v>
      </c>
      <c r="O662" s="4">
        <f t="shared" si="208"/>
        <v>0</v>
      </c>
      <c r="P662" s="4">
        <f t="shared" si="209"/>
        <v>0</v>
      </c>
      <c r="Q662" s="4">
        <f t="shared" si="210"/>
        <v>0</v>
      </c>
      <c r="R662" s="4">
        <f t="shared" si="211"/>
        <v>0</v>
      </c>
      <c r="S662" s="4">
        <f>IF(AND(VLOOKUP(G662,Dados!$D:$L,2,0)=VLOOKUP(I662,Dados!$S:$V,2,0),VLOOKUP(G662,Dados!$D:$L,3,0)=VLOOKUP(I662,Dados!$S:$V,3,0)),0,1)</f>
        <v>0</v>
      </c>
      <c r="T662" s="4">
        <f>IF(AND(VLOOKUP(G662,Dados!$D:$L,3,0)&lt;=VLOOKUP(H662,Dados!$X:$AB,2,0),VLOOKUP(G662,Dados!$D:$L,4,0)&gt;=VLOOKUP(H662,Dados!$X:$AB,3,0),VLOOKUP(G662,Dados!$D:$L,4,0)&lt;=VLOOKUP(H662,Dados!$X:$AB,4,0)),0,1)</f>
        <v>0</v>
      </c>
      <c r="U662" s="4">
        <f>IF(COUNTIFS(F:F,F662,H:H,H662)&lt;=VLOOKUP(H662,Dados!$X:$AB,5,0),0,1)</f>
        <v>0</v>
      </c>
    </row>
    <row r="663" spans="6:21">
      <c r="F663" s="4">
        <v>388</v>
      </c>
      <c r="G663" s="4">
        <v>51</v>
      </c>
      <c r="H663" s="4">
        <v>1</v>
      </c>
      <c r="I663" s="4">
        <v>18</v>
      </c>
      <c r="J663" s="4">
        <v>3</v>
      </c>
      <c r="K663" s="4">
        <f t="shared" si="207"/>
        <v>0</v>
      </c>
      <c r="L663" s="4">
        <f t="shared" si="207"/>
        <v>0</v>
      </c>
      <c r="M663" s="4">
        <f t="shared" si="207"/>
        <v>0</v>
      </c>
      <c r="N663" s="4">
        <f t="shared" si="207"/>
        <v>0</v>
      </c>
      <c r="O663" s="4">
        <f t="shared" si="208"/>
        <v>0</v>
      </c>
      <c r="P663" s="4">
        <f t="shared" si="209"/>
        <v>0</v>
      </c>
      <c r="Q663" s="4">
        <f t="shared" si="210"/>
        <v>0</v>
      </c>
      <c r="R663" s="4">
        <f t="shared" si="211"/>
        <v>0</v>
      </c>
      <c r="S663" s="4">
        <f>IF(AND(VLOOKUP(G663,Dados!$D:$L,2,0)=VLOOKUP(I663,Dados!$S:$V,2,0),VLOOKUP(G663,Dados!$D:$L,3,0)=VLOOKUP(I663,Dados!$S:$V,3,0)),0,1)</f>
        <v>0</v>
      </c>
      <c r="T663" s="4">
        <f>IF(AND(VLOOKUP(G663,Dados!$D:$L,3,0)&lt;=VLOOKUP(H663,Dados!$X:$AB,2,0),VLOOKUP(G663,Dados!$D:$L,4,0)&gt;=VLOOKUP(H663,Dados!$X:$AB,3,0),VLOOKUP(G663,Dados!$D:$L,4,0)&lt;=VLOOKUP(H663,Dados!$X:$AB,4,0)),0,1)</f>
        <v>0</v>
      </c>
      <c r="U663" s="4">
        <f>IF(COUNTIFS(F:F,F663,H:H,H663)&lt;=VLOOKUP(H663,Dados!$X:$AB,5,0),0,1)</f>
        <v>0</v>
      </c>
    </row>
    <row r="664" spans="6:21">
      <c r="F664" s="4">
        <v>388</v>
      </c>
      <c r="G664" s="4">
        <v>52</v>
      </c>
      <c r="H664" s="4">
        <v>1</v>
      </c>
      <c r="I664" s="4">
        <v>18</v>
      </c>
      <c r="J664" s="4">
        <v>4</v>
      </c>
      <c r="K664" s="4">
        <f t="shared" si="207"/>
        <v>0</v>
      </c>
      <c r="L664" s="4">
        <f t="shared" si="207"/>
        <v>0</v>
      </c>
      <c r="M664" s="4">
        <f t="shared" si="207"/>
        <v>0</v>
      </c>
      <c r="N664" s="4">
        <f t="shared" si="207"/>
        <v>0</v>
      </c>
      <c r="O664" s="4">
        <f t="shared" si="208"/>
        <v>0</v>
      </c>
      <c r="P664" s="4">
        <f t="shared" si="209"/>
        <v>0</v>
      </c>
      <c r="Q664" s="4">
        <f t="shared" si="210"/>
        <v>0</v>
      </c>
      <c r="R664" s="4">
        <f t="shared" si="211"/>
        <v>0</v>
      </c>
      <c r="S664" s="4">
        <f>IF(AND(VLOOKUP(G664,Dados!$D:$L,2,0)=VLOOKUP(I664,Dados!$S:$V,2,0),VLOOKUP(G664,Dados!$D:$L,3,0)=VLOOKUP(I664,Dados!$S:$V,3,0)),0,1)</f>
        <v>0</v>
      </c>
      <c r="T664" s="4">
        <f>IF(AND(VLOOKUP(G664,Dados!$D:$L,3,0)&lt;=VLOOKUP(H664,Dados!$X:$AB,2,0),VLOOKUP(G664,Dados!$D:$L,4,0)&gt;=VLOOKUP(H664,Dados!$X:$AB,3,0),VLOOKUP(G664,Dados!$D:$L,4,0)&lt;=VLOOKUP(H664,Dados!$X:$AB,4,0)),0,1)</f>
        <v>0</v>
      </c>
      <c r="U664" s="4">
        <f>IF(COUNTIFS(F:F,F664,H:H,H664)&lt;=VLOOKUP(H664,Dados!$X:$AB,5,0),0,1)</f>
        <v>0</v>
      </c>
    </row>
    <row r="665" spans="6:21">
      <c r="F665" s="4">
        <v>389</v>
      </c>
      <c r="G665" s="4">
        <v>50</v>
      </c>
      <c r="H665" s="4">
        <v>3</v>
      </c>
      <c r="I665" s="4">
        <v>18</v>
      </c>
      <c r="J665" s="4">
        <v>1</v>
      </c>
      <c r="K665" s="4">
        <f t="shared" si="207"/>
        <v>0</v>
      </c>
      <c r="L665" s="4">
        <f t="shared" si="207"/>
        <v>0</v>
      </c>
      <c r="M665" s="4">
        <f t="shared" si="207"/>
        <v>0</v>
      </c>
      <c r="N665" s="4">
        <f t="shared" si="207"/>
        <v>0</v>
      </c>
      <c r="O665" s="4">
        <f t="shared" si="208"/>
        <v>0</v>
      </c>
      <c r="P665" s="4">
        <f t="shared" si="209"/>
        <v>0</v>
      </c>
      <c r="Q665" s="4">
        <f t="shared" si="210"/>
        <v>0</v>
      </c>
      <c r="R665" s="4">
        <f t="shared" si="211"/>
        <v>0</v>
      </c>
      <c r="S665" s="4">
        <f>IF(AND(VLOOKUP(G665,Dados!$D:$L,2,0)=VLOOKUP(I665,Dados!$S:$V,2,0),VLOOKUP(G665,Dados!$D:$L,3,0)=VLOOKUP(I665,Dados!$S:$V,3,0)),0,1)</f>
        <v>0</v>
      </c>
      <c r="T665" s="4">
        <f>IF(AND(VLOOKUP(G665,Dados!$D:$L,3,0)&lt;=VLOOKUP(H665,Dados!$X:$AB,2,0),VLOOKUP(G665,Dados!$D:$L,4,0)&gt;=VLOOKUP(H665,Dados!$X:$AB,3,0),VLOOKUP(G665,Dados!$D:$L,4,0)&lt;=VLOOKUP(H665,Dados!$X:$AB,4,0)),0,1)</f>
        <v>0</v>
      </c>
      <c r="U665" s="4">
        <f>IF(COUNTIFS(F:F,F665,H:H,H665)&lt;=VLOOKUP(H665,Dados!$X:$AB,5,0),0,1)</f>
        <v>0</v>
      </c>
    </row>
    <row r="666" spans="6:21">
      <c r="F666" s="4">
        <v>389</v>
      </c>
      <c r="G666" s="4">
        <v>51</v>
      </c>
      <c r="H666" s="4">
        <v>3</v>
      </c>
      <c r="I666" s="4">
        <v>18</v>
      </c>
      <c r="J666" s="4">
        <v>3</v>
      </c>
      <c r="K666" s="4">
        <f t="shared" si="207"/>
        <v>0</v>
      </c>
      <c r="L666" s="4">
        <f t="shared" si="207"/>
        <v>0</v>
      </c>
      <c r="M666" s="4">
        <f t="shared" si="207"/>
        <v>0</v>
      </c>
      <c r="N666" s="4">
        <f t="shared" si="207"/>
        <v>0</v>
      </c>
      <c r="O666" s="4">
        <f t="shared" si="208"/>
        <v>0</v>
      </c>
      <c r="P666" s="4">
        <f t="shared" si="209"/>
        <v>0</v>
      </c>
      <c r="Q666" s="4">
        <f t="shared" si="210"/>
        <v>0</v>
      </c>
      <c r="R666" s="4">
        <f t="shared" si="211"/>
        <v>0</v>
      </c>
      <c r="S666" s="4">
        <f>IF(AND(VLOOKUP(G666,Dados!$D:$L,2,0)=VLOOKUP(I666,Dados!$S:$V,2,0),VLOOKUP(G666,Dados!$D:$L,3,0)=VLOOKUP(I666,Dados!$S:$V,3,0)),0,1)</f>
        <v>0</v>
      </c>
      <c r="T666" s="4">
        <f>IF(AND(VLOOKUP(G666,Dados!$D:$L,3,0)&lt;=VLOOKUP(H666,Dados!$X:$AB,2,0),VLOOKUP(G666,Dados!$D:$L,4,0)&gt;=VLOOKUP(H666,Dados!$X:$AB,3,0),VLOOKUP(G666,Dados!$D:$L,4,0)&lt;=VLOOKUP(H666,Dados!$X:$AB,4,0)),0,1)</f>
        <v>0</v>
      </c>
      <c r="U666" s="4">
        <f>IF(COUNTIFS(F:F,F666,H:H,H666)&lt;=VLOOKUP(H666,Dados!$X:$AB,5,0),0,1)</f>
        <v>0</v>
      </c>
    </row>
    <row r="667" spans="6:21">
      <c r="F667" s="4">
        <v>389</v>
      </c>
      <c r="G667" s="4">
        <v>52</v>
      </c>
      <c r="H667" s="4">
        <v>3</v>
      </c>
      <c r="I667" s="4">
        <v>18</v>
      </c>
      <c r="J667" s="4">
        <v>4</v>
      </c>
      <c r="K667" s="4">
        <f t="shared" si="207"/>
        <v>0</v>
      </c>
      <c r="L667" s="4">
        <f t="shared" si="207"/>
        <v>0</v>
      </c>
      <c r="M667" s="4">
        <f t="shared" si="207"/>
        <v>0</v>
      </c>
      <c r="N667" s="4">
        <f t="shared" si="207"/>
        <v>0</v>
      </c>
      <c r="O667" s="4">
        <f t="shared" si="208"/>
        <v>0</v>
      </c>
      <c r="P667" s="4">
        <f t="shared" si="209"/>
        <v>0</v>
      </c>
      <c r="Q667" s="4">
        <f t="shared" si="210"/>
        <v>0</v>
      </c>
      <c r="R667" s="4">
        <f t="shared" si="211"/>
        <v>0</v>
      </c>
      <c r="S667" s="4">
        <f>IF(AND(VLOOKUP(G667,Dados!$D:$L,2,0)=VLOOKUP(I667,Dados!$S:$V,2,0),VLOOKUP(G667,Dados!$D:$L,3,0)=VLOOKUP(I667,Dados!$S:$V,3,0)),0,1)</f>
        <v>0</v>
      </c>
      <c r="T667" s="4">
        <f>IF(AND(VLOOKUP(G667,Dados!$D:$L,3,0)&lt;=VLOOKUP(H667,Dados!$X:$AB,2,0),VLOOKUP(G667,Dados!$D:$L,4,0)&gt;=VLOOKUP(H667,Dados!$X:$AB,3,0),VLOOKUP(G667,Dados!$D:$L,4,0)&lt;=VLOOKUP(H667,Dados!$X:$AB,4,0)),0,1)</f>
        <v>0</v>
      </c>
      <c r="U667" s="4">
        <f>IF(COUNTIFS(F:F,F667,H:H,H667)&lt;=VLOOKUP(H667,Dados!$X:$AB,5,0),0,1)</f>
        <v>0</v>
      </c>
    </row>
    <row r="668" spans="6:21">
      <c r="F668" s="4">
        <v>390</v>
      </c>
      <c r="G668" s="4">
        <v>47</v>
      </c>
      <c r="H668" s="4">
        <v>1</v>
      </c>
      <c r="I668" s="4">
        <v>19</v>
      </c>
      <c r="J668" s="4">
        <v>1</v>
      </c>
      <c r="K668" s="4">
        <f t="shared" si="207"/>
        <v>0</v>
      </c>
      <c r="L668" s="4">
        <f t="shared" si="207"/>
        <v>0</v>
      </c>
      <c r="M668" s="4">
        <f t="shared" si="207"/>
        <v>0</v>
      </c>
      <c r="N668" s="4">
        <f t="shared" si="207"/>
        <v>0</v>
      </c>
      <c r="O668" s="4">
        <f t="shared" si="208"/>
        <v>0</v>
      </c>
      <c r="P668" s="4">
        <f t="shared" si="209"/>
        <v>0</v>
      </c>
      <c r="Q668" s="4">
        <f t="shared" si="210"/>
        <v>0</v>
      </c>
      <c r="R668" s="4">
        <f t="shared" si="211"/>
        <v>0</v>
      </c>
      <c r="S668" s="4">
        <f>IF(AND(VLOOKUP(G668,Dados!$D:$L,2,0)=VLOOKUP(I668,Dados!$S:$V,2,0),VLOOKUP(G668,Dados!$D:$L,3,0)=VLOOKUP(I668,Dados!$S:$V,3,0)),0,1)</f>
        <v>0</v>
      </c>
      <c r="T668" s="4">
        <f>IF(AND(VLOOKUP(G668,Dados!$D:$L,3,0)&lt;=VLOOKUP(H668,Dados!$X:$AB,2,0),VLOOKUP(G668,Dados!$D:$L,4,0)&gt;=VLOOKUP(H668,Dados!$X:$AB,3,0),VLOOKUP(G668,Dados!$D:$L,4,0)&lt;=VLOOKUP(H668,Dados!$X:$AB,4,0)),0,1)</f>
        <v>0</v>
      </c>
      <c r="U668" s="4">
        <f>IF(COUNTIFS(F:F,F668,H:H,H668)&lt;=VLOOKUP(H668,Dados!$X:$AB,5,0),0,1)</f>
        <v>0</v>
      </c>
    </row>
    <row r="669" spans="6:21">
      <c r="F669" s="4">
        <v>390</v>
      </c>
      <c r="G669" s="4">
        <v>51</v>
      </c>
      <c r="H669" s="4">
        <v>1</v>
      </c>
      <c r="I669" s="4">
        <v>19</v>
      </c>
      <c r="J669" s="4">
        <v>8</v>
      </c>
      <c r="K669" s="4">
        <f t="shared" si="207"/>
        <v>0</v>
      </c>
      <c r="L669" s="4">
        <f t="shared" si="207"/>
        <v>0</v>
      </c>
      <c r="M669" s="4">
        <f t="shared" si="207"/>
        <v>0</v>
      </c>
      <c r="N669" s="4">
        <f t="shared" si="207"/>
        <v>0</v>
      </c>
      <c r="O669" s="4">
        <f t="shared" si="208"/>
        <v>0</v>
      </c>
      <c r="P669" s="4">
        <f t="shared" si="209"/>
        <v>0</v>
      </c>
      <c r="Q669" s="4">
        <f t="shared" si="210"/>
        <v>0</v>
      </c>
      <c r="R669" s="4">
        <f t="shared" si="211"/>
        <v>0</v>
      </c>
      <c r="S669" s="4">
        <f>IF(AND(VLOOKUP(G669,Dados!$D:$L,2,0)=VLOOKUP(I669,Dados!$S:$V,2,0),VLOOKUP(G669,Dados!$D:$L,3,0)=VLOOKUP(I669,Dados!$S:$V,3,0)),0,1)</f>
        <v>0</v>
      </c>
      <c r="T669" s="4">
        <f>IF(AND(VLOOKUP(G669,Dados!$D:$L,3,0)&lt;=VLOOKUP(H669,Dados!$X:$AB,2,0),VLOOKUP(G669,Dados!$D:$L,4,0)&gt;=VLOOKUP(H669,Dados!$X:$AB,3,0),VLOOKUP(G669,Dados!$D:$L,4,0)&lt;=VLOOKUP(H669,Dados!$X:$AB,4,0)),0,1)</f>
        <v>0</v>
      </c>
      <c r="U669" s="4">
        <f>IF(COUNTIFS(F:F,F669,H:H,H669)&lt;=VLOOKUP(H669,Dados!$X:$AB,5,0),0,1)</f>
        <v>0</v>
      </c>
    </row>
    <row r="670" spans="6:21">
      <c r="F670" s="4">
        <v>391</v>
      </c>
      <c r="G670" s="4">
        <v>47</v>
      </c>
      <c r="H670" s="4">
        <v>3</v>
      </c>
      <c r="I670" s="4">
        <v>19</v>
      </c>
      <c r="J670" s="4">
        <v>1</v>
      </c>
      <c r="K670" s="4">
        <f t="shared" si="207"/>
        <v>0</v>
      </c>
      <c r="L670" s="4">
        <f t="shared" si="207"/>
        <v>0</v>
      </c>
      <c r="M670" s="4">
        <f t="shared" si="207"/>
        <v>0</v>
      </c>
      <c r="N670" s="4">
        <f t="shared" si="207"/>
        <v>0</v>
      </c>
      <c r="O670" s="4">
        <f t="shared" si="208"/>
        <v>0</v>
      </c>
      <c r="P670" s="4">
        <f t="shared" si="209"/>
        <v>0</v>
      </c>
      <c r="Q670" s="4">
        <f t="shared" si="210"/>
        <v>0</v>
      </c>
      <c r="R670" s="4">
        <f t="shared" si="211"/>
        <v>0</v>
      </c>
      <c r="S670" s="4">
        <f>IF(AND(VLOOKUP(G670,Dados!$D:$L,2,0)=VLOOKUP(I670,Dados!$S:$V,2,0),VLOOKUP(G670,Dados!$D:$L,3,0)=VLOOKUP(I670,Dados!$S:$V,3,0)),0,1)</f>
        <v>0</v>
      </c>
      <c r="T670" s="4">
        <f>IF(AND(VLOOKUP(G670,Dados!$D:$L,3,0)&lt;=VLOOKUP(H670,Dados!$X:$AB,2,0),VLOOKUP(G670,Dados!$D:$L,4,0)&gt;=VLOOKUP(H670,Dados!$X:$AB,3,0),VLOOKUP(G670,Dados!$D:$L,4,0)&lt;=VLOOKUP(H670,Dados!$X:$AB,4,0)),0,1)</f>
        <v>0</v>
      </c>
      <c r="U670" s="4">
        <f>IF(COUNTIFS(F:F,F670,H:H,H670)&lt;=VLOOKUP(H670,Dados!$X:$AB,5,0),0,1)</f>
        <v>0</v>
      </c>
    </row>
    <row r="671" spans="6:21">
      <c r="F671" s="4">
        <v>391</v>
      </c>
      <c r="G671" s="4">
        <v>51</v>
      </c>
      <c r="H671" s="4">
        <v>3</v>
      </c>
      <c r="I671" s="4">
        <v>19</v>
      </c>
      <c r="J671" s="4">
        <v>8</v>
      </c>
      <c r="K671" s="4">
        <f t="shared" si="207"/>
        <v>0</v>
      </c>
      <c r="L671" s="4">
        <f t="shared" si="207"/>
        <v>0</v>
      </c>
      <c r="M671" s="4">
        <f t="shared" si="207"/>
        <v>0</v>
      </c>
      <c r="N671" s="4">
        <f t="shared" si="207"/>
        <v>0</v>
      </c>
      <c r="O671" s="4">
        <f t="shared" si="208"/>
        <v>0</v>
      </c>
      <c r="P671" s="4">
        <f t="shared" si="209"/>
        <v>0</v>
      </c>
      <c r="Q671" s="4">
        <f t="shared" si="210"/>
        <v>0</v>
      </c>
      <c r="R671" s="4">
        <f t="shared" si="211"/>
        <v>0</v>
      </c>
      <c r="S671" s="4">
        <f>IF(AND(VLOOKUP(G671,Dados!$D:$L,2,0)=VLOOKUP(I671,Dados!$S:$V,2,0),VLOOKUP(G671,Dados!$D:$L,3,0)=VLOOKUP(I671,Dados!$S:$V,3,0)),0,1)</f>
        <v>0</v>
      </c>
      <c r="T671" s="4">
        <f>IF(AND(VLOOKUP(G671,Dados!$D:$L,3,0)&lt;=VLOOKUP(H671,Dados!$X:$AB,2,0),VLOOKUP(G671,Dados!$D:$L,4,0)&gt;=VLOOKUP(H671,Dados!$X:$AB,3,0),VLOOKUP(G671,Dados!$D:$L,4,0)&lt;=VLOOKUP(H671,Dados!$X:$AB,4,0)),0,1)</f>
        <v>0</v>
      </c>
      <c r="U671" s="4">
        <f>IF(COUNTIFS(F:F,F671,H:H,H671)&lt;=VLOOKUP(H671,Dados!$X:$AB,5,0),0,1)</f>
        <v>0</v>
      </c>
    </row>
    <row r="672" spans="6:21">
      <c r="F672" s="4">
        <v>392</v>
      </c>
      <c r="G672" s="4">
        <v>62</v>
      </c>
      <c r="H672" s="4">
        <v>1</v>
      </c>
      <c r="I672" s="4">
        <v>21</v>
      </c>
      <c r="J672" s="4">
        <v>5</v>
      </c>
      <c r="K672" s="4">
        <f t="shared" si="207"/>
        <v>0</v>
      </c>
      <c r="L672" s="4">
        <f t="shared" si="207"/>
        <v>0</v>
      </c>
      <c r="M672" s="4">
        <f t="shared" si="207"/>
        <v>0</v>
      </c>
      <c r="N672" s="4">
        <f t="shared" si="207"/>
        <v>0</v>
      </c>
      <c r="O672" s="4">
        <f t="shared" si="208"/>
        <v>0</v>
      </c>
      <c r="P672" s="4">
        <f t="shared" si="209"/>
        <v>0</v>
      </c>
      <c r="Q672" s="4">
        <f t="shared" si="210"/>
        <v>0</v>
      </c>
      <c r="R672" s="4">
        <f t="shared" si="211"/>
        <v>0</v>
      </c>
      <c r="S672" s="4">
        <f>IF(AND(VLOOKUP(G672,Dados!$D:$L,2,0)=VLOOKUP(I672,Dados!$S:$V,2,0),VLOOKUP(G672,Dados!$D:$L,3,0)=VLOOKUP(I672,Dados!$S:$V,3,0)),0,1)</f>
        <v>0</v>
      </c>
      <c r="T672" s="4">
        <f>IF(AND(VLOOKUP(G672,Dados!$D:$L,3,0)&lt;=VLOOKUP(H672,Dados!$X:$AB,2,0),VLOOKUP(G672,Dados!$D:$L,4,0)&gt;=VLOOKUP(H672,Dados!$X:$AB,3,0),VLOOKUP(G672,Dados!$D:$L,4,0)&lt;=VLOOKUP(H672,Dados!$X:$AB,4,0)),0,1)</f>
        <v>0</v>
      </c>
      <c r="U672" s="4">
        <f>IF(COUNTIFS(F:F,F672,H:H,H672)&lt;=VLOOKUP(H672,Dados!$X:$AB,5,0),0,1)</f>
        <v>0</v>
      </c>
    </row>
    <row r="673" spans="6:21">
      <c r="F673" s="4">
        <v>392</v>
      </c>
      <c r="G673" s="4">
        <v>63</v>
      </c>
      <c r="H673" s="4">
        <v>1</v>
      </c>
      <c r="I673" s="4">
        <v>21</v>
      </c>
      <c r="J673" s="4">
        <v>1</v>
      </c>
      <c r="K673" s="4">
        <f t="shared" si="207"/>
        <v>0</v>
      </c>
      <c r="L673" s="4">
        <f t="shared" si="207"/>
        <v>0</v>
      </c>
      <c r="M673" s="4">
        <f t="shared" si="207"/>
        <v>0</v>
      </c>
      <c r="N673" s="4">
        <f t="shared" si="207"/>
        <v>0</v>
      </c>
      <c r="O673" s="4">
        <f t="shared" si="208"/>
        <v>0</v>
      </c>
      <c r="P673" s="4">
        <f t="shared" si="209"/>
        <v>0</v>
      </c>
      <c r="Q673" s="4">
        <f t="shared" si="210"/>
        <v>0</v>
      </c>
      <c r="R673" s="4">
        <f t="shared" si="211"/>
        <v>0</v>
      </c>
      <c r="S673" s="4">
        <f>IF(AND(VLOOKUP(G673,Dados!$D:$L,2,0)=VLOOKUP(I673,Dados!$S:$V,2,0),VLOOKUP(G673,Dados!$D:$L,3,0)=VLOOKUP(I673,Dados!$S:$V,3,0)),0,1)</f>
        <v>0</v>
      </c>
      <c r="T673" s="4">
        <f>IF(AND(VLOOKUP(G673,Dados!$D:$L,3,0)&lt;=VLOOKUP(H673,Dados!$X:$AB,2,0),VLOOKUP(G673,Dados!$D:$L,4,0)&gt;=VLOOKUP(H673,Dados!$X:$AB,3,0),VLOOKUP(G673,Dados!$D:$L,4,0)&lt;=VLOOKUP(H673,Dados!$X:$AB,4,0)),0,1)</f>
        <v>0</v>
      </c>
      <c r="U673" s="4">
        <f>IF(COUNTIFS(F:F,F673,H:H,H673)&lt;=VLOOKUP(H673,Dados!$X:$AB,5,0),0,1)</f>
        <v>0</v>
      </c>
    </row>
    <row r="674" spans="6:21">
      <c r="F674" s="4">
        <v>392</v>
      </c>
      <c r="G674" s="4">
        <v>66</v>
      </c>
      <c r="H674" s="4">
        <v>1</v>
      </c>
      <c r="I674" s="4">
        <v>21</v>
      </c>
      <c r="J674" s="4">
        <v>3</v>
      </c>
      <c r="K674" s="4">
        <f t="shared" si="207"/>
        <v>0</v>
      </c>
      <c r="L674" s="4">
        <f t="shared" si="207"/>
        <v>0</v>
      </c>
      <c r="M674" s="4">
        <f t="shared" si="207"/>
        <v>0</v>
      </c>
      <c r="N674" s="4">
        <f t="shared" si="207"/>
        <v>0</v>
      </c>
      <c r="O674" s="4">
        <f t="shared" si="208"/>
        <v>0</v>
      </c>
      <c r="P674" s="4">
        <f t="shared" si="209"/>
        <v>0</v>
      </c>
      <c r="Q674" s="4">
        <f t="shared" si="210"/>
        <v>0</v>
      </c>
      <c r="R674" s="4">
        <f t="shared" si="211"/>
        <v>0</v>
      </c>
      <c r="S674" s="4">
        <f>IF(AND(VLOOKUP(G674,Dados!$D:$L,2,0)=VLOOKUP(I674,Dados!$S:$V,2,0),VLOOKUP(G674,Dados!$D:$L,3,0)=VLOOKUP(I674,Dados!$S:$V,3,0)),0,1)</f>
        <v>0</v>
      </c>
      <c r="T674" s="4">
        <f>IF(AND(VLOOKUP(G674,Dados!$D:$L,3,0)&lt;=VLOOKUP(H674,Dados!$X:$AB,2,0),VLOOKUP(G674,Dados!$D:$L,4,0)&gt;=VLOOKUP(H674,Dados!$X:$AB,3,0),VLOOKUP(G674,Dados!$D:$L,4,0)&lt;=VLOOKUP(H674,Dados!$X:$AB,4,0)),0,1)</f>
        <v>0</v>
      </c>
      <c r="U674" s="4">
        <f>IF(COUNTIFS(F:F,F674,H:H,H674)&lt;=VLOOKUP(H674,Dados!$X:$AB,5,0),0,1)</f>
        <v>0</v>
      </c>
    </row>
    <row r="675" spans="6:21">
      <c r="F675" s="4">
        <v>393</v>
      </c>
      <c r="G675" s="4">
        <v>62</v>
      </c>
      <c r="H675" s="4">
        <v>2</v>
      </c>
      <c r="I675" s="4">
        <v>21</v>
      </c>
      <c r="J675" s="4">
        <v>5</v>
      </c>
      <c r="K675" s="4">
        <f t="shared" si="207"/>
        <v>0</v>
      </c>
      <c r="L675" s="4">
        <f t="shared" si="207"/>
        <v>0</v>
      </c>
      <c r="M675" s="4">
        <f t="shared" si="207"/>
        <v>0</v>
      </c>
      <c r="N675" s="4">
        <f t="shared" si="207"/>
        <v>0</v>
      </c>
      <c r="O675" s="4">
        <f t="shared" si="208"/>
        <v>0</v>
      </c>
      <c r="P675" s="4">
        <f t="shared" si="209"/>
        <v>0</v>
      </c>
      <c r="Q675" s="4">
        <f t="shared" si="210"/>
        <v>0</v>
      </c>
      <c r="R675" s="4">
        <f t="shared" si="211"/>
        <v>0</v>
      </c>
      <c r="S675" s="4">
        <f>IF(AND(VLOOKUP(G675,Dados!$D:$L,2,0)=VLOOKUP(I675,Dados!$S:$V,2,0),VLOOKUP(G675,Dados!$D:$L,3,0)=VLOOKUP(I675,Dados!$S:$V,3,0)),0,1)</f>
        <v>0</v>
      </c>
      <c r="T675" s="4">
        <f>IF(AND(VLOOKUP(G675,Dados!$D:$L,3,0)&lt;=VLOOKUP(H675,Dados!$X:$AB,2,0),VLOOKUP(G675,Dados!$D:$L,4,0)&gt;=VLOOKUP(H675,Dados!$X:$AB,3,0),VLOOKUP(G675,Dados!$D:$L,4,0)&lt;=VLOOKUP(H675,Dados!$X:$AB,4,0)),0,1)</f>
        <v>0</v>
      </c>
      <c r="U675" s="4">
        <f>IF(COUNTIFS(F:F,F675,H:H,H675)&lt;=VLOOKUP(H675,Dados!$X:$AB,5,0),0,1)</f>
        <v>0</v>
      </c>
    </row>
    <row r="676" spans="6:21">
      <c r="F676" s="4">
        <v>393</v>
      </c>
      <c r="G676" s="4">
        <v>63</v>
      </c>
      <c r="H676" s="4">
        <v>2</v>
      </c>
      <c r="I676" s="4">
        <v>21</v>
      </c>
      <c r="J676" s="4">
        <v>1</v>
      </c>
      <c r="K676" s="4">
        <f t="shared" si="207"/>
        <v>0</v>
      </c>
      <c r="L676" s="4">
        <f t="shared" si="207"/>
        <v>0</v>
      </c>
      <c r="M676" s="4">
        <f t="shared" si="207"/>
        <v>0</v>
      </c>
      <c r="N676" s="4">
        <f t="shared" si="207"/>
        <v>0</v>
      </c>
      <c r="O676" s="4">
        <f t="shared" si="208"/>
        <v>0</v>
      </c>
      <c r="P676" s="4">
        <f t="shared" si="209"/>
        <v>0</v>
      </c>
      <c r="Q676" s="4">
        <f t="shared" si="210"/>
        <v>0</v>
      </c>
      <c r="R676" s="4">
        <f t="shared" si="211"/>
        <v>0</v>
      </c>
      <c r="S676" s="4">
        <f>IF(AND(VLOOKUP(G676,Dados!$D:$L,2,0)=VLOOKUP(I676,Dados!$S:$V,2,0),VLOOKUP(G676,Dados!$D:$L,3,0)=VLOOKUP(I676,Dados!$S:$V,3,0)),0,1)</f>
        <v>0</v>
      </c>
      <c r="T676" s="4">
        <f>IF(AND(VLOOKUP(G676,Dados!$D:$L,3,0)&lt;=VLOOKUP(H676,Dados!$X:$AB,2,0),VLOOKUP(G676,Dados!$D:$L,4,0)&gt;=VLOOKUP(H676,Dados!$X:$AB,3,0),VLOOKUP(G676,Dados!$D:$L,4,0)&lt;=VLOOKUP(H676,Dados!$X:$AB,4,0)),0,1)</f>
        <v>0</v>
      </c>
      <c r="U676" s="4">
        <f>IF(COUNTIFS(F:F,F676,H:H,H676)&lt;=VLOOKUP(H676,Dados!$X:$AB,5,0),0,1)</f>
        <v>0</v>
      </c>
    </row>
    <row r="677" spans="6:21">
      <c r="F677" s="4">
        <v>393</v>
      </c>
      <c r="G677" s="4">
        <v>66</v>
      </c>
      <c r="H677" s="4">
        <v>2</v>
      </c>
      <c r="I677" s="4">
        <v>21</v>
      </c>
      <c r="J677" s="4">
        <v>3</v>
      </c>
      <c r="K677" s="4">
        <f t="shared" si="207"/>
        <v>0</v>
      </c>
      <c r="L677" s="4">
        <f t="shared" si="207"/>
        <v>0</v>
      </c>
      <c r="M677" s="4">
        <f t="shared" si="207"/>
        <v>0</v>
      </c>
      <c r="N677" s="4">
        <f t="shared" si="207"/>
        <v>0</v>
      </c>
      <c r="O677" s="4">
        <f t="shared" si="208"/>
        <v>0</v>
      </c>
      <c r="P677" s="4">
        <f t="shared" si="209"/>
        <v>0</v>
      </c>
      <c r="Q677" s="4">
        <f t="shared" si="210"/>
        <v>0</v>
      </c>
      <c r="R677" s="4">
        <f t="shared" si="211"/>
        <v>0</v>
      </c>
      <c r="S677" s="4">
        <f>IF(AND(VLOOKUP(G677,Dados!$D:$L,2,0)=VLOOKUP(I677,Dados!$S:$V,2,0),VLOOKUP(G677,Dados!$D:$L,3,0)=VLOOKUP(I677,Dados!$S:$V,3,0)),0,1)</f>
        <v>0</v>
      </c>
      <c r="T677" s="4">
        <f>IF(AND(VLOOKUP(G677,Dados!$D:$L,3,0)&lt;=VLOOKUP(H677,Dados!$X:$AB,2,0),VLOOKUP(G677,Dados!$D:$L,4,0)&gt;=VLOOKUP(H677,Dados!$X:$AB,3,0),VLOOKUP(G677,Dados!$D:$L,4,0)&lt;=VLOOKUP(H677,Dados!$X:$AB,4,0)),0,1)</f>
        <v>0</v>
      </c>
      <c r="U677" s="4">
        <f>IF(COUNTIFS(F:F,F677,H:H,H677)&lt;=VLOOKUP(H677,Dados!$X:$AB,5,0),0,1)</f>
        <v>0</v>
      </c>
    </row>
    <row r="678" spans="6:21">
      <c r="F678" s="4">
        <v>394</v>
      </c>
      <c r="G678" s="4">
        <v>62</v>
      </c>
      <c r="H678" s="4">
        <v>3</v>
      </c>
      <c r="I678" s="4">
        <v>21</v>
      </c>
      <c r="J678" s="4">
        <v>2</v>
      </c>
      <c r="K678" s="4">
        <f t="shared" si="207"/>
        <v>0</v>
      </c>
      <c r="L678" s="4">
        <f t="shared" si="207"/>
        <v>0</v>
      </c>
      <c r="M678" s="4">
        <f t="shared" si="207"/>
        <v>0</v>
      </c>
      <c r="N678" s="4">
        <f t="shared" si="207"/>
        <v>0</v>
      </c>
      <c r="O678" s="4">
        <f t="shared" si="208"/>
        <v>0</v>
      </c>
      <c r="P678" s="4">
        <f t="shared" si="209"/>
        <v>0</v>
      </c>
      <c r="Q678" s="4">
        <f t="shared" si="210"/>
        <v>0</v>
      </c>
      <c r="R678" s="4">
        <f t="shared" si="211"/>
        <v>0</v>
      </c>
      <c r="S678" s="4">
        <f>IF(AND(VLOOKUP(G678,Dados!$D:$L,2,0)=VLOOKUP(I678,Dados!$S:$V,2,0),VLOOKUP(G678,Dados!$D:$L,3,0)=VLOOKUP(I678,Dados!$S:$V,3,0)),0,1)</f>
        <v>0</v>
      </c>
      <c r="T678" s="4">
        <f>IF(AND(VLOOKUP(G678,Dados!$D:$L,3,0)&lt;=VLOOKUP(H678,Dados!$X:$AB,2,0),VLOOKUP(G678,Dados!$D:$L,4,0)&gt;=VLOOKUP(H678,Dados!$X:$AB,3,0),VLOOKUP(G678,Dados!$D:$L,4,0)&lt;=VLOOKUP(H678,Dados!$X:$AB,4,0)),0,1)</f>
        <v>0</v>
      </c>
      <c r="U678" s="4">
        <f>IF(COUNTIFS(F:F,F678,H:H,H678)&lt;=VLOOKUP(H678,Dados!$X:$AB,5,0),0,1)</f>
        <v>0</v>
      </c>
    </row>
    <row r="679" spans="6:21">
      <c r="F679" s="4">
        <v>394</v>
      </c>
      <c r="G679" s="4">
        <v>63</v>
      </c>
      <c r="H679" s="4">
        <v>3</v>
      </c>
      <c r="I679" s="4">
        <v>21</v>
      </c>
      <c r="J679" s="4">
        <v>5</v>
      </c>
      <c r="K679" s="4">
        <f t="shared" si="207"/>
        <v>0</v>
      </c>
      <c r="L679" s="4">
        <f t="shared" si="207"/>
        <v>0</v>
      </c>
      <c r="M679" s="4">
        <f t="shared" si="207"/>
        <v>0</v>
      </c>
      <c r="N679" s="4">
        <f t="shared" si="207"/>
        <v>0</v>
      </c>
      <c r="O679" s="4">
        <f t="shared" si="208"/>
        <v>0</v>
      </c>
      <c r="P679" s="4">
        <f t="shared" si="209"/>
        <v>0</v>
      </c>
      <c r="Q679" s="4">
        <f t="shared" si="210"/>
        <v>0</v>
      </c>
      <c r="R679" s="4">
        <f t="shared" si="211"/>
        <v>0</v>
      </c>
      <c r="S679" s="4">
        <f>IF(AND(VLOOKUP(G679,Dados!$D:$L,2,0)=VLOOKUP(I679,Dados!$S:$V,2,0),VLOOKUP(G679,Dados!$D:$L,3,0)=VLOOKUP(I679,Dados!$S:$V,3,0)),0,1)</f>
        <v>0</v>
      </c>
      <c r="T679" s="4">
        <f>IF(AND(VLOOKUP(G679,Dados!$D:$L,3,0)&lt;=VLOOKUP(H679,Dados!$X:$AB,2,0),VLOOKUP(G679,Dados!$D:$L,4,0)&gt;=VLOOKUP(H679,Dados!$X:$AB,3,0),VLOOKUP(G679,Dados!$D:$L,4,0)&lt;=VLOOKUP(H679,Dados!$X:$AB,4,0)),0,1)</f>
        <v>0</v>
      </c>
      <c r="U679" s="4">
        <f>IF(COUNTIFS(F:F,F679,H:H,H679)&lt;=VLOOKUP(H679,Dados!$X:$AB,5,0),0,1)</f>
        <v>0</v>
      </c>
    </row>
    <row r="680" spans="6:21">
      <c r="F680" s="4">
        <v>394</v>
      </c>
      <c r="G680" s="4">
        <v>66</v>
      </c>
      <c r="H680" s="4">
        <v>3</v>
      </c>
      <c r="I680" s="4">
        <v>21</v>
      </c>
      <c r="J680" s="4">
        <v>3</v>
      </c>
      <c r="K680" s="4">
        <f t="shared" si="207"/>
        <v>0</v>
      </c>
      <c r="L680" s="4">
        <f t="shared" si="207"/>
        <v>0</v>
      </c>
      <c r="M680" s="4">
        <f t="shared" si="207"/>
        <v>0</v>
      </c>
      <c r="N680" s="4">
        <f t="shared" si="207"/>
        <v>0</v>
      </c>
      <c r="O680" s="4">
        <f t="shared" si="208"/>
        <v>0</v>
      </c>
      <c r="P680" s="4">
        <f t="shared" si="209"/>
        <v>0</v>
      </c>
      <c r="Q680" s="4">
        <f t="shared" si="210"/>
        <v>0</v>
      </c>
      <c r="R680" s="4">
        <f t="shared" si="211"/>
        <v>0</v>
      </c>
      <c r="S680" s="4">
        <f>IF(AND(VLOOKUP(G680,Dados!$D:$L,2,0)=VLOOKUP(I680,Dados!$S:$V,2,0),VLOOKUP(G680,Dados!$D:$L,3,0)=VLOOKUP(I680,Dados!$S:$V,3,0)),0,1)</f>
        <v>0</v>
      </c>
      <c r="T680" s="4">
        <f>IF(AND(VLOOKUP(G680,Dados!$D:$L,3,0)&lt;=VLOOKUP(H680,Dados!$X:$AB,2,0),VLOOKUP(G680,Dados!$D:$L,4,0)&gt;=VLOOKUP(H680,Dados!$X:$AB,3,0),VLOOKUP(G680,Dados!$D:$L,4,0)&lt;=VLOOKUP(H680,Dados!$X:$AB,4,0)),0,1)</f>
        <v>0</v>
      </c>
      <c r="U680" s="4">
        <f>IF(COUNTIFS(F:F,F680,H:H,H680)&lt;=VLOOKUP(H680,Dados!$X:$AB,5,0),0,1)</f>
        <v>0</v>
      </c>
    </row>
    <row r="681" spans="6:21">
      <c r="F681" s="4">
        <v>395</v>
      </c>
      <c r="G681" s="4">
        <v>62</v>
      </c>
      <c r="H681" s="4">
        <v>1</v>
      </c>
      <c r="I681" s="4">
        <v>22</v>
      </c>
      <c r="J681" s="4">
        <v>4</v>
      </c>
      <c r="K681" s="4">
        <f t="shared" si="207"/>
        <v>0</v>
      </c>
      <c r="L681" s="4">
        <f t="shared" si="207"/>
        <v>0</v>
      </c>
      <c r="M681" s="4">
        <f t="shared" si="207"/>
        <v>0</v>
      </c>
      <c r="N681" s="4">
        <f t="shared" si="207"/>
        <v>0</v>
      </c>
      <c r="O681" s="4">
        <f t="shared" si="208"/>
        <v>0</v>
      </c>
      <c r="P681" s="4">
        <f t="shared" si="209"/>
        <v>0</v>
      </c>
      <c r="Q681" s="4">
        <f t="shared" si="210"/>
        <v>0</v>
      </c>
      <c r="R681" s="4">
        <f t="shared" si="211"/>
        <v>0</v>
      </c>
      <c r="S681" s="4">
        <f>IF(AND(VLOOKUP(G681,Dados!$D:$L,2,0)=VLOOKUP(I681,Dados!$S:$V,2,0),VLOOKUP(G681,Dados!$D:$L,3,0)=VLOOKUP(I681,Dados!$S:$V,3,0)),0,1)</f>
        <v>0</v>
      </c>
      <c r="T681" s="4">
        <f>IF(AND(VLOOKUP(G681,Dados!$D:$L,3,0)&lt;=VLOOKUP(H681,Dados!$X:$AB,2,0),VLOOKUP(G681,Dados!$D:$L,4,0)&gt;=VLOOKUP(H681,Dados!$X:$AB,3,0),VLOOKUP(G681,Dados!$D:$L,4,0)&lt;=VLOOKUP(H681,Dados!$X:$AB,4,0)),0,1)</f>
        <v>0</v>
      </c>
      <c r="U681" s="4">
        <f>IF(COUNTIFS(F:F,F681,H:H,H681)&lt;=VLOOKUP(H681,Dados!$X:$AB,5,0),0,1)</f>
        <v>0</v>
      </c>
    </row>
    <row r="682" spans="6:21">
      <c r="F682" s="4">
        <v>395</v>
      </c>
      <c r="G682" s="4">
        <v>66</v>
      </c>
      <c r="H682" s="4">
        <v>1</v>
      </c>
      <c r="I682" s="4">
        <v>22</v>
      </c>
      <c r="J682" s="4">
        <v>3</v>
      </c>
      <c r="K682" s="4">
        <f t="shared" si="207"/>
        <v>0</v>
      </c>
      <c r="L682" s="4">
        <f t="shared" si="207"/>
        <v>0</v>
      </c>
      <c r="M682" s="4">
        <f t="shared" si="207"/>
        <v>0</v>
      </c>
      <c r="N682" s="4">
        <f t="shared" si="207"/>
        <v>0</v>
      </c>
      <c r="O682" s="4">
        <f t="shared" si="208"/>
        <v>0</v>
      </c>
      <c r="P682" s="4">
        <f t="shared" si="209"/>
        <v>0</v>
      </c>
      <c r="Q682" s="4">
        <f t="shared" si="210"/>
        <v>0</v>
      </c>
      <c r="R682" s="4">
        <f t="shared" si="211"/>
        <v>0</v>
      </c>
      <c r="S682" s="4">
        <f>IF(AND(VLOOKUP(G682,Dados!$D:$L,2,0)=VLOOKUP(I682,Dados!$S:$V,2,0),VLOOKUP(G682,Dados!$D:$L,3,0)=VLOOKUP(I682,Dados!$S:$V,3,0)),0,1)</f>
        <v>0</v>
      </c>
      <c r="T682" s="4">
        <f>IF(AND(VLOOKUP(G682,Dados!$D:$L,3,0)&lt;=VLOOKUP(H682,Dados!$X:$AB,2,0),VLOOKUP(G682,Dados!$D:$L,4,0)&gt;=VLOOKUP(H682,Dados!$X:$AB,3,0),VLOOKUP(G682,Dados!$D:$L,4,0)&lt;=VLOOKUP(H682,Dados!$X:$AB,4,0)),0,1)</f>
        <v>0</v>
      </c>
      <c r="U682" s="4">
        <f>IF(COUNTIFS(F:F,F682,H:H,H682)&lt;=VLOOKUP(H682,Dados!$X:$AB,5,0),0,1)</f>
        <v>0</v>
      </c>
    </row>
    <row r="683" spans="6:21">
      <c r="F683" s="4">
        <v>396</v>
      </c>
      <c r="G683" s="4">
        <v>62</v>
      </c>
      <c r="H683" s="4">
        <v>2</v>
      </c>
      <c r="I683" s="4">
        <v>22</v>
      </c>
      <c r="J683" s="4">
        <v>4</v>
      </c>
      <c r="K683" s="4">
        <f t="shared" si="207"/>
        <v>0</v>
      </c>
      <c r="L683" s="4">
        <f t="shared" si="207"/>
        <v>0</v>
      </c>
      <c r="M683" s="4">
        <f t="shared" si="207"/>
        <v>0</v>
      </c>
      <c r="N683" s="4">
        <f t="shared" si="207"/>
        <v>4</v>
      </c>
      <c r="O683" s="4">
        <f t="shared" si="208"/>
        <v>0</v>
      </c>
      <c r="P683" s="4">
        <f t="shared" si="209"/>
        <v>0</v>
      </c>
      <c r="Q683" s="4">
        <f t="shared" si="210"/>
        <v>0</v>
      </c>
      <c r="R683" s="4">
        <f t="shared" si="211"/>
        <v>16</v>
      </c>
      <c r="S683" s="4">
        <f>IF(AND(VLOOKUP(G683,Dados!$D:$L,2,0)=VLOOKUP(I683,Dados!$S:$V,2,0),VLOOKUP(G683,Dados!$D:$L,3,0)=VLOOKUP(I683,Dados!$S:$V,3,0)),0,1)</f>
        <v>0</v>
      </c>
      <c r="T683" s="4">
        <f>IF(AND(VLOOKUP(G683,Dados!$D:$L,3,0)&lt;=VLOOKUP(H683,Dados!$X:$AB,2,0),VLOOKUP(G683,Dados!$D:$L,4,0)&gt;=VLOOKUP(H683,Dados!$X:$AB,3,0),VLOOKUP(G683,Dados!$D:$L,4,0)&lt;=VLOOKUP(H683,Dados!$X:$AB,4,0)),0,1)</f>
        <v>0</v>
      </c>
      <c r="U683" s="4">
        <f>IF(COUNTIFS(F:F,F683,H:H,H683)&lt;=VLOOKUP(H683,Dados!$X:$AB,5,0),0,1)</f>
        <v>0</v>
      </c>
    </row>
    <row r="684" spans="6:21">
      <c r="F684" s="4">
        <v>396</v>
      </c>
      <c r="G684" s="4">
        <v>66</v>
      </c>
      <c r="H684" s="4">
        <v>2</v>
      </c>
      <c r="I684" s="4">
        <v>22</v>
      </c>
      <c r="J684" s="4">
        <v>3</v>
      </c>
      <c r="K684" s="4">
        <f t="shared" si="207"/>
        <v>0</v>
      </c>
      <c r="L684" s="4">
        <f t="shared" si="207"/>
        <v>0</v>
      </c>
      <c r="M684" s="4">
        <f t="shared" si="207"/>
        <v>0</v>
      </c>
      <c r="N684" s="4">
        <f t="shared" si="207"/>
        <v>4</v>
      </c>
      <c r="O684" s="4">
        <f t="shared" si="208"/>
        <v>0</v>
      </c>
      <c r="P684" s="4">
        <f t="shared" si="209"/>
        <v>0</v>
      </c>
      <c r="Q684" s="4">
        <f t="shared" si="210"/>
        <v>0</v>
      </c>
      <c r="R684" s="4">
        <f t="shared" si="211"/>
        <v>12</v>
      </c>
      <c r="S684" s="4">
        <f>IF(AND(VLOOKUP(G684,Dados!$D:$L,2,0)=VLOOKUP(I684,Dados!$S:$V,2,0),VLOOKUP(G684,Dados!$D:$L,3,0)=VLOOKUP(I684,Dados!$S:$V,3,0)),0,1)</f>
        <v>0</v>
      </c>
      <c r="T684" s="4">
        <f>IF(AND(VLOOKUP(G684,Dados!$D:$L,3,0)&lt;=VLOOKUP(H684,Dados!$X:$AB,2,0),VLOOKUP(G684,Dados!$D:$L,4,0)&gt;=VLOOKUP(H684,Dados!$X:$AB,3,0),VLOOKUP(G684,Dados!$D:$L,4,0)&lt;=VLOOKUP(H684,Dados!$X:$AB,4,0)),0,1)</f>
        <v>0</v>
      </c>
      <c r="U684" s="4">
        <f>IF(COUNTIFS(F:F,F684,H:H,H684)&lt;=VLOOKUP(H684,Dados!$X:$AB,5,0),0,1)</f>
        <v>0</v>
      </c>
    </row>
    <row r="685" spans="6:21">
      <c r="F685" s="4">
        <v>397</v>
      </c>
      <c r="G685" s="4">
        <v>62</v>
      </c>
      <c r="H685" s="4">
        <v>3</v>
      </c>
      <c r="I685" s="4">
        <v>22</v>
      </c>
      <c r="J685" s="4">
        <v>4</v>
      </c>
      <c r="K685" s="4">
        <f t="shared" si="207"/>
        <v>0</v>
      </c>
      <c r="L685" s="4">
        <f t="shared" si="207"/>
        <v>0</v>
      </c>
      <c r="M685" s="4">
        <f t="shared" si="207"/>
        <v>0</v>
      </c>
      <c r="N685" s="4">
        <f t="shared" si="207"/>
        <v>0</v>
      </c>
      <c r="O685" s="4">
        <f t="shared" si="208"/>
        <v>0</v>
      </c>
      <c r="P685" s="4">
        <f t="shared" si="209"/>
        <v>0</v>
      </c>
      <c r="Q685" s="4">
        <f t="shared" si="210"/>
        <v>0</v>
      </c>
      <c r="R685" s="4">
        <f t="shared" si="211"/>
        <v>0</v>
      </c>
      <c r="S685" s="4">
        <f>IF(AND(VLOOKUP(G685,Dados!$D:$L,2,0)=VLOOKUP(I685,Dados!$S:$V,2,0),VLOOKUP(G685,Dados!$D:$L,3,0)=VLOOKUP(I685,Dados!$S:$V,3,0)),0,1)</f>
        <v>0</v>
      </c>
      <c r="T685" s="4">
        <f>IF(AND(VLOOKUP(G685,Dados!$D:$L,3,0)&lt;=VLOOKUP(H685,Dados!$X:$AB,2,0),VLOOKUP(G685,Dados!$D:$L,4,0)&gt;=VLOOKUP(H685,Dados!$X:$AB,3,0),VLOOKUP(G685,Dados!$D:$L,4,0)&lt;=VLOOKUP(H685,Dados!$X:$AB,4,0)),0,1)</f>
        <v>0</v>
      </c>
      <c r="U685" s="4">
        <f>IF(COUNTIFS(F:F,F685,H:H,H685)&lt;=VLOOKUP(H685,Dados!$X:$AB,5,0),0,1)</f>
        <v>0</v>
      </c>
    </row>
    <row r="686" spans="6:21">
      <c r="F686" s="4">
        <v>397</v>
      </c>
      <c r="G686" s="4">
        <v>66</v>
      </c>
      <c r="H686" s="4">
        <v>3</v>
      </c>
      <c r="I686" s="4">
        <v>22</v>
      </c>
      <c r="J686" s="4">
        <v>3</v>
      </c>
      <c r="K686" s="4">
        <f t="shared" si="207"/>
        <v>0</v>
      </c>
      <c r="L686" s="4">
        <f t="shared" si="207"/>
        <v>0</v>
      </c>
      <c r="M686" s="4">
        <f t="shared" si="207"/>
        <v>0</v>
      </c>
      <c r="N686" s="4">
        <f t="shared" si="207"/>
        <v>0</v>
      </c>
      <c r="O686" s="4">
        <f t="shared" si="208"/>
        <v>0</v>
      </c>
      <c r="P686" s="4">
        <f t="shared" si="209"/>
        <v>0</v>
      </c>
      <c r="Q686" s="4">
        <f t="shared" si="210"/>
        <v>0</v>
      </c>
      <c r="R686" s="4">
        <f t="shared" si="211"/>
        <v>0</v>
      </c>
      <c r="S686" s="4">
        <f>IF(AND(VLOOKUP(G686,Dados!$D:$L,2,0)=VLOOKUP(I686,Dados!$S:$V,2,0),VLOOKUP(G686,Dados!$D:$L,3,0)=VLOOKUP(I686,Dados!$S:$V,3,0)),0,1)</f>
        <v>0</v>
      </c>
      <c r="T686" s="4">
        <f>IF(AND(VLOOKUP(G686,Dados!$D:$L,3,0)&lt;=VLOOKUP(H686,Dados!$X:$AB,2,0),VLOOKUP(G686,Dados!$D:$L,4,0)&gt;=VLOOKUP(H686,Dados!$X:$AB,3,0),VLOOKUP(G686,Dados!$D:$L,4,0)&lt;=VLOOKUP(H686,Dados!$X:$AB,4,0)),0,1)</f>
        <v>0</v>
      </c>
      <c r="U686" s="4">
        <f>IF(COUNTIFS(F:F,F686,H:H,H686)&lt;=VLOOKUP(H686,Dados!$X:$AB,5,0),0,1)</f>
        <v>0</v>
      </c>
    </row>
    <row r="687" spans="6:21">
      <c r="F687" s="4">
        <v>398</v>
      </c>
      <c r="G687" s="4">
        <v>62</v>
      </c>
      <c r="H687" s="4">
        <v>1</v>
      </c>
      <c r="I687" s="4">
        <v>23</v>
      </c>
      <c r="J687" s="4">
        <v>5</v>
      </c>
      <c r="K687" s="4">
        <f t="shared" si="207"/>
        <v>0</v>
      </c>
      <c r="L687" s="4">
        <f t="shared" si="207"/>
        <v>0</v>
      </c>
      <c r="M687" s="4">
        <f t="shared" si="207"/>
        <v>0</v>
      </c>
      <c r="N687" s="4">
        <f t="shared" si="207"/>
        <v>0</v>
      </c>
      <c r="O687" s="4">
        <f t="shared" si="208"/>
        <v>0</v>
      </c>
      <c r="P687" s="4">
        <f t="shared" si="209"/>
        <v>0</v>
      </c>
      <c r="Q687" s="4">
        <f t="shared" si="210"/>
        <v>0</v>
      </c>
      <c r="R687" s="4">
        <f t="shared" si="211"/>
        <v>0</v>
      </c>
      <c r="S687" s="4">
        <f>IF(AND(VLOOKUP(G687,Dados!$D:$L,2,0)=VLOOKUP(I687,Dados!$S:$V,2,0),VLOOKUP(G687,Dados!$D:$L,3,0)=VLOOKUP(I687,Dados!$S:$V,3,0)),0,1)</f>
        <v>0</v>
      </c>
      <c r="T687" s="4">
        <f>IF(AND(VLOOKUP(G687,Dados!$D:$L,3,0)&lt;=VLOOKUP(H687,Dados!$X:$AB,2,0),VLOOKUP(G687,Dados!$D:$L,4,0)&gt;=VLOOKUP(H687,Dados!$X:$AB,3,0),VLOOKUP(G687,Dados!$D:$L,4,0)&lt;=VLOOKUP(H687,Dados!$X:$AB,4,0)),0,1)</f>
        <v>0</v>
      </c>
      <c r="U687" s="4">
        <f>IF(COUNTIFS(F:F,F687,H:H,H687)&lt;=VLOOKUP(H687,Dados!$X:$AB,5,0),0,1)</f>
        <v>0</v>
      </c>
    </row>
    <row r="688" spans="6:21">
      <c r="F688" s="4">
        <v>398</v>
      </c>
      <c r="G688" s="4">
        <v>63</v>
      </c>
      <c r="H688" s="4">
        <v>1</v>
      </c>
      <c r="I688" s="4">
        <v>23</v>
      </c>
      <c r="J688" s="4">
        <v>1</v>
      </c>
      <c r="K688" s="4">
        <f t="shared" si="207"/>
        <v>0</v>
      </c>
      <c r="L688" s="4">
        <f t="shared" si="207"/>
        <v>0</v>
      </c>
      <c r="M688" s="4">
        <f t="shared" si="207"/>
        <v>0</v>
      </c>
      <c r="N688" s="4">
        <f t="shared" si="207"/>
        <v>0</v>
      </c>
      <c r="O688" s="4">
        <f t="shared" si="208"/>
        <v>0</v>
      </c>
      <c r="P688" s="4">
        <f t="shared" si="209"/>
        <v>0</v>
      </c>
      <c r="Q688" s="4">
        <f t="shared" si="210"/>
        <v>0</v>
      </c>
      <c r="R688" s="4">
        <f t="shared" si="211"/>
        <v>0</v>
      </c>
      <c r="S688" s="4">
        <f>IF(AND(VLOOKUP(G688,Dados!$D:$L,2,0)=VLOOKUP(I688,Dados!$S:$V,2,0),VLOOKUP(G688,Dados!$D:$L,3,0)=VLOOKUP(I688,Dados!$S:$V,3,0)),0,1)</f>
        <v>0</v>
      </c>
      <c r="T688" s="4">
        <f>IF(AND(VLOOKUP(G688,Dados!$D:$L,3,0)&lt;=VLOOKUP(H688,Dados!$X:$AB,2,0),VLOOKUP(G688,Dados!$D:$L,4,0)&gt;=VLOOKUP(H688,Dados!$X:$AB,3,0),VLOOKUP(G688,Dados!$D:$L,4,0)&lt;=VLOOKUP(H688,Dados!$X:$AB,4,0)),0,1)</f>
        <v>0</v>
      </c>
      <c r="U688" s="4">
        <f>IF(COUNTIFS(F:F,F688,H:H,H688)&lt;=VLOOKUP(H688,Dados!$X:$AB,5,0),0,1)</f>
        <v>0</v>
      </c>
    </row>
    <row r="689" spans="6:21">
      <c r="F689" s="4">
        <v>398</v>
      </c>
      <c r="G689" s="4">
        <v>66</v>
      </c>
      <c r="H689" s="4">
        <v>1</v>
      </c>
      <c r="I689" s="4">
        <v>23</v>
      </c>
      <c r="J689" s="4">
        <v>2</v>
      </c>
      <c r="K689" s="4">
        <f t="shared" si="207"/>
        <v>0</v>
      </c>
      <c r="L689" s="4">
        <f t="shared" si="207"/>
        <v>0</v>
      </c>
      <c r="M689" s="4">
        <f t="shared" si="207"/>
        <v>0</v>
      </c>
      <c r="N689" s="4">
        <f t="shared" si="207"/>
        <v>0</v>
      </c>
      <c r="O689" s="4">
        <f t="shared" si="208"/>
        <v>0</v>
      </c>
      <c r="P689" s="4">
        <f t="shared" si="209"/>
        <v>0</v>
      </c>
      <c r="Q689" s="4">
        <f t="shared" si="210"/>
        <v>0</v>
      </c>
      <c r="R689" s="4">
        <f t="shared" si="211"/>
        <v>0</v>
      </c>
      <c r="S689" s="4">
        <f>IF(AND(VLOOKUP(G689,Dados!$D:$L,2,0)=VLOOKUP(I689,Dados!$S:$V,2,0),VLOOKUP(G689,Dados!$D:$L,3,0)=VLOOKUP(I689,Dados!$S:$V,3,0)),0,1)</f>
        <v>0</v>
      </c>
      <c r="T689" s="4">
        <f>IF(AND(VLOOKUP(G689,Dados!$D:$L,3,0)&lt;=VLOOKUP(H689,Dados!$X:$AB,2,0),VLOOKUP(G689,Dados!$D:$L,4,0)&gt;=VLOOKUP(H689,Dados!$X:$AB,3,0),VLOOKUP(G689,Dados!$D:$L,4,0)&lt;=VLOOKUP(H689,Dados!$X:$AB,4,0)),0,1)</f>
        <v>0</v>
      </c>
      <c r="U689" s="4">
        <f>IF(COUNTIFS(F:F,F689,H:H,H689)&lt;=VLOOKUP(H689,Dados!$X:$AB,5,0),0,1)</f>
        <v>0</v>
      </c>
    </row>
    <row r="690" spans="6:21">
      <c r="F690" s="4">
        <v>399</v>
      </c>
      <c r="G690" s="4">
        <v>62</v>
      </c>
      <c r="H690" s="4">
        <v>2</v>
      </c>
      <c r="I690" s="4">
        <v>23</v>
      </c>
      <c r="J690" s="4">
        <v>5</v>
      </c>
      <c r="K690" s="4">
        <f t="shared" ref="K690:N753" si="212">SUMIFS($X:$X,$W:$W,$F690,$Z:$Z,$I690,$AA:$AA,$H690,$AB:$AB,K$2)</f>
        <v>0</v>
      </c>
      <c r="L690" s="4">
        <f t="shared" si="212"/>
        <v>0</v>
      </c>
      <c r="M690" s="4">
        <f t="shared" si="212"/>
        <v>0</v>
      </c>
      <c r="N690" s="4">
        <f t="shared" si="212"/>
        <v>1</v>
      </c>
      <c r="O690" s="4">
        <f t="shared" si="208"/>
        <v>0</v>
      </c>
      <c r="P690" s="4">
        <f t="shared" si="209"/>
        <v>0</v>
      </c>
      <c r="Q690" s="4">
        <f t="shared" si="210"/>
        <v>0</v>
      </c>
      <c r="R690" s="4">
        <f t="shared" si="211"/>
        <v>5</v>
      </c>
      <c r="S690" s="4">
        <f>IF(AND(VLOOKUP(G690,Dados!$D:$L,2,0)=VLOOKUP(I690,Dados!$S:$V,2,0),VLOOKUP(G690,Dados!$D:$L,3,0)=VLOOKUP(I690,Dados!$S:$V,3,0)),0,1)</f>
        <v>0</v>
      </c>
      <c r="T690" s="4">
        <f>IF(AND(VLOOKUP(G690,Dados!$D:$L,3,0)&lt;=VLOOKUP(H690,Dados!$X:$AB,2,0),VLOOKUP(G690,Dados!$D:$L,4,0)&gt;=VLOOKUP(H690,Dados!$X:$AB,3,0),VLOOKUP(G690,Dados!$D:$L,4,0)&lt;=VLOOKUP(H690,Dados!$X:$AB,4,0)),0,1)</f>
        <v>0</v>
      </c>
      <c r="U690" s="4">
        <f>IF(COUNTIFS(F:F,F690,H:H,H690)&lt;=VLOOKUP(H690,Dados!$X:$AB,5,0),0,1)</f>
        <v>0</v>
      </c>
    </row>
    <row r="691" spans="6:21">
      <c r="F691" s="4">
        <v>399</v>
      </c>
      <c r="G691" s="4">
        <v>63</v>
      </c>
      <c r="H691" s="4">
        <v>2</v>
      </c>
      <c r="I691" s="4">
        <v>23</v>
      </c>
      <c r="J691" s="4">
        <v>1</v>
      </c>
      <c r="K691" s="4">
        <f t="shared" si="212"/>
        <v>0</v>
      </c>
      <c r="L691" s="4">
        <f t="shared" si="212"/>
        <v>0</v>
      </c>
      <c r="M691" s="4">
        <f t="shared" si="212"/>
        <v>0</v>
      </c>
      <c r="N691" s="4">
        <f t="shared" si="212"/>
        <v>1</v>
      </c>
      <c r="O691" s="4">
        <f t="shared" ref="O691:O754" si="213">$J691*K691</f>
        <v>0</v>
      </c>
      <c r="P691" s="4">
        <f t="shared" ref="P691:P754" si="214">$J691*L691</f>
        <v>0</v>
      </c>
      <c r="Q691" s="4">
        <f t="shared" ref="Q691:Q754" si="215">$J691*M691</f>
        <v>0</v>
      </c>
      <c r="R691" s="4">
        <f t="shared" ref="R691:R754" si="216">$J691*N691</f>
        <v>1</v>
      </c>
      <c r="S691" s="4">
        <f>IF(AND(VLOOKUP(G691,Dados!$D:$L,2,0)=VLOOKUP(I691,Dados!$S:$V,2,0),VLOOKUP(G691,Dados!$D:$L,3,0)=VLOOKUP(I691,Dados!$S:$V,3,0)),0,1)</f>
        <v>0</v>
      </c>
      <c r="T691" s="4">
        <f>IF(AND(VLOOKUP(G691,Dados!$D:$L,3,0)&lt;=VLOOKUP(H691,Dados!$X:$AB,2,0),VLOOKUP(G691,Dados!$D:$L,4,0)&gt;=VLOOKUP(H691,Dados!$X:$AB,3,0),VLOOKUP(G691,Dados!$D:$L,4,0)&lt;=VLOOKUP(H691,Dados!$X:$AB,4,0)),0,1)</f>
        <v>0</v>
      </c>
      <c r="U691" s="4">
        <f>IF(COUNTIFS(F:F,F691,H:H,H691)&lt;=VLOOKUP(H691,Dados!$X:$AB,5,0),0,1)</f>
        <v>0</v>
      </c>
    </row>
    <row r="692" spans="6:21">
      <c r="F692" s="4">
        <v>399</v>
      </c>
      <c r="G692" s="4">
        <v>66</v>
      </c>
      <c r="H692" s="4">
        <v>2</v>
      </c>
      <c r="I692" s="4">
        <v>23</v>
      </c>
      <c r="J692" s="4">
        <v>2</v>
      </c>
      <c r="K692" s="4">
        <f t="shared" si="212"/>
        <v>0</v>
      </c>
      <c r="L692" s="4">
        <f t="shared" si="212"/>
        <v>0</v>
      </c>
      <c r="M692" s="4">
        <f t="shared" si="212"/>
        <v>0</v>
      </c>
      <c r="N692" s="4">
        <f t="shared" si="212"/>
        <v>1</v>
      </c>
      <c r="O692" s="4">
        <f t="shared" si="213"/>
        <v>0</v>
      </c>
      <c r="P692" s="4">
        <f t="shared" si="214"/>
        <v>0</v>
      </c>
      <c r="Q692" s="4">
        <f t="shared" si="215"/>
        <v>0</v>
      </c>
      <c r="R692" s="4">
        <f t="shared" si="216"/>
        <v>2</v>
      </c>
      <c r="S692" s="4">
        <f>IF(AND(VLOOKUP(G692,Dados!$D:$L,2,0)=VLOOKUP(I692,Dados!$S:$V,2,0),VLOOKUP(G692,Dados!$D:$L,3,0)=VLOOKUP(I692,Dados!$S:$V,3,0)),0,1)</f>
        <v>0</v>
      </c>
      <c r="T692" s="4">
        <f>IF(AND(VLOOKUP(G692,Dados!$D:$L,3,0)&lt;=VLOOKUP(H692,Dados!$X:$AB,2,0),VLOOKUP(G692,Dados!$D:$L,4,0)&gt;=VLOOKUP(H692,Dados!$X:$AB,3,0),VLOOKUP(G692,Dados!$D:$L,4,0)&lt;=VLOOKUP(H692,Dados!$X:$AB,4,0)),0,1)</f>
        <v>0</v>
      </c>
      <c r="U692" s="4">
        <f>IF(COUNTIFS(F:F,F692,H:H,H692)&lt;=VLOOKUP(H692,Dados!$X:$AB,5,0),0,1)</f>
        <v>0</v>
      </c>
    </row>
    <row r="693" spans="6:21">
      <c r="F693" s="4">
        <v>400</v>
      </c>
      <c r="G693" s="4">
        <v>62</v>
      </c>
      <c r="H693" s="4">
        <v>3</v>
      </c>
      <c r="I693" s="4">
        <v>23</v>
      </c>
      <c r="J693" s="4">
        <v>5</v>
      </c>
      <c r="K693" s="4">
        <f t="shared" si="212"/>
        <v>0</v>
      </c>
      <c r="L693" s="4">
        <f t="shared" si="212"/>
        <v>0</v>
      </c>
      <c r="M693" s="4">
        <f t="shared" si="212"/>
        <v>0</v>
      </c>
      <c r="N693" s="4">
        <f t="shared" si="212"/>
        <v>0</v>
      </c>
      <c r="O693" s="4">
        <f t="shared" si="213"/>
        <v>0</v>
      </c>
      <c r="P693" s="4">
        <f t="shared" si="214"/>
        <v>0</v>
      </c>
      <c r="Q693" s="4">
        <f t="shared" si="215"/>
        <v>0</v>
      </c>
      <c r="R693" s="4">
        <f t="shared" si="216"/>
        <v>0</v>
      </c>
      <c r="S693" s="4">
        <f>IF(AND(VLOOKUP(G693,Dados!$D:$L,2,0)=VLOOKUP(I693,Dados!$S:$V,2,0),VLOOKUP(G693,Dados!$D:$L,3,0)=VLOOKUP(I693,Dados!$S:$V,3,0)),0,1)</f>
        <v>0</v>
      </c>
      <c r="T693" s="4">
        <f>IF(AND(VLOOKUP(G693,Dados!$D:$L,3,0)&lt;=VLOOKUP(H693,Dados!$X:$AB,2,0),VLOOKUP(G693,Dados!$D:$L,4,0)&gt;=VLOOKUP(H693,Dados!$X:$AB,3,0),VLOOKUP(G693,Dados!$D:$L,4,0)&lt;=VLOOKUP(H693,Dados!$X:$AB,4,0)),0,1)</f>
        <v>0</v>
      </c>
      <c r="U693" s="4">
        <f>IF(COUNTIFS(F:F,F693,H:H,H693)&lt;=VLOOKUP(H693,Dados!$X:$AB,5,0),0,1)</f>
        <v>0</v>
      </c>
    </row>
    <row r="694" spans="6:21">
      <c r="F694" s="4">
        <v>400</v>
      </c>
      <c r="G694" s="4">
        <v>63</v>
      </c>
      <c r="H694" s="4">
        <v>3</v>
      </c>
      <c r="I694" s="4">
        <v>23</v>
      </c>
      <c r="J694" s="4">
        <v>1</v>
      </c>
      <c r="K694" s="4">
        <f t="shared" si="212"/>
        <v>0</v>
      </c>
      <c r="L694" s="4">
        <f t="shared" si="212"/>
        <v>0</v>
      </c>
      <c r="M694" s="4">
        <f t="shared" si="212"/>
        <v>0</v>
      </c>
      <c r="N694" s="4">
        <f t="shared" si="212"/>
        <v>0</v>
      </c>
      <c r="O694" s="4">
        <f t="shared" si="213"/>
        <v>0</v>
      </c>
      <c r="P694" s="4">
        <f t="shared" si="214"/>
        <v>0</v>
      </c>
      <c r="Q694" s="4">
        <f t="shared" si="215"/>
        <v>0</v>
      </c>
      <c r="R694" s="4">
        <f t="shared" si="216"/>
        <v>0</v>
      </c>
      <c r="S694" s="4">
        <f>IF(AND(VLOOKUP(G694,Dados!$D:$L,2,0)=VLOOKUP(I694,Dados!$S:$V,2,0),VLOOKUP(G694,Dados!$D:$L,3,0)=VLOOKUP(I694,Dados!$S:$V,3,0)),0,1)</f>
        <v>0</v>
      </c>
      <c r="T694" s="4">
        <f>IF(AND(VLOOKUP(G694,Dados!$D:$L,3,0)&lt;=VLOOKUP(H694,Dados!$X:$AB,2,0),VLOOKUP(G694,Dados!$D:$L,4,0)&gt;=VLOOKUP(H694,Dados!$X:$AB,3,0),VLOOKUP(G694,Dados!$D:$L,4,0)&lt;=VLOOKUP(H694,Dados!$X:$AB,4,0)),0,1)</f>
        <v>0</v>
      </c>
      <c r="U694" s="4">
        <f>IF(COUNTIFS(F:F,F694,H:H,H694)&lt;=VLOOKUP(H694,Dados!$X:$AB,5,0),0,1)</f>
        <v>0</v>
      </c>
    </row>
    <row r="695" spans="6:21">
      <c r="F695" s="4">
        <v>400</v>
      </c>
      <c r="G695" s="4">
        <v>66</v>
      </c>
      <c r="H695" s="4">
        <v>3</v>
      </c>
      <c r="I695" s="4">
        <v>23</v>
      </c>
      <c r="J695" s="4">
        <v>2</v>
      </c>
      <c r="K695" s="4">
        <f t="shared" si="212"/>
        <v>0</v>
      </c>
      <c r="L695" s="4">
        <f t="shared" si="212"/>
        <v>0</v>
      </c>
      <c r="M695" s="4">
        <f t="shared" si="212"/>
        <v>0</v>
      </c>
      <c r="N695" s="4">
        <f t="shared" si="212"/>
        <v>0</v>
      </c>
      <c r="O695" s="4">
        <f t="shared" si="213"/>
        <v>0</v>
      </c>
      <c r="P695" s="4">
        <f t="shared" si="214"/>
        <v>0</v>
      </c>
      <c r="Q695" s="4">
        <f t="shared" si="215"/>
        <v>0</v>
      </c>
      <c r="R695" s="4">
        <f t="shared" si="216"/>
        <v>0</v>
      </c>
      <c r="S695" s="4">
        <f>IF(AND(VLOOKUP(G695,Dados!$D:$L,2,0)=VLOOKUP(I695,Dados!$S:$V,2,0),VLOOKUP(G695,Dados!$D:$L,3,0)=VLOOKUP(I695,Dados!$S:$V,3,0)),0,1)</f>
        <v>0</v>
      </c>
      <c r="T695" s="4">
        <f>IF(AND(VLOOKUP(G695,Dados!$D:$L,3,0)&lt;=VLOOKUP(H695,Dados!$X:$AB,2,0),VLOOKUP(G695,Dados!$D:$L,4,0)&gt;=VLOOKUP(H695,Dados!$X:$AB,3,0),VLOOKUP(G695,Dados!$D:$L,4,0)&lt;=VLOOKUP(H695,Dados!$X:$AB,4,0)),0,1)</f>
        <v>0</v>
      </c>
      <c r="U695" s="4">
        <f>IF(COUNTIFS(F:F,F695,H:H,H695)&lt;=VLOOKUP(H695,Dados!$X:$AB,5,0),0,1)</f>
        <v>0</v>
      </c>
    </row>
    <row r="696" spans="6:21">
      <c r="F696" s="4">
        <v>401</v>
      </c>
      <c r="G696" s="4">
        <v>62</v>
      </c>
      <c r="H696" s="4">
        <v>1</v>
      </c>
      <c r="I696" s="4">
        <v>24</v>
      </c>
      <c r="J696" s="4">
        <v>3</v>
      </c>
      <c r="K696" s="4">
        <f t="shared" si="212"/>
        <v>0</v>
      </c>
      <c r="L696" s="4">
        <f t="shared" si="212"/>
        <v>0</v>
      </c>
      <c r="M696" s="4">
        <f t="shared" si="212"/>
        <v>0</v>
      </c>
      <c r="N696" s="4">
        <f t="shared" si="212"/>
        <v>0</v>
      </c>
      <c r="O696" s="4">
        <f t="shared" si="213"/>
        <v>0</v>
      </c>
      <c r="P696" s="4">
        <f t="shared" si="214"/>
        <v>0</v>
      </c>
      <c r="Q696" s="4">
        <f t="shared" si="215"/>
        <v>0</v>
      </c>
      <c r="R696" s="4">
        <f t="shared" si="216"/>
        <v>0</v>
      </c>
      <c r="S696" s="4">
        <f>IF(AND(VLOOKUP(G696,Dados!$D:$L,2,0)=VLOOKUP(I696,Dados!$S:$V,2,0),VLOOKUP(G696,Dados!$D:$L,3,0)=VLOOKUP(I696,Dados!$S:$V,3,0)),0,1)</f>
        <v>0</v>
      </c>
      <c r="T696" s="4">
        <f>IF(AND(VLOOKUP(G696,Dados!$D:$L,3,0)&lt;=VLOOKUP(H696,Dados!$X:$AB,2,0),VLOOKUP(G696,Dados!$D:$L,4,0)&gt;=VLOOKUP(H696,Dados!$X:$AB,3,0),VLOOKUP(G696,Dados!$D:$L,4,0)&lt;=VLOOKUP(H696,Dados!$X:$AB,4,0)),0,1)</f>
        <v>0</v>
      </c>
      <c r="U696" s="4">
        <f>IF(COUNTIFS(F:F,F696,H:H,H696)&lt;=VLOOKUP(H696,Dados!$X:$AB,5,0),0,1)</f>
        <v>0</v>
      </c>
    </row>
    <row r="697" spans="6:21">
      <c r="F697" s="4">
        <v>401</v>
      </c>
      <c r="G697" s="4">
        <v>63</v>
      </c>
      <c r="H697" s="4">
        <v>1</v>
      </c>
      <c r="I697" s="4">
        <v>24</v>
      </c>
      <c r="J697" s="4">
        <v>3</v>
      </c>
      <c r="K697" s="4">
        <f t="shared" si="212"/>
        <v>0</v>
      </c>
      <c r="L697" s="4">
        <f t="shared" si="212"/>
        <v>0</v>
      </c>
      <c r="M697" s="4">
        <f t="shared" si="212"/>
        <v>0</v>
      </c>
      <c r="N697" s="4">
        <f t="shared" si="212"/>
        <v>0</v>
      </c>
      <c r="O697" s="4">
        <f t="shared" si="213"/>
        <v>0</v>
      </c>
      <c r="P697" s="4">
        <f t="shared" si="214"/>
        <v>0</v>
      </c>
      <c r="Q697" s="4">
        <f t="shared" si="215"/>
        <v>0</v>
      </c>
      <c r="R697" s="4">
        <f t="shared" si="216"/>
        <v>0</v>
      </c>
      <c r="S697" s="4">
        <f>IF(AND(VLOOKUP(G697,Dados!$D:$L,2,0)=VLOOKUP(I697,Dados!$S:$V,2,0),VLOOKUP(G697,Dados!$D:$L,3,0)=VLOOKUP(I697,Dados!$S:$V,3,0)),0,1)</f>
        <v>0</v>
      </c>
      <c r="T697" s="4">
        <f>IF(AND(VLOOKUP(G697,Dados!$D:$L,3,0)&lt;=VLOOKUP(H697,Dados!$X:$AB,2,0),VLOOKUP(G697,Dados!$D:$L,4,0)&gt;=VLOOKUP(H697,Dados!$X:$AB,3,0),VLOOKUP(G697,Dados!$D:$L,4,0)&lt;=VLOOKUP(H697,Dados!$X:$AB,4,0)),0,1)</f>
        <v>0</v>
      </c>
      <c r="U697" s="4">
        <f>IF(COUNTIFS(F:F,F697,H:H,H697)&lt;=VLOOKUP(H697,Dados!$X:$AB,5,0),0,1)</f>
        <v>0</v>
      </c>
    </row>
    <row r="698" spans="6:21">
      <c r="F698" s="4">
        <v>401</v>
      </c>
      <c r="G698" s="4">
        <v>66</v>
      </c>
      <c r="H698" s="4">
        <v>1</v>
      </c>
      <c r="I698" s="4">
        <v>24</v>
      </c>
      <c r="J698" s="4">
        <v>2</v>
      </c>
      <c r="K698" s="4">
        <f t="shared" si="212"/>
        <v>0</v>
      </c>
      <c r="L698" s="4">
        <f t="shared" si="212"/>
        <v>0</v>
      </c>
      <c r="M698" s="4">
        <f t="shared" si="212"/>
        <v>0</v>
      </c>
      <c r="N698" s="4">
        <f t="shared" si="212"/>
        <v>0</v>
      </c>
      <c r="O698" s="4">
        <f t="shared" si="213"/>
        <v>0</v>
      </c>
      <c r="P698" s="4">
        <f t="shared" si="214"/>
        <v>0</v>
      </c>
      <c r="Q698" s="4">
        <f t="shared" si="215"/>
        <v>0</v>
      </c>
      <c r="R698" s="4">
        <f t="shared" si="216"/>
        <v>0</v>
      </c>
      <c r="S698" s="4">
        <f>IF(AND(VLOOKUP(G698,Dados!$D:$L,2,0)=VLOOKUP(I698,Dados!$S:$V,2,0),VLOOKUP(G698,Dados!$D:$L,3,0)=VLOOKUP(I698,Dados!$S:$V,3,0)),0,1)</f>
        <v>0</v>
      </c>
      <c r="T698" s="4">
        <f>IF(AND(VLOOKUP(G698,Dados!$D:$L,3,0)&lt;=VLOOKUP(H698,Dados!$X:$AB,2,0),VLOOKUP(G698,Dados!$D:$L,4,0)&gt;=VLOOKUP(H698,Dados!$X:$AB,3,0),VLOOKUP(G698,Dados!$D:$L,4,0)&lt;=VLOOKUP(H698,Dados!$X:$AB,4,0)),0,1)</f>
        <v>0</v>
      </c>
      <c r="U698" s="4">
        <f>IF(COUNTIFS(F:F,F698,H:H,H698)&lt;=VLOOKUP(H698,Dados!$X:$AB,5,0),0,1)</f>
        <v>0</v>
      </c>
    </row>
    <row r="699" spans="6:21">
      <c r="F699" s="4">
        <v>402</v>
      </c>
      <c r="G699" s="4">
        <v>62</v>
      </c>
      <c r="H699" s="4">
        <v>2</v>
      </c>
      <c r="I699" s="4">
        <v>24</v>
      </c>
      <c r="J699" s="4">
        <v>3</v>
      </c>
      <c r="K699" s="4">
        <f t="shared" si="212"/>
        <v>0</v>
      </c>
      <c r="L699" s="4">
        <f t="shared" si="212"/>
        <v>0</v>
      </c>
      <c r="M699" s="4">
        <f t="shared" si="212"/>
        <v>0</v>
      </c>
      <c r="N699" s="4">
        <f t="shared" si="212"/>
        <v>3</v>
      </c>
      <c r="O699" s="4">
        <f t="shared" si="213"/>
        <v>0</v>
      </c>
      <c r="P699" s="4">
        <f t="shared" si="214"/>
        <v>0</v>
      </c>
      <c r="Q699" s="4">
        <f t="shared" si="215"/>
        <v>0</v>
      </c>
      <c r="R699" s="4">
        <f t="shared" si="216"/>
        <v>9</v>
      </c>
      <c r="S699" s="4">
        <f>IF(AND(VLOOKUP(G699,Dados!$D:$L,2,0)=VLOOKUP(I699,Dados!$S:$V,2,0),VLOOKUP(G699,Dados!$D:$L,3,0)=VLOOKUP(I699,Dados!$S:$V,3,0)),0,1)</f>
        <v>0</v>
      </c>
      <c r="T699" s="4">
        <f>IF(AND(VLOOKUP(G699,Dados!$D:$L,3,0)&lt;=VLOOKUP(H699,Dados!$X:$AB,2,0),VLOOKUP(G699,Dados!$D:$L,4,0)&gt;=VLOOKUP(H699,Dados!$X:$AB,3,0),VLOOKUP(G699,Dados!$D:$L,4,0)&lt;=VLOOKUP(H699,Dados!$X:$AB,4,0)),0,1)</f>
        <v>0</v>
      </c>
      <c r="U699" s="4">
        <f>IF(COUNTIFS(F:F,F699,H:H,H699)&lt;=VLOOKUP(H699,Dados!$X:$AB,5,0),0,1)</f>
        <v>0</v>
      </c>
    </row>
    <row r="700" spans="6:21">
      <c r="F700" s="4">
        <v>402</v>
      </c>
      <c r="G700" s="4">
        <v>63</v>
      </c>
      <c r="H700" s="4">
        <v>2</v>
      </c>
      <c r="I700" s="4">
        <v>24</v>
      </c>
      <c r="J700" s="4">
        <v>3</v>
      </c>
      <c r="K700" s="4">
        <f t="shared" si="212"/>
        <v>0</v>
      </c>
      <c r="L700" s="4">
        <f t="shared" si="212"/>
        <v>0</v>
      </c>
      <c r="M700" s="4">
        <f t="shared" si="212"/>
        <v>0</v>
      </c>
      <c r="N700" s="4">
        <f t="shared" si="212"/>
        <v>3</v>
      </c>
      <c r="O700" s="4">
        <f t="shared" si="213"/>
        <v>0</v>
      </c>
      <c r="P700" s="4">
        <f t="shared" si="214"/>
        <v>0</v>
      </c>
      <c r="Q700" s="4">
        <f t="shared" si="215"/>
        <v>0</v>
      </c>
      <c r="R700" s="4">
        <f t="shared" si="216"/>
        <v>9</v>
      </c>
      <c r="S700" s="4">
        <f>IF(AND(VLOOKUP(G700,Dados!$D:$L,2,0)=VLOOKUP(I700,Dados!$S:$V,2,0),VLOOKUP(G700,Dados!$D:$L,3,0)=VLOOKUP(I700,Dados!$S:$V,3,0)),0,1)</f>
        <v>0</v>
      </c>
      <c r="T700" s="4">
        <f>IF(AND(VLOOKUP(G700,Dados!$D:$L,3,0)&lt;=VLOOKUP(H700,Dados!$X:$AB,2,0),VLOOKUP(G700,Dados!$D:$L,4,0)&gt;=VLOOKUP(H700,Dados!$X:$AB,3,0),VLOOKUP(G700,Dados!$D:$L,4,0)&lt;=VLOOKUP(H700,Dados!$X:$AB,4,0)),0,1)</f>
        <v>0</v>
      </c>
      <c r="U700" s="4">
        <f>IF(COUNTIFS(F:F,F700,H:H,H700)&lt;=VLOOKUP(H700,Dados!$X:$AB,5,0),0,1)</f>
        <v>0</v>
      </c>
    </row>
    <row r="701" spans="6:21">
      <c r="F701" s="4">
        <v>402</v>
      </c>
      <c r="G701" s="4">
        <v>66</v>
      </c>
      <c r="H701" s="4">
        <v>2</v>
      </c>
      <c r="I701" s="4">
        <v>24</v>
      </c>
      <c r="J701" s="4">
        <v>2</v>
      </c>
      <c r="K701" s="4">
        <f t="shared" si="212"/>
        <v>0</v>
      </c>
      <c r="L701" s="4">
        <f t="shared" si="212"/>
        <v>0</v>
      </c>
      <c r="M701" s="4">
        <f t="shared" si="212"/>
        <v>0</v>
      </c>
      <c r="N701" s="4">
        <f t="shared" si="212"/>
        <v>3</v>
      </c>
      <c r="O701" s="4">
        <f t="shared" si="213"/>
        <v>0</v>
      </c>
      <c r="P701" s="4">
        <f t="shared" si="214"/>
        <v>0</v>
      </c>
      <c r="Q701" s="4">
        <f t="shared" si="215"/>
        <v>0</v>
      </c>
      <c r="R701" s="4">
        <f t="shared" si="216"/>
        <v>6</v>
      </c>
      <c r="S701" s="4">
        <f>IF(AND(VLOOKUP(G701,Dados!$D:$L,2,0)=VLOOKUP(I701,Dados!$S:$V,2,0),VLOOKUP(G701,Dados!$D:$L,3,0)=VLOOKUP(I701,Dados!$S:$V,3,0)),0,1)</f>
        <v>0</v>
      </c>
      <c r="T701" s="4">
        <f>IF(AND(VLOOKUP(G701,Dados!$D:$L,3,0)&lt;=VLOOKUP(H701,Dados!$X:$AB,2,0),VLOOKUP(G701,Dados!$D:$L,4,0)&gt;=VLOOKUP(H701,Dados!$X:$AB,3,0),VLOOKUP(G701,Dados!$D:$L,4,0)&lt;=VLOOKUP(H701,Dados!$X:$AB,4,0)),0,1)</f>
        <v>0</v>
      </c>
      <c r="U701" s="4">
        <f>IF(COUNTIFS(F:F,F701,H:H,H701)&lt;=VLOOKUP(H701,Dados!$X:$AB,5,0),0,1)</f>
        <v>0</v>
      </c>
    </row>
    <row r="702" spans="6:21">
      <c r="F702" s="4">
        <v>403</v>
      </c>
      <c r="G702" s="4">
        <v>62</v>
      </c>
      <c r="H702" s="4">
        <v>3</v>
      </c>
      <c r="I702" s="4">
        <v>24</v>
      </c>
      <c r="J702" s="4">
        <v>3</v>
      </c>
      <c r="K702" s="4">
        <f t="shared" si="212"/>
        <v>0</v>
      </c>
      <c r="L702" s="4">
        <f t="shared" si="212"/>
        <v>0</v>
      </c>
      <c r="M702" s="4">
        <f t="shared" si="212"/>
        <v>0</v>
      </c>
      <c r="N702" s="4">
        <f t="shared" si="212"/>
        <v>0</v>
      </c>
      <c r="O702" s="4">
        <f t="shared" si="213"/>
        <v>0</v>
      </c>
      <c r="P702" s="4">
        <f t="shared" si="214"/>
        <v>0</v>
      </c>
      <c r="Q702" s="4">
        <f t="shared" si="215"/>
        <v>0</v>
      </c>
      <c r="R702" s="4">
        <f t="shared" si="216"/>
        <v>0</v>
      </c>
      <c r="S702" s="4">
        <f>IF(AND(VLOOKUP(G702,Dados!$D:$L,2,0)=VLOOKUP(I702,Dados!$S:$V,2,0),VLOOKUP(G702,Dados!$D:$L,3,0)=VLOOKUP(I702,Dados!$S:$V,3,0)),0,1)</f>
        <v>0</v>
      </c>
      <c r="T702" s="4">
        <f>IF(AND(VLOOKUP(G702,Dados!$D:$L,3,0)&lt;=VLOOKUP(H702,Dados!$X:$AB,2,0),VLOOKUP(G702,Dados!$D:$L,4,0)&gt;=VLOOKUP(H702,Dados!$X:$AB,3,0),VLOOKUP(G702,Dados!$D:$L,4,0)&lt;=VLOOKUP(H702,Dados!$X:$AB,4,0)),0,1)</f>
        <v>0</v>
      </c>
      <c r="U702" s="4">
        <f>IF(COUNTIFS(F:F,F702,H:H,H702)&lt;=VLOOKUP(H702,Dados!$X:$AB,5,0),0,1)</f>
        <v>0</v>
      </c>
    </row>
    <row r="703" spans="6:21">
      <c r="F703" s="4">
        <v>403</v>
      </c>
      <c r="G703" s="4">
        <v>63</v>
      </c>
      <c r="H703" s="4">
        <v>3</v>
      </c>
      <c r="I703" s="4">
        <v>24</v>
      </c>
      <c r="J703" s="4">
        <v>3</v>
      </c>
      <c r="K703" s="4">
        <f t="shared" si="212"/>
        <v>0</v>
      </c>
      <c r="L703" s="4">
        <f t="shared" si="212"/>
        <v>0</v>
      </c>
      <c r="M703" s="4">
        <f t="shared" si="212"/>
        <v>0</v>
      </c>
      <c r="N703" s="4">
        <f t="shared" si="212"/>
        <v>0</v>
      </c>
      <c r="O703" s="4">
        <f t="shared" si="213"/>
        <v>0</v>
      </c>
      <c r="P703" s="4">
        <f t="shared" si="214"/>
        <v>0</v>
      </c>
      <c r="Q703" s="4">
        <f t="shared" si="215"/>
        <v>0</v>
      </c>
      <c r="R703" s="4">
        <f t="shared" si="216"/>
        <v>0</v>
      </c>
      <c r="S703" s="4">
        <f>IF(AND(VLOOKUP(G703,Dados!$D:$L,2,0)=VLOOKUP(I703,Dados!$S:$V,2,0),VLOOKUP(G703,Dados!$D:$L,3,0)=VLOOKUP(I703,Dados!$S:$V,3,0)),0,1)</f>
        <v>0</v>
      </c>
      <c r="T703" s="4">
        <f>IF(AND(VLOOKUP(G703,Dados!$D:$L,3,0)&lt;=VLOOKUP(H703,Dados!$X:$AB,2,0),VLOOKUP(G703,Dados!$D:$L,4,0)&gt;=VLOOKUP(H703,Dados!$X:$AB,3,0),VLOOKUP(G703,Dados!$D:$L,4,0)&lt;=VLOOKUP(H703,Dados!$X:$AB,4,0)),0,1)</f>
        <v>0</v>
      </c>
      <c r="U703" s="4">
        <f>IF(COUNTIFS(F:F,F703,H:H,H703)&lt;=VLOOKUP(H703,Dados!$X:$AB,5,0),0,1)</f>
        <v>0</v>
      </c>
    </row>
    <row r="704" spans="6:21">
      <c r="F704" s="4">
        <v>403</v>
      </c>
      <c r="G704" s="4">
        <v>66</v>
      </c>
      <c r="H704" s="4">
        <v>3</v>
      </c>
      <c r="I704" s="4">
        <v>24</v>
      </c>
      <c r="J704" s="4">
        <v>2</v>
      </c>
      <c r="K704" s="4">
        <f t="shared" si="212"/>
        <v>0</v>
      </c>
      <c r="L704" s="4">
        <f t="shared" si="212"/>
        <v>0</v>
      </c>
      <c r="M704" s="4">
        <f t="shared" si="212"/>
        <v>0</v>
      </c>
      <c r="N704" s="4">
        <f t="shared" si="212"/>
        <v>0</v>
      </c>
      <c r="O704" s="4">
        <f t="shared" si="213"/>
        <v>0</v>
      </c>
      <c r="P704" s="4">
        <f t="shared" si="214"/>
        <v>0</v>
      </c>
      <c r="Q704" s="4">
        <f t="shared" si="215"/>
        <v>0</v>
      </c>
      <c r="R704" s="4">
        <f t="shared" si="216"/>
        <v>0</v>
      </c>
      <c r="S704" s="4">
        <f>IF(AND(VLOOKUP(G704,Dados!$D:$L,2,0)=VLOOKUP(I704,Dados!$S:$V,2,0),VLOOKUP(G704,Dados!$D:$L,3,0)=VLOOKUP(I704,Dados!$S:$V,3,0)),0,1)</f>
        <v>0</v>
      </c>
      <c r="T704" s="4">
        <f>IF(AND(VLOOKUP(G704,Dados!$D:$L,3,0)&lt;=VLOOKUP(H704,Dados!$X:$AB,2,0),VLOOKUP(G704,Dados!$D:$L,4,0)&gt;=VLOOKUP(H704,Dados!$X:$AB,3,0),VLOOKUP(G704,Dados!$D:$L,4,0)&lt;=VLOOKUP(H704,Dados!$X:$AB,4,0)),0,1)</f>
        <v>0</v>
      </c>
      <c r="U704" s="4">
        <f>IF(COUNTIFS(F:F,F704,H:H,H704)&lt;=VLOOKUP(H704,Dados!$X:$AB,5,0),0,1)</f>
        <v>0</v>
      </c>
    </row>
    <row r="705" spans="6:21">
      <c r="F705" s="4">
        <v>404</v>
      </c>
      <c r="G705" s="4">
        <v>62</v>
      </c>
      <c r="H705" s="4">
        <v>1</v>
      </c>
      <c r="I705" s="4">
        <v>25</v>
      </c>
      <c r="J705" s="4">
        <v>8</v>
      </c>
      <c r="K705" s="4">
        <f t="shared" si="212"/>
        <v>0</v>
      </c>
      <c r="L705" s="4">
        <f t="shared" si="212"/>
        <v>0</v>
      </c>
      <c r="M705" s="4">
        <f t="shared" si="212"/>
        <v>0</v>
      </c>
      <c r="N705" s="4">
        <f t="shared" si="212"/>
        <v>0</v>
      </c>
      <c r="O705" s="4">
        <f t="shared" si="213"/>
        <v>0</v>
      </c>
      <c r="P705" s="4">
        <f t="shared" si="214"/>
        <v>0</v>
      </c>
      <c r="Q705" s="4">
        <f t="shared" si="215"/>
        <v>0</v>
      </c>
      <c r="R705" s="4">
        <f t="shared" si="216"/>
        <v>0</v>
      </c>
      <c r="S705" s="4">
        <f>IF(AND(VLOOKUP(G705,Dados!$D:$L,2,0)=VLOOKUP(I705,Dados!$S:$V,2,0),VLOOKUP(G705,Dados!$D:$L,3,0)=VLOOKUP(I705,Dados!$S:$V,3,0)),0,1)</f>
        <v>0</v>
      </c>
      <c r="T705" s="4">
        <f>IF(AND(VLOOKUP(G705,Dados!$D:$L,3,0)&lt;=VLOOKUP(H705,Dados!$X:$AB,2,0),VLOOKUP(G705,Dados!$D:$L,4,0)&gt;=VLOOKUP(H705,Dados!$X:$AB,3,0),VLOOKUP(G705,Dados!$D:$L,4,0)&lt;=VLOOKUP(H705,Dados!$X:$AB,4,0)),0,1)</f>
        <v>0</v>
      </c>
      <c r="U705" s="4">
        <f>IF(COUNTIFS(F:F,F705,H:H,H705)&lt;=VLOOKUP(H705,Dados!$X:$AB,5,0),0,1)</f>
        <v>0</v>
      </c>
    </row>
    <row r="706" spans="6:21">
      <c r="F706" s="4">
        <v>404</v>
      </c>
      <c r="G706" s="4">
        <v>67</v>
      </c>
      <c r="H706" s="4">
        <v>1</v>
      </c>
      <c r="I706" s="4">
        <v>25</v>
      </c>
      <c r="J706" s="4">
        <v>1</v>
      </c>
      <c r="K706" s="4">
        <f t="shared" si="212"/>
        <v>0</v>
      </c>
      <c r="L706" s="4">
        <f t="shared" si="212"/>
        <v>0</v>
      </c>
      <c r="M706" s="4">
        <f t="shared" si="212"/>
        <v>0</v>
      </c>
      <c r="N706" s="4">
        <f t="shared" si="212"/>
        <v>0</v>
      </c>
      <c r="O706" s="4">
        <f t="shared" si="213"/>
        <v>0</v>
      </c>
      <c r="P706" s="4">
        <f t="shared" si="214"/>
        <v>0</v>
      </c>
      <c r="Q706" s="4">
        <f t="shared" si="215"/>
        <v>0</v>
      </c>
      <c r="R706" s="4">
        <f t="shared" si="216"/>
        <v>0</v>
      </c>
      <c r="S706" s="4">
        <f>IF(AND(VLOOKUP(G706,Dados!$D:$L,2,0)=VLOOKUP(I706,Dados!$S:$V,2,0),VLOOKUP(G706,Dados!$D:$L,3,0)=VLOOKUP(I706,Dados!$S:$V,3,0)),0,1)</f>
        <v>0</v>
      </c>
      <c r="T706" s="4">
        <f>IF(AND(VLOOKUP(G706,Dados!$D:$L,3,0)&lt;=VLOOKUP(H706,Dados!$X:$AB,2,0),VLOOKUP(G706,Dados!$D:$L,4,0)&gt;=VLOOKUP(H706,Dados!$X:$AB,3,0),VLOOKUP(G706,Dados!$D:$L,4,0)&lt;=VLOOKUP(H706,Dados!$X:$AB,4,0)),0,1)</f>
        <v>0</v>
      </c>
      <c r="U706" s="4">
        <f>IF(COUNTIFS(F:F,F706,H:H,H706)&lt;=VLOOKUP(H706,Dados!$X:$AB,5,0),0,1)</f>
        <v>0</v>
      </c>
    </row>
    <row r="707" spans="6:21">
      <c r="F707" s="4">
        <v>405</v>
      </c>
      <c r="G707" s="4">
        <v>62</v>
      </c>
      <c r="H707" s="4">
        <v>2</v>
      </c>
      <c r="I707" s="4">
        <v>25</v>
      </c>
      <c r="J707" s="4">
        <v>8</v>
      </c>
      <c r="K707" s="4">
        <f t="shared" si="212"/>
        <v>0</v>
      </c>
      <c r="L707" s="4">
        <f t="shared" si="212"/>
        <v>0</v>
      </c>
      <c r="M707" s="4">
        <f t="shared" si="212"/>
        <v>0</v>
      </c>
      <c r="N707" s="4">
        <f t="shared" si="212"/>
        <v>0</v>
      </c>
      <c r="O707" s="4">
        <f t="shared" si="213"/>
        <v>0</v>
      </c>
      <c r="P707" s="4">
        <f t="shared" si="214"/>
        <v>0</v>
      </c>
      <c r="Q707" s="4">
        <f t="shared" si="215"/>
        <v>0</v>
      </c>
      <c r="R707" s="4">
        <f t="shared" si="216"/>
        <v>0</v>
      </c>
      <c r="S707" s="4">
        <f>IF(AND(VLOOKUP(G707,Dados!$D:$L,2,0)=VLOOKUP(I707,Dados!$S:$V,2,0),VLOOKUP(G707,Dados!$D:$L,3,0)=VLOOKUP(I707,Dados!$S:$V,3,0)),0,1)</f>
        <v>0</v>
      </c>
      <c r="T707" s="4">
        <f>IF(AND(VLOOKUP(G707,Dados!$D:$L,3,0)&lt;=VLOOKUP(H707,Dados!$X:$AB,2,0),VLOOKUP(G707,Dados!$D:$L,4,0)&gt;=VLOOKUP(H707,Dados!$X:$AB,3,0),VLOOKUP(G707,Dados!$D:$L,4,0)&lt;=VLOOKUP(H707,Dados!$X:$AB,4,0)),0,1)</f>
        <v>0</v>
      </c>
      <c r="U707" s="4">
        <f>IF(COUNTIFS(F:F,F707,H:H,H707)&lt;=VLOOKUP(H707,Dados!$X:$AB,5,0),0,1)</f>
        <v>0</v>
      </c>
    </row>
    <row r="708" spans="6:21">
      <c r="F708" s="4">
        <v>405</v>
      </c>
      <c r="G708" s="4">
        <v>67</v>
      </c>
      <c r="H708" s="4">
        <v>2</v>
      </c>
      <c r="I708" s="4">
        <v>25</v>
      </c>
      <c r="J708" s="4">
        <v>1</v>
      </c>
      <c r="K708" s="4">
        <f t="shared" si="212"/>
        <v>0</v>
      </c>
      <c r="L708" s="4">
        <f t="shared" si="212"/>
        <v>0</v>
      </c>
      <c r="M708" s="4">
        <f t="shared" si="212"/>
        <v>0</v>
      </c>
      <c r="N708" s="4">
        <f t="shared" si="212"/>
        <v>0</v>
      </c>
      <c r="O708" s="4">
        <f t="shared" si="213"/>
        <v>0</v>
      </c>
      <c r="P708" s="4">
        <f t="shared" si="214"/>
        <v>0</v>
      </c>
      <c r="Q708" s="4">
        <f t="shared" si="215"/>
        <v>0</v>
      </c>
      <c r="R708" s="4">
        <f t="shared" si="216"/>
        <v>0</v>
      </c>
      <c r="S708" s="4">
        <f>IF(AND(VLOOKUP(G708,Dados!$D:$L,2,0)=VLOOKUP(I708,Dados!$S:$V,2,0),VLOOKUP(G708,Dados!$D:$L,3,0)=VLOOKUP(I708,Dados!$S:$V,3,0)),0,1)</f>
        <v>0</v>
      </c>
      <c r="T708" s="4">
        <f>IF(AND(VLOOKUP(G708,Dados!$D:$L,3,0)&lt;=VLOOKUP(H708,Dados!$X:$AB,2,0),VLOOKUP(G708,Dados!$D:$L,4,0)&gt;=VLOOKUP(H708,Dados!$X:$AB,3,0),VLOOKUP(G708,Dados!$D:$L,4,0)&lt;=VLOOKUP(H708,Dados!$X:$AB,4,0)),0,1)</f>
        <v>0</v>
      </c>
      <c r="U708" s="4">
        <f>IF(COUNTIFS(F:F,F708,H:H,H708)&lt;=VLOOKUP(H708,Dados!$X:$AB,5,0),0,1)</f>
        <v>0</v>
      </c>
    </row>
    <row r="709" spans="6:21">
      <c r="F709" s="4">
        <v>406</v>
      </c>
      <c r="G709" s="4">
        <v>62</v>
      </c>
      <c r="H709" s="4">
        <v>3</v>
      </c>
      <c r="I709" s="4">
        <v>25</v>
      </c>
      <c r="J709" s="4">
        <v>8</v>
      </c>
      <c r="K709" s="4">
        <f t="shared" si="212"/>
        <v>0</v>
      </c>
      <c r="L709" s="4">
        <f t="shared" si="212"/>
        <v>0</v>
      </c>
      <c r="M709" s="4">
        <f t="shared" si="212"/>
        <v>0</v>
      </c>
      <c r="N709" s="4">
        <f t="shared" si="212"/>
        <v>0</v>
      </c>
      <c r="O709" s="4">
        <f t="shared" si="213"/>
        <v>0</v>
      </c>
      <c r="P709" s="4">
        <f t="shared" si="214"/>
        <v>0</v>
      </c>
      <c r="Q709" s="4">
        <f t="shared" si="215"/>
        <v>0</v>
      </c>
      <c r="R709" s="4">
        <f t="shared" si="216"/>
        <v>0</v>
      </c>
      <c r="S709" s="4">
        <f>IF(AND(VLOOKUP(G709,Dados!$D:$L,2,0)=VLOOKUP(I709,Dados!$S:$V,2,0),VLOOKUP(G709,Dados!$D:$L,3,0)=VLOOKUP(I709,Dados!$S:$V,3,0)),0,1)</f>
        <v>0</v>
      </c>
      <c r="T709" s="4">
        <f>IF(AND(VLOOKUP(G709,Dados!$D:$L,3,0)&lt;=VLOOKUP(H709,Dados!$X:$AB,2,0),VLOOKUP(G709,Dados!$D:$L,4,0)&gt;=VLOOKUP(H709,Dados!$X:$AB,3,0),VLOOKUP(G709,Dados!$D:$L,4,0)&lt;=VLOOKUP(H709,Dados!$X:$AB,4,0)),0,1)</f>
        <v>0</v>
      </c>
      <c r="U709" s="4">
        <f>IF(COUNTIFS(F:F,F709,H:H,H709)&lt;=VLOOKUP(H709,Dados!$X:$AB,5,0),0,1)</f>
        <v>0</v>
      </c>
    </row>
    <row r="710" spans="6:21">
      <c r="F710" s="4">
        <v>406</v>
      </c>
      <c r="G710" s="4">
        <v>67</v>
      </c>
      <c r="H710" s="4">
        <v>3</v>
      </c>
      <c r="I710" s="4">
        <v>25</v>
      </c>
      <c r="J710" s="4">
        <v>1</v>
      </c>
      <c r="K710" s="4">
        <f t="shared" si="212"/>
        <v>0</v>
      </c>
      <c r="L710" s="4">
        <f t="shared" si="212"/>
        <v>0</v>
      </c>
      <c r="M710" s="4">
        <f t="shared" si="212"/>
        <v>0</v>
      </c>
      <c r="N710" s="4">
        <f t="shared" si="212"/>
        <v>0</v>
      </c>
      <c r="O710" s="4">
        <f t="shared" si="213"/>
        <v>0</v>
      </c>
      <c r="P710" s="4">
        <f t="shared" si="214"/>
        <v>0</v>
      </c>
      <c r="Q710" s="4">
        <f t="shared" si="215"/>
        <v>0</v>
      </c>
      <c r="R710" s="4">
        <f t="shared" si="216"/>
        <v>0</v>
      </c>
      <c r="S710" s="4">
        <f>IF(AND(VLOOKUP(G710,Dados!$D:$L,2,0)=VLOOKUP(I710,Dados!$S:$V,2,0),VLOOKUP(G710,Dados!$D:$L,3,0)=VLOOKUP(I710,Dados!$S:$V,3,0)),0,1)</f>
        <v>0</v>
      </c>
      <c r="T710" s="4">
        <f>IF(AND(VLOOKUP(G710,Dados!$D:$L,3,0)&lt;=VLOOKUP(H710,Dados!$X:$AB,2,0),VLOOKUP(G710,Dados!$D:$L,4,0)&gt;=VLOOKUP(H710,Dados!$X:$AB,3,0),VLOOKUP(G710,Dados!$D:$L,4,0)&lt;=VLOOKUP(H710,Dados!$X:$AB,4,0)),0,1)</f>
        <v>0</v>
      </c>
      <c r="U710" s="4">
        <f>IF(COUNTIFS(F:F,F710,H:H,H710)&lt;=VLOOKUP(H710,Dados!$X:$AB,5,0),0,1)</f>
        <v>0</v>
      </c>
    </row>
    <row r="711" spans="6:21">
      <c r="F711" s="4">
        <v>407</v>
      </c>
      <c r="G711" s="4">
        <v>62</v>
      </c>
      <c r="H711" s="4">
        <v>1</v>
      </c>
      <c r="I711" s="4">
        <v>26</v>
      </c>
      <c r="J711" s="4">
        <v>5</v>
      </c>
      <c r="K711" s="4">
        <f t="shared" si="212"/>
        <v>0</v>
      </c>
      <c r="L711" s="4">
        <f t="shared" si="212"/>
        <v>0</v>
      </c>
      <c r="M711" s="4">
        <f t="shared" si="212"/>
        <v>0</v>
      </c>
      <c r="N711" s="4">
        <f t="shared" si="212"/>
        <v>0</v>
      </c>
      <c r="O711" s="4">
        <f t="shared" si="213"/>
        <v>0</v>
      </c>
      <c r="P711" s="4">
        <f t="shared" si="214"/>
        <v>0</v>
      </c>
      <c r="Q711" s="4">
        <f t="shared" si="215"/>
        <v>0</v>
      </c>
      <c r="R711" s="4">
        <f t="shared" si="216"/>
        <v>0</v>
      </c>
      <c r="S711" s="4">
        <f>IF(AND(VLOOKUP(G711,Dados!$D:$L,2,0)=VLOOKUP(I711,Dados!$S:$V,2,0),VLOOKUP(G711,Dados!$D:$L,3,0)=VLOOKUP(I711,Dados!$S:$V,3,0)),0,1)</f>
        <v>0</v>
      </c>
      <c r="T711" s="4">
        <f>IF(AND(VLOOKUP(G711,Dados!$D:$L,3,0)&lt;=VLOOKUP(H711,Dados!$X:$AB,2,0),VLOOKUP(G711,Dados!$D:$L,4,0)&gt;=VLOOKUP(H711,Dados!$X:$AB,3,0),VLOOKUP(G711,Dados!$D:$L,4,0)&lt;=VLOOKUP(H711,Dados!$X:$AB,4,0)),0,1)</f>
        <v>0</v>
      </c>
      <c r="U711" s="4">
        <f>IF(COUNTIFS(F:F,F711,H:H,H711)&lt;=VLOOKUP(H711,Dados!$X:$AB,5,0),0,1)</f>
        <v>0</v>
      </c>
    </row>
    <row r="712" spans="6:21">
      <c r="F712" s="4">
        <v>407</v>
      </c>
      <c r="G712" s="4">
        <v>63</v>
      </c>
      <c r="H712" s="4">
        <v>1</v>
      </c>
      <c r="I712" s="4">
        <v>26</v>
      </c>
      <c r="J712" s="4">
        <v>1</v>
      </c>
      <c r="K712" s="4">
        <f t="shared" si="212"/>
        <v>0</v>
      </c>
      <c r="L712" s="4">
        <f t="shared" si="212"/>
        <v>0</v>
      </c>
      <c r="M712" s="4">
        <f t="shared" si="212"/>
        <v>0</v>
      </c>
      <c r="N712" s="4">
        <f t="shared" si="212"/>
        <v>0</v>
      </c>
      <c r="O712" s="4">
        <f t="shared" si="213"/>
        <v>0</v>
      </c>
      <c r="P712" s="4">
        <f t="shared" si="214"/>
        <v>0</v>
      </c>
      <c r="Q712" s="4">
        <f t="shared" si="215"/>
        <v>0</v>
      </c>
      <c r="R712" s="4">
        <f t="shared" si="216"/>
        <v>0</v>
      </c>
      <c r="S712" s="4">
        <f>IF(AND(VLOOKUP(G712,Dados!$D:$L,2,0)=VLOOKUP(I712,Dados!$S:$V,2,0),VLOOKUP(G712,Dados!$D:$L,3,0)=VLOOKUP(I712,Dados!$S:$V,3,0)),0,1)</f>
        <v>0</v>
      </c>
      <c r="T712" s="4">
        <f>IF(AND(VLOOKUP(G712,Dados!$D:$L,3,0)&lt;=VLOOKUP(H712,Dados!$X:$AB,2,0),VLOOKUP(G712,Dados!$D:$L,4,0)&gt;=VLOOKUP(H712,Dados!$X:$AB,3,0),VLOOKUP(G712,Dados!$D:$L,4,0)&lt;=VLOOKUP(H712,Dados!$X:$AB,4,0)),0,1)</f>
        <v>0</v>
      </c>
      <c r="U712" s="4">
        <f>IF(COUNTIFS(F:F,F712,H:H,H712)&lt;=VLOOKUP(H712,Dados!$X:$AB,5,0),0,1)</f>
        <v>0</v>
      </c>
    </row>
    <row r="713" spans="6:21">
      <c r="F713" s="4">
        <v>407</v>
      </c>
      <c r="G713" s="4">
        <v>66</v>
      </c>
      <c r="H713" s="4">
        <v>1</v>
      </c>
      <c r="I713" s="4">
        <v>26</v>
      </c>
      <c r="J713" s="4">
        <v>2</v>
      </c>
      <c r="K713" s="4">
        <f t="shared" si="212"/>
        <v>0</v>
      </c>
      <c r="L713" s="4">
        <f t="shared" si="212"/>
        <v>0</v>
      </c>
      <c r="M713" s="4">
        <f t="shared" si="212"/>
        <v>0</v>
      </c>
      <c r="N713" s="4">
        <f t="shared" si="212"/>
        <v>0</v>
      </c>
      <c r="O713" s="4">
        <f t="shared" si="213"/>
        <v>0</v>
      </c>
      <c r="P713" s="4">
        <f t="shared" si="214"/>
        <v>0</v>
      </c>
      <c r="Q713" s="4">
        <f t="shared" si="215"/>
        <v>0</v>
      </c>
      <c r="R713" s="4">
        <f t="shared" si="216"/>
        <v>0</v>
      </c>
      <c r="S713" s="4">
        <f>IF(AND(VLOOKUP(G713,Dados!$D:$L,2,0)=VLOOKUP(I713,Dados!$S:$V,2,0),VLOOKUP(G713,Dados!$D:$L,3,0)=VLOOKUP(I713,Dados!$S:$V,3,0)),0,1)</f>
        <v>0</v>
      </c>
      <c r="T713" s="4">
        <f>IF(AND(VLOOKUP(G713,Dados!$D:$L,3,0)&lt;=VLOOKUP(H713,Dados!$X:$AB,2,0),VLOOKUP(G713,Dados!$D:$L,4,0)&gt;=VLOOKUP(H713,Dados!$X:$AB,3,0),VLOOKUP(G713,Dados!$D:$L,4,0)&lt;=VLOOKUP(H713,Dados!$X:$AB,4,0)),0,1)</f>
        <v>0</v>
      </c>
      <c r="U713" s="4">
        <f>IF(COUNTIFS(F:F,F713,H:H,H713)&lt;=VLOOKUP(H713,Dados!$X:$AB,5,0),0,1)</f>
        <v>0</v>
      </c>
    </row>
    <row r="714" spans="6:21">
      <c r="F714" s="4">
        <v>408</v>
      </c>
      <c r="G714" s="4">
        <v>62</v>
      </c>
      <c r="H714" s="4">
        <v>2</v>
      </c>
      <c r="I714" s="4">
        <v>26</v>
      </c>
      <c r="J714" s="4">
        <v>5</v>
      </c>
      <c r="K714" s="4">
        <f t="shared" si="212"/>
        <v>0</v>
      </c>
      <c r="L714" s="4">
        <f t="shared" si="212"/>
        <v>0</v>
      </c>
      <c r="M714" s="4">
        <f t="shared" si="212"/>
        <v>0</v>
      </c>
      <c r="N714" s="4">
        <f t="shared" si="212"/>
        <v>0</v>
      </c>
      <c r="O714" s="4">
        <f t="shared" si="213"/>
        <v>0</v>
      </c>
      <c r="P714" s="4">
        <f t="shared" si="214"/>
        <v>0</v>
      </c>
      <c r="Q714" s="4">
        <f t="shared" si="215"/>
        <v>0</v>
      </c>
      <c r="R714" s="4">
        <f t="shared" si="216"/>
        <v>0</v>
      </c>
      <c r="S714" s="4">
        <f>IF(AND(VLOOKUP(G714,Dados!$D:$L,2,0)=VLOOKUP(I714,Dados!$S:$V,2,0),VLOOKUP(G714,Dados!$D:$L,3,0)=VLOOKUP(I714,Dados!$S:$V,3,0)),0,1)</f>
        <v>0</v>
      </c>
      <c r="T714" s="4">
        <f>IF(AND(VLOOKUP(G714,Dados!$D:$L,3,0)&lt;=VLOOKUP(H714,Dados!$X:$AB,2,0),VLOOKUP(G714,Dados!$D:$L,4,0)&gt;=VLOOKUP(H714,Dados!$X:$AB,3,0),VLOOKUP(G714,Dados!$D:$L,4,0)&lt;=VLOOKUP(H714,Dados!$X:$AB,4,0)),0,1)</f>
        <v>0</v>
      </c>
      <c r="U714" s="4">
        <f>IF(COUNTIFS(F:F,F714,H:H,H714)&lt;=VLOOKUP(H714,Dados!$X:$AB,5,0),0,1)</f>
        <v>0</v>
      </c>
    </row>
    <row r="715" spans="6:21">
      <c r="F715" s="4">
        <v>408</v>
      </c>
      <c r="G715" s="4">
        <v>63</v>
      </c>
      <c r="H715" s="4">
        <v>2</v>
      </c>
      <c r="I715" s="4">
        <v>26</v>
      </c>
      <c r="J715" s="4">
        <v>1</v>
      </c>
      <c r="K715" s="4">
        <f t="shared" si="212"/>
        <v>0</v>
      </c>
      <c r="L715" s="4">
        <f t="shared" si="212"/>
        <v>0</v>
      </c>
      <c r="M715" s="4">
        <f t="shared" si="212"/>
        <v>0</v>
      </c>
      <c r="N715" s="4">
        <f t="shared" si="212"/>
        <v>0</v>
      </c>
      <c r="O715" s="4">
        <f t="shared" si="213"/>
        <v>0</v>
      </c>
      <c r="P715" s="4">
        <f t="shared" si="214"/>
        <v>0</v>
      </c>
      <c r="Q715" s="4">
        <f t="shared" si="215"/>
        <v>0</v>
      </c>
      <c r="R715" s="4">
        <f t="shared" si="216"/>
        <v>0</v>
      </c>
      <c r="S715" s="4">
        <f>IF(AND(VLOOKUP(G715,Dados!$D:$L,2,0)=VLOOKUP(I715,Dados!$S:$V,2,0),VLOOKUP(G715,Dados!$D:$L,3,0)=VLOOKUP(I715,Dados!$S:$V,3,0)),0,1)</f>
        <v>0</v>
      </c>
      <c r="T715" s="4">
        <f>IF(AND(VLOOKUP(G715,Dados!$D:$L,3,0)&lt;=VLOOKUP(H715,Dados!$X:$AB,2,0),VLOOKUP(G715,Dados!$D:$L,4,0)&gt;=VLOOKUP(H715,Dados!$X:$AB,3,0),VLOOKUP(G715,Dados!$D:$L,4,0)&lt;=VLOOKUP(H715,Dados!$X:$AB,4,0)),0,1)</f>
        <v>0</v>
      </c>
      <c r="U715" s="4">
        <f>IF(COUNTIFS(F:F,F715,H:H,H715)&lt;=VLOOKUP(H715,Dados!$X:$AB,5,0),0,1)</f>
        <v>0</v>
      </c>
    </row>
    <row r="716" spans="6:21">
      <c r="F716" s="4">
        <v>408</v>
      </c>
      <c r="G716" s="4">
        <v>66</v>
      </c>
      <c r="H716" s="4">
        <v>2</v>
      </c>
      <c r="I716" s="4">
        <v>26</v>
      </c>
      <c r="J716" s="4">
        <v>2</v>
      </c>
      <c r="K716" s="4">
        <f t="shared" si="212"/>
        <v>0</v>
      </c>
      <c r="L716" s="4">
        <f t="shared" si="212"/>
        <v>0</v>
      </c>
      <c r="M716" s="4">
        <f t="shared" si="212"/>
        <v>0</v>
      </c>
      <c r="N716" s="4">
        <f t="shared" si="212"/>
        <v>0</v>
      </c>
      <c r="O716" s="4">
        <f t="shared" si="213"/>
        <v>0</v>
      </c>
      <c r="P716" s="4">
        <f t="shared" si="214"/>
        <v>0</v>
      </c>
      <c r="Q716" s="4">
        <f t="shared" si="215"/>
        <v>0</v>
      </c>
      <c r="R716" s="4">
        <f t="shared" si="216"/>
        <v>0</v>
      </c>
      <c r="S716" s="4">
        <f>IF(AND(VLOOKUP(G716,Dados!$D:$L,2,0)=VLOOKUP(I716,Dados!$S:$V,2,0),VLOOKUP(G716,Dados!$D:$L,3,0)=VLOOKUP(I716,Dados!$S:$V,3,0)),0,1)</f>
        <v>0</v>
      </c>
      <c r="T716" s="4">
        <f>IF(AND(VLOOKUP(G716,Dados!$D:$L,3,0)&lt;=VLOOKUP(H716,Dados!$X:$AB,2,0),VLOOKUP(G716,Dados!$D:$L,4,0)&gt;=VLOOKUP(H716,Dados!$X:$AB,3,0),VLOOKUP(G716,Dados!$D:$L,4,0)&lt;=VLOOKUP(H716,Dados!$X:$AB,4,0)),0,1)</f>
        <v>0</v>
      </c>
      <c r="U716" s="4">
        <f>IF(COUNTIFS(F:F,F716,H:H,H716)&lt;=VLOOKUP(H716,Dados!$X:$AB,5,0),0,1)</f>
        <v>0</v>
      </c>
    </row>
    <row r="717" spans="6:21">
      <c r="F717" s="4">
        <v>409</v>
      </c>
      <c r="G717" s="4">
        <v>62</v>
      </c>
      <c r="H717" s="4">
        <v>3</v>
      </c>
      <c r="I717" s="4">
        <v>26</v>
      </c>
      <c r="J717" s="4">
        <v>5</v>
      </c>
      <c r="K717" s="4">
        <f t="shared" si="212"/>
        <v>0</v>
      </c>
      <c r="L717" s="4">
        <f t="shared" si="212"/>
        <v>0</v>
      </c>
      <c r="M717" s="4">
        <f t="shared" si="212"/>
        <v>0</v>
      </c>
      <c r="N717" s="4">
        <f t="shared" si="212"/>
        <v>0</v>
      </c>
      <c r="O717" s="4">
        <f t="shared" si="213"/>
        <v>0</v>
      </c>
      <c r="P717" s="4">
        <f t="shared" si="214"/>
        <v>0</v>
      </c>
      <c r="Q717" s="4">
        <f t="shared" si="215"/>
        <v>0</v>
      </c>
      <c r="R717" s="4">
        <f t="shared" si="216"/>
        <v>0</v>
      </c>
      <c r="S717" s="4">
        <f>IF(AND(VLOOKUP(G717,Dados!$D:$L,2,0)=VLOOKUP(I717,Dados!$S:$V,2,0),VLOOKUP(G717,Dados!$D:$L,3,0)=VLOOKUP(I717,Dados!$S:$V,3,0)),0,1)</f>
        <v>0</v>
      </c>
      <c r="T717" s="4">
        <f>IF(AND(VLOOKUP(G717,Dados!$D:$L,3,0)&lt;=VLOOKUP(H717,Dados!$X:$AB,2,0),VLOOKUP(G717,Dados!$D:$L,4,0)&gt;=VLOOKUP(H717,Dados!$X:$AB,3,0),VLOOKUP(G717,Dados!$D:$L,4,0)&lt;=VLOOKUP(H717,Dados!$X:$AB,4,0)),0,1)</f>
        <v>0</v>
      </c>
      <c r="U717" s="4">
        <f>IF(COUNTIFS(F:F,F717,H:H,H717)&lt;=VLOOKUP(H717,Dados!$X:$AB,5,0),0,1)</f>
        <v>0</v>
      </c>
    </row>
    <row r="718" spans="6:21">
      <c r="F718" s="4">
        <v>409</v>
      </c>
      <c r="G718" s="4">
        <v>63</v>
      </c>
      <c r="H718" s="4">
        <v>3</v>
      </c>
      <c r="I718" s="4">
        <v>26</v>
      </c>
      <c r="J718" s="4">
        <v>1</v>
      </c>
      <c r="K718" s="4">
        <f t="shared" si="212"/>
        <v>0</v>
      </c>
      <c r="L718" s="4">
        <f t="shared" si="212"/>
        <v>0</v>
      </c>
      <c r="M718" s="4">
        <f t="shared" si="212"/>
        <v>0</v>
      </c>
      <c r="N718" s="4">
        <f t="shared" si="212"/>
        <v>0</v>
      </c>
      <c r="O718" s="4">
        <f t="shared" si="213"/>
        <v>0</v>
      </c>
      <c r="P718" s="4">
        <f t="shared" si="214"/>
        <v>0</v>
      </c>
      <c r="Q718" s="4">
        <f t="shared" si="215"/>
        <v>0</v>
      </c>
      <c r="R718" s="4">
        <f t="shared" si="216"/>
        <v>0</v>
      </c>
      <c r="S718" s="4">
        <f>IF(AND(VLOOKUP(G718,Dados!$D:$L,2,0)=VLOOKUP(I718,Dados!$S:$V,2,0),VLOOKUP(G718,Dados!$D:$L,3,0)=VLOOKUP(I718,Dados!$S:$V,3,0)),0,1)</f>
        <v>0</v>
      </c>
      <c r="T718" s="4">
        <f>IF(AND(VLOOKUP(G718,Dados!$D:$L,3,0)&lt;=VLOOKUP(H718,Dados!$X:$AB,2,0),VLOOKUP(G718,Dados!$D:$L,4,0)&gt;=VLOOKUP(H718,Dados!$X:$AB,3,0),VLOOKUP(G718,Dados!$D:$L,4,0)&lt;=VLOOKUP(H718,Dados!$X:$AB,4,0)),0,1)</f>
        <v>0</v>
      </c>
      <c r="U718" s="4">
        <f>IF(COUNTIFS(F:F,F718,H:H,H718)&lt;=VLOOKUP(H718,Dados!$X:$AB,5,0),0,1)</f>
        <v>0</v>
      </c>
    </row>
    <row r="719" spans="6:21">
      <c r="F719" s="4">
        <v>409</v>
      </c>
      <c r="G719" s="4">
        <v>66</v>
      </c>
      <c r="H719" s="4">
        <v>3</v>
      </c>
      <c r="I719" s="4">
        <v>26</v>
      </c>
      <c r="J719" s="4">
        <v>2</v>
      </c>
      <c r="K719" s="4">
        <f t="shared" si="212"/>
        <v>0</v>
      </c>
      <c r="L719" s="4">
        <f t="shared" si="212"/>
        <v>0</v>
      </c>
      <c r="M719" s="4">
        <f t="shared" si="212"/>
        <v>0</v>
      </c>
      <c r="N719" s="4">
        <f t="shared" si="212"/>
        <v>0</v>
      </c>
      <c r="O719" s="4">
        <f t="shared" si="213"/>
        <v>0</v>
      </c>
      <c r="P719" s="4">
        <f t="shared" si="214"/>
        <v>0</v>
      </c>
      <c r="Q719" s="4">
        <f t="shared" si="215"/>
        <v>0</v>
      </c>
      <c r="R719" s="4">
        <f t="shared" si="216"/>
        <v>0</v>
      </c>
      <c r="S719" s="4">
        <f>IF(AND(VLOOKUP(G719,Dados!$D:$L,2,0)=VLOOKUP(I719,Dados!$S:$V,2,0),VLOOKUP(G719,Dados!$D:$L,3,0)=VLOOKUP(I719,Dados!$S:$V,3,0)),0,1)</f>
        <v>0</v>
      </c>
      <c r="T719" s="4">
        <f>IF(AND(VLOOKUP(G719,Dados!$D:$L,3,0)&lt;=VLOOKUP(H719,Dados!$X:$AB,2,0),VLOOKUP(G719,Dados!$D:$L,4,0)&gt;=VLOOKUP(H719,Dados!$X:$AB,3,0),VLOOKUP(G719,Dados!$D:$L,4,0)&lt;=VLOOKUP(H719,Dados!$X:$AB,4,0)),0,1)</f>
        <v>0</v>
      </c>
      <c r="U719" s="4">
        <f>IF(COUNTIFS(F:F,F719,H:H,H719)&lt;=VLOOKUP(H719,Dados!$X:$AB,5,0),0,1)</f>
        <v>0</v>
      </c>
    </row>
    <row r="720" spans="6:21">
      <c r="F720" s="4">
        <v>410</v>
      </c>
      <c r="G720" s="4">
        <v>62</v>
      </c>
      <c r="H720" s="4">
        <v>1</v>
      </c>
      <c r="I720" s="4">
        <v>27</v>
      </c>
      <c r="J720" s="4">
        <v>7</v>
      </c>
      <c r="K720" s="4">
        <f t="shared" si="212"/>
        <v>0</v>
      </c>
      <c r="L720" s="4">
        <f t="shared" si="212"/>
        <v>0</v>
      </c>
      <c r="M720" s="4">
        <f t="shared" si="212"/>
        <v>0</v>
      </c>
      <c r="N720" s="4">
        <f t="shared" si="212"/>
        <v>0</v>
      </c>
      <c r="O720" s="4">
        <f t="shared" si="213"/>
        <v>0</v>
      </c>
      <c r="P720" s="4">
        <f t="shared" si="214"/>
        <v>0</v>
      </c>
      <c r="Q720" s="4">
        <f t="shared" si="215"/>
        <v>0</v>
      </c>
      <c r="R720" s="4">
        <f t="shared" si="216"/>
        <v>0</v>
      </c>
      <c r="S720" s="4">
        <f>IF(AND(VLOOKUP(G720,Dados!$D:$L,2,0)=VLOOKUP(I720,Dados!$S:$V,2,0),VLOOKUP(G720,Dados!$D:$L,3,0)=VLOOKUP(I720,Dados!$S:$V,3,0)),0,1)</f>
        <v>0</v>
      </c>
      <c r="T720" s="4">
        <f>IF(AND(VLOOKUP(G720,Dados!$D:$L,3,0)&lt;=VLOOKUP(H720,Dados!$X:$AB,2,0),VLOOKUP(G720,Dados!$D:$L,4,0)&gt;=VLOOKUP(H720,Dados!$X:$AB,3,0),VLOOKUP(G720,Dados!$D:$L,4,0)&lt;=VLOOKUP(H720,Dados!$X:$AB,4,0)),0,1)</f>
        <v>0</v>
      </c>
      <c r="U720" s="4">
        <f>IF(COUNTIFS(F:F,F720,H:H,H720)&lt;=VLOOKUP(H720,Dados!$X:$AB,5,0),0,1)</f>
        <v>0</v>
      </c>
    </row>
    <row r="721" spans="6:21">
      <c r="F721" s="4">
        <v>410</v>
      </c>
      <c r="G721" s="4">
        <v>63</v>
      </c>
      <c r="H721" s="4">
        <v>1</v>
      </c>
      <c r="I721" s="4">
        <v>27</v>
      </c>
      <c r="J721" s="4">
        <v>2</v>
      </c>
      <c r="K721" s="4">
        <f t="shared" si="212"/>
        <v>0</v>
      </c>
      <c r="L721" s="4">
        <f t="shared" si="212"/>
        <v>0</v>
      </c>
      <c r="M721" s="4">
        <f t="shared" si="212"/>
        <v>0</v>
      </c>
      <c r="N721" s="4">
        <f t="shared" si="212"/>
        <v>0</v>
      </c>
      <c r="O721" s="4">
        <f t="shared" si="213"/>
        <v>0</v>
      </c>
      <c r="P721" s="4">
        <f t="shared" si="214"/>
        <v>0</v>
      </c>
      <c r="Q721" s="4">
        <f t="shared" si="215"/>
        <v>0</v>
      </c>
      <c r="R721" s="4">
        <f t="shared" si="216"/>
        <v>0</v>
      </c>
      <c r="S721" s="4">
        <f>IF(AND(VLOOKUP(G721,Dados!$D:$L,2,0)=VLOOKUP(I721,Dados!$S:$V,2,0),VLOOKUP(G721,Dados!$D:$L,3,0)=VLOOKUP(I721,Dados!$S:$V,3,0)),0,1)</f>
        <v>0</v>
      </c>
      <c r="T721" s="4">
        <f>IF(AND(VLOOKUP(G721,Dados!$D:$L,3,0)&lt;=VLOOKUP(H721,Dados!$X:$AB,2,0),VLOOKUP(G721,Dados!$D:$L,4,0)&gt;=VLOOKUP(H721,Dados!$X:$AB,3,0),VLOOKUP(G721,Dados!$D:$L,4,0)&lt;=VLOOKUP(H721,Dados!$X:$AB,4,0)),0,1)</f>
        <v>0</v>
      </c>
      <c r="U721" s="4">
        <f>IF(COUNTIFS(F:F,F721,H:H,H721)&lt;=VLOOKUP(H721,Dados!$X:$AB,5,0),0,1)</f>
        <v>0</v>
      </c>
    </row>
    <row r="722" spans="6:21">
      <c r="F722" s="4">
        <v>410</v>
      </c>
      <c r="G722" s="4">
        <v>66</v>
      </c>
      <c r="H722" s="4">
        <v>1</v>
      </c>
      <c r="I722" s="4">
        <v>27</v>
      </c>
      <c r="J722" s="4">
        <v>1</v>
      </c>
      <c r="K722" s="4">
        <f t="shared" si="212"/>
        <v>0</v>
      </c>
      <c r="L722" s="4">
        <f t="shared" si="212"/>
        <v>0</v>
      </c>
      <c r="M722" s="4">
        <f t="shared" si="212"/>
        <v>0</v>
      </c>
      <c r="N722" s="4">
        <f t="shared" si="212"/>
        <v>0</v>
      </c>
      <c r="O722" s="4">
        <f t="shared" si="213"/>
        <v>0</v>
      </c>
      <c r="P722" s="4">
        <f t="shared" si="214"/>
        <v>0</v>
      </c>
      <c r="Q722" s="4">
        <f t="shared" si="215"/>
        <v>0</v>
      </c>
      <c r="R722" s="4">
        <f t="shared" si="216"/>
        <v>0</v>
      </c>
      <c r="S722" s="4">
        <f>IF(AND(VLOOKUP(G722,Dados!$D:$L,2,0)=VLOOKUP(I722,Dados!$S:$V,2,0),VLOOKUP(G722,Dados!$D:$L,3,0)=VLOOKUP(I722,Dados!$S:$V,3,0)),0,1)</f>
        <v>0</v>
      </c>
      <c r="T722" s="4">
        <f>IF(AND(VLOOKUP(G722,Dados!$D:$L,3,0)&lt;=VLOOKUP(H722,Dados!$X:$AB,2,0),VLOOKUP(G722,Dados!$D:$L,4,0)&gt;=VLOOKUP(H722,Dados!$X:$AB,3,0),VLOOKUP(G722,Dados!$D:$L,4,0)&lt;=VLOOKUP(H722,Dados!$X:$AB,4,0)),0,1)</f>
        <v>0</v>
      </c>
      <c r="U722" s="4">
        <f>IF(COUNTIFS(F:F,F722,H:H,H722)&lt;=VLOOKUP(H722,Dados!$X:$AB,5,0),0,1)</f>
        <v>0</v>
      </c>
    </row>
    <row r="723" spans="6:21">
      <c r="F723" s="4">
        <v>411</v>
      </c>
      <c r="G723" s="4">
        <v>62</v>
      </c>
      <c r="H723" s="4">
        <v>2</v>
      </c>
      <c r="I723" s="4">
        <v>27</v>
      </c>
      <c r="J723" s="4">
        <v>7</v>
      </c>
      <c r="K723" s="4">
        <f t="shared" si="212"/>
        <v>0</v>
      </c>
      <c r="L723" s="4">
        <f t="shared" si="212"/>
        <v>0</v>
      </c>
      <c r="M723" s="4">
        <f t="shared" si="212"/>
        <v>0</v>
      </c>
      <c r="N723" s="4">
        <f t="shared" si="212"/>
        <v>0</v>
      </c>
      <c r="O723" s="4">
        <f t="shared" si="213"/>
        <v>0</v>
      </c>
      <c r="P723" s="4">
        <f t="shared" si="214"/>
        <v>0</v>
      </c>
      <c r="Q723" s="4">
        <f t="shared" si="215"/>
        <v>0</v>
      </c>
      <c r="R723" s="4">
        <f t="shared" si="216"/>
        <v>0</v>
      </c>
      <c r="S723" s="4">
        <f>IF(AND(VLOOKUP(G723,Dados!$D:$L,2,0)=VLOOKUP(I723,Dados!$S:$V,2,0),VLOOKUP(G723,Dados!$D:$L,3,0)=VLOOKUP(I723,Dados!$S:$V,3,0)),0,1)</f>
        <v>0</v>
      </c>
      <c r="T723" s="4">
        <f>IF(AND(VLOOKUP(G723,Dados!$D:$L,3,0)&lt;=VLOOKUP(H723,Dados!$X:$AB,2,0),VLOOKUP(G723,Dados!$D:$L,4,0)&gt;=VLOOKUP(H723,Dados!$X:$AB,3,0),VLOOKUP(G723,Dados!$D:$L,4,0)&lt;=VLOOKUP(H723,Dados!$X:$AB,4,0)),0,1)</f>
        <v>0</v>
      </c>
      <c r="U723" s="4">
        <f>IF(COUNTIFS(F:F,F723,H:H,H723)&lt;=VLOOKUP(H723,Dados!$X:$AB,5,0),0,1)</f>
        <v>0</v>
      </c>
    </row>
    <row r="724" spans="6:21">
      <c r="F724" s="4">
        <v>411</v>
      </c>
      <c r="G724" s="4">
        <v>63</v>
      </c>
      <c r="H724" s="4">
        <v>2</v>
      </c>
      <c r="I724" s="4">
        <v>27</v>
      </c>
      <c r="J724" s="4">
        <v>2</v>
      </c>
      <c r="K724" s="4">
        <f t="shared" si="212"/>
        <v>0</v>
      </c>
      <c r="L724" s="4">
        <f t="shared" si="212"/>
        <v>0</v>
      </c>
      <c r="M724" s="4">
        <f t="shared" si="212"/>
        <v>0</v>
      </c>
      <c r="N724" s="4">
        <f t="shared" si="212"/>
        <v>0</v>
      </c>
      <c r="O724" s="4">
        <f t="shared" si="213"/>
        <v>0</v>
      </c>
      <c r="P724" s="4">
        <f t="shared" si="214"/>
        <v>0</v>
      </c>
      <c r="Q724" s="4">
        <f t="shared" si="215"/>
        <v>0</v>
      </c>
      <c r="R724" s="4">
        <f t="shared" si="216"/>
        <v>0</v>
      </c>
      <c r="S724" s="4">
        <f>IF(AND(VLOOKUP(G724,Dados!$D:$L,2,0)=VLOOKUP(I724,Dados!$S:$V,2,0),VLOOKUP(G724,Dados!$D:$L,3,0)=VLOOKUP(I724,Dados!$S:$V,3,0)),0,1)</f>
        <v>0</v>
      </c>
      <c r="T724" s="4">
        <f>IF(AND(VLOOKUP(G724,Dados!$D:$L,3,0)&lt;=VLOOKUP(H724,Dados!$X:$AB,2,0),VLOOKUP(G724,Dados!$D:$L,4,0)&gt;=VLOOKUP(H724,Dados!$X:$AB,3,0),VLOOKUP(G724,Dados!$D:$L,4,0)&lt;=VLOOKUP(H724,Dados!$X:$AB,4,0)),0,1)</f>
        <v>0</v>
      </c>
      <c r="U724" s="4">
        <f>IF(COUNTIFS(F:F,F724,H:H,H724)&lt;=VLOOKUP(H724,Dados!$X:$AB,5,0),0,1)</f>
        <v>0</v>
      </c>
    </row>
    <row r="725" spans="6:21">
      <c r="F725" s="4">
        <v>411</v>
      </c>
      <c r="G725" s="4">
        <v>66</v>
      </c>
      <c r="H725" s="4">
        <v>2</v>
      </c>
      <c r="I725" s="4">
        <v>27</v>
      </c>
      <c r="J725" s="4">
        <v>1</v>
      </c>
      <c r="K725" s="4">
        <f t="shared" si="212"/>
        <v>0</v>
      </c>
      <c r="L725" s="4">
        <f t="shared" si="212"/>
        <v>0</v>
      </c>
      <c r="M725" s="4">
        <f t="shared" si="212"/>
        <v>0</v>
      </c>
      <c r="N725" s="4">
        <f t="shared" si="212"/>
        <v>0</v>
      </c>
      <c r="O725" s="4">
        <f t="shared" si="213"/>
        <v>0</v>
      </c>
      <c r="P725" s="4">
        <f t="shared" si="214"/>
        <v>0</v>
      </c>
      <c r="Q725" s="4">
        <f t="shared" si="215"/>
        <v>0</v>
      </c>
      <c r="R725" s="4">
        <f t="shared" si="216"/>
        <v>0</v>
      </c>
      <c r="S725" s="4">
        <f>IF(AND(VLOOKUP(G725,Dados!$D:$L,2,0)=VLOOKUP(I725,Dados!$S:$V,2,0),VLOOKUP(G725,Dados!$D:$L,3,0)=VLOOKUP(I725,Dados!$S:$V,3,0)),0,1)</f>
        <v>0</v>
      </c>
      <c r="T725" s="4">
        <f>IF(AND(VLOOKUP(G725,Dados!$D:$L,3,0)&lt;=VLOOKUP(H725,Dados!$X:$AB,2,0),VLOOKUP(G725,Dados!$D:$L,4,0)&gt;=VLOOKUP(H725,Dados!$X:$AB,3,0),VLOOKUP(G725,Dados!$D:$L,4,0)&lt;=VLOOKUP(H725,Dados!$X:$AB,4,0)),0,1)</f>
        <v>0</v>
      </c>
      <c r="U725" s="4">
        <f>IF(COUNTIFS(F:F,F725,H:H,H725)&lt;=VLOOKUP(H725,Dados!$X:$AB,5,0),0,1)</f>
        <v>0</v>
      </c>
    </row>
    <row r="726" spans="6:21">
      <c r="F726" s="4">
        <v>412</v>
      </c>
      <c r="G726" s="4">
        <v>62</v>
      </c>
      <c r="H726" s="4">
        <v>3</v>
      </c>
      <c r="I726" s="4">
        <v>27</v>
      </c>
      <c r="J726" s="4">
        <v>7</v>
      </c>
      <c r="K726" s="4">
        <f t="shared" si="212"/>
        <v>0</v>
      </c>
      <c r="L726" s="4">
        <f t="shared" si="212"/>
        <v>0</v>
      </c>
      <c r="M726" s="4">
        <f t="shared" si="212"/>
        <v>0</v>
      </c>
      <c r="N726" s="4">
        <f t="shared" si="212"/>
        <v>0</v>
      </c>
      <c r="O726" s="4">
        <f t="shared" si="213"/>
        <v>0</v>
      </c>
      <c r="P726" s="4">
        <f t="shared" si="214"/>
        <v>0</v>
      </c>
      <c r="Q726" s="4">
        <f t="shared" si="215"/>
        <v>0</v>
      </c>
      <c r="R726" s="4">
        <f t="shared" si="216"/>
        <v>0</v>
      </c>
      <c r="S726" s="4">
        <f>IF(AND(VLOOKUP(G726,Dados!$D:$L,2,0)=VLOOKUP(I726,Dados!$S:$V,2,0),VLOOKUP(G726,Dados!$D:$L,3,0)=VLOOKUP(I726,Dados!$S:$V,3,0)),0,1)</f>
        <v>0</v>
      </c>
      <c r="T726" s="4">
        <f>IF(AND(VLOOKUP(G726,Dados!$D:$L,3,0)&lt;=VLOOKUP(H726,Dados!$X:$AB,2,0),VLOOKUP(G726,Dados!$D:$L,4,0)&gt;=VLOOKUP(H726,Dados!$X:$AB,3,0),VLOOKUP(G726,Dados!$D:$L,4,0)&lt;=VLOOKUP(H726,Dados!$X:$AB,4,0)),0,1)</f>
        <v>0</v>
      </c>
      <c r="U726" s="4">
        <f>IF(COUNTIFS(F:F,F726,H:H,H726)&lt;=VLOOKUP(H726,Dados!$X:$AB,5,0),0,1)</f>
        <v>0</v>
      </c>
    </row>
    <row r="727" spans="6:21">
      <c r="F727" s="4">
        <v>412</v>
      </c>
      <c r="G727" s="4">
        <v>63</v>
      </c>
      <c r="H727" s="4">
        <v>3</v>
      </c>
      <c r="I727" s="4">
        <v>27</v>
      </c>
      <c r="J727" s="4">
        <v>2</v>
      </c>
      <c r="K727" s="4">
        <f t="shared" si="212"/>
        <v>0</v>
      </c>
      <c r="L727" s="4">
        <f t="shared" si="212"/>
        <v>0</v>
      </c>
      <c r="M727" s="4">
        <f t="shared" si="212"/>
        <v>0</v>
      </c>
      <c r="N727" s="4">
        <f t="shared" si="212"/>
        <v>0</v>
      </c>
      <c r="O727" s="4">
        <f t="shared" si="213"/>
        <v>0</v>
      </c>
      <c r="P727" s="4">
        <f t="shared" si="214"/>
        <v>0</v>
      </c>
      <c r="Q727" s="4">
        <f t="shared" si="215"/>
        <v>0</v>
      </c>
      <c r="R727" s="4">
        <f t="shared" si="216"/>
        <v>0</v>
      </c>
      <c r="S727" s="4">
        <f>IF(AND(VLOOKUP(G727,Dados!$D:$L,2,0)=VLOOKUP(I727,Dados!$S:$V,2,0),VLOOKUP(G727,Dados!$D:$L,3,0)=VLOOKUP(I727,Dados!$S:$V,3,0)),0,1)</f>
        <v>0</v>
      </c>
      <c r="T727" s="4">
        <f>IF(AND(VLOOKUP(G727,Dados!$D:$L,3,0)&lt;=VLOOKUP(H727,Dados!$X:$AB,2,0),VLOOKUP(G727,Dados!$D:$L,4,0)&gt;=VLOOKUP(H727,Dados!$X:$AB,3,0),VLOOKUP(G727,Dados!$D:$L,4,0)&lt;=VLOOKUP(H727,Dados!$X:$AB,4,0)),0,1)</f>
        <v>0</v>
      </c>
      <c r="U727" s="4">
        <f>IF(COUNTIFS(F:F,F727,H:H,H727)&lt;=VLOOKUP(H727,Dados!$X:$AB,5,0),0,1)</f>
        <v>0</v>
      </c>
    </row>
    <row r="728" spans="6:21">
      <c r="F728" s="4">
        <v>412</v>
      </c>
      <c r="G728" s="4">
        <v>66</v>
      </c>
      <c r="H728" s="4">
        <v>3</v>
      </c>
      <c r="I728" s="4">
        <v>27</v>
      </c>
      <c r="J728" s="4">
        <v>1</v>
      </c>
      <c r="K728" s="4">
        <f t="shared" si="212"/>
        <v>0</v>
      </c>
      <c r="L728" s="4">
        <f t="shared" si="212"/>
        <v>0</v>
      </c>
      <c r="M728" s="4">
        <f t="shared" si="212"/>
        <v>0</v>
      </c>
      <c r="N728" s="4">
        <f t="shared" si="212"/>
        <v>0</v>
      </c>
      <c r="O728" s="4">
        <f t="shared" si="213"/>
        <v>0</v>
      </c>
      <c r="P728" s="4">
        <f t="shared" si="214"/>
        <v>0</v>
      </c>
      <c r="Q728" s="4">
        <f t="shared" si="215"/>
        <v>0</v>
      </c>
      <c r="R728" s="4">
        <f t="shared" si="216"/>
        <v>0</v>
      </c>
      <c r="S728" s="4">
        <f>IF(AND(VLOOKUP(G728,Dados!$D:$L,2,0)=VLOOKUP(I728,Dados!$S:$V,2,0),VLOOKUP(G728,Dados!$D:$L,3,0)=VLOOKUP(I728,Dados!$S:$V,3,0)),0,1)</f>
        <v>0</v>
      </c>
      <c r="T728" s="4">
        <f>IF(AND(VLOOKUP(G728,Dados!$D:$L,3,0)&lt;=VLOOKUP(H728,Dados!$X:$AB,2,0),VLOOKUP(G728,Dados!$D:$L,4,0)&gt;=VLOOKUP(H728,Dados!$X:$AB,3,0),VLOOKUP(G728,Dados!$D:$L,4,0)&lt;=VLOOKUP(H728,Dados!$X:$AB,4,0)),0,1)</f>
        <v>0</v>
      </c>
      <c r="U728" s="4">
        <f>IF(COUNTIFS(F:F,F728,H:H,H728)&lt;=VLOOKUP(H728,Dados!$X:$AB,5,0),0,1)</f>
        <v>0</v>
      </c>
    </row>
    <row r="729" spans="6:21">
      <c r="F729" s="4">
        <v>413</v>
      </c>
      <c r="G729" s="4">
        <v>62</v>
      </c>
      <c r="H729" s="4">
        <v>1</v>
      </c>
      <c r="I729" s="4">
        <v>28</v>
      </c>
      <c r="J729" s="4">
        <v>4</v>
      </c>
      <c r="K729" s="4">
        <f t="shared" si="212"/>
        <v>0</v>
      </c>
      <c r="L729" s="4">
        <f t="shared" si="212"/>
        <v>0</v>
      </c>
      <c r="M729" s="4">
        <f t="shared" si="212"/>
        <v>0</v>
      </c>
      <c r="N729" s="4">
        <f t="shared" si="212"/>
        <v>0</v>
      </c>
      <c r="O729" s="4">
        <f t="shared" si="213"/>
        <v>0</v>
      </c>
      <c r="P729" s="4">
        <f t="shared" si="214"/>
        <v>0</v>
      </c>
      <c r="Q729" s="4">
        <f t="shared" si="215"/>
        <v>0</v>
      </c>
      <c r="R729" s="4">
        <f t="shared" si="216"/>
        <v>0</v>
      </c>
      <c r="S729" s="4">
        <f>IF(AND(VLOOKUP(G729,Dados!$D:$L,2,0)=VLOOKUP(I729,Dados!$S:$V,2,0),VLOOKUP(G729,Dados!$D:$L,3,0)=VLOOKUP(I729,Dados!$S:$V,3,0)),0,1)</f>
        <v>0</v>
      </c>
      <c r="T729" s="4">
        <f>IF(AND(VLOOKUP(G729,Dados!$D:$L,3,0)&lt;=VLOOKUP(H729,Dados!$X:$AB,2,0),VLOOKUP(G729,Dados!$D:$L,4,0)&gt;=VLOOKUP(H729,Dados!$X:$AB,3,0),VLOOKUP(G729,Dados!$D:$L,4,0)&lt;=VLOOKUP(H729,Dados!$X:$AB,4,0)),0,1)</f>
        <v>0</v>
      </c>
      <c r="U729" s="4">
        <f>IF(COUNTIFS(F:F,F729,H:H,H729)&lt;=VLOOKUP(H729,Dados!$X:$AB,5,0),0,1)</f>
        <v>0</v>
      </c>
    </row>
    <row r="730" spans="6:21">
      <c r="F730" s="4">
        <v>413</v>
      </c>
      <c r="G730" s="4">
        <v>63</v>
      </c>
      <c r="H730" s="4">
        <v>1</v>
      </c>
      <c r="I730" s="4">
        <v>28</v>
      </c>
      <c r="J730" s="4">
        <v>2</v>
      </c>
      <c r="K730" s="4">
        <f t="shared" si="212"/>
        <v>0</v>
      </c>
      <c r="L730" s="4">
        <f t="shared" si="212"/>
        <v>0</v>
      </c>
      <c r="M730" s="4">
        <f t="shared" si="212"/>
        <v>0</v>
      </c>
      <c r="N730" s="4">
        <f t="shared" si="212"/>
        <v>0</v>
      </c>
      <c r="O730" s="4">
        <f t="shared" si="213"/>
        <v>0</v>
      </c>
      <c r="P730" s="4">
        <f t="shared" si="214"/>
        <v>0</v>
      </c>
      <c r="Q730" s="4">
        <f t="shared" si="215"/>
        <v>0</v>
      </c>
      <c r="R730" s="4">
        <f t="shared" si="216"/>
        <v>0</v>
      </c>
      <c r="S730" s="4">
        <f>IF(AND(VLOOKUP(G730,Dados!$D:$L,2,0)=VLOOKUP(I730,Dados!$S:$V,2,0),VLOOKUP(G730,Dados!$D:$L,3,0)=VLOOKUP(I730,Dados!$S:$V,3,0)),0,1)</f>
        <v>0</v>
      </c>
      <c r="T730" s="4">
        <f>IF(AND(VLOOKUP(G730,Dados!$D:$L,3,0)&lt;=VLOOKUP(H730,Dados!$X:$AB,2,0),VLOOKUP(G730,Dados!$D:$L,4,0)&gt;=VLOOKUP(H730,Dados!$X:$AB,3,0),VLOOKUP(G730,Dados!$D:$L,4,0)&lt;=VLOOKUP(H730,Dados!$X:$AB,4,0)),0,1)</f>
        <v>0</v>
      </c>
      <c r="U730" s="4">
        <f>IF(COUNTIFS(F:F,F730,H:H,H730)&lt;=VLOOKUP(H730,Dados!$X:$AB,5,0),0,1)</f>
        <v>0</v>
      </c>
    </row>
    <row r="731" spans="6:21">
      <c r="F731" s="4">
        <v>413</v>
      </c>
      <c r="G731" s="4">
        <v>66</v>
      </c>
      <c r="H731" s="4">
        <v>1</v>
      </c>
      <c r="I731" s="4">
        <v>28</v>
      </c>
      <c r="J731" s="4">
        <v>3</v>
      </c>
      <c r="K731" s="4">
        <f t="shared" si="212"/>
        <v>0</v>
      </c>
      <c r="L731" s="4">
        <f t="shared" si="212"/>
        <v>0</v>
      </c>
      <c r="M731" s="4">
        <f t="shared" si="212"/>
        <v>0</v>
      </c>
      <c r="N731" s="4">
        <f t="shared" si="212"/>
        <v>0</v>
      </c>
      <c r="O731" s="4">
        <f t="shared" si="213"/>
        <v>0</v>
      </c>
      <c r="P731" s="4">
        <f t="shared" si="214"/>
        <v>0</v>
      </c>
      <c r="Q731" s="4">
        <f t="shared" si="215"/>
        <v>0</v>
      </c>
      <c r="R731" s="4">
        <f t="shared" si="216"/>
        <v>0</v>
      </c>
      <c r="S731" s="4">
        <f>IF(AND(VLOOKUP(G731,Dados!$D:$L,2,0)=VLOOKUP(I731,Dados!$S:$V,2,0),VLOOKUP(G731,Dados!$D:$L,3,0)=VLOOKUP(I731,Dados!$S:$V,3,0)),0,1)</f>
        <v>0</v>
      </c>
      <c r="T731" s="4">
        <f>IF(AND(VLOOKUP(G731,Dados!$D:$L,3,0)&lt;=VLOOKUP(H731,Dados!$X:$AB,2,0),VLOOKUP(G731,Dados!$D:$L,4,0)&gt;=VLOOKUP(H731,Dados!$X:$AB,3,0),VLOOKUP(G731,Dados!$D:$L,4,0)&lt;=VLOOKUP(H731,Dados!$X:$AB,4,0)),0,1)</f>
        <v>0</v>
      </c>
      <c r="U731" s="4">
        <f>IF(COUNTIFS(F:F,F731,H:H,H731)&lt;=VLOOKUP(H731,Dados!$X:$AB,5,0),0,1)</f>
        <v>0</v>
      </c>
    </row>
    <row r="732" spans="6:21">
      <c r="F732" s="4">
        <v>414</v>
      </c>
      <c r="G732" s="4">
        <v>62</v>
      </c>
      <c r="H732" s="4">
        <v>2</v>
      </c>
      <c r="I732" s="4">
        <v>28</v>
      </c>
      <c r="J732" s="4">
        <v>4</v>
      </c>
      <c r="K732" s="4">
        <f t="shared" si="212"/>
        <v>0</v>
      </c>
      <c r="L732" s="4">
        <f t="shared" si="212"/>
        <v>0</v>
      </c>
      <c r="M732" s="4">
        <f t="shared" si="212"/>
        <v>0</v>
      </c>
      <c r="N732" s="4">
        <f t="shared" si="212"/>
        <v>0</v>
      </c>
      <c r="O732" s="4">
        <f t="shared" si="213"/>
        <v>0</v>
      </c>
      <c r="P732" s="4">
        <f t="shared" si="214"/>
        <v>0</v>
      </c>
      <c r="Q732" s="4">
        <f t="shared" si="215"/>
        <v>0</v>
      </c>
      <c r="R732" s="4">
        <f t="shared" si="216"/>
        <v>0</v>
      </c>
      <c r="S732" s="4">
        <f>IF(AND(VLOOKUP(G732,Dados!$D:$L,2,0)=VLOOKUP(I732,Dados!$S:$V,2,0),VLOOKUP(G732,Dados!$D:$L,3,0)=VLOOKUP(I732,Dados!$S:$V,3,0)),0,1)</f>
        <v>0</v>
      </c>
      <c r="T732" s="4">
        <f>IF(AND(VLOOKUP(G732,Dados!$D:$L,3,0)&lt;=VLOOKUP(H732,Dados!$X:$AB,2,0),VLOOKUP(G732,Dados!$D:$L,4,0)&gt;=VLOOKUP(H732,Dados!$X:$AB,3,0),VLOOKUP(G732,Dados!$D:$L,4,0)&lt;=VLOOKUP(H732,Dados!$X:$AB,4,0)),0,1)</f>
        <v>0</v>
      </c>
      <c r="U732" s="4">
        <f>IF(COUNTIFS(F:F,F732,H:H,H732)&lt;=VLOOKUP(H732,Dados!$X:$AB,5,0),0,1)</f>
        <v>0</v>
      </c>
    </row>
    <row r="733" spans="6:21">
      <c r="F733" s="4">
        <v>414</v>
      </c>
      <c r="G733" s="4">
        <v>63</v>
      </c>
      <c r="H733" s="4">
        <v>2</v>
      </c>
      <c r="I733" s="4">
        <v>28</v>
      </c>
      <c r="J733" s="4">
        <v>2</v>
      </c>
      <c r="K733" s="4">
        <f t="shared" si="212"/>
        <v>0</v>
      </c>
      <c r="L733" s="4">
        <f t="shared" si="212"/>
        <v>0</v>
      </c>
      <c r="M733" s="4">
        <f t="shared" si="212"/>
        <v>0</v>
      </c>
      <c r="N733" s="4">
        <f t="shared" si="212"/>
        <v>0</v>
      </c>
      <c r="O733" s="4">
        <f t="shared" si="213"/>
        <v>0</v>
      </c>
      <c r="P733" s="4">
        <f t="shared" si="214"/>
        <v>0</v>
      </c>
      <c r="Q733" s="4">
        <f t="shared" si="215"/>
        <v>0</v>
      </c>
      <c r="R733" s="4">
        <f t="shared" si="216"/>
        <v>0</v>
      </c>
      <c r="S733" s="4">
        <f>IF(AND(VLOOKUP(G733,Dados!$D:$L,2,0)=VLOOKUP(I733,Dados!$S:$V,2,0),VLOOKUP(G733,Dados!$D:$L,3,0)=VLOOKUP(I733,Dados!$S:$V,3,0)),0,1)</f>
        <v>0</v>
      </c>
      <c r="T733" s="4">
        <f>IF(AND(VLOOKUP(G733,Dados!$D:$L,3,0)&lt;=VLOOKUP(H733,Dados!$X:$AB,2,0),VLOOKUP(G733,Dados!$D:$L,4,0)&gt;=VLOOKUP(H733,Dados!$X:$AB,3,0),VLOOKUP(G733,Dados!$D:$L,4,0)&lt;=VLOOKUP(H733,Dados!$X:$AB,4,0)),0,1)</f>
        <v>0</v>
      </c>
      <c r="U733" s="4">
        <f>IF(COUNTIFS(F:F,F733,H:H,H733)&lt;=VLOOKUP(H733,Dados!$X:$AB,5,0),0,1)</f>
        <v>0</v>
      </c>
    </row>
    <row r="734" spans="6:21">
      <c r="F734" s="4">
        <v>414</v>
      </c>
      <c r="G734" s="4">
        <v>66</v>
      </c>
      <c r="H734" s="4">
        <v>2</v>
      </c>
      <c r="I734" s="4">
        <v>28</v>
      </c>
      <c r="J734" s="4">
        <v>3</v>
      </c>
      <c r="K734" s="4">
        <f t="shared" si="212"/>
        <v>0</v>
      </c>
      <c r="L734" s="4">
        <f t="shared" si="212"/>
        <v>0</v>
      </c>
      <c r="M734" s="4">
        <f t="shared" si="212"/>
        <v>0</v>
      </c>
      <c r="N734" s="4">
        <f t="shared" si="212"/>
        <v>0</v>
      </c>
      <c r="O734" s="4">
        <f t="shared" si="213"/>
        <v>0</v>
      </c>
      <c r="P734" s="4">
        <f t="shared" si="214"/>
        <v>0</v>
      </c>
      <c r="Q734" s="4">
        <f t="shared" si="215"/>
        <v>0</v>
      </c>
      <c r="R734" s="4">
        <f t="shared" si="216"/>
        <v>0</v>
      </c>
      <c r="S734" s="4">
        <f>IF(AND(VLOOKUP(G734,Dados!$D:$L,2,0)=VLOOKUP(I734,Dados!$S:$V,2,0),VLOOKUP(G734,Dados!$D:$L,3,0)=VLOOKUP(I734,Dados!$S:$V,3,0)),0,1)</f>
        <v>0</v>
      </c>
      <c r="T734" s="4">
        <f>IF(AND(VLOOKUP(G734,Dados!$D:$L,3,0)&lt;=VLOOKUP(H734,Dados!$X:$AB,2,0),VLOOKUP(G734,Dados!$D:$L,4,0)&gt;=VLOOKUP(H734,Dados!$X:$AB,3,0),VLOOKUP(G734,Dados!$D:$L,4,0)&lt;=VLOOKUP(H734,Dados!$X:$AB,4,0)),0,1)</f>
        <v>0</v>
      </c>
      <c r="U734" s="4">
        <f>IF(COUNTIFS(F:F,F734,H:H,H734)&lt;=VLOOKUP(H734,Dados!$X:$AB,5,0),0,1)</f>
        <v>0</v>
      </c>
    </row>
    <row r="735" spans="6:21">
      <c r="F735" s="4">
        <v>415</v>
      </c>
      <c r="G735" s="4">
        <v>62</v>
      </c>
      <c r="H735" s="4">
        <v>3</v>
      </c>
      <c r="I735" s="4">
        <v>28</v>
      </c>
      <c r="J735" s="4">
        <v>4</v>
      </c>
      <c r="K735" s="4">
        <f t="shared" si="212"/>
        <v>0</v>
      </c>
      <c r="L735" s="4">
        <f t="shared" si="212"/>
        <v>0</v>
      </c>
      <c r="M735" s="4">
        <f t="shared" si="212"/>
        <v>0</v>
      </c>
      <c r="N735" s="4">
        <f t="shared" si="212"/>
        <v>0</v>
      </c>
      <c r="O735" s="4">
        <f t="shared" si="213"/>
        <v>0</v>
      </c>
      <c r="P735" s="4">
        <f t="shared" si="214"/>
        <v>0</v>
      </c>
      <c r="Q735" s="4">
        <f t="shared" si="215"/>
        <v>0</v>
      </c>
      <c r="R735" s="4">
        <f t="shared" si="216"/>
        <v>0</v>
      </c>
      <c r="S735" s="4">
        <f>IF(AND(VLOOKUP(G735,Dados!$D:$L,2,0)=VLOOKUP(I735,Dados!$S:$V,2,0),VLOOKUP(G735,Dados!$D:$L,3,0)=VLOOKUP(I735,Dados!$S:$V,3,0)),0,1)</f>
        <v>0</v>
      </c>
      <c r="T735" s="4">
        <f>IF(AND(VLOOKUP(G735,Dados!$D:$L,3,0)&lt;=VLOOKUP(H735,Dados!$X:$AB,2,0),VLOOKUP(G735,Dados!$D:$L,4,0)&gt;=VLOOKUP(H735,Dados!$X:$AB,3,0),VLOOKUP(G735,Dados!$D:$L,4,0)&lt;=VLOOKUP(H735,Dados!$X:$AB,4,0)),0,1)</f>
        <v>0</v>
      </c>
      <c r="U735" s="4">
        <f>IF(COUNTIFS(F:F,F735,H:H,H735)&lt;=VLOOKUP(H735,Dados!$X:$AB,5,0),0,1)</f>
        <v>0</v>
      </c>
    </row>
    <row r="736" spans="6:21">
      <c r="F736" s="4">
        <v>415</v>
      </c>
      <c r="G736" s="4">
        <v>63</v>
      </c>
      <c r="H736" s="4">
        <v>3</v>
      </c>
      <c r="I736" s="4">
        <v>28</v>
      </c>
      <c r="J736" s="4">
        <v>2</v>
      </c>
      <c r="K736" s="4">
        <f t="shared" si="212"/>
        <v>0</v>
      </c>
      <c r="L736" s="4">
        <f t="shared" si="212"/>
        <v>0</v>
      </c>
      <c r="M736" s="4">
        <f t="shared" si="212"/>
        <v>0</v>
      </c>
      <c r="N736" s="4">
        <f t="shared" si="212"/>
        <v>0</v>
      </c>
      <c r="O736" s="4">
        <f t="shared" si="213"/>
        <v>0</v>
      </c>
      <c r="P736" s="4">
        <f t="shared" si="214"/>
        <v>0</v>
      </c>
      <c r="Q736" s="4">
        <f t="shared" si="215"/>
        <v>0</v>
      </c>
      <c r="R736" s="4">
        <f t="shared" si="216"/>
        <v>0</v>
      </c>
      <c r="S736" s="4">
        <f>IF(AND(VLOOKUP(G736,Dados!$D:$L,2,0)=VLOOKUP(I736,Dados!$S:$V,2,0),VLOOKUP(G736,Dados!$D:$L,3,0)=VLOOKUP(I736,Dados!$S:$V,3,0)),0,1)</f>
        <v>0</v>
      </c>
      <c r="T736" s="4">
        <f>IF(AND(VLOOKUP(G736,Dados!$D:$L,3,0)&lt;=VLOOKUP(H736,Dados!$X:$AB,2,0),VLOOKUP(G736,Dados!$D:$L,4,0)&gt;=VLOOKUP(H736,Dados!$X:$AB,3,0),VLOOKUP(G736,Dados!$D:$L,4,0)&lt;=VLOOKUP(H736,Dados!$X:$AB,4,0)),0,1)</f>
        <v>0</v>
      </c>
      <c r="U736" s="4">
        <f>IF(COUNTIFS(F:F,F736,H:H,H736)&lt;=VLOOKUP(H736,Dados!$X:$AB,5,0),0,1)</f>
        <v>0</v>
      </c>
    </row>
    <row r="737" spans="6:21">
      <c r="F737" s="4">
        <v>415</v>
      </c>
      <c r="G737" s="4">
        <v>66</v>
      </c>
      <c r="H737" s="4">
        <v>3</v>
      </c>
      <c r="I737" s="4">
        <v>28</v>
      </c>
      <c r="J737" s="4">
        <v>3</v>
      </c>
      <c r="K737" s="4">
        <f t="shared" si="212"/>
        <v>0</v>
      </c>
      <c r="L737" s="4">
        <f t="shared" si="212"/>
        <v>0</v>
      </c>
      <c r="M737" s="4">
        <f t="shared" si="212"/>
        <v>0</v>
      </c>
      <c r="N737" s="4">
        <f t="shared" si="212"/>
        <v>0</v>
      </c>
      <c r="O737" s="4">
        <f t="shared" si="213"/>
        <v>0</v>
      </c>
      <c r="P737" s="4">
        <f t="shared" si="214"/>
        <v>0</v>
      </c>
      <c r="Q737" s="4">
        <f t="shared" si="215"/>
        <v>0</v>
      </c>
      <c r="R737" s="4">
        <f t="shared" si="216"/>
        <v>0</v>
      </c>
      <c r="S737" s="4">
        <f>IF(AND(VLOOKUP(G737,Dados!$D:$L,2,0)=VLOOKUP(I737,Dados!$S:$V,2,0),VLOOKUP(G737,Dados!$D:$L,3,0)=VLOOKUP(I737,Dados!$S:$V,3,0)),0,1)</f>
        <v>0</v>
      </c>
      <c r="T737" s="4">
        <f>IF(AND(VLOOKUP(G737,Dados!$D:$L,3,0)&lt;=VLOOKUP(H737,Dados!$X:$AB,2,0),VLOOKUP(G737,Dados!$D:$L,4,0)&gt;=VLOOKUP(H737,Dados!$X:$AB,3,0),VLOOKUP(G737,Dados!$D:$L,4,0)&lt;=VLOOKUP(H737,Dados!$X:$AB,4,0)),0,1)</f>
        <v>0</v>
      </c>
      <c r="U737" s="4">
        <f>IF(COUNTIFS(F:F,F737,H:H,H737)&lt;=VLOOKUP(H737,Dados!$X:$AB,5,0),0,1)</f>
        <v>0</v>
      </c>
    </row>
    <row r="738" spans="6:21">
      <c r="F738" s="4">
        <v>416</v>
      </c>
      <c r="G738" s="4">
        <v>62</v>
      </c>
      <c r="H738" s="4">
        <v>1</v>
      </c>
      <c r="I738" s="4">
        <v>29</v>
      </c>
      <c r="J738" s="4">
        <v>8</v>
      </c>
      <c r="K738" s="4">
        <f t="shared" si="212"/>
        <v>0</v>
      </c>
      <c r="L738" s="4">
        <f t="shared" si="212"/>
        <v>0</v>
      </c>
      <c r="M738" s="4">
        <f t="shared" si="212"/>
        <v>0</v>
      </c>
      <c r="N738" s="4">
        <f t="shared" si="212"/>
        <v>0</v>
      </c>
      <c r="O738" s="4">
        <f t="shared" si="213"/>
        <v>0</v>
      </c>
      <c r="P738" s="4">
        <f t="shared" si="214"/>
        <v>0</v>
      </c>
      <c r="Q738" s="4">
        <f t="shared" si="215"/>
        <v>0</v>
      </c>
      <c r="R738" s="4">
        <f t="shared" si="216"/>
        <v>0</v>
      </c>
      <c r="S738" s="4">
        <f>IF(AND(VLOOKUP(G738,Dados!$D:$L,2,0)=VLOOKUP(I738,Dados!$S:$V,2,0),VLOOKUP(G738,Dados!$D:$L,3,0)=VLOOKUP(I738,Dados!$S:$V,3,0)),0,1)</f>
        <v>0</v>
      </c>
      <c r="T738" s="4">
        <f>IF(AND(VLOOKUP(G738,Dados!$D:$L,3,0)&lt;=VLOOKUP(H738,Dados!$X:$AB,2,0),VLOOKUP(G738,Dados!$D:$L,4,0)&gt;=VLOOKUP(H738,Dados!$X:$AB,3,0),VLOOKUP(G738,Dados!$D:$L,4,0)&lt;=VLOOKUP(H738,Dados!$X:$AB,4,0)),0,1)</f>
        <v>0</v>
      </c>
      <c r="U738" s="4">
        <f>IF(COUNTIFS(F:F,F738,H:H,H738)&lt;=VLOOKUP(H738,Dados!$X:$AB,5,0),0,1)</f>
        <v>0</v>
      </c>
    </row>
    <row r="739" spans="6:21">
      <c r="F739" s="4">
        <v>416</v>
      </c>
      <c r="G739" s="4">
        <v>63</v>
      </c>
      <c r="H739" s="4">
        <v>1</v>
      </c>
      <c r="I739" s="4">
        <v>29</v>
      </c>
      <c r="J739" s="4">
        <v>2</v>
      </c>
      <c r="K739" s="4">
        <f t="shared" si="212"/>
        <v>0</v>
      </c>
      <c r="L739" s="4">
        <f t="shared" si="212"/>
        <v>0</v>
      </c>
      <c r="M739" s="4">
        <f t="shared" si="212"/>
        <v>0</v>
      </c>
      <c r="N739" s="4">
        <f t="shared" si="212"/>
        <v>0</v>
      </c>
      <c r="O739" s="4">
        <f t="shared" si="213"/>
        <v>0</v>
      </c>
      <c r="P739" s="4">
        <f t="shared" si="214"/>
        <v>0</v>
      </c>
      <c r="Q739" s="4">
        <f t="shared" si="215"/>
        <v>0</v>
      </c>
      <c r="R739" s="4">
        <f t="shared" si="216"/>
        <v>0</v>
      </c>
      <c r="S739" s="4">
        <f>IF(AND(VLOOKUP(G739,Dados!$D:$L,2,0)=VLOOKUP(I739,Dados!$S:$V,2,0),VLOOKUP(G739,Dados!$D:$L,3,0)=VLOOKUP(I739,Dados!$S:$V,3,0)),0,1)</f>
        <v>0</v>
      </c>
      <c r="T739" s="4">
        <f>IF(AND(VLOOKUP(G739,Dados!$D:$L,3,0)&lt;=VLOOKUP(H739,Dados!$X:$AB,2,0),VLOOKUP(G739,Dados!$D:$L,4,0)&gt;=VLOOKUP(H739,Dados!$X:$AB,3,0),VLOOKUP(G739,Dados!$D:$L,4,0)&lt;=VLOOKUP(H739,Dados!$X:$AB,4,0)),0,1)</f>
        <v>0</v>
      </c>
      <c r="U739" s="4">
        <f>IF(COUNTIFS(F:F,F739,H:H,H739)&lt;=VLOOKUP(H739,Dados!$X:$AB,5,0),0,1)</f>
        <v>0</v>
      </c>
    </row>
    <row r="740" spans="6:21">
      <c r="F740" s="4">
        <v>417</v>
      </c>
      <c r="G740" s="4">
        <v>62</v>
      </c>
      <c r="H740" s="4">
        <v>2</v>
      </c>
      <c r="I740" s="4">
        <v>29</v>
      </c>
      <c r="J740" s="4">
        <v>8</v>
      </c>
      <c r="K740" s="4">
        <f t="shared" si="212"/>
        <v>0</v>
      </c>
      <c r="L740" s="4">
        <f t="shared" si="212"/>
        <v>0</v>
      </c>
      <c r="M740" s="4">
        <f t="shared" si="212"/>
        <v>0</v>
      </c>
      <c r="N740" s="4">
        <f t="shared" si="212"/>
        <v>0</v>
      </c>
      <c r="O740" s="4">
        <f t="shared" si="213"/>
        <v>0</v>
      </c>
      <c r="P740" s="4">
        <f t="shared" si="214"/>
        <v>0</v>
      </c>
      <c r="Q740" s="4">
        <f t="shared" si="215"/>
        <v>0</v>
      </c>
      <c r="R740" s="4">
        <f t="shared" si="216"/>
        <v>0</v>
      </c>
      <c r="S740" s="4">
        <f>IF(AND(VLOOKUP(G740,Dados!$D:$L,2,0)=VLOOKUP(I740,Dados!$S:$V,2,0),VLOOKUP(G740,Dados!$D:$L,3,0)=VLOOKUP(I740,Dados!$S:$V,3,0)),0,1)</f>
        <v>0</v>
      </c>
      <c r="T740" s="4">
        <f>IF(AND(VLOOKUP(G740,Dados!$D:$L,3,0)&lt;=VLOOKUP(H740,Dados!$X:$AB,2,0),VLOOKUP(G740,Dados!$D:$L,4,0)&gt;=VLOOKUP(H740,Dados!$X:$AB,3,0),VLOOKUP(G740,Dados!$D:$L,4,0)&lt;=VLOOKUP(H740,Dados!$X:$AB,4,0)),0,1)</f>
        <v>0</v>
      </c>
      <c r="U740" s="4">
        <f>IF(COUNTIFS(F:F,F740,H:H,H740)&lt;=VLOOKUP(H740,Dados!$X:$AB,5,0),0,1)</f>
        <v>0</v>
      </c>
    </row>
    <row r="741" spans="6:21">
      <c r="F741" s="4">
        <v>417</v>
      </c>
      <c r="G741" s="4">
        <v>63</v>
      </c>
      <c r="H741" s="4">
        <v>2</v>
      </c>
      <c r="I741" s="4">
        <v>29</v>
      </c>
      <c r="J741" s="4">
        <v>2</v>
      </c>
      <c r="K741" s="4">
        <f t="shared" si="212"/>
        <v>0</v>
      </c>
      <c r="L741" s="4">
        <f t="shared" si="212"/>
        <v>0</v>
      </c>
      <c r="M741" s="4">
        <f t="shared" si="212"/>
        <v>0</v>
      </c>
      <c r="N741" s="4">
        <f t="shared" si="212"/>
        <v>0</v>
      </c>
      <c r="O741" s="4">
        <f t="shared" si="213"/>
        <v>0</v>
      </c>
      <c r="P741" s="4">
        <f t="shared" si="214"/>
        <v>0</v>
      </c>
      <c r="Q741" s="4">
        <f t="shared" si="215"/>
        <v>0</v>
      </c>
      <c r="R741" s="4">
        <f t="shared" si="216"/>
        <v>0</v>
      </c>
      <c r="S741" s="4">
        <f>IF(AND(VLOOKUP(G741,Dados!$D:$L,2,0)=VLOOKUP(I741,Dados!$S:$V,2,0),VLOOKUP(G741,Dados!$D:$L,3,0)=VLOOKUP(I741,Dados!$S:$V,3,0)),0,1)</f>
        <v>0</v>
      </c>
      <c r="T741" s="4">
        <f>IF(AND(VLOOKUP(G741,Dados!$D:$L,3,0)&lt;=VLOOKUP(H741,Dados!$X:$AB,2,0),VLOOKUP(G741,Dados!$D:$L,4,0)&gt;=VLOOKUP(H741,Dados!$X:$AB,3,0),VLOOKUP(G741,Dados!$D:$L,4,0)&lt;=VLOOKUP(H741,Dados!$X:$AB,4,0)),0,1)</f>
        <v>0</v>
      </c>
      <c r="U741" s="4">
        <f>IF(COUNTIFS(F:F,F741,H:H,H741)&lt;=VLOOKUP(H741,Dados!$X:$AB,5,0),0,1)</f>
        <v>0</v>
      </c>
    </row>
    <row r="742" spans="6:21">
      <c r="F742" s="4">
        <v>418</v>
      </c>
      <c r="G742" s="4">
        <v>62</v>
      </c>
      <c r="H742" s="4">
        <v>3</v>
      </c>
      <c r="I742" s="4">
        <v>29</v>
      </c>
      <c r="J742" s="4">
        <v>8</v>
      </c>
      <c r="K742" s="4">
        <f t="shared" si="212"/>
        <v>0</v>
      </c>
      <c r="L742" s="4">
        <f t="shared" si="212"/>
        <v>0</v>
      </c>
      <c r="M742" s="4">
        <f t="shared" si="212"/>
        <v>0</v>
      </c>
      <c r="N742" s="4">
        <f t="shared" si="212"/>
        <v>0</v>
      </c>
      <c r="O742" s="4">
        <f t="shared" si="213"/>
        <v>0</v>
      </c>
      <c r="P742" s="4">
        <f t="shared" si="214"/>
        <v>0</v>
      </c>
      <c r="Q742" s="4">
        <f t="shared" si="215"/>
        <v>0</v>
      </c>
      <c r="R742" s="4">
        <f t="shared" si="216"/>
        <v>0</v>
      </c>
      <c r="S742" s="4">
        <f>IF(AND(VLOOKUP(G742,Dados!$D:$L,2,0)=VLOOKUP(I742,Dados!$S:$V,2,0),VLOOKUP(G742,Dados!$D:$L,3,0)=VLOOKUP(I742,Dados!$S:$V,3,0)),0,1)</f>
        <v>0</v>
      </c>
      <c r="T742" s="4">
        <f>IF(AND(VLOOKUP(G742,Dados!$D:$L,3,0)&lt;=VLOOKUP(H742,Dados!$X:$AB,2,0),VLOOKUP(G742,Dados!$D:$L,4,0)&gt;=VLOOKUP(H742,Dados!$X:$AB,3,0),VLOOKUP(G742,Dados!$D:$L,4,0)&lt;=VLOOKUP(H742,Dados!$X:$AB,4,0)),0,1)</f>
        <v>0</v>
      </c>
      <c r="U742" s="4">
        <f>IF(COUNTIFS(F:F,F742,H:H,H742)&lt;=VLOOKUP(H742,Dados!$X:$AB,5,0),0,1)</f>
        <v>0</v>
      </c>
    </row>
    <row r="743" spans="6:21">
      <c r="F743" s="4">
        <v>418</v>
      </c>
      <c r="G743" s="4">
        <v>63</v>
      </c>
      <c r="H743" s="4">
        <v>3</v>
      </c>
      <c r="I743" s="4">
        <v>29</v>
      </c>
      <c r="J743" s="4">
        <v>2</v>
      </c>
      <c r="K743" s="4">
        <f t="shared" si="212"/>
        <v>0</v>
      </c>
      <c r="L743" s="4">
        <f t="shared" si="212"/>
        <v>0</v>
      </c>
      <c r="M743" s="4">
        <f t="shared" si="212"/>
        <v>0</v>
      </c>
      <c r="N743" s="4">
        <f t="shared" si="212"/>
        <v>0</v>
      </c>
      <c r="O743" s="4">
        <f t="shared" si="213"/>
        <v>0</v>
      </c>
      <c r="P743" s="4">
        <f t="shared" si="214"/>
        <v>0</v>
      </c>
      <c r="Q743" s="4">
        <f t="shared" si="215"/>
        <v>0</v>
      </c>
      <c r="R743" s="4">
        <f t="shared" si="216"/>
        <v>0</v>
      </c>
      <c r="S743" s="4">
        <f>IF(AND(VLOOKUP(G743,Dados!$D:$L,2,0)=VLOOKUP(I743,Dados!$S:$V,2,0),VLOOKUP(G743,Dados!$D:$L,3,0)=VLOOKUP(I743,Dados!$S:$V,3,0)),0,1)</f>
        <v>0</v>
      </c>
      <c r="T743" s="4">
        <f>IF(AND(VLOOKUP(G743,Dados!$D:$L,3,0)&lt;=VLOOKUP(H743,Dados!$X:$AB,2,0),VLOOKUP(G743,Dados!$D:$L,4,0)&gt;=VLOOKUP(H743,Dados!$X:$AB,3,0),VLOOKUP(G743,Dados!$D:$L,4,0)&lt;=VLOOKUP(H743,Dados!$X:$AB,4,0)),0,1)</f>
        <v>0</v>
      </c>
      <c r="U743" s="4">
        <f>IF(COUNTIFS(F:F,F743,H:H,H743)&lt;=VLOOKUP(H743,Dados!$X:$AB,5,0),0,1)</f>
        <v>0</v>
      </c>
    </row>
    <row r="744" spans="6:21">
      <c r="F744" s="4">
        <v>419</v>
      </c>
      <c r="G744" s="4">
        <v>68</v>
      </c>
      <c r="H744" s="4">
        <v>1</v>
      </c>
      <c r="I744" s="4">
        <v>30</v>
      </c>
      <c r="J744" s="4">
        <v>6</v>
      </c>
      <c r="K744" s="4">
        <f t="shared" si="212"/>
        <v>0</v>
      </c>
      <c r="L744" s="4">
        <f t="shared" si="212"/>
        <v>0</v>
      </c>
      <c r="M744" s="4">
        <f t="shared" si="212"/>
        <v>0</v>
      </c>
      <c r="N744" s="4">
        <f t="shared" si="212"/>
        <v>0</v>
      </c>
      <c r="O744" s="4">
        <f t="shared" si="213"/>
        <v>0</v>
      </c>
      <c r="P744" s="4">
        <f t="shared" si="214"/>
        <v>0</v>
      </c>
      <c r="Q744" s="4">
        <f t="shared" si="215"/>
        <v>0</v>
      </c>
      <c r="R744" s="4">
        <f t="shared" si="216"/>
        <v>0</v>
      </c>
      <c r="S744" s="4">
        <f>IF(AND(VLOOKUP(G744,Dados!$D:$L,2,0)=VLOOKUP(I744,Dados!$S:$V,2,0),VLOOKUP(G744,Dados!$D:$L,3,0)=VLOOKUP(I744,Dados!$S:$V,3,0)),0,1)</f>
        <v>0</v>
      </c>
      <c r="T744" s="4">
        <f>IF(AND(VLOOKUP(G744,Dados!$D:$L,3,0)&lt;=VLOOKUP(H744,Dados!$X:$AB,2,0),VLOOKUP(G744,Dados!$D:$L,4,0)&gt;=VLOOKUP(H744,Dados!$X:$AB,3,0),VLOOKUP(G744,Dados!$D:$L,4,0)&lt;=VLOOKUP(H744,Dados!$X:$AB,4,0)),0,1)</f>
        <v>0</v>
      </c>
      <c r="U744" s="4">
        <f>IF(COUNTIFS(F:F,F744,H:H,H744)&lt;=VLOOKUP(H744,Dados!$X:$AB,5,0),0,1)</f>
        <v>0</v>
      </c>
    </row>
    <row r="745" spans="6:21">
      <c r="F745" s="4">
        <v>419</v>
      </c>
      <c r="G745" s="4">
        <v>69</v>
      </c>
      <c r="H745" s="4">
        <v>1</v>
      </c>
      <c r="I745" s="4">
        <v>30</v>
      </c>
      <c r="J745" s="4">
        <v>1</v>
      </c>
      <c r="K745" s="4">
        <f t="shared" si="212"/>
        <v>0</v>
      </c>
      <c r="L745" s="4">
        <f t="shared" si="212"/>
        <v>0</v>
      </c>
      <c r="M745" s="4">
        <f t="shared" si="212"/>
        <v>0</v>
      </c>
      <c r="N745" s="4">
        <f t="shared" si="212"/>
        <v>0</v>
      </c>
      <c r="O745" s="4">
        <f t="shared" si="213"/>
        <v>0</v>
      </c>
      <c r="P745" s="4">
        <f t="shared" si="214"/>
        <v>0</v>
      </c>
      <c r="Q745" s="4">
        <f t="shared" si="215"/>
        <v>0</v>
      </c>
      <c r="R745" s="4">
        <f t="shared" si="216"/>
        <v>0</v>
      </c>
      <c r="S745" s="4">
        <f>IF(AND(VLOOKUP(G745,Dados!$D:$L,2,0)=VLOOKUP(I745,Dados!$S:$V,2,0),VLOOKUP(G745,Dados!$D:$L,3,0)=VLOOKUP(I745,Dados!$S:$V,3,0)),0,1)</f>
        <v>0</v>
      </c>
      <c r="T745" s="4">
        <f>IF(AND(VLOOKUP(G745,Dados!$D:$L,3,0)&lt;=VLOOKUP(H745,Dados!$X:$AB,2,0),VLOOKUP(G745,Dados!$D:$L,4,0)&gt;=VLOOKUP(H745,Dados!$X:$AB,3,0),VLOOKUP(G745,Dados!$D:$L,4,0)&lt;=VLOOKUP(H745,Dados!$X:$AB,4,0)),0,1)</f>
        <v>0</v>
      </c>
      <c r="U745" s="4">
        <f>IF(COUNTIFS(F:F,F745,H:H,H745)&lt;=VLOOKUP(H745,Dados!$X:$AB,5,0),0,1)</f>
        <v>0</v>
      </c>
    </row>
    <row r="746" spans="6:21">
      <c r="F746" s="4">
        <v>420</v>
      </c>
      <c r="G746" s="4">
        <v>68</v>
      </c>
      <c r="H746" s="4">
        <v>3</v>
      </c>
      <c r="I746" s="4">
        <v>30</v>
      </c>
      <c r="J746" s="4">
        <v>6</v>
      </c>
      <c r="K746" s="4">
        <f t="shared" si="212"/>
        <v>0</v>
      </c>
      <c r="L746" s="4">
        <f t="shared" si="212"/>
        <v>0</v>
      </c>
      <c r="M746" s="4">
        <f t="shared" si="212"/>
        <v>0</v>
      </c>
      <c r="N746" s="4">
        <f t="shared" si="212"/>
        <v>30</v>
      </c>
      <c r="O746" s="4">
        <f t="shared" si="213"/>
        <v>0</v>
      </c>
      <c r="P746" s="4">
        <f t="shared" si="214"/>
        <v>0</v>
      </c>
      <c r="Q746" s="4">
        <f t="shared" si="215"/>
        <v>0</v>
      </c>
      <c r="R746" s="4">
        <f t="shared" si="216"/>
        <v>180</v>
      </c>
      <c r="S746" s="4">
        <f>IF(AND(VLOOKUP(G746,Dados!$D:$L,2,0)=VLOOKUP(I746,Dados!$S:$V,2,0),VLOOKUP(G746,Dados!$D:$L,3,0)=VLOOKUP(I746,Dados!$S:$V,3,0)),0,1)</f>
        <v>0</v>
      </c>
      <c r="T746" s="4">
        <f>IF(AND(VLOOKUP(G746,Dados!$D:$L,3,0)&lt;=VLOOKUP(H746,Dados!$X:$AB,2,0),VLOOKUP(G746,Dados!$D:$L,4,0)&gt;=VLOOKUP(H746,Dados!$X:$AB,3,0),VLOOKUP(G746,Dados!$D:$L,4,0)&lt;=VLOOKUP(H746,Dados!$X:$AB,4,0)),0,1)</f>
        <v>0</v>
      </c>
      <c r="U746" s="4">
        <f>IF(COUNTIFS(F:F,F746,H:H,H746)&lt;=VLOOKUP(H746,Dados!$X:$AB,5,0),0,1)</f>
        <v>0</v>
      </c>
    </row>
    <row r="747" spans="6:21">
      <c r="F747" s="4">
        <v>420</v>
      </c>
      <c r="G747" s="4">
        <v>69</v>
      </c>
      <c r="H747" s="4">
        <v>3</v>
      </c>
      <c r="I747" s="4">
        <v>30</v>
      </c>
      <c r="J747" s="4">
        <v>1</v>
      </c>
      <c r="K747" s="4">
        <f t="shared" si="212"/>
        <v>0</v>
      </c>
      <c r="L747" s="4">
        <f t="shared" si="212"/>
        <v>0</v>
      </c>
      <c r="M747" s="4">
        <f t="shared" si="212"/>
        <v>0</v>
      </c>
      <c r="N747" s="4">
        <f t="shared" si="212"/>
        <v>30</v>
      </c>
      <c r="O747" s="4">
        <f t="shared" si="213"/>
        <v>0</v>
      </c>
      <c r="P747" s="4">
        <f t="shared" si="214"/>
        <v>0</v>
      </c>
      <c r="Q747" s="4">
        <f t="shared" si="215"/>
        <v>0</v>
      </c>
      <c r="R747" s="4">
        <f t="shared" si="216"/>
        <v>30</v>
      </c>
      <c r="S747" s="4">
        <f>IF(AND(VLOOKUP(G747,Dados!$D:$L,2,0)=VLOOKUP(I747,Dados!$S:$V,2,0),VLOOKUP(G747,Dados!$D:$L,3,0)=VLOOKUP(I747,Dados!$S:$V,3,0)),0,1)</f>
        <v>0</v>
      </c>
      <c r="T747" s="4">
        <f>IF(AND(VLOOKUP(G747,Dados!$D:$L,3,0)&lt;=VLOOKUP(H747,Dados!$X:$AB,2,0),VLOOKUP(G747,Dados!$D:$L,4,0)&gt;=VLOOKUP(H747,Dados!$X:$AB,3,0),VLOOKUP(G747,Dados!$D:$L,4,0)&lt;=VLOOKUP(H747,Dados!$X:$AB,4,0)),0,1)</f>
        <v>0</v>
      </c>
      <c r="U747" s="4">
        <f>IF(COUNTIFS(F:F,F747,H:H,H747)&lt;=VLOOKUP(H747,Dados!$X:$AB,5,0),0,1)</f>
        <v>0</v>
      </c>
    </row>
    <row r="748" spans="6:21">
      <c r="F748" s="4">
        <v>421</v>
      </c>
      <c r="G748" s="4">
        <v>1</v>
      </c>
      <c r="H748" s="4">
        <v>1</v>
      </c>
      <c r="I748" s="4">
        <v>1</v>
      </c>
      <c r="J748" s="4">
        <v>1</v>
      </c>
      <c r="K748" s="4">
        <f t="shared" si="212"/>
        <v>0</v>
      </c>
      <c r="L748" s="4">
        <f t="shared" si="212"/>
        <v>0</v>
      </c>
      <c r="M748" s="4">
        <f t="shared" si="212"/>
        <v>0</v>
      </c>
      <c r="N748" s="4">
        <f t="shared" si="212"/>
        <v>0</v>
      </c>
      <c r="O748" s="4">
        <f t="shared" si="213"/>
        <v>0</v>
      </c>
      <c r="P748" s="4">
        <f t="shared" si="214"/>
        <v>0</v>
      </c>
      <c r="Q748" s="4">
        <f t="shared" si="215"/>
        <v>0</v>
      </c>
      <c r="R748" s="4">
        <f t="shared" si="216"/>
        <v>0</v>
      </c>
      <c r="S748" s="4">
        <f>IF(AND(VLOOKUP(G748,Dados!$D:$L,2,0)=VLOOKUP(I748,Dados!$S:$V,2,0),VLOOKUP(G748,Dados!$D:$L,3,0)=VLOOKUP(I748,Dados!$S:$V,3,0)),0,1)</f>
        <v>0</v>
      </c>
      <c r="T748" s="4">
        <f>IF(AND(VLOOKUP(G748,Dados!$D:$L,3,0)&lt;=VLOOKUP(H748,Dados!$X:$AB,2,0),VLOOKUP(G748,Dados!$D:$L,4,0)&gt;=VLOOKUP(H748,Dados!$X:$AB,3,0),VLOOKUP(G748,Dados!$D:$L,4,0)&lt;=VLOOKUP(H748,Dados!$X:$AB,4,0)),0,1)</f>
        <v>0</v>
      </c>
      <c r="U748" s="4">
        <f>IF(COUNTIFS(F:F,F748,H:H,H748)&lt;=VLOOKUP(H748,Dados!$X:$AB,5,0),0,1)</f>
        <v>0</v>
      </c>
    </row>
    <row r="749" spans="6:21">
      <c r="F749" s="4">
        <v>421</v>
      </c>
      <c r="G749" s="4">
        <v>4</v>
      </c>
      <c r="H749" s="4">
        <v>1</v>
      </c>
      <c r="I749" s="4">
        <v>1</v>
      </c>
      <c r="J749" s="4">
        <v>5</v>
      </c>
      <c r="K749" s="4">
        <f t="shared" si="212"/>
        <v>0</v>
      </c>
      <c r="L749" s="4">
        <f t="shared" si="212"/>
        <v>0</v>
      </c>
      <c r="M749" s="4">
        <f t="shared" si="212"/>
        <v>0</v>
      </c>
      <c r="N749" s="4">
        <f t="shared" si="212"/>
        <v>0</v>
      </c>
      <c r="O749" s="4">
        <f t="shared" si="213"/>
        <v>0</v>
      </c>
      <c r="P749" s="4">
        <f t="shared" si="214"/>
        <v>0</v>
      </c>
      <c r="Q749" s="4">
        <f t="shared" si="215"/>
        <v>0</v>
      </c>
      <c r="R749" s="4">
        <f t="shared" si="216"/>
        <v>0</v>
      </c>
      <c r="S749" s="4">
        <f>IF(AND(VLOOKUP(G749,Dados!$D:$L,2,0)=VLOOKUP(I749,Dados!$S:$V,2,0),VLOOKUP(G749,Dados!$D:$L,3,0)=VLOOKUP(I749,Dados!$S:$V,3,0)),0,1)</f>
        <v>0</v>
      </c>
      <c r="T749" s="4">
        <f>IF(AND(VLOOKUP(G749,Dados!$D:$L,3,0)&lt;=VLOOKUP(H749,Dados!$X:$AB,2,0),VLOOKUP(G749,Dados!$D:$L,4,0)&gt;=VLOOKUP(H749,Dados!$X:$AB,3,0),VLOOKUP(G749,Dados!$D:$L,4,0)&lt;=VLOOKUP(H749,Dados!$X:$AB,4,0)),0,1)</f>
        <v>0</v>
      </c>
      <c r="U749" s="4">
        <f>IF(COUNTIFS(F:F,F749,H:H,H749)&lt;=VLOOKUP(H749,Dados!$X:$AB,5,0),0,1)</f>
        <v>0</v>
      </c>
    </row>
    <row r="750" spans="6:21">
      <c r="F750" s="4">
        <v>421</v>
      </c>
      <c r="G750" s="4">
        <v>5</v>
      </c>
      <c r="H750" s="4">
        <v>1</v>
      </c>
      <c r="I750" s="4">
        <v>1</v>
      </c>
      <c r="J750" s="4">
        <v>1</v>
      </c>
      <c r="K750" s="4">
        <f t="shared" si="212"/>
        <v>0</v>
      </c>
      <c r="L750" s="4">
        <f t="shared" si="212"/>
        <v>0</v>
      </c>
      <c r="M750" s="4">
        <f t="shared" si="212"/>
        <v>0</v>
      </c>
      <c r="N750" s="4">
        <f t="shared" si="212"/>
        <v>0</v>
      </c>
      <c r="O750" s="4">
        <f t="shared" si="213"/>
        <v>0</v>
      </c>
      <c r="P750" s="4">
        <f t="shared" si="214"/>
        <v>0</v>
      </c>
      <c r="Q750" s="4">
        <f t="shared" si="215"/>
        <v>0</v>
      </c>
      <c r="R750" s="4">
        <f t="shared" si="216"/>
        <v>0</v>
      </c>
      <c r="S750" s="4">
        <f>IF(AND(VLOOKUP(G750,Dados!$D:$L,2,0)=VLOOKUP(I750,Dados!$S:$V,2,0),VLOOKUP(G750,Dados!$D:$L,3,0)=VLOOKUP(I750,Dados!$S:$V,3,0)),0,1)</f>
        <v>0</v>
      </c>
      <c r="T750" s="4">
        <f>IF(AND(VLOOKUP(G750,Dados!$D:$L,3,0)&lt;=VLOOKUP(H750,Dados!$X:$AB,2,0),VLOOKUP(G750,Dados!$D:$L,4,0)&gt;=VLOOKUP(H750,Dados!$X:$AB,3,0),VLOOKUP(G750,Dados!$D:$L,4,0)&lt;=VLOOKUP(H750,Dados!$X:$AB,4,0)),0,1)</f>
        <v>0</v>
      </c>
      <c r="U750" s="4">
        <f>IF(COUNTIFS(F:F,F750,H:H,H750)&lt;=VLOOKUP(H750,Dados!$X:$AB,5,0),0,1)</f>
        <v>0</v>
      </c>
    </row>
    <row r="751" spans="6:21">
      <c r="F751" s="4">
        <v>422</v>
      </c>
      <c r="G751" s="4">
        <v>1</v>
      </c>
      <c r="H751" s="4">
        <v>2</v>
      </c>
      <c r="I751" s="4">
        <v>1</v>
      </c>
      <c r="J751" s="4">
        <v>1</v>
      </c>
      <c r="K751" s="4">
        <f t="shared" si="212"/>
        <v>0</v>
      </c>
      <c r="L751" s="4">
        <f t="shared" si="212"/>
        <v>0</v>
      </c>
      <c r="M751" s="4">
        <f t="shared" si="212"/>
        <v>0</v>
      </c>
      <c r="N751" s="4">
        <f t="shared" si="212"/>
        <v>0</v>
      </c>
      <c r="O751" s="4">
        <f t="shared" si="213"/>
        <v>0</v>
      </c>
      <c r="P751" s="4">
        <f t="shared" si="214"/>
        <v>0</v>
      </c>
      <c r="Q751" s="4">
        <f t="shared" si="215"/>
        <v>0</v>
      </c>
      <c r="R751" s="4">
        <f t="shared" si="216"/>
        <v>0</v>
      </c>
      <c r="S751" s="4">
        <f>IF(AND(VLOOKUP(G751,Dados!$D:$L,2,0)=VLOOKUP(I751,Dados!$S:$V,2,0),VLOOKUP(G751,Dados!$D:$L,3,0)=VLOOKUP(I751,Dados!$S:$V,3,0)),0,1)</f>
        <v>0</v>
      </c>
      <c r="T751" s="4">
        <f>IF(AND(VLOOKUP(G751,Dados!$D:$L,3,0)&lt;=VLOOKUP(H751,Dados!$X:$AB,2,0),VLOOKUP(G751,Dados!$D:$L,4,0)&gt;=VLOOKUP(H751,Dados!$X:$AB,3,0),VLOOKUP(G751,Dados!$D:$L,4,0)&lt;=VLOOKUP(H751,Dados!$X:$AB,4,0)),0,1)</f>
        <v>0</v>
      </c>
      <c r="U751" s="4">
        <f>IF(COUNTIFS(F:F,F751,H:H,H751)&lt;=VLOOKUP(H751,Dados!$X:$AB,5,0),0,1)</f>
        <v>0</v>
      </c>
    </row>
    <row r="752" spans="6:21">
      <c r="F752" s="4">
        <v>422</v>
      </c>
      <c r="G752" s="4">
        <v>4</v>
      </c>
      <c r="H752" s="4">
        <v>2</v>
      </c>
      <c r="I752" s="4">
        <v>1</v>
      </c>
      <c r="J752" s="4">
        <v>5</v>
      </c>
      <c r="K752" s="4">
        <f t="shared" si="212"/>
        <v>0</v>
      </c>
      <c r="L752" s="4">
        <f t="shared" si="212"/>
        <v>0</v>
      </c>
      <c r="M752" s="4">
        <f t="shared" si="212"/>
        <v>0</v>
      </c>
      <c r="N752" s="4">
        <f t="shared" si="212"/>
        <v>0</v>
      </c>
      <c r="O752" s="4">
        <f t="shared" si="213"/>
        <v>0</v>
      </c>
      <c r="P752" s="4">
        <f t="shared" si="214"/>
        <v>0</v>
      </c>
      <c r="Q752" s="4">
        <f t="shared" si="215"/>
        <v>0</v>
      </c>
      <c r="R752" s="4">
        <f t="shared" si="216"/>
        <v>0</v>
      </c>
      <c r="S752" s="4">
        <f>IF(AND(VLOOKUP(G752,Dados!$D:$L,2,0)=VLOOKUP(I752,Dados!$S:$V,2,0),VLOOKUP(G752,Dados!$D:$L,3,0)=VLOOKUP(I752,Dados!$S:$V,3,0)),0,1)</f>
        <v>0</v>
      </c>
      <c r="T752" s="4">
        <f>IF(AND(VLOOKUP(G752,Dados!$D:$L,3,0)&lt;=VLOOKUP(H752,Dados!$X:$AB,2,0),VLOOKUP(G752,Dados!$D:$L,4,0)&gt;=VLOOKUP(H752,Dados!$X:$AB,3,0),VLOOKUP(G752,Dados!$D:$L,4,0)&lt;=VLOOKUP(H752,Dados!$X:$AB,4,0)),0,1)</f>
        <v>0</v>
      </c>
      <c r="U752" s="4">
        <f>IF(COUNTIFS(F:F,F752,H:H,H752)&lt;=VLOOKUP(H752,Dados!$X:$AB,5,0),0,1)</f>
        <v>0</v>
      </c>
    </row>
    <row r="753" spans="6:21">
      <c r="F753" s="4">
        <v>422</v>
      </c>
      <c r="G753" s="4">
        <v>5</v>
      </c>
      <c r="H753" s="4">
        <v>2</v>
      </c>
      <c r="I753" s="4">
        <v>1</v>
      </c>
      <c r="J753" s="4">
        <v>1</v>
      </c>
      <c r="K753" s="4">
        <f t="shared" si="212"/>
        <v>0</v>
      </c>
      <c r="L753" s="4">
        <f t="shared" si="212"/>
        <v>0</v>
      </c>
      <c r="M753" s="4">
        <f t="shared" si="212"/>
        <v>0</v>
      </c>
      <c r="N753" s="4">
        <f t="shared" ref="K753:N816" si="217">SUMIFS($X:$X,$W:$W,$F753,$Z:$Z,$I753,$AA:$AA,$H753,$AB:$AB,N$2)</f>
        <v>0</v>
      </c>
      <c r="O753" s="4">
        <f t="shared" si="213"/>
        <v>0</v>
      </c>
      <c r="P753" s="4">
        <f t="shared" si="214"/>
        <v>0</v>
      </c>
      <c r="Q753" s="4">
        <f t="shared" si="215"/>
        <v>0</v>
      </c>
      <c r="R753" s="4">
        <f t="shared" si="216"/>
        <v>0</v>
      </c>
      <c r="S753" s="4">
        <f>IF(AND(VLOOKUP(G753,Dados!$D:$L,2,0)=VLOOKUP(I753,Dados!$S:$V,2,0),VLOOKUP(G753,Dados!$D:$L,3,0)=VLOOKUP(I753,Dados!$S:$V,3,0)),0,1)</f>
        <v>0</v>
      </c>
      <c r="T753" s="4">
        <f>IF(AND(VLOOKUP(G753,Dados!$D:$L,3,0)&lt;=VLOOKUP(H753,Dados!$X:$AB,2,0),VLOOKUP(G753,Dados!$D:$L,4,0)&gt;=VLOOKUP(H753,Dados!$X:$AB,3,0),VLOOKUP(G753,Dados!$D:$L,4,0)&lt;=VLOOKUP(H753,Dados!$X:$AB,4,0)),0,1)</f>
        <v>0</v>
      </c>
      <c r="U753" s="4">
        <f>IF(COUNTIFS(F:F,F753,H:H,H753)&lt;=VLOOKUP(H753,Dados!$X:$AB,5,0),0,1)</f>
        <v>0</v>
      </c>
    </row>
    <row r="754" spans="6:21">
      <c r="F754" s="4">
        <v>423</v>
      </c>
      <c r="G754" s="4">
        <v>1</v>
      </c>
      <c r="H754" s="4">
        <v>3</v>
      </c>
      <c r="I754" s="4">
        <v>1</v>
      </c>
      <c r="J754" s="4">
        <v>1</v>
      </c>
      <c r="K754" s="4">
        <f t="shared" si="217"/>
        <v>0</v>
      </c>
      <c r="L754" s="4">
        <f t="shared" si="217"/>
        <v>0</v>
      </c>
      <c r="M754" s="4">
        <f t="shared" si="217"/>
        <v>0</v>
      </c>
      <c r="N754" s="4">
        <f t="shared" si="217"/>
        <v>0</v>
      </c>
      <c r="O754" s="4">
        <f t="shared" si="213"/>
        <v>0</v>
      </c>
      <c r="P754" s="4">
        <f t="shared" si="214"/>
        <v>0</v>
      </c>
      <c r="Q754" s="4">
        <f t="shared" si="215"/>
        <v>0</v>
      </c>
      <c r="R754" s="4">
        <f t="shared" si="216"/>
        <v>0</v>
      </c>
      <c r="S754" s="4">
        <f>IF(AND(VLOOKUP(G754,Dados!$D:$L,2,0)=VLOOKUP(I754,Dados!$S:$V,2,0),VLOOKUP(G754,Dados!$D:$L,3,0)=VLOOKUP(I754,Dados!$S:$V,3,0)),0,1)</f>
        <v>0</v>
      </c>
      <c r="T754" s="4">
        <f>IF(AND(VLOOKUP(G754,Dados!$D:$L,3,0)&lt;=VLOOKUP(H754,Dados!$X:$AB,2,0),VLOOKUP(G754,Dados!$D:$L,4,0)&gt;=VLOOKUP(H754,Dados!$X:$AB,3,0),VLOOKUP(G754,Dados!$D:$L,4,0)&lt;=VLOOKUP(H754,Dados!$X:$AB,4,0)),0,1)</f>
        <v>0</v>
      </c>
      <c r="U754" s="4">
        <f>IF(COUNTIFS(F:F,F754,H:H,H754)&lt;=VLOOKUP(H754,Dados!$X:$AB,5,0),0,1)</f>
        <v>0</v>
      </c>
    </row>
    <row r="755" spans="6:21">
      <c r="F755" s="4">
        <v>423</v>
      </c>
      <c r="G755" s="4">
        <v>4</v>
      </c>
      <c r="H755" s="4">
        <v>3</v>
      </c>
      <c r="I755" s="4">
        <v>1</v>
      </c>
      <c r="J755" s="4">
        <v>5</v>
      </c>
      <c r="K755" s="4">
        <f t="shared" si="217"/>
        <v>0</v>
      </c>
      <c r="L755" s="4">
        <f t="shared" si="217"/>
        <v>0</v>
      </c>
      <c r="M755" s="4">
        <f t="shared" si="217"/>
        <v>0</v>
      </c>
      <c r="N755" s="4">
        <f t="shared" si="217"/>
        <v>0</v>
      </c>
      <c r="O755" s="4">
        <f t="shared" ref="O755:O818" si="218">$J755*K755</f>
        <v>0</v>
      </c>
      <c r="P755" s="4">
        <f t="shared" ref="P755:P818" si="219">$J755*L755</f>
        <v>0</v>
      </c>
      <c r="Q755" s="4">
        <f t="shared" ref="Q755:Q818" si="220">$J755*M755</f>
        <v>0</v>
      </c>
      <c r="R755" s="4">
        <f t="shared" ref="R755:R818" si="221">$J755*N755</f>
        <v>0</v>
      </c>
      <c r="S755" s="4">
        <f>IF(AND(VLOOKUP(G755,Dados!$D:$L,2,0)=VLOOKUP(I755,Dados!$S:$V,2,0),VLOOKUP(G755,Dados!$D:$L,3,0)=VLOOKUP(I755,Dados!$S:$V,3,0)),0,1)</f>
        <v>0</v>
      </c>
      <c r="T755" s="4">
        <f>IF(AND(VLOOKUP(G755,Dados!$D:$L,3,0)&lt;=VLOOKUP(H755,Dados!$X:$AB,2,0),VLOOKUP(G755,Dados!$D:$L,4,0)&gt;=VLOOKUP(H755,Dados!$X:$AB,3,0),VLOOKUP(G755,Dados!$D:$L,4,0)&lt;=VLOOKUP(H755,Dados!$X:$AB,4,0)),0,1)</f>
        <v>0</v>
      </c>
      <c r="U755" s="4">
        <f>IF(COUNTIFS(F:F,F755,H:H,H755)&lt;=VLOOKUP(H755,Dados!$X:$AB,5,0),0,1)</f>
        <v>0</v>
      </c>
    </row>
    <row r="756" spans="6:21">
      <c r="F756" s="4">
        <v>423</v>
      </c>
      <c r="G756" s="4">
        <v>5</v>
      </c>
      <c r="H756" s="4">
        <v>3</v>
      </c>
      <c r="I756" s="4">
        <v>1</v>
      </c>
      <c r="J756" s="4">
        <v>1</v>
      </c>
      <c r="K756" s="4">
        <f t="shared" si="217"/>
        <v>0</v>
      </c>
      <c r="L756" s="4">
        <f t="shared" si="217"/>
        <v>0</v>
      </c>
      <c r="M756" s="4">
        <f t="shared" si="217"/>
        <v>0</v>
      </c>
      <c r="N756" s="4">
        <f t="shared" si="217"/>
        <v>0</v>
      </c>
      <c r="O756" s="4">
        <f t="shared" si="218"/>
        <v>0</v>
      </c>
      <c r="P756" s="4">
        <f t="shared" si="219"/>
        <v>0</v>
      </c>
      <c r="Q756" s="4">
        <f t="shared" si="220"/>
        <v>0</v>
      </c>
      <c r="R756" s="4">
        <f t="shared" si="221"/>
        <v>0</v>
      </c>
      <c r="S756" s="4">
        <f>IF(AND(VLOOKUP(G756,Dados!$D:$L,2,0)=VLOOKUP(I756,Dados!$S:$V,2,0),VLOOKUP(G756,Dados!$D:$L,3,0)=VLOOKUP(I756,Dados!$S:$V,3,0)),0,1)</f>
        <v>0</v>
      </c>
      <c r="T756" s="4">
        <f>IF(AND(VLOOKUP(G756,Dados!$D:$L,3,0)&lt;=VLOOKUP(H756,Dados!$X:$AB,2,0),VLOOKUP(G756,Dados!$D:$L,4,0)&gt;=VLOOKUP(H756,Dados!$X:$AB,3,0),VLOOKUP(G756,Dados!$D:$L,4,0)&lt;=VLOOKUP(H756,Dados!$X:$AB,4,0)),0,1)</f>
        <v>0</v>
      </c>
      <c r="U756" s="4">
        <f>IF(COUNTIFS(F:F,F756,H:H,H756)&lt;=VLOOKUP(H756,Dados!$X:$AB,5,0),0,1)</f>
        <v>0</v>
      </c>
    </row>
    <row r="757" spans="6:21">
      <c r="F757" s="4">
        <v>424</v>
      </c>
      <c r="G757" s="4">
        <v>6</v>
      </c>
      <c r="H757" s="4">
        <v>1</v>
      </c>
      <c r="I757" s="4">
        <v>2</v>
      </c>
      <c r="J757" s="4">
        <v>5</v>
      </c>
      <c r="K757" s="4">
        <f t="shared" si="217"/>
        <v>0</v>
      </c>
      <c r="L757" s="4">
        <f t="shared" si="217"/>
        <v>0</v>
      </c>
      <c r="M757" s="4">
        <f t="shared" si="217"/>
        <v>0</v>
      </c>
      <c r="N757" s="4">
        <f t="shared" si="217"/>
        <v>37</v>
      </c>
      <c r="O757" s="4">
        <f t="shared" si="218"/>
        <v>0</v>
      </c>
      <c r="P757" s="4">
        <f t="shared" si="219"/>
        <v>0</v>
      </c>
      <c r="Q757" s="4">
        <f t="shared" si="220"/>
        <v>0</v>
      </c>
      <c r="R757" s="4">
        <f t="shared" si="221"/>
        <v>185</v>
      </c>
      <c r="S757" s="4">
        <f>IF(AND(VLOOKUP(G757,Dados!$D:$L,2,0)=VLOOKUP(I757,Dados!$S:$V,2,0),VLOOKUP(G757,Dados!$D:$L,3,0)=VLOOKUP(I757,Dados!$S:$V,3,0)),0,1)</f>
        <v>0</v>
      </c>
      <c r="T757" s="4">
        <f>IF(AND(VLOOKUP(G757,Dados!$D:$L,3,0)&lt;=VLOOKUP(H757,Dados!$X:$AB,2,0),VLOOKUP(G757,Dados!$D:$L,4,0)&gt;=VLOOKUP(H757,Dados!$X:$AB,3,0),VLOOKUP(G757,Dados!$D:$L,4,0)&lt;=VLOOKUP(H757,Dados!$X:$AB,4,0)),0,1)</f>
        <v>0</v>
      </c>
      <c r="U757" s="4">
        <f>IF(COUNTIFS(F:F,F757,H:H,H757)&lt;=VLOOKUP(H757,Dados!$X:$AB,5,0),0,1)</f>
        <v>0</v>
      </c>
    </row>
    <row r="758" spans="6:21">
      <c r="F758" s="4">
        <v>424</v>
      </c>
      <c r="G758" s="4">
        <v>8</v>
      </c>
      <c r="H758" s="4">
        <v>1</v>
      </c>
      <c r="I758" s="4">
        <v>2</v>
      </c>
      <c r="J758" s="4">
        <v>2</v>
      </c>
      <c r="K758" s="4">
        <f t="shared" si="217"/>
        <v>0</v>
      </c>
      <c r="L758" s="4">
        <f t="shared" si="217"/>
        <v>0</v>
      </c>
      <c r="M758" s="4">
        <f t="shared" si="217"/>
        <v>0</v>
      </c>
      <c r="N758" s="4">
        <f t="shared" si="217"/>
        <v>37</v>
      </c>
      <c r="O758" s="4">
        <f t="shared" si="218"/>
        <v>0</v>
      </c>
      <c r="P758" s="4">
        <f t="shared" si="219"/>
        <v>0</v>
      </c>
      <c r="Q758" s="4">
        <f t="shared" si="220"/>
        <v>0</v>
      </c>
      <c r="R758" s="4">
        <f t="shared" si="221"/>
        <v>74</v>
      </c>
      <c r="S758" s="4">
        <f>IF(AND(VLOOKUP(G758,Dados!$D:$L,2,0)=VLOOKUP(I758,Dados!$S:$V,2,0),VLOOKUP(G758,Dados!$D:$L,3,0)=VLOOKUP(I758,Dados!$S:$V,3,0)),0,1)</f>
        <v>0</v>
      </c>
      <c r="T758" s="4">
        <f>IF(AND(VLOOKUP(G758,Dados!$D:$L,3,0)&lt;=VLOOKUP(H758,Dados!$X:$AB,2,0),VLOOKUP(G758,Dados!$D:$L,4,0)&gt;=VLOOKUP(H758,Dados!$X:$AB,3,0),VLOOKUP(G758,Dados!$D:$L,4,0)&lt;=VLOOKUP(H758,Dados!$X:$AB,4,0)),0,1)</f>
        <v>0</v>
      </c>
      <c r="U758" s="4">
        <f>IF(COUNTIFS(F:F,F758,H:H,H758)&lt;=VLOOKUP(H758,Dados!$X:$AB,5,0),0,1)</f>
        <v>0</v>
      </c>
    </row>
    <row r="759" spans="6:21">
      <c r="F759" s="4">
        <v>425</v>
      </c>
      <c r="G759" s="4">
        <v>11</v>
      </c>
      <c r="H759" s="4">
        <v>1</v>
      </c>
      <c r="I759" s="4">
        <v>6</v>
      </c>
      <c r="J759" s="4">
        <v>13</v>
      </c>
      <c r="K759" s="4">
        <f t="shared" si="217"/>
        <v>4</v>
      </c>
      <c r="L759" s="4">
        <f t="shared" si="217"/>
        <v>0</v>
      </c>
      <c r="M759" s="4">
        <f t="shared" si="217"/>
        <v>0</v>
      </c>
      <c r="N759" s="4">
        <f t="shared" si="217"/>
        <v>0</v>
      </c>
      <c r="O759" s="4">
        <f t="shared" si="218"/>
        <v>52</v>
      </c>
      <c r="P759" s="4">
        <f t="shared" si="219"/>
        <v>0</v>
      </c>
      <c r="Q759" s="4">
        <f t="shared" si="220"/>
        <v>0</v>
      </c>
      <c r="R759" s="4">
        <f t="shared" si="221"/>
        <v>0</v>
      </c>
      <c r="S759" s="4">
        <f>IF(AND(VLOOKUP(G759,Dados!$D:$L,2,0)=VLOOKUP(I759,Dados!$S:$V,2,0),VLOOKUP(G759,Dados!$D:$L,3,0)=VLOOKUP(I759,Dados!$S:$V,3,0)),0,1)</f>
        <v>0</v>
      </c>
      <c r="T759" s="4">
        <f>IF(AND(VLOOKUP(G759,Dados!$D:$L,3,0)&lt;=VLOOKUP(H759,Dados!$X:$AB,2,0),VLOOKUP(G759,Dados!$D:$L,4,0)&gt;=VLOOKUP(H759,Dados!$X:$AB,3,0),VLOOKUP(G759,Dados!$D:$L,4,0)&lt;=VLOOKUP(H759,Dados!$X:$AB,4,0)),0,1)</f>
        <v>0</v>
      </c>
      <c r="U759" s="4">
        <f>IF(COUNTIFS(F:F,F759,H:H,H759)&lt;=VLOOKUP(H759,Dados!$X:$AB,5,0),0,1)</f>
        <v>0</v>
      </c>
    </row>
    <row r="760" spans="6:21">
      <c r="F760" s="4">
        <v>426</v>
      </c>
      <c r="G760" s="4">
        <v>11</v>
      </c>
      <c r="H760" s="4">
        <v>2</v>
      </c>
      <c r="I760" s="4">
        <v>6</v>
      </c>
      <c r="J760" s="4">
        <v>13</v>
      </c>
      <c r="K760" s="4">
        <f t="shared" si="217"/>
        <v>0</v>
      </c>
      <c r="L760" s="4">
        <f t="shared" si="217"/>
        <v>0</v>
      </c>
      <c r="M760" s="4">
        <f t="shared" si="217"/>
        <v>0</v>
      </c>
      <c r="N760" s="4">
        <f t="shared" si="217"/>
        <v>0</v>
      </c>
      <c r="O760" s="4">
        <f t="shared" si="218"/>
        <v>0</v>
      </c>
      <c r="P760" s="4">
        <f t="shared" si="219"/>
        <v>0</v>
      </c>
      <c r="Q760" s="4">
        <f t="shared" si="220"/>
        <v>0</v>
      </c>
      <c r="R760" s="4">
        <f t="shared" si="221"/>
        <v>0</v>
      </c>
      <c r="S760" s="4">
        <f>IF(AND(VLOOKUP(G760,Dados!$D:$L,2,0)=VLOOKUP(I760,Dados!$S:$V,2,0),VLOOKUP(G760,Dados!$D:$L,3,0)=VLOOKUP(I760,Dados!$S:$V,3,0)),0,1)</f>
        <v>0</v>
      </c>
      <c r="T760" s="4">
        <f>IF(AND(VLOOKUP(G760,Dados!$D:$L,3,0)&lt;=VLOOKUP(H760,Dados!$X:$AB,2,0),VLOOKUP(G760,Dados!$D:$L,4,0)&gt;=VLOOKUP(H760,Dados!$X:$AB,3,0),VLOOKUP(G760,Dados!$D:$L,4,0)&lt;=VLOOKUP(H760,Dados!$X:$AB,4,0)),0,1)</f>
        <v>0</v>
      </c>
      <c r="U760" s="4">
        <f>IF(COUNTIFS(F:F,F760,H:H,H760)&lt;=VLOOKUP(H760,Dados!$X:$AB,5,0),0,1)</f>
        <v>0</v>
      </c>
    </row>
    <row r="761" spans="6:21">
      <c r="F761" s="4">
        <v>427</v>
      </c>
      <c r="G761" s="4">
        <v>11</v>
      </c>
      <c r="H761" s="4">
        <v>3</v>
      </c>
      <c r="I761" s="4">
        <v>6</v>
      </c>
      <c r="J761" s="4">
        <v>13</v>
      </c>
      <c r="K761" s="4">
        <f t="shared" si="217"/>
        <v>0</v>
      </c>
      <c r="L761" s="4">
        <f t="shared" si="217"/>
        <v>0</v>
      </c>
      <c r="M761" s="4">
        <f t="shared" si="217"/>
        <v>0</v>
      </c>
      <c r="N761" s="4">
        <f t="shared" si="217"/>
        <v>0</v>
      </c>
      <c r="O761" s="4">
        <f t="shared" si="218"/>
        <v>0</v>
      </c>
      <c r="P761" s="4">
        <f t="shared" si="219"/>
        <v>0</v>
      </c>
      <c r="Q761" s="4">
        <f t="shared" si="220"/>
        <v>0</v>
      </c>
      <c r="R761" s="4">
        <f t="shared" si="221"/>
        <v>0</v>
      </c>
      <c r="S761" s="4">
        <f>IF(AND(VLOOKUP(G761,Dados!$D:$L,2,0)=VLOOKUP(I761,Dados!$S:$V,2,0),VLOOKUP(G761,Dados!$D:$L,3,0)=VLOOKUP(I761,Dados!$S:$V,3,0)),0,1)</f>
        <v>0</v>
      </c>
      <c r="T761" s="4">
        <f>IF(AND(VLOOKUP(G761,Dados!$D:$L,3,0)&lt;=VLOOKUP(H761,Dados!$X:$AB,2,0),VLOOKUP(G761,Dados!$D:$L,4,0)&gt;=VLOOKUP(H761,Dados!$X:$AB,3,0),VLOOKUP(G761,Dados!$D:$L,4,0)&lt;=VLOOKUP(H761,Dados!$X:$AB,4,0)),0,1)</f>
        <v>0</v>
      </c>
      <c r="U761" s="4">
        <f>IF(COUNTIFS(F:F,F761,H:H,H761)&lt;=VLOOKUP(H761,Dados!$X:$AB,5,0),0,1)</f>
        <v>0</v>
      </c>
    </row>
    <row r="762" spans="6:21">
      <c r="F762" s="4">
        <v>428</v>
      </c>
      <c r="G762" s="4">
        <v>13</v>
      </c>
      <c r="H762" s="4">
        <v>1</v>
      </c>
      <c r="I762" s="4">
        <v>8</v>
      </c>
      <c r="J762" s="4">
        <v>1</v>
      </c>
      <c r="K762" s="4">
        <f t="shared" si="217"/>
        <v>0</v>
      </c>
      <c r="L762" s="4">
        <f t="shared" si="217"/>
        <v>0</v>
      </c>
      <c r="M762" s="4">
        <f t="shared" si="217"/>
        <v>0</v>
      </c>
      <c r="N762" s="4">
        <f t="shared" si="217"/>
        <v>0</v>
      </c>
      <c r="O762" s="4">
        <f t="shared" si="218"/>
        <v>0</v>
      </c>
      <c r="P762" s="4">
        <f t="shared" si="219"/>
        <v>0</v>
      </c>
      <c r="Q762" s="4">
        <f t="shared" si="220"/>
        <v>0</v>
      </c>
      <c r="R762" s="4">
        <f t="shared" si="221"/>
        <v>0</v>
      </c>
      <c r="S762" s="4">
        <f>IF(AND(VLOOKUP(G762,Dados!$D:$L,2,0)=VLOOKUP(I762,Dados!$S:$V,2,0),VLOOKUP(G762,Dados!$D:$L,3,0)=VLOOKUP(I762,Dados!$S:$V,3,0)),0,1)</f>
        <v>0</v>
      </c>
      <c r="T762" s="4">
        <f>IF(AND(VLOOKUP(G762,Dados!$D:$L,3,0)&lt;=VLOOKUP(H762,Dados!$X:$AB,2,0),VLOOKUP(G762,Dados!$D:$L,4,0)&gt;=VLOOKUP(H762,Dados!$X:$AB,3,0),VLOOKUP(G762,Dados!$D:$L,4,0)&lt;=VLOOKUP(H762,Dados!$X:$AB,4,0)),0,1)</f>
        <v>0</v>
      </c>
      <c r="U762" s="4">
        <f>IF(COUNTIFS(F:F,F762,H:H,H762)&lt;=VLOOKUP(H762,Dados!$X:$AB,5,0),0,1)</f>
        <v>0</v>
      </c>
    </row>
    <row r="763" spans="6:21">
      <c r="F763" s="4">
        <v>428</v>
      </c>
      <c r="G763" s="4">
        <v>14</v>
      </c>
      <c r="H763" s="4">
        <v>1</v>
      </c>
      <c r="I763" s="4">
        <v>8</v>
      </c>
      <c r="J763" s="4">
        <v>7</v>
      </c>
      <c r="K763" s="4">
        <f t="shared" si="217"/>
        <v>0</v>
      </c>
      <c r="L763" s="4">
        <f t="shared" si="217"/>
        <v>0</v>
      </c>
      <c r="M763" s="4">
        <f t="shared" si="217"/>
        <v>0</v>
      </c>
      <c r="N763" s="4">
        <f t="shared" si="217"/>
        <v>0</v>
      </c>
      <c r="O763" s="4">
        <f t="shared" si="218"/>
        <v>0</v>
      </c>
      <c r="P763" s="4">
        <f t="shared" si="219"/>
        <v>0</v>
      </c>
      <c r="Q763" s="4">
        <f t="shared" si="220"/>
        <v>0</v>
      </c>
      <c r="R763" s="4">
        <f t="shared" si="221"/>
        <v>0</v>
      </c>
      <c r="S763" s="4">
        <f>IF(AND(VLOOKUP(G763,Dados!$D:$L,2,0)=VLOOKUP(I763,Dados!$S:$V,2,0),VLOOKUP(G763,Dados!$D:$L,3,0)=VLOOKUP(I763,Dados!$S:$V,3,0)),0,1)</f>
        <v>0</v>
      </c>
      <c r="T763" s="4">
        <f>IF(AND(VLOOKUP(G763,Dados!$D:$L,3,0)&lt;=VLOOKUP(H763,Dados!$X:$AB,2,0),VLOOKUP(G763,Dados!$D:$L,4,0)&gt;=VLOOKUP(H763,Dados!$X:$AB,3,0),VLOOKUP(G763,Dados!$D:$L,4,0)&lt;=VLOOKUP(H763,Dados!$X:$AB,4,0)),0,1)</f>
        <v>0</v>
      </c>
      <c r="U763" s="4">
        <f>IF(COUNTIFS(F:F,F763,H:H,H763)&lt;=VLOOKUP(H763,Dados!$X:$AB,5,0),0,1)</f>
        <v>0</v>
      </c>
    </row>
    <row r="764" spans="6:21">
      <c r="F764" s="4">
        <v>428</v>
      </c>
      <c r="G764" s="4">
        <v>15</v>
      </c>
      <c r="H764" s="4">
        <v>1</v>
      </c>
      <c r="I764" s="4">
        <v>8</v>
      </c>
      <c r="J764" s="4">
        <v>2</v>
      </c>
      <c r="K764" s="4">
        <f t="shared" si="217"/>
        <v>0</v>
      </c>
      <c r="L764" s="4">
        <f t="shared" si="217"/>
        <v>0</v>
      </c>
      <c r="M764" s="4">
        <f t="shared" si="217"/>
        <v>0</v>
      </c>
      <c r="N764" s="4">
        <f t="shared" si="217"/>
        <v>0</v>
      </c>
      <c r="O764" s="4">
        <f t="shared" si="218"/>
        <v>0</v>
      </c>
      <c r="P764" s="4">
        <f t="shared" si="219"/>
        <v>0</v>
      </c>
      <c r="Q764" s="4">
        <f t="shared" si="220"/>
        <v>0</v>
      </c>
      <c r="R764" s="4">
        <f t="shared" si="221"/>
        <v>0</v>
      </c>
      <c r="S764" s="4">
        <f>IF(AND(VLOOKUP(G764,Dados!$D:$L,2,0)=VLOOKUP(I764,Dados!$S:$V,2,0),VLOOKUP(G764,Dados!$D:$L,3,0)=VLOOKUP(I764,Dados!$S:$V,3,0)),0,1)</f>
        <v>0</v>
      </c>
      <c r="T764" s="4">
        <f>IF(AND(VLOOKUP(G764,Dados!$D:$L,3,0)&lt;=VLOOKUP(H764,Dados!$X:$AB,2,0),VLOOKUP(G764,Dados!$D:$L,4,0)&gt;=VLOOKUP(H764,Dados!$X:$AB,3,0),VLOOKUP(G764,Dados!$D:$L,4,0)&lt;=VLOOKUP(H764,Dados!$X:$AB,4,0)),0,1)</f>
        <v>0</v>
      </c>
      <c r="U764" s="4">
        <f>IF(COUNTIFS(F:F,F764,H:H,H764)&lt;=VLOOKUP(H764,Dados!$X:$AB,5,0),0,1)</f>
        <v>0</v>
      </c>
    </row>
    <row r="765" spans="6:21">
      <c r="F765" s="4">
        <v>429</v>
      </c>
      <c r="G765" s="4">
        <v>13</v>
      </c>
      <c r="H765" s="4">
        <v>3</v>
      </c>
      <c r="I765" s="4">
        <v>8</v>
      </c>
      <c r="J765" s="4">
        <v>1</v>
      </c>
      <c r="K765" s="4">
        <f t="shared" si="217"/>
        <v>0</v>
      </c>
      <c r="L765" s="4">
        <f t="shared" si="217"/>
        <v>0</v>
      </c>
      <c r="M765" s="4">
        <f t="shared" si="217"/>
        <v>0</v>
      </c>
      <c r="N765" s="4">
        <f t="shared" si="217"/>
        <v>0</v>
      </c>
      <c r="O765" s="4">
        <f t="shared" si="218"/>
        <v>0</v>
      </c>
      <c r="P765" s="4">
        <f t="shared" si="219"/>
        <v>0</v>
      </c>
      <c r="Q765" s="4">
        <f t="shared" si="220"/>
        <v>0</v>
      </c>
      <c r="R765" s="4">
        <f t="shared" si="221"/>
        <v>0</v>
      </c>
      <c r="S765" s="4">
        <f>IF(AND(VLOOKUP(G765,Dados!$D:$L,2,0)=VLOOKUP(I765,Dados!$S:$V,2,0),VLOOKUP(G765,Dados!$D:$L,3,0)=VLOOKUP(I765,Dados!$S:$V,3,0)),0,1)</f>
        <v>0</v>
      </c>
      <c r="T765" s="4">
        <f>IF(AND(VLOOKUP(G765,Dados!$D:$L,3,0)&lt;=VLOOKUP(H765,Dados!$X:$AB,2,0),VLOOKUP(G765,Dados!$D:$L,4,0)&gt;=VLOOKUP(H765,Dados!$X:$AB,3,0),VLOOKUP(G765,Dados!$D:$L,4,0)&lt;=VLOOKUP(H765,Dados!$X:$AB,4,0)),0,1)</f>
        <v>0</v>
      </c>
      <c r="U765" s="4">
        <f>IF(COUNTIFS(F:F,F765,H:H,H765)&lt;=VLOOKUP(H765,Dados!$X:$AB,5,0),0,1)</f>
        <v>0</v>
      </c>
    </row>
    <row r="766" spans="6:21">
      <c r="F766" s="4">
        <v>429</v>
      </c>
      <c r="G766" s="4">
        <v>14</v>
      </c>
      <c r="H766" s="4">
        <v>3</v>
      </c>
      <c r="I766" s="4">
        <v>8</v>
      </c>
      <c r="J766" s="4">
        <v>7</v>
      </c>
      <c r="K766" s="4">
        <f t="shared" si="217"/>
        <v>0</v>
      </c>
      <c r="L766" s="4">
        <f t="shared" si="217"/>
        <v>0</v>
      </c>
      <c r="M766" s="4">
        <f t="shared" si="217"/>
        <v>0</v>
      </c>
      <c r="N766" s="4">
        <f t="shared" si="217"/>
        <v>0</v>
      </c>
      <c r="O766" s="4">
        <f t="shared" si="218"/>
        <v>0</v>
      </c>
      <c r="P766" s="4">
        <f t="shared" si="219"/>
        <v>0</v>
      </c>
      <c r="Q766" s="4">
        <f t="shared" si="220"/>
        <v>0</v>
      </c>
      <c r="R766" s="4">
        <f t="shared" si="221"/>
        <v>0</v>
      </c>
      <c r="S766" s="4">
        <f>IF(AND(VLOOKUP(G766,Dados!$D:$L,2,0)=VLOOKUP(I766,Dados!$S:$V,2,0),VLOOKUP(G766,Dados!$D:$L,3,0)=VLOOKUP(I766,Dados!$S:$V,3,0)),0,1)</f>
        <v>0</v>
      </c>
      <c r="T766" s="4">
        <f>IF(AND(VLOOKUP(G766,Dados!$D:$L,3,0)&lt;=VLOOKUP(H766,Dados!$X:$AB,2,0),VLOOKUP(G766,Dados!$D:$L,4,0)&gt;=VLOOKUP(H766,Dados!$X:$AB,3,0),VLOOKUP(G766,Dados!$D:$L,4,0)&lt;=VLOOKUP(H766,Dados!$X:$AB,4,0)),0,1)</f>
        <v>0</v>
      </c>
      <c r="U766" s="4">
        <f>IF(COUNTIFS(F:F,F766,H:H,H766)&lt;=VLOOKUP(H766,Dados!$X:$AB,5,0),0,1)</f>
        <v>0</v>
      </c>
    </row>
    <row r="767" spans="6:21">
      <c r="F767" s="4">
        <v>429</v>
      </c>
      <c r="G767" s="4">
        <v>15</v>
      </c>
      <c r="H767" s="4">
        <v>3</v>
      </c>
      <c r="I767" s="4">
        <v>8</v>
      </c>
      <c r="J767" s="4">
        <v>2</v>
      </c>
      <c r="K767" s="4">
        <f t="shared" si="217"/>
        <v>0</v>
      </c>
      <c r="L767" s="4">
        <f t="shared" si="217"/>
        <v>0</v>
      </c>
      <c r="M767" s="4">
        <f t="shared" si="217"/>
        <v>0</v>
      </c>
      <c r="N767" s="4">
        <f t="shared" si="217"/>
        <v>0</v>
      </c>
      <c r="O767" s="4">
        <f t="shared" si="218"/>
        <v>0</v>
      </c>
      <c r="P767" s="4">
        <f t="shared" si="219"/>
        <v>0</v>
      </c>
      <c r="Q767" s="4">
        <f t="shared" si="220"/>
        <v>0</v>
      </c>
      <c r="R767" s="4">
        <f t="shared" si="221"/>
        <v>0</v>
      </c>
      <c r="S767" s="4">
        <f>IF(AND(VLOOKUP(G767,Dados!$D:$L,2,0)=VLOOKUP(I767,Dados!$S:$V,2,0),VLOOKUP(G767,Dados!$D:$L,3,0)=VLOOKUP(I767,Dados!$S:$V,3,0)),0,1)</f>
        <v>0</v>
      </c>
      <c r="T767" s="4">
        <f>IF(AND(VLOOKUP(G767,Dados!$D:$L,3,0)&lt;=VLOOKUP(H767,Dados!$X:$AB,2,0),VLOOKUP(G767,Dados!$D:$L,4,0)&gt;=VLOOKUP(H767,Dados!$X:$AB,3,0),VLOOKUP(G767,Dados!$D:$L,4,0)&lt;=VLOOKUP(H767,Dados!$X:$AB,4,0)),0,1)</f>
        <v>0</v>
      </c>
      <c r="U767" s="4">
        <f>IF(COUNTIFS(F:F,F767,H:H,H767)&lt;=VLOOKUP(H767,Dados!$X:$AB,5,0),0,1)</f>
        <v>0</v>
      </c>
    </row>
    <row r="768" spans="6:21">
      <c r="F768" s="4">
        <v>430</v>
      </c>
      <c r="G768" s="4">
        <v>13</v>
      </c>
      <c r="H768" s="4">
        <v>1</v>
      </c>
      <c r="I768" s="4">
        <v>9</v>
      </c>
      <c r="J768" s="4">
        <v>1</v>
      </c>
      <c r="K768" s="4">
        <f t="shared" si="217"/>
        <v>0</v>
      </c>
      <c r="L768" s="4">
        <f t="shared" si="217"/>
        <v>0</v>
      </c>
      <c r="M768" s="4">
        <f t="shared" si="217"/>
        <v>0</v>
      </c>
      <c r="N768" s="4">
        <f t="shared" si="217"/>
        <v>0</v>
      </c>
      <c r="O768" s="4">
        <f t="shared" si="218"/>
        <v>0</v>
      </c>
      <c r="P768" s="4">
        <f t="shared" si="219"/>
        <v>0</v>
      </c>
      <c r="Q768" s="4">
        <f t="shared" si="220"/>
        <v>0</v>
      </c>
      <c r="R768" s="4">
        <f t="shared" si="221"/>
        <v>0</v>
      </c>
      <c r="S768" s="4">
        <f>IF(AND(VLOOKUP(G768,Dados!$D:$L,2,0)=VLOOKUP(I768,Dados!$S:$V,2,0),VLOOKUP(G768,Dados!$D:$L,3,0)=VLOOKUP(I768,Dados!$S:$V,3,0)),0,1)</f>
        <v>0</v>
      </c>
      <c r="T768" s="4">
        <f>IF(AND(VLOOKUP(G768,Dados!$D:$L,3,0)&lt;=VLOOKUP(H768,Dados!$X:$AB,2,0),VLOOKUP(G768,Dados!$D:$L,4,0)&gt;=VLOOKUP(H768,Dados!$X:$AB,3,0),VLOOKUP(G768,Dados!$D:$L,4,0)&lt;=VLOOKUP(H768,Dados!$X:$AB,4,0)),0,1)</f>
        <v>0</v>
      </c>
      <c r="U768" s="4">
        <f>IF(COUNTIFS(F:F,F768,H:H,H768)&lt;=VLOOKUP(H768,Dados!$X:$AB,5,0),0,1)</f>
        <v>0</v>
      </c>
    </row>
    <row r="769" spans="6:21">
      <c r="F769" s="4">
        <v>430</v>
      </c>
      <c r="G769" s="4">
        <v>14</v>
      </c>
      <c r="H769" s="4">
        <v>1</v>
      </c>
      <c r="I769" s="4">
        <v>9</v>
      </c>
      <c r="J769" s="4">
        <v>8</v>
      </c>
      <c r="K769" s="4">
        <f t="shared" si="217"/>
        <v>0</v>
      </c>
      <c r="L769" s="4">
        <f t="shared" si="217"/>
        <v>0</v>
      </c>
      <c r="M769" s="4">
        <f t="shared" si="217"/>
        <v>0</v>
      </c>
      <c r="N769" s="4">
        <f t="shared" si="217"/>
        <v>0</v>
      </c>
      <c r="O769" s="4">
        <f t="shared" si="218"/>
        <v>0</v>
      </c>
      <c r="P769" s="4">
        <f t="shared" si="219"/>
        <v>0</v>
      </c>
      <c r="Q769" s="4">
        <f t="shared" si="220"/>
        <v>0</v>
      </c>
      <c r="R769" s="4">
        <f t="shared" si="221"/>
        <v>0</v>
      </c>
      <c r="S769" s="4">
        <f>IF(AND(VLOOKUP(G769,Dados!$D:$L,2,0)=VLOOKUP(I769,Dados!$S:$V,2,0),VLOOKUP(G769,Dados!$D:$L,3,0)=VLOOKUP(I769,Dados!$S:$V,3,0)),0,1)</f>
        <v>0</v>
      </c>
      <c r="T769" s="4">
        <f>IF(AND(VLOOKUP(G769,Dados!$D:$L,3,0)&lt;=VLOOKUP(H769,Dados!$X:$AB,2,0),VLOOKUP(G769,Dados!$D:$L,4,0)&gt;=VLOOKUP(H769,Dados!$X:$AB,3,0),VLOOKUP(G769,Dados!$D:$L,4,0)&lt;=VLOOKUP(H769,Dados!$X:$AB,4,0)),0,1)</f>
        <v>0</v>
      </c>
      <c r="U769" s="4">
        <f>IF(COUNTIFS(F:F,F769,H:H,H769)&lt;=VLOOKUP(H769,Dados!$X:$AB,5,0),0,1)</f>
        <v>0</v>
      </c>
    </row>
    <row r="770" spans="6:21">
      <c r="F770" s="4">
        <v>430</v>
      </c>
      <c r="G770" s="4">
        <v>15</v>
      </c>
      <c r="H770" s="4">
        <v>1</v>
      </c>
      <c r="I770" s="4">
        <v>9</v>
      </c>
      <c r="J770" s="4">
        <v>1</v>
      </c>
      <c r="K770" s="4">
        <f t="shared" si="217"/>
        <v>0</v>
      </c>
      <c r="L770" s="4">
        <f t="shared" si="217"/>
        <v>0</v>
      </c>
      <c r="M770" s="4">
        <f t="shared" si="217"/>
        <v>0</v>
      </c>
      <c r="N770" s="4">
        <f t="shared" si="217"/>
        <v>0</v>
      </c>
      <c r="O770" s="4">
        <f t="shared" si="218"/>
        <v>0</v>
      </c>
      <c r="P770" s="4">
        <f t="shared" si="219"/>
        <v>0</v>
      </c>
      <c r="Q770" s="4">
        <f t="shared" si="220"/>
        <v>0</v>
      </c>
      <c r="R770" s="4">
        <f t="shared" si="221"/>
        <v>0</v>
      </c>
      <c r="S770" s="4">
        <f>IF(AND(VLOOKUP(G770,Dados!$D:$L,2,0)=VLOOKUP(I770,Dados!$S:$V,2,0),VLOOKUP(G770,Dados!$D:$L,3,0)=VLOOKUP(I770,Dados!$S:$V,3,0)),0,1)</f>
        <v>0</v>
      </c>
      <c r="T770" s="4">
        <f>IF(AND(VLOOKUP(G770,Dados!$D:$L,3,0)&lt;=VLOOKUP(H770,Dados!$X:$AB,2,0),VLOOKUP(G770,Dados!$D:$L,4,0)&gt;=VLOOKUP(H770,Dados!$X:$AB,3,0),VLOOKUP(G770,Dados!$D:$L,4,0)&lt;=VLOOKUP(H770,Dados!$X:$AB,4,0)),0,1)</f>
        <v>0</v>
      </c>
      <c r="U770" s="4">
        <f>IF(COUNTIFS(F:F,F770,H:H,H770)&lt;=VLOOKUP(H770,Dados!$X:$AB,5,0),0,1)</f>
        <v>0</v>
      </c>
    </row>
    <row r="771" spans="6:21">
      <c r="F771" s="4">
        <v>431</v>
      </c>
      <c r="G771" s="4">
        <v>13</v>
      </c>
      <c r="H771" s="4">
        <v>3</v>
      </c>
      <c r="I771" s="4">
        <v>9</v>
      </c>
      <c r="J771" s="4">
        <v>1</v>
      </c>
      <c r="K771" s="4">
        <f t="shared" si="217"/>
        <v>0</v>
      </c>
      <c r="L771" s="4">
        <f t="shared" si="217"/>
        <v>0</v>
      </c>
      <c r="M771" s="4">
        <f t="shared" si="217"/>
        <v>0</v>
      </c>
      <c r="N771" s="4">
        <f t="shared" si="217"/>
        <v>0</v>
      </c>
      <c r="O771" s="4">
        <f t="shared" si="218"/>
        <v>0</v>
      </c>
      <c r="P771" s="4">
        <f t="shared" si="219"/>
        <v>0</v>
      </c>
      <c r="Q771" s="4">
        <f t="shared" si="220"/>
        <v>0</v>
      </c>
      <c r="R771" s="4">
        <f t="shared" si="221"/>
        <v>0</v>
      </c>
      <c r="S771" s="4">
        <f>IF(AND(VLOOKUP(G771,Dados!$D:$L,2,0)=VLOOKUP(I771,Dados!$S:$V,2,0),VLOOKUP(G771,Dados!$D:$L,3,0)=VLOOKUP(I771,Dados!$S:$V,3,0)),0,1)</f>
        <v>0</v>
      </c>
      <c r="T771" s="4">
        <f>IF(AND(VLOOKUP(G771,Dados!$D:$L,3,0)&lt;=VLOOKUP(H771,Dados!$X:$AB,2,0),VLOOKUP(G771,Dados!$D:$L,4,0)&gt;=VLOOKUP(H771,Dados!$X:$AB,3,0),VLOOKUP(G771,Dados!$D:$L,4,0)&lt;=VLOOKUP(H771,Dados!$X:$AB,4,0)),0,1)</f>
        <v>0</v>
      </c>
      <c r="U771" s="4">
        <f>IF(COUNTIFS(F:F,F771,H:H,H771)&lt;=VLOOKUP(H771,Dados!$X:$AB,5,0),0,1)</f>
        <v>0</v>
      </c>
    </row>
    <row r="772" spans="6:21">
      <c r="F772" s="4">
        <v>431</v>
      </c>
      <c r="G772" s="4">
        <v>14</v>
      </c>
      <c r="H772" s="4">
        <v>3</v>
      </c>
      <c r="I772" s="4">
        <v>9</v>
      </c>
      <c r="J772" s="4">
        <v>8</v>
      </c>
      <c r="K772" s="4">
        <f t="shared" si="217"/>
        <v>0</v>
      </c>
      <c r="L772" s="4">
        <f t="shared" si="217"/>
        <v>0</v>
      </c>
      <c r="M772" s="4">
        <f t="shared" si="217"/>
        <v>0</v>
      </c>
      <c r="N772" s="4">
        <f t="shared" si="217"/>
        <v>0</v>
      </c>
      <c r="O772" s="4">
        <f t="shared" si="218"/>
        <v>0</v>
      </c>
      <c r="P772" s="4">
        <f t="shared" si="219"/>
        <v>0</v>
      </c>
      <c r="Q772" s="4">
        <f t="shared" si="220"/>
        <v>0</v>
      </c>
      <c r="R772" s="4">
        <f t="shared" si="221"/>
        <v>0</v>
      </c>
      <c r="S772" s="4">
        <f>IF(AND(VLOOKUP(G772,Dados!$D:$L,2,0)=VLOOKUP(I772,Dados!$S:$V,2,0),VLOOKUP(G772,Dados!$D:$L,3,0)=VLOOKUP(I772,Dados!$S:$V,3,0)),0,1)</f>
        <v>0</v>
      </c>
      <c r="T772" s="4">
        <f>IF(AND(VLOOKUP(G772,Dados!$D:$L,3,0)&lt;=VLOOKUP(H772,Dados!$X:$AB,2,0),VLOOKUP(G772,Dados!$D:$L,4,0)&gt;=VLOOKUP(H772,Dados!$X:$AB,3,0),VLOOKUP(G772,Dados!$D:$L,4,0)&lt;=VLOOKUP(H772,Dados!$X:$AB,4,0)),0,1)</f>
        <v>0</v>
      </c>
      <c r="U772" s="4">
        <f>IF(COUNTIFS(F:F,F772,H:H,H772)&lt;=VLOOKUP(H772,Dados!$X:$AB,5,0),0,1)</f>
        <v>0</v>
      </c>
    </row>
    <row r="773" spans="6:21">
      <c r="F773" s="4">
        <v>431</v>
      </c>
      <c r="G773" s="4">
        <v>15</v>
      </c>
      <c r="H773" s="4">
        <v>3</v>
      </c>
      <c r="I773" s="4">
        <v>9</v>
      </c>
      <c r="J773" s="4">
        <v>1</v>
      </c>
      <c r="K773" s="4">
        <f t="shared" si="217"/>
        <v>0</v>
      </c>
      <c r="L773" s="4">
        <f t="shared" si="217"/>
        <v>0</v>
      </c>
      <c r="M773" s="4">
        <f t="shared" si="217"/>
        <v>0</v>
      </c>
      <c r="N773" s="4">
        <f t="shared" si="217"/>
        <v>0</v>
      </c>
      <c r="O773" s="4">
        <f t="shared" si="218"/>
        <v>0</v>
      </c>
      <c r="P773" s="4">
        <f t="shared" si="219"/>
        <v>0</v>
      </c>
      <c r="Q773" s="4">
        <f t="shared" si="220"/>
        <v>0</v>
      </c>
      <c r="R773" s="4">
        <f t="shared" si="221"/>
        <v>0</v>
      </c>
      <c r="S773" s="4">
        <f>IF(AND(VLOOKUP(G773,Dados!$D:$L,2,0)=VLOOKUP(I773,Dados!$S:$V,2,0),VLOOKUP(G773,Dados!$D:$L,3,0)=VLOOKUP(I773,Dados!$S:$V,3,0)),0,1)</f>
        <v>0</v>
      </c>
      <c r="T773" s="4">
        <f>IF(AND(VLOOKUP(G773,Dados!$D:$L,3,0)&lt;=VLOOKUP(H773,Dados!$X:$AB,2,0),VLOOKUP(G773,Dados!$D:$L,4,0)&gt;=VLOOKUP(H773,Dados!$X:$AB,3,0),VLOOKUP(G773,Dados!$D:$L,4,0)&lt;=VLOOKUP(H773,Dados!$X:$AB,4,0)),0,1)</f>
        <v>0</v>
      </c>
      <c r="U773" s="4">
        <f>IF(COUNTIFS(F:F,F773,H:H,H773)&lt;=VLOOKUP(H773,Dados!$X:$AB,5,0),0,1)</f>
        <v>0</v>
      </c>
    </row>
    <row r="774" spans="6:21">
      <c r="F774" s="4">
        <v>432</v>
      </c>
      <c r="G774" s="4">
        <v>14</v>
      </c>
      <c r="H774" s="4">
        <v>1</v>
      </c>
      <c r="I774" s="4">
        <v>10</v>
      </c>
      <c r="J774" s="4">
        <v>6</v>
      </c>
      <c r="K774" s="4">
        <f t="shared" si="217"/>
        <v>0</v>
      </c>
      <c r="L774" s="4">
        <f t="shared" si="217"/>
        <v>0</v>
      </c>
      <c r="M774" s="4">
        <f t="shared" si="217"/>
        <v>0</v>
      </c>
      <c r="N774" s="4">
        <f t="shared" si="217"/>
        <v>0</v>
      </c>
      <c r="O774" s="4">
        <f t="shared" si="218"/>
        <v>0</v>
      </c>
      <c r="P774" s="4">
        <f t="shared" si="219"/>
        <v>0</v>
      </c>
      <c r="Q774" s="4">
        <f t="shared" si="220"/>
        <v>0</v>
      </c>
      <c r="R774" s="4">
        <f t="shared" si="221"/>
        <v>0</v>
      </c>
      <c r="S774" s="4">
        <f>IF(AND(VLOOKUP(G774,Dados!$D:$L,2,0)=VLOOKUP(I774,Dados!$S:$V,2,0),VLOOKUP(G774,Dados!$D:$L,3,0)=VLOOKUP(I774,Dados!$S:$V,3,0)),0,1)</f>
        <v>0</v>
      </c>
      <c r="T774" s="4">
        <f>IF(AND(VLOOKUP(G774,Dados!$D:$L,3,0)&lt;=VLOOKUP(H774,Dados!$X:$AB,2,0),VLOOKUP(G774,Dados!$D:$L,4,0)&gt;=VLOOKUP(H774,Dados!$X:$AB,3,0),VLOOKUP(G774,Dados!$D:$L,4,0)&lt;=VLOOKUP(H774,Dados!$X:$AB,4,0)),0,1)</f>
        <v>0</v>
      </c>
      <c r="U774" s="4">
        <f>IF(COUNTIFS(F:F,F774,H:H,H774)&lt;=VLOOKUP(H774,Dados!$X:$AB,5,0),0,1)</f>
        <v>0</v>
      </c>
    </row>
    <row r="775" spans="6:21">
      <c r="F775" s="4">
        <v>432</v>
      </c>
      <c r="G775" s="4">
        <v>15</v>
      </c>
      <c r="H775" s="4">
        <v>1</v>
      </c>
      <c r="I775" s="4">
        <v>10</v>
      </c>
      <c r="J775" s="4">
        <v>3</v>
      </c>
      <c r="K775" s="4">
        <f t="shared" si="217"/>
        <v>0</v>
      </c>
      <c r="L775" s="4">
        <f t="shared" si="217"/>
        <v>0</v>
      </c>
      <c r="M775" s="4">
        <f t="shared" si="217"/>
        <v>0</v>
      </c>
      <c r="N775" s="4">
        <f t="shared" si="217"/>
        <v>0</v>
      </c>
      <c r="O775" s="4">
        <f t="shared" si="218"/>
        <v>0</v>
      </c>
      <c r="P775" s="4">
        <f t="shared" si="219"/>
        <v>0</v>
      </c>
      <c r="Q775" s="4">
        <f t="shared" si="220"/>
        <v>0</v>
      </c>
      <c r="R775" s="4">
        <f t="shared" si="221"/>
        <v>0</v>
      </c>
      <c r="S775" s="4">
        <f>IF(AND(VLOOKUP(G775,Dados!$D:$L,2,0)=VLOOKUP(I775,Dados!$S:$V,2,0),VLOOKUP(G775,Dados!$D:$L,3,0)=VLOOKUP(I775,Dados!$S:$V,3,0)),0,1)</f>
        <v>0</v>
      </c>
      <c r="T775" s="4">
        <f>IF(AND(VLOOKUP(G775,Dados!$D:$L,3,0)&lt;=VLOOKUP(H775,Dados!$X:$AB,2,0),VLOOKUP(G775,Dados!$D:$L,4,0)&gt;=VLOOKUP(H775,Dados!$X:$AB,3,0),VLOOKUP(G775,Dados!$D:$L,4,0)&lt;=VLOOKUP(H775,Dados!$X:$AB,4,0)),0,1)</f>
        <v>0</v>
      </c>
      <c r="U775" s="4">
        <f>IF(COUNTIFS(F:F,F775,H:H,H775)&lt;=VLOOKUP(H775,Dados!$X:$AB,5,0),0,1)</f>
        <v>0</v>
      </c>
    </row>
    <row r="776" spans="6:21">
      <c r="F776" s="4">
        <v>433</v>
      </c>
      <c r="G776" s="4">
        <v>14</v>
      </c>
      <c r="H776" s="4">
        <v>3</v>
      </c>
      <c r="I776" s="4">
        <v>10</v>
      </c>
      <c r="J776" s="4">
        <v>6</v>
      </c>
      <c r="K776" s="4">
        <f t="shared" si="217"/>
        <v>0</v>
      </c>
      <c r="L776" s="4">
        <f t="shared" si="217"/>
        <v>0</v>
      </c>
      <c r="M776" s="4">
        <f t="shared" si="217"/>
        <v>0</v>
      </c>
      <c r="N776" s="4">
        <f t="shared" si="217"/>
        <v>0</v>
      </c>
      <c r="O776" s="4">
        <f t="shared" si="218"/>
        <v>0</v>
      </c>
      <c r="P776" s="4">
        <f t="shared" si="219"/>
        <v>0</v>
      </c>
      <c r="Q776" s="4">
        <f t="shared" si="220"/>
        <v>0</v>
      </c>
      <c r="R776" s="4">
        <f t="shared" si="221"/>
        <v>0</v>
      </c>
      <c r="S776" s="4">
        <f>IF(AND(VLOOKUP(G776,Dados!$D:$L,2,0)=VLOOKUP(I776,Dados!$S:$V,2,0),VLOOKUP(G776,Dados!$D:$L,3,0)=VLOOKUP(I776,Dados!$S:$V,3,0)),0,1)</f>
        <v>0</v>
      </c>
      <c r="T776" s="4">
        <f>IF(AND(VLOOKUP(G776,Dados!$D:$L,3,0)&lt;=VLOOKUP(H776,Dados!$X:$AB,2,0),VLOOKUP(G776,Dados!$D:$L,4,0)&gt;=VLOOKUP(H776,Dados!$X:$AB,3,0),VLOOKUP(G776,Dados!$D:$L,4,0)&lt;=VLOOKUP(H776,Dados!$X:$AB,4,0)),0,1)</f>
        <v>0</v>
      </c>
      <c r="U776" s="4">
        <f>IF(COUNTIFS(F:F,F776,H:H,H776)&lt;=VLOOKUP(H776,Dados!$X:$AB,5,0),0,1)</f>
        <v>0</v>
      </c>
    </row>
    <row r="777" spans="6:21">
      <c r="F777" s="4">
        <v>433</v>
      </c>
      <c r="G777" s="4">
        <v>15</v>
      </c>
      <c r="H777" s="4">
        <v>3</v>
      </c>
      <c r="I777" s="4">
        <v>10</v>
      </c>
      <c r="J777" s="4">
        <v>3</v>
      </c>
      <c r="K777" s="4">
        <f t="shared" si="217"/>
        <v>0</v>
      </c>
      <c r="L777" s="4">
        <f t="shared" si="217"/>
        <v>0</v>
      </c>
      <c r="M777" s="4">
        <f t="shared" si="217"/>
        <v>0</v>
      </c>
      <c r="N777" s="4">
        <f t="shared" si="217"/>
        <v>0</v>
      </c>
      <c r="O777" s="4">
        <f t="shared" si="218"/>
        <v>0</v>
      </c>
      <c r="P777" s="4">
        <f t="shared" si="219"/>
        <v>0</v>
      </c>
      <c r="Q777" s="4">
        <f t="shared" si="220"/>
        <v>0</v>
      </c>
      <c r="R777" s="4">
        <f t="shared" si="221"/>
        <v>0</v>
      </c>
      <c r="S777" s="4">
        <f>IF(AND(VLOOKUP(G777,Dados!$D:$L,2,0)=VLOOKUP(I777,Dados!$S:$V,2,0),VLOOKUP(G777,Dados!$D:$L,3,0)=VLOOKUP(I777,Dados!$S:$V,3,0)),0,1)</f>
        <v>0</v>
      </c>
      <c r="T777" s="4">
        <f>IF(AND(VLOOKUP(G777,Dados!$D:$L,3,0)&lt;=VLOOKUP(H777,Dados!$X:$AB,2,0),VLOOKUP(G777,Dados!$D:$L,4,0)&gt;=VLOOKUP(H777,Dados!$X:$AB,3,0),VLOOKUP(G777,Dados!$D:$L,4,0)&lt;=VLOOKUP(H777,Dados!$X:$AB,4,0)),0,1)</f>
        <v>0</v>
      </c>
      <c r="U777" s="4">
        <f>IF(COUNTIFS(F:F,F777,H:H,H777)&lt;=VLOOKUP(H777,Dados!$X:$AB,5,0),0,1)</f>
        <v>0</v>
      </c>
    </row>
    <row r="778" spans="6:21">
      <c r="F778" s="4">
        <v>434</v>
      </c>
      <c r="G778" s="4">
        <v>14</v>
      </c>
      <c r="H778" s="4">
        <v>1</v>
      </c>
      <c r="I778" s="4">
        <v>11</v>
      </c>
      <c r="J778" s="4">
        <v>8</v>
      </c>
      <c r="K778" s="4">
        <f t="shared" si="217"/>
        <v>0</v>
      </c>
      <c r="L778" s="4">
        <f t="shared" si="217"/>
        <v>0</v>
      </c>
      <c r="M778" s="4">
        <f t="shared" si="217"/>
        <v>0</v>
      </c>
      <c r="N778" s="4">
        <f t="shared" si="217"/>
        <v>0</v>
      </c>
      <c r="O778" s="4">
        <f t="shared" si="218"/>
        <v>0</v>
      </c>
      <c r="P778" s="4">
        <f t="shared" si="219"/>
        <v>0</v>
      </c>
      <c r="Q778" s="4">
        <f t="shared" si="220"/>
        <v>0</v>
      </c>
      <c r="R778" s="4">
        <f t="shared" si="221"/>
        <v>0</v>
      </c>
      <c r="S778" s="4">
        <f>IF(AND(VLOOKUP(G778,Dados!$D:$L,2,0)=VLOOKUP(I778,Dados!$S:$V,2,0),VLOOKUP(G778,Dados!$D:$L,3,0)=VLOOKUP(I778,Dados!$S:$V,3,0)),0,1)</f>
        <v>0</v>
      </c>
      <c r="T778" s="4">
        <f>IF(AND(VLOOKUP(G778,Dados!$D:$L,3,0)&lt;=VLOOKUP(H778,Dados!$X:$AB,2,0),VLOOKUP(G778,Dados!$D:$L,4,0)&gt;=VLOOKUP(H778,Dados!$X:$AB,3,0),VLOOKUP(G778,Dados!$D:$L,4,0)&lt;=VLOOKUP(H778,Dados!$X:$AB,4,0)),0,1)</f>
        <v>0</v>
      </c>
      <c r="U778" s="4">
        <f>IF(COUNTIFS(F:F,F778,H:H,H778)&lt;=VLOOKUP(H778,Dados!$X:$AB,5,0),0,1)</f>
        <v>0</v>
      </c>
    </row>
    <row r="779" spans="6:21">
      <c r="F779" s="4">
        <v>434</v>
      </c>
      <c r="G779" s="4">
        <v>15</v>
      </c>
      <c r="H779" s="4">
        <v>1</v>
      </c>
      <c r="I779" s="4">
        <v>11</v>
      </c>
      <c r="J779" s="4">
        <v>1</v>
      </c>
      <c r="K779" s="4">
        <f t="shared" si="217"/>
        <v>0</v>
      </c>
      <c r="L779" s="4">
        <f t="shared" si="217"/>
        <v>0</v>
      </c>
      <c r="M779" s="4">
        <f t="shared" si="217"/>
        <v>0</v>
      </c>
      <c r="N779" s="4">
        <f t="shared" si="217"/>
        <v>0</v>
      </c>
      <c r="O779" s="4">
        <f t="shared" si="218"/>
        <v>0</v>
      </c>
      <c r="P779" s="4">
        <f t="shared" si="219"/>
        <v>0</v>
      </c>
      <c r="Q779" s="4">
        <f t="shared" si="220"/>
        <v>0</v>
      </c>
      <c r="R779" s="4">
        <f t="shared" si="221"/>
        <v>0</v>
      </c>
      <c r="S779" s="4">
        <f>IF(AND(VLOOKUP(G779,Dados!$D:$L,2,0)=VLOOKUP(I779,Dados!$S:$V,2,0),VLOOKUP(G779,Dados!$D:$L,3,0)=VLOOKUP(I779,Dados!$S:$V,3,0)),0,1)</f>
        <v>0</v>
      </c>
      <c r="T779" s="4">
        <f>IF(AND(VLOOKUP(G779,Dados!$D:$L,3,0)&lt;=VLOOKUP(H779,Dados!$X:$AB,2,0),VLOOKUP(G779,Dados!$D:$L,4,0)&gt;=VLOOKUP(H779,Dados!$X:$AB,3,0),VLOOKUP(G779,Dados!$D:$L,4,0)&lt;=VLOOKUP(H779,Dados!$X:$AB,4,0)),0,1)</f>
        <v>0</v>
      </c>
      <c r="U779" s="4">
        <f>IF(COUNTIFS(F:F,F779,H:H,H779)&lt;=VLOOKUP(H779,Dados!$X:$AB,5,0),0,1)</f>
        <v>0</v>
      </c>
    </row>
    <row r="780" spans="6:21">
      <c r="F780" s="4">
        <v>435</v>
      </c>
      <c r="G780" s="4">
        <v>14</v>
      </c>
      <c r="H780" s="4">
        <v>3</v>
      </c>
      <c r="I780" s="4">
        <v>11</v>
      </c>
      <c r="J780" s="4">
        <v>8</v>
      </c>
      <c r="K780" s="4">
        <f t="shared" si="217"/>
        <v>0</v>
      </c>
      <c r="L780" s="4">
        <f t="shared" si="217"/>
        <v>0</v>
      </c>
      <c r="M780" s="4">
        <f t="shared" si="217"/>
        <v>0</v>
      </c>
      <c r="N780" s="4">
        <f t="shared" si="217"/>
        <v>0</v>
      </c>
      <c r="O780" s="4">
        <f t="shared" si="218"/>
        <v>0</v>
      </c>
      <c r="P780" s="4">
        <f t="shared" si="219"/>
        <v>0</v>
      </c>
      <c r="Q780" s="4">
        <f t="shared" si="220"/>
        <v>0</v>
      </c>
      <c r="R780" s="4">
        <f t="shared" si="221"/>
        <v>0</v>
      </c>
      <c r="S780" s="4">
        <f>IF(AND(VLOOKUP(G780,Dados!$D:$L,2,0)=VLOOKUP(I780,Dados!$S:$V,2,0),VLOOKUP(G780,Dados!$D:$L,3,0)=VLOOKUP(I780,Dados!$S:$V,3,0)),0,1)</f>
        <v>0</v>
      </c>
      <c r="T780" s="4">
        <f>IF(AND(VLOOKUP(G780,Dados!$D:$L,3,0)&lt;=VLOOKUP(H780,Dados!$X:$AB,2,0),VLOOKUP(G780,Dados!$D:$L,4,0)&gt;=VLOOKUP(H780,Dados!$X:$AB,3,0),VLOOKUP(G780,Dados!$D:$L,4,0)&lt;=VLOOKUP(H780,Dados!$X:$AB,4,0)),0,1)</f>
        <v>0</v>
      </c>
      <c r="U780" s="4">
        <f>IF(COUNTIFS(F:F,F780,H:H,H780)&lt;=VLOOKUP(H780,Dados!$X:$AB,5,0),0,1)</f>
        <v>0</v>
      </c>
    </row>
    <row r="781" spans="6:21">
      <c r="F781" s="4">
        <v>435</v>
      </c>
      <c r="G781" s="4">
        <v>15</v>
      </c>
      <c r="H781" s="4">
        <v>3</v>
      </c>
      <c r="I781" s="4">
        <v>11</v>
      </c>
      <c r="J781" s="4">
        <v>1</v>
      </c>
      <c r="K781" s="4">
        <f t="shared" si="217"/>
        <v>0</v>
      </c>
      <c r="L781" s="4">
        <f t="shared" si="217"/>
        <v>0</v>
      </c>
      <c r="M781" s="4">
        <f t="shared" si="217"/>
        <v>0</v>
      </c>
      <c r="N781" s="4">
        <f t="shared" si="217"/>
        <v>0</v>
      </c>
      <c r="O781" s="4">
        <f t="shared" si="218"/>
        <v>0</v>
      </c>
      <c r="P781" s="4">
        <f t="shared" si="219"/>
        <v>0</v>
      </c>
      <c r="Q781" s="4">
        <f t="shared" si="220"/>
        <v>0</v>
      </c>
      <c r="R781" s="4">
        <f t="shared" si="221"/>
        <v>0</v>
      </c>
      <c r="S781" s="4">
        <f>IF(AND(VLOOKUP(G781,Dados!$D:$L,2,0)=VLOOKUP(I781,Dados!$S:$V,2,0),VLOOKUP(G781,Dados!$D:$L,3,0)=VLOOKUP(I781,Dados!$S:$V,3,0)),0,1)</f>
        <v>0</v>
      </c>
      <c r="T781" s="4">
        <f>IF(AND(VLOOKUP(G781,Dados!$D:$L,3,0)&lt;=VLOOKUP(H781,Dados!$X:$AB,2,0),VLOOKUP(G781,Dados!$D:$L,4,0)&gt;=VLOOKUP(H781,Dados!$X:$AB,3,0),VLOOKUP(G781,Dados!$D:$L,4,0)&lt;=VLOOKUP(H781,Dados!$X:$AB,4,0)),0,1)</f>
        <v>0</v>
      </c>
      <c r="U781" s="4">
        <f>IF(COUNTIFS(F:F,F781,H:H,H781)&lt;=VLOOKUP(H781,Dados!$X:$AB,5,0),0,1)</f>
        <v>0</v>
      </c>
    </row>
    <row r="782" spans="6:21">
      <c r="F782" s="4">
        <v>436</v>
      </c>
      <c r="G782" s="4">
        <v>20</v>
      </c>
      <c r="H782" s="4">
        <v>1</v>
      </c>
      <c r="I782" s="4">
        <v>13</v>
      </c>
      <c r="J782" s="4">
        <v>6</v>
      </c>
      <c r="K782" s="4">
        <f t="shared" si="217"/>
        <v>0</v>
      </c>
      <c r="L782" s="4">
        <f t="shared" si="217"/>
        <v>0</v>
      </c>
      <c r="M782" s="4">
        <f t="shared" si="217"/>
        <v>0</v>
      </c>
      <c r="N782" s="4">
        <f t="shared" si="217"/>
        <v>0</v>
      </c>
      <c r="O782" s="4">
        <f t="shared" si="218"/>
        <v>0</v>
      </c>
      <c r="P782" s="4">
        <f t="shared" si="219"/>
        <v>0</v>
      </c>
      <c r="Q782" s="4">
        <f t="shared" si="220"/>
        <v>0</v>
      </c>
      <c r="R782" s="4">
        <f t="shared" si="221"/>
        <v>0</v>
      </c>
      <c r="S782" s="4">
        <f>IF(AND(VLOOKUP(G782,Dados!$D:$L,2,0)=VLOOKUP(I782,Dados!$S:$V,2,0),VLOOKUP(G782,Dados!$D:$L,3,0)=VLOOKUP(I782,Dados!$S:$V,3,0)),0,1)</f>
        <v>0</v>
      </c>
      <c r="T782" s="4">
        <f>IF(AND(VLOOKUP(G782,Dados!$D:$L,3,0)&lt;=VLOOKUP(H782,Dados!$X:$AB,2,0),VLOOKUP(G782,Dados!$D:$L,4,0)&gt;=VLOOKUP(H782,Dados!$X:$AB,3,0),VLOOKUP(G782,Dados!$D:$L,4,0)&lt;=VLOOKUP(H782,Dados!$X:$AB,4,0)),0,1)</f>
        <v>0</v>
      </c>
      <c r="U782" s="4">
        <f>IF(COUNTIFS(F:F,F782,H:H,H782)&lt;=VLOOKUP(H782,Dados!$X:$AB,5,0),0,1)</f>
        <v>0</v>
      </c>
    </row>
    <row r="783" spans="6:21">
      <c r="F783" s="4">
        <v>436</v>
      </c>
      <c r="G783" s="4">
        <v>21</v>
      </c>
      <c r="H783" s="4">
        <v>1</v>
      </c>
      <c r="I783" s="4">
        <v>13</v>
      </c>
      <c r="J783" s="4">
        <v>2</v>
      </c>
      <c r="K783" s="4">
        <f t="shared" si="217"/>
        <v>0</v>
      </c>
      <c r="L783" s="4">
        <f t="shared" si="217"/>
        <v>0</v>
      </c>
      <c r="M783" s="4">
        <f t="shared" si="217"/>
        <v>0</v>
      </c>
      <c r="N783" s="4">
        <f t="shared" si="217"/>
        <v>0</v>
      </c>
      <c r="O783" s="4">
        <f t="shared" si="218"/>
        <v>0</v>
      </c>
      <c r="P783" s="4">
        <f t="shared" si="219"/>
        <v>0</v>
      </c>
      <c r="Q783" s="4">
        <f t="shared" si="220"/>
        <v>0</v>
      </c>
      <c r="R783" s="4">
        <f t="shared" si="221"/>
        <v>0</v>
      </c>
      <c r="S783" s="4">
        <f>IF(AND(VLOOKUP(G783,Dados!$D:$L,2,0)=VLOOKUP(I783,Dados!$S:$V,2,0),VLOOKUP(G783,Dados!$D:$L,3,0)=VLOOKUP(I783,Dados!$S:$V,3,0)),0,1)</f>
        <v>0</v>
      </c>
      <c r="T783" s="4">
        <f>IF(AND(VLOOKUP(G783,Dados!$D:$L,3,0)&lt;=VLOOKUP(H783,Dados!$X:$AB,2,0),VLOOKUP(G783,Dados!$D:$L,4,0)&gt;=VLOOKUP(H783,Dados!$X:$AB,3,0),VLOOKUP(G783,Dados!$D:$L,4,0)&lt;=VLOOKUP(H783,Dados!$X:$AB,4,0)),0,1)</f>
        <v>0</v>
      </c>
      <c r="U783" s="4">
        <f>IF(COUNTIFS(F:F,F783,H:H,H783)&lt;=VLOOKUP(H783,Dados!$X:$AB,5,0),0,1)</f>
        <v>0</v>
      </c>
    </row>
    <row r="784" spans="6:21">
      <c r="F784" s="4">
        <v>437</v>
      </c>
      <c r="G784" s="4">
        <v>20</v>
      </c>
      <c r="H784" s="4">
        <v>2</v>
      </c>
      <c r="I784" s="4">
        <v>13</v>
      </c>
      <c r="J784" s="4">
        <v>6</v>
      </c>
      <c r="K784" s="4">
        <f t="shared" si="217"/>
        <v>0</v>
      </c>
      <c r="L784" s="4">
        <f t="shared" si="217"/>
        <v>0</v>
      </c>
      <c r="M784" s="4">
        <f t="shared" si="217"/>
        <v>0</v>
      </c>
      <c r="N784" s="4">
        <f t="shared" si="217"/>
        <v>0</v>
      </c>
      <c r="O784" s="4">
        <f t="shared" si="218"/>
        <v>0</v>
      </c>
      <c r="P784" s="4">
        <f t="shared" si="219"/>
        <v>0</v>
      </c>
      <c r="Q784" s="4">
        <f t="shared" si="220"/>
        <v>0</v>
      </c>
      <c r="R784" s="4">
        <f t="shared" si="221"/>
        <v>0</v>
      </c>
      <c r="S784" s="4">
        <f>IF(AND(VLOOKUP(G784,Dados!$D:$L,2,0)=VLOOKUP(I784,Dados!$S:$V,2,0),VLOOKUP(G784,Dados!$D:$L,3,0)=VLOOKUP(I784,Dados!$S:$V,3,0)),0,1)</f>
        <v>0</v>
      </c>
      <c r="T784" s="4">
        <f>IF(AND(VLOOKUP(G784,Dados!$D:$L,3,0)&lt;=VLOOKUP(H784,Dados!$X:$AB,2,0),VLOOKUP(G784,Dados!$D:$L,4,0)&gt;=VLOOKUP(H784,Dados!$X:$AB,3,0),VLOOKUP(G784,Dados!$D:$L,4,0)&lt;=VLOOKUP(H784,Dados!$X:$AB,4,0)),0,1)</f>
        <v>0</v>
      </c>
      <c r="U784" s="4">
        <f>IF(COUNTIFS(F:F,F784,H:H,H784)&lt;=VLOOKUP(H784,Dados!$X:$AB,5,0),0,1)</f>
        <v>0</v>
      </c>
    </row>
    <row r="785" spans="6:21">
      <c r="F785" s="4">
        <v>437</v>
      </c>
      <c r="G785" s="4">
        <v>21</v>
      </c>
      <c r="H785" s="4">
        <v>2</v>
      </c>
      <c r="I785" s="4">
        <v>13</v>
      </c>
      <c r="J785" s="4">
        <v>2</v>
      </c>
      <c r="K785" s="4">
        <f t="shared" si="217"/>
        <v>0</v>
      </c>
      <c r="L785" s="4">
        <f t="shared" si="217"/>
        <v>0</v>
      </c>
      <c r="M785" s="4">
        <f t="shared" si="217"/>
        <v>0</v>
      </c>
      <c r="N785" s="4">
        <f t="shared" si="217"/>
        <v>0</v>
      </c>
      <c r="O785" s="4">
        <f t="shared" si="218"/>
        <v>0</v>
      </c>
      <c r="P785" s="4">
        <f t="shared" si="219"/>
        <v>0</v>
      </c>
      <c r="Q785" s="4">
        <f t="shared" si="220"/>
        <v>0</v>
      </c>
      <c r="R785" s="4">
        <f t="shared" si="221"/>
        <v>0</v>
      </c>
      <c r="S785" s="4">
        <f>IF(AND(VLOOKUP(G785,Dados!$D:$L,2,0)=VLOOKUP(I785,Dados!$S:$V,2,0),VLOOKUP(G785,Dados!$D:$L,3,0)=VLOOKUP(I785,Dados!$S:$V,3,0)),0,1)</f>
        <v>0</v>
      </c>
      <c r="T785" s="4">
        <f>IF(AND(VLOOKUP(G785,Dados!$D:$L,3,0)&lt;=VLOOKUP(H785,Dados!$X:$AB,2,0),VLOOKUP(G785,Dados!$D:$L,4,0)&gt;=VLOOKUP(H785,Dados!$X:$AB,3,0),VLOOKUP(G785,Dados!$D:$L,4,0)&lt;=VLOOKUP(H785,Dados!$X:$AB,4,0)),0,1)</f>
        <v>0</v>
      </c>
      <c r="U785" s="4">
        <f>IF(COUNTIFS(F:F,F785,H:H,H785)&lt;=VLOOKUP(H785,Dados!$X:$AB,5,0),0,1)</f>
        <v>0</v>
      </c>
    </row>
    <row r="786" spans="6:21">
      <c r="F786" s="4">
        <v>438</v>
      </c>
      <c r="G786" s="4">
        <v>20</v>
      </c>
      <c r="H786" s="4">
        <v>3</v>
      </c>
      <c r="I786" s="4">
        <v>13</v>
      </c>
      <c r="J786" s="4">
        <v>6</v>
      </c>
      <c r="K786" s="4">
        <f t="shared" si="217"/>
        <v>0</v>
      </c>
      <c r="L786" s="4">
        <f t="shared" si="217"/>
        <v>0</v>
      </c>
      <c r="M786" s="4">
        <f t="shared" si="217"/>
        <v>0</v>
      </c>
      <c r="N786" s="4">
        <f t="shared" si="217"/>
        <v>0</v>
      </c>
      <c r="O786" s="4">
        <f t="shared" si="218"/>
        <v>0</v>
      </c>
      <c r="P786" s="4">
        <f t="shared" si="219"/>
        <v>0</v>
      </c>
      <c r="Q786" s="4">
        <f t="shared" si="220"/>
        <v>0</v>
      </c>
      <c r="R786" s="4">
        <f t="shared" si="221"/>
        <v>0</v>
      </c>
      <c r="S786" s="4">
        <f>IF(AND(VLOOKUP(G786,Dados!$D:$L,2,0)=VLOOKUP(I786,Dados!$S:$V,2,0),VLOOKUP(G786,Dados!$D:$L,3,0)=VLOOKUP(I786,Dados!$S:$V,3,0)),0,1)</f>
        <v>0</v>
      </c>
      <c r="T786" s="4">
        <f>IF(AND(VLOOKUP(G786,Dados!$D:$L,3,0)&lt;=VLOOKUP(H786,Dados!$X:$AB,2,0),VLOOKUP(G786,Dados!$D:$L,4,0)&gt;=VLOOKUP(H786,Dados!$X:$AB,3,0),VLOOKUP(G786,Dados!$D:$L,4,0)&lt;=VLOOKUP(H786,Dados!$X:$AB,4,0)),0,1)</f>
        <v>0</v>
      </c>
      <c r="U786" s="4">
        <f>IF(COUNTIFS(F:F,F786,H:H,H786)&lt;=VLOOKUP(H786,Dados!$X:$AB,5,0),0,1)</f>
        <v>0</v>
      </c>
    </row>
    <row r="787" spans="6:21">
      <c r="F787" s="4">
        <v>438</v>
      </c>
      <c r="G787" s="4">
        <v>21</v>
      </c>
      <c r="H787" s="4">
        <v>3</v>
      </c>
      <c r="I787" s="4">
        <v>13</v>
      </c>
      <c r="J787" s="4">
        <v>2</v>
      </c>
      <c r="K787" s="4">
        <f t="shared" si="217"/>
        <v>0</v>
      </c>
      <c r="L787" s="4">
        <f t="shared" si="217"/>
        <v>0</v>
      </c>
      <c r="M787" s="4">
        <f t="shared" si="217"/>
        <v>0</v>
      </c>
      <c r="N787" s="4">
        <f t="shared" si="217"/>
        <v>0</v>
      </c>
      <c r="O787" s="4">
        <f t="shared" si="218"/>
        <v>0</v>
      </c>
      <c r="P787" s="4">
        <f t="shared" si="219"/>
        <v>0</v>
      </c>
      <c r="Q787" s="4">
        <f t="shared" si="220"/>
        <v>0</v>
      </c>
      <c r="R787" s="4">
        <f t="shared" si="221"/>
        <v>0</v>
      </c>
      <c r="S787" s="4">
        <f>IF(AND(VLOOKUP(G787,Dados!$D:$L,2,0)=VLOOKUP(I787,Dados!$S:$V,2,0),VLOOKUP(G787,Dados!$D:$L,3,0)=VLOOKUP(I787,Dados!$S:$V,3,0)),0,1)</f>
        <v>0</v>
      </c>
      <c r="T787" s="4">
        <f>IF(AND(VLOOKUP(G787,Dados!$D:$L,3,0)&lt;=VLOOKUP(H787,Dados!$X:$AB,2,0),VLOOKUP(G787,Dados!$D:$L,4,0)&gt;=VLOOKUP(H787,Dados!$X:$AB,3,0),VLOOKUP(G787,Dados!$D:$L,4,0)&lt;=VLOOKUP(H787,Dados!$X:$AB,4,0)),0,1)</f>
        <v>0</v>
      </c>
      <c r="U787" s="4">
        <f>IF(COUNTIFS(F:F,F787,H:H,H787)&lt;=VLOOKUP(H787,Dados!$X:$AB,5,0),0,1)</f>
        <v>0</v>
      </c>
    </row>
    <row r="788" spans="6:21">
      <c r="F788" s="4">
        <v>439</v>
      </c>
      <c r="G788" s="4">
        <v>20</v>
      </c>
      <c r="H788" s="4">
        <v>1</v>
      </c>
      <c r="I788" s="4">
        <v>14</v>
      </c>
      <c r="J788" s="4">
        <v>4</v>
      </c>
      <c r="K788" s="4">
        <f t="shared" si="217"/>
        <v>3</v>
      </c>
      <c r="L788" s="4">
        <f t="shared" si="217"/>
        <v>0</v>
      </c>
      <c r="M788" s="4">
        <f t="shared" si="217"/>
        <v>0</v>
      </c>
      <c r="N788" s="4">
        <f t="shared" si="217"/>
        <v>0</v>
      </c>
      <c r="O788" s="4">
        <f t="shared" si="218"/>
        <v>12</v>
      </c>
      <c r="P788" s="4">
        <f t="shared" si="219"/>
        <v>0</v>
      </c>
      <c r="Q788" s="4">
        <f t="shared" si="220"/>
        <v>0</v>
      </c>
      <c r="R788" s="4">
        <f t="shared" si="221"/>
        <v>0</v>
      </c>
      <c r="S788" s="4">
        <f>IF(AND(VLOOKUP(G788,Dados!$D:$L,2,0)=VLOOKUP(I788,Dados!$S:$V,2,0),VLOOKUP(G788,Dados!$D:$L,3,0)=VLOOKUP(I788,Dados!$S:$V,3,0)),0,1)</f>
        <v>0</v>
      </c>
      <c r="T788" s="4">
        <f>IF(AND(VLOOKUP(G788,Dados!$D:$L,3,0)&lt;=VLOOKUP(H788,Dados!$X:$AB,2,0),VLOOKUP(G788,Dados!$D:$L,4,0)&gt;=VLOOKUP(H788,Dados!$X:$AB,3,0),VLOOKUP(G788,Dados!$D:$L,4,0)&lt;=VLOOKUP(H788,Dados!$X:$AB,4,0)),0,1)</f>
        <v>0</v>
      </c>
      <c r="U788" s="4">
        <f>IF(COUNTIFS(F:F,F788,H:H,H788)&lt;=VLOOKUP(H788,Dados!$X:$AB,5,0),0,1)</f>
        <v>0</v>
      </c>
    </row>
    <row r="789" spans="6:21">
      <c r="F789" s="4">
        <v>439</v>
      </c>
      <c r="G789" s="4">
        <v>21</v>
      </c>
      <c r="H789" s="4">
        <v>1</v>
      </c>
      <c r="I789" s="4">
        <v>14</v>
      </c>
      <c r="J789" s="4">
        <v>4</v>
      </c>
      <c r="K789" s="4">
        <f t="shared" si="217"/>
        <v>3</v>
      </c>
      <c r="L789" s="4">
        <f t="shared" si="217"/>
        <v>0</v>
      </c>
      <c r="M789" s="4">
        <f t="shared" si="217"/>
        <v>0</v>
      </c>
      <c r="N789" s="4">
        <f t="shared" si="217"/>
        <v>0</v>
      </c>
      <c r="O789" s="4">
        <f t="shared" si="218"/>
        <v>12</v>
      </c>
      <c r="P789" s="4">
        <f t="shared" si="219"/>
        <v>0</v>
      </c>
      <c r="Q789" s="4">
        <f t="shared" si="220"/>
        <v>0</v>
      </c>
      <c r="R789" s="4">
        <f t="shared" si="221"/>
        <v>0</v>
      </c>
      <c r="S789" s="4">
        <f>IF(AND(VLOOKUP(G789,Dados!$D:$L,2,0)=VLOOKUP(I789,Dados!$S:$V,2,0),VLOOKUP(G789,Dados!$D:$L,3,0)=VLOOKUP(I789,Dados!$S:$V,3,0)),0,1)</f>
        <v>0</v>
      </c>
      <c r="T789" s="4">
        <f>IF(AND(VLOOKUP(G789,Dados!$D:$L,3,0)&lt;=VLOOKUP(H789,Dados!$X:$AB,2,0),VLOOKUP(G789,Dados!$D:$L,4,0)&gt;=VLOOKUP(H789,Dados!$X:$AB,3,0),VLOOKUP(G789,Dados!$D:$L,4,0)&lt;=VLOOKUP(H789,Dados!$X:$AB,4,0)),0,1)</f>
        <v>0</v>
      </c>
      <c r="U789" s="4">
        <f>IF(COUNTIFS(F:F,F789,H:H,H789)&lt;=VLOOKUP(H789,Dados!$X:$AB,5,0),0,1)</f>
        <v>0</v>
      </c>
    </row>
    <row r="790" spans="6:21">
      <c r="F790" s="4">
        <v>440</v>
      </c>
      <c r="G790" s="4">
        <v>20</v>
      </c>
      <c r="H790" s="4">
        <v>2</v>
      </c>
      <c r="I790" s="4">
        <v>14</v>
      </c>
      <c r="J790" s="4">
        <v>4</v>
      </c>
      <c r="K790" s="4">
        <f t="shared" si="217"/>
        <v>0</v>
      </c>
      <c r="L790" s="4">
        <f t="shared" si="217"/>
        <v>0</v>
      </c>
      <c r="M790" s="4">
        <f t="shared" si="217"/>
        <v>0</v>
      </c>
      <c r="N790" s="4">
        <f t="shared" si="217"/>
        <v>0</v>
      </c>
      <c r="O790" s="4">
        <f t="shared" si="218"/>
        <v>0</v>
      </c>
      <c r="P790" s="4">
        <f t="shared" si="219"/>
        <v>0</v>
      </c>
      <c r="Q790" s="4">
        <f t="shared" si="220"/>
        <v>0</v>
      </c>
      <c r="R790" s="4">
        <f t="shared" si="221"/>
        <v>0</v>
      </c>
      <c r="S790" s="4">
        <f>IF(AND(VLOOKUP(G790,Dados!$D:$L,2,0)=VLOOKUP(I790,Dados!$S:$V,2,0),VLOOKUP(G790,Dados!$D:$L,3,0)=VLOOKUP(I790,Dados!$S:$V,3,0)),0,1)</f>
        <v>0</v>
      </c>
      <c r="T790" s="4">
        <f>IF(AND(VLOOKUP(G790,Dados!$D:$L,3,0)&lt;=VLOOKUP(H790,Dados!$X:$AB,2,0),VLOOKUP(G790,Dados!$D:$L,4,0)&gt;=VLOOKUP(H790,Dados!$X:$AB,3,0),VLOOKUP(G790,Dados!$D:$L,4,0)&lt;=VLOOKUP(H790,Dados!$X:$AB,4,0)),0,1)</f>
        <v>0</v>
      </c>
      <c r="U790" s="4">
        <f>IF(COUNTIFS(F:F,F790,H:H,H790)&lt;=VLOOKUP(H790,Dados!$X:$AB,5,0),0,1)</f>
        <v>0</v>
      </c>
    </row>
    <row r="791" spans="6:21">
      <c r="F791" s="4">
        <v>440</v>
      </c>
      <c r="G791" s="4">
        <v>21</v>
      </c>
      <c r="H791" s="4">
        <v>2</v>
      </c>
      <c r="I791" s="4">
        <v>14</v>
      </c>
      <c r="J791" s="4">
        <v>4</v>
      </c>
      <c r="K791" s="4">
        <f t="shared" si="217"/>
        <v>0</v>
      </c>
      <c r="L791" s="4">
        <f t="shared" si="217"/>
        <v>0</v>
      </c>
      <c r="M791" s="4">
        <f t="shared" si="217"/>
        <v>0</v>
      </c>
      <c r="N791" s="4">
        <f t="shared" si="217"/>
        <v>0</v>
      </c>
      <c r="O791" s="4">
        <f t="shared" si="218"/>
        <v>0</v>
      </c>
      <c r="P791" s="4">
        <f t="shared" si="219"/>
        <v>0</v>
      </c>
      <c r="Q791" s="4">
        <f t="shared" si="220"/>
        <v>0</v>
      </c>
      <c r="R791" s="4">
        <f t="shared" si="221"/>
        <v>0</v>
      </c>
      <c r="S791" s="4">
        <f>IF(AND(VLOOKUP(G791,Dados!$D:$L,2,0)=VLOOKUP(I791,Dados!$S:$V,2,0),VLOOKUP(G791,Dados!$D:$L,3,0)=VLOOKUP(I791,Dados!$S:$V,3,0)),0,1)</f>
        <v>0</v>
      </c>
      <c r="T791" s="4">
        <f>IF(AND(VLOOKUP(G791,Dados!$D:$L,3,0)&lt;=VLOOKUP(H791,Dados!$X:$AB,2,0),VLOOKUP(G791,Dados!$D:$L,4,0)&gt;=VLOOKUP(H791,Dados!$X:$AB,3,0),VLOOKUP(G791,Dados!$D:$L,4,0)&lt;=VLOOKUP(H791,Dados!$X:$AB,4,0)),0,1)</f>
        <v>0</v>
      </c>
      <c r="U791" s="4">
        <f>IF(COUNTIFS(F:F,F791,H:H,H791)&lt;=VLOOKUP(H791,Dados!$X:$AB,5,0),0,1)</f>
        <v>0</v>
      </c>
    </row>
    <row r="792" spans="6:21">
      <c r="F792" s="4">
        <v>441</v>
      </c>
      <c r="G792" s="4">
        <v>20</v>
      </c>
      <c r="H792" s="4">
        <v>3</v>
      </c>
      <c r="I792" s="4">
        <v>14</v>
      </c>
      <c r="J792" s="4">
        <v>4</v>
      </c>
      <c r="K792" s="4">
        <f t="shared" si="217"/>
        <v>0</v>
      </c>
      <c r="L792" s="4">
        <f t="shared" si="217"/>
        <v>0</v>
      </c>
      <c r="M792" s="4">
        <f t="shared" si="217"/>
        <v>0</v>
      </c>
      <c r="N792" s="4">
        <f t="shared" si="217"/>
        <v>0</v>
      </c>
      <c r="O792" s="4">
        <f t="shared" si="218"/>
        <v>0</v>
      </c>
      <c r="P792" s="4">
        <f t="shared" si="219"/>
        <v>0</v>
      </c>
      <c r="Q792" s="4">
        <f t="shared" si="220"/>
        <v>0</v>
      </c>
      <c r="R792" s="4">
        <f t="shared" si="221"/>
        <v>0</v>
      </c>
      <c r="S792" s="4">
        <f>IF(AND(VLOOKUP(G792,Dados!$D:$L,2,0)=VLOOKUP(I792,Dados!$S:$V,2,0),VLOOKUP(G792,Dados!$D:$L,3,0)=VLOOKUP(I792,Dados!$S:$V,3,0)),0,1)</f>
        <v>0</v>
      </c>
      <c r="T792" s="4">
        <f>IF(AND(VLOOKUP(G792,Dados!$D:$L,3,0)&lt;=VLOOKUP(H792,Dados!$X:$AB,2,0),VLOOKUP(G792,Dados!$D:$L,4,0)&gt;=VLOOKUP(H792,Dados!$X:$AB,3,0),VLOOKUP(G792,Dados!$D:$L,4,0)&lt;=VLOOKUP(H792,Dados!$X:$AB,4,0)),0,1)</f>
        <v>0</v>
      </c>
      <c r="U792" s="4">
        <f>IF(COUNTIFS(F:F,F792,H:H,H792)&lt;=VLOOKUP(H792,Dados!$X:$AB,5,0),0,1)</f>
        <v>0</v>
      </c>
    </row>
    <row r="793" spans="6:21">
      <c r="F793" s="4">
        <v>441</v>
      </c>
      <c r="G793" s="4">
        <v>21</v>
      </c>
      <c r="H793" s="4">
        <v>3</v>
      </c>
      <c r="I793" s="4">
        <v>14</v>
      </c>
      <c r="J793" s="4">
        <v>4</v>
      </c>
      <c r="K793" s="4">
        <f t="shared" si="217"/>
        <v>0</v>
      </c>
      <c r="L793" s="4">
        <f t="shared" si="217"/>
        <v>0</v>
      </c>
      <c r="M793" s="4">
        <f t="shared" si="217"/>
        <v>0</v>
      </c>
      <c r="N793" s="4">
        <f t="shared" si="217"/>
        <v>0</v>
      </c>
      <c r="O793" s="4">
        <f t="shared" si="218"/>
        <v>0</v>
      </c>
      <c r="P793" s="4">
        <f t="shared" si="219"/>
        <v>0</v>
      </c>
      <c r="Q793" s="4">
        <f t="shared" si="220"/>
        <v>0</v>
      </c>
      <c r="R793" s="4">
        <f t="shared" si="221"/>
        <v>0</v>
      </c>
      <c r="S793" s="4">
        <f>IF(AND(VLOOKUP(G793,Dados!$D:$L,2,0)=VLOOKUP(I793,Dados!$S:$V,2,0),VLOOKUP(G793,Dados!$D:$L,3,0)=VLOOKUP(I793,Dados!$S:$V,3,0)),0,1)</f>
        <v>0</v>
      </c>
      <c r="T793" s="4">
        <f>IF(AND(VLOOKUP(G793,Dados!$D:$L,3,0)&lt;=VLOOKUP(H793,Dados!$X:$AB,2,0),VLOOKUP(G793,Dados!$D:$L,4,0)&gt;=VLOOKUP(H793,Dados!$X:$AB,3,0),VLOOKUP(G793,Dados!$D:$L,4,0)&lt;=VLOOKUP(H793,Dados!$X:$AB,4,0)),0,1)</f>
        <v>0</v>
      </c>
      <c r="U793" s="4">
        <f>IF(COUNTIFS(F:F,F793,H:H,H793)&lt;=VLOOKUP(H793,Dados!$X:$AB,5,0),0,1)</f>
        <v>0</v>
      </c>
    </row>
    <row r="794" spans="6:21">
      <c r="F794" s="4">
        <v>442</v>
      </c>
      <c r="G794" s="4">
        <v>24</v>
      </c>
      <c r="H794" s="4">
        <v>1</v>
      </c>
      <c r="I794" s="4">
        <v>15</v>
      </c>
      <c r="J794" s="4">
        <v>4</v>
      </c>
      <c r="K794" s="4">
        <f t="shared" si="217"/>
        <v>10</v>
      </c>
      <c r="L794" s="4">
        <f t="shared" si="217"/>
        <v>0</v>
      </c>
      <c r="M794" s="4">
        <f t="shared" si="217"/>
        <v>0</v>
      </c>
      <c r="N794" s="4">
        <f t="shared" si="217"/>
        <v>0</v>
      </c>
      <c r="O794" s="4">
        <f t="shared" si="218"/>
        <v>40</v>
      </c>
      <c r="P794" s="4">
        <f t="shared" si="219"/>
        <v>0</v>
      </c>
      <c r="Q794" s="4">
        <f t="shared" si="220"/>
        <v>0</v>
      </c>
      <c r="R794" s="4">
        <f t="shared" si="221"/>
        <v>0</v>
      </c>
      <c r="S794" s="4">
        <f>IF(AND(VLOOKUP(G794,Dados!$D:$L,2,0)=VLOOKUP(I794,Dados!$S:$V,2,0),VLOOKUP(G794,Dados!$D:$L,3,0)=VLOOKUP(I794,Dados!$S:$V,3,0)),0,1)</f>
        <v>0</v>
      </c>
      <c r="T794" s="4">
        <f>IF(AND(VLOOKUP(G794,Dados!$D:$L,3,0)&lt;=VLOOKUP(H794,Dados!$X:$AB,2,0),VLOOKUP(G794,Dados!$D:$L,4,0)&gt;=VLOOKUP(H794,Dados!$X:$AB,3,0),VLOOKUP(G794,Dados!$D:$L,4,0)&lt;=VLOOKUP(H794,Dados!$X:$AB,4,0)),0,1)</f>
        <v>0</v>
      </c>
      <c r="U794" s="4">
        <f>IF(COUNTIFS(F:F,F794,H:H,H794)&lt;=VLOOKUP(H794,Dados!$X:$AB,5,0),0,1)</f>
        <v>0</v>
      </c>
    </row>
    <row r="795" spans="6:21">
      <c r="F795" s="4">
        <v>442</v>
      </c>
      <c r="G795" s="4">
        <v>26</v>
      </c>
      <c r="H795" s="4">
        <v>1</v>
      </c>
      <c r="I795" s="4">
        <v>15</v>
      </c>
      <c r="J795" s="4">
        <v>2</v>
      </c>
      <c r="K795" s="4">
        <f t="shared" si="217"/>
        <v>10</v>
      </c>
      <c r="L795" s="4">
        <f t="shared" si="217"/>
        <v>0</v>
      </c>
      <c r="M795" s="4">
        <f t="shared" si="217"/>
        <v>0</v>
      </c>
      <c r="N795" s="4">
        <f t="shared" si="217"/>
        <v>0</v>
      </c>
      <c r="O795" s="4">
        <f t="shared" si="218"/>
        <v>20</v>
      </c>
      <c r="P795" s="4">
        <f t="shared" si="219"/>
        <v>0</v>
      </c>
      <c r="Q795" s="4">
        <f t="shared" si="220"/>
        <v>0</v>
      </c>
      <c r="R795" s="4">
        <f t="shared" si="221"/>
        <v>0</v>
      </c>
      <c r="S795" s="4">
        <f>IF(AND(VLOOKUP(G795,Dados!$D:$L,2,0)=VLOOKUP(I795,Dados!$S:$V,2,0),VLOOKUP(G795,Dados!$D:$L,3,0)=VLOOKUP(I795,Dados!$S:$V,3,0)),0,1)</f>
        <v>0</v>
      </c>
      <c r="T795" s="4">
        <f>IF(AND(VLOOKUP(G795,Dados!$D:$L,3,0)&lt;=VLOOKUP(H795,Dados!$X:$AB,2,0),VLOOKUP(G795,Dados!$D:$L,4,0)&gt;=VLOOKUP(H795,Dados!$X:$AB,3,0),VLOOKUP(G795,Dados!$D:$L,4,0)&lt;=VLOOKUP(H795,Dados!$X:$AB,4,0)),0,1)</f>
        <v>0</v>
      </c>
      <c r="U795" s="4">
        <f>IF(COUNTIFS(F:F,F795,H:H,H795)&lt;=VLOOKUP(H795,Dados!$X:$AB,5,0),0,1)</f>
        <v>0</v>
      </c>
    </row>
    <row r="796" spans="6:21">
      <c r="F796" s="4">
        <v>442</v>
      </c>
      <c r="G796" s="4">
        <v>27</v>
      </c>
      <c r="H796" s="4">
        <v>1</v>
      </c>
      <c r="I796" s="4">
        <v>15</v>
      </c>
      <c r="J796" s="4">
        <v>2</v>
      </c>
      <c r="K796" s="4">
        <f t="shared" si="217"/>
        <v>10</v>
      </c>
      <c r="L796" s="4">
        <f t="shared" si="217"/>
        <v>0</v>
      </c>
      <c r="M796" s="4">
        <f t="shared" si="217"/>
        <v>0</v>
      </c>
      <c r="N796" s="4">
        <f t="shared" si="217"/>
        <v>0</v>
      </c>
      <c r="O796" s="4">
        <f t="shared" si="218"/>
        <v>20</v>
      </c>
      <c r="P796" s="4">
        <f t="shared" si="219"/>
        <v>0</v>
      </c>
      <c r="Q796" s="4">
        <f t="shared" si="220"/>
        <v>0</v>
      </c>
      <c r="R796" s="4">
        <f t="shared" si="221"/>
        <v>0</v>
      </c>
      <c r="S796" s="4">
        <f>IF(AND(VLOOKUP(G796,Dados!$D:$L,2,0)=VLOOKUP(I796,Dados!$S:$V,2,0),VLOOKUP(G796,Dados!$D:$L,3,0)=VLOOKUP(I796,Dados!$S:$V,3,0)),0,1)</f>
        <v>0</v>
      </c>
      <c r="T796" s="4">
        <f>IF(AND(VLOOKUP(G796,Dados!$D:$L,3,0)&lt;=VLOOKUP(H796,Dados!$X:$AB,2,0),VLOOKUP(G796,Dados!$D:$L,4,0)&gt;=VLOOKUP(H796,Dados!$X:$AB,3,0),VLOOKUP(G796,Dados!$D:$L,4,0)&lt;=VLOOKUP(H796,Dados!$X:$AB,4,0)),0,1)</f>
        <v>0</v>
      </c>
      <c r="U796" s="4">
        <f>IF(COUNTIFS(F:F,F796,H:H,H796)&lt;=VLOOKUP(H796,Dados!$X:$AB,5,0),0,1)</f>
        <v>0</v>
      </c>
    </row>
    <row r="797" spans="6:21">
      <c r="F797" s="4">
        <v>443</v>
      </c>
      <c r="G797" s="4">
        <v>24</v>
      </c>
      <c r="H797" s="4">
        <v>3</v>
      </c>
      <c r="I797" s="4">
        <v>15</v>
      </c>
      <c r="J797" s="4">
        <v>1</v>
      </c>
      <c r="K797" s="4">
        <f t="shared" si="217"/>
        <v>23</v>
      </c>
      <c r="L797" s="4">
        <f t="shared" si="217"/>
        <v>0</v>
      </c>
      <c r="M797" s="4">
        <f t="shared" si="217"/>
        <v>0</v>
      </c>
      <c r="N797" s="4">
        <f t="shared" si="217"/>
        <v>2</v>
      </c>
      <c r="O797" s="4">
        <f t="shared" si="218"/>
        <v>23</v>
      </c>
      <c r="P797" s="4">
        <f t="shared" si="219"/>
        <v>0</v>
      </c>
      <c r="Q797" s="4">
        <f t="shared" si="220"/>
        <v>0</v>
      </c>
      <c r="R797" s="4">
        <f t="shared" si="221"/>
        <v>2</v>
      </c>
      <c r="S797" s="4">
        <f>IF(AND(VLOOKUP(G797,Dados!$D:$L,2,0)=VLOOKUP(I797,Dados!$S:$V,2,0),VLOOKUP(G797,Dados!$D:$L,3,0)=VLOOKUP(I797,Dados!$S:$V,3,0)),0,1)</f>
        <v>0</v>
      </c>
      <c r="T797" s="4">
        <f>IF(AND(VLOOKUP(G797,Dados!$D:$L,3,0)&lt;=VLOOKUP(H797,Dados!$X:$AB,2,0),VLOOKUP(G797,Dados!$D:$L,4,0)&gt;=VLOOKUP(H797,Dados!$X:$AB,3,0),VLOOKUP(G797,Dados!$D:$L,4,0)&lt;=VLOOKUP(H797,Dados!$X:$AB,4,0)),0,1)</f>
        <v>0</v>
      </c>
      <c r="U797" s="4">
        <f>IF(COUNTIFS(F:F,F797,H:H,H797)&lt;=VLOOKUP(H797,Dados!$X:$AB,5,0),0,1)</f>
        <v>0</v>
      </c>
    </row>
    <row r="798" spans="6:21">
      <c r="F798" s="4">
        <v>443</v>
      </c>
      <c r="G798" s="4">
        <v>26</v>
      </c>
      <c r="H798" s="4">
        <v>3</v>
      </c>
      <c r="I798" s="4">
        <v>15</v>
      </c>
      <c r="J798" s="4">
        <v>2</v>
      </c>
      <c r="K798" s="4">
        <f t="shared" si="217"/>
        <v>23</v>
      </c>
      <c r="L798" s="4">
        <f t="shared" si="217"/>
        <v>0</v>
      </c>
      <c r="M798" s="4">
        <f t="shared" si="217"/>
        <v>0</v>
      </c>
      <c r="N798" s="4">
        <f t="shared" si="217"/>
        <v>2</v>
      </c>
      <c r="O798" s="4">
        <f t="shared" si="218"/>
        <v>46</v>
      </c>
      <c r="P798" s="4">
        <f t="shared" si="219"/>
        <v>0</v>
      </c>
      <c r="Q798" s="4">
        <f t="shared" si="220"/>
        <v>0</v>
      </c>
      <c r="R798" s="4">
        <f t="shared" si="221"/>
        <v>4</v>
      </c>
      <c r="S798" s="4">
        <f>IF(AND(VLOOKUP(G798,Dados!$D:$L,2,0)=VLOOKUP(I798,Dados!$S:$V,2,0),VLOOKUP(G798,Dados!$D:$L,3,0)=VLOOKUP(I798,Dados!$S:$V,3,0)),0,1)</f>
        <v>0</v>
      </c>
      <c r="T798" s="4">
        <f>IF(AND(VLOOKUP(G798,Dados!$D:$L,3,0)&lt;=VLOOKUP(H798,Dados!$X:$AB,2,0),VLOOKUP(G798,Dados!$D:$L,4,0)&gt;=VLOOKUP(H798,Dados!$X:$AB,3,0),VLOOKUP(G798,Dados!$D:$L,4,0)&lt;=VLOOKUP(H798,Dados!$X:$AB,4,0)),0,1)</f>
        <v>0</v>
      </c>
      <c r="U798" s="4">
        <f>IF(COUNTIFS(F:F,F798,H:H,H798)&lt;=VLOOKUP(H798,Dados!$X:$AB,5,0),0,1)</f>
        <v>0</v>
      </c>
    </row>
    <row r="799" spans="6:21">
      <c r="F799" s="4">
        <v>443</v>
      </c>
      <c r="G799" s="4">
        <v>27</v>
      </c>
      <c r="H799" s="4">
        <v>3</v>
      </c>
      <c r="I799" s="4">
        <v>15</v>
      </c>
      <c r="J799" s="4">
        <v>4</v>
      </c>
      <c r="K799" s="4">
        <f t="shared" si="217"/>
        <v>23</v>
      </c>
      <c r="L799" s="4">
        <f t="shared" si="217"/>
        <v>0</v>
      </c>
      <c r="M799" s="4">
        <f t="shared" si="217"/>
        <v>0</v>
      </c>
      <c r="N799" s="4">
        <f t="shared" si="217"/>
        <v>2</v>
      </c>
      <c r="O799" s="4">
        <f t="shared" si="218"/>
        <v>92</v>
      </c>
      <c r="P799" s="4">
        <f t="shared" si="219"/>
        <v>0</v>
      </c>
      <c r="Q799" s="4">
        <f t="shared" si="220"/>
        <v>0</v>
      </c>
      <c r="R799" s="4">
        <f t="shared" si="221"/>
        <v>8</v>
      </c>
      <c r="S799" s="4">
        <f>IF(AND(VLOOKUP(G799,Dados!$D:$L,2,0)=VLOOKUP(I799,Dados!$S:$V,2,0),VLOOKUP(G799,Dados!$D:$L,3,0)=VLOOKUP(I799,Dados!$S:$V,3,0)),0,1)</f>
        <v>0</v>
      </c>
      <c r="T799" s="4">
        <f>IF(AND(VLOOKUP(G799,Dados!$D:$L,3,0)&lt;=VLOOKUP(H799,Dados!$X:$AB,2,0),VLOOKUP(G799,Dados!$D:$L,4,0)&gt;=VLOOKUP(H799,Dados!$X:$AB,3,0),VLOOKUP(G799,Dados!$D:$L,4,0)&lt;=VLOOKUP(H799,Dados!$X:$AB,4,0)),0,1)</f>
        <v>0</v>
      </c>
      <c r="U799" s="4">
        <f>IF(COUNTIFS(F:F,F799,H:H,H799)&lt;=VLOOKUP(H799,Dados!$X:$AB,5,0),0,1)</f>
        <v>0</v>
      </c>
    </row>
    <row r="800" spans="6:21">
      <c r="F800" s="4">
        <v>444</v>
      </c>
      <c r="G800" s="4">
        <v>30</v>
      </c>
      <c r="H800" s="4">
        <v>1</v>
      </c>
      <c r="I800" s="4">
        <v>16</v>
      </c>
      <c r="J800" s="4">
        <v>1</v>
      </c>
      <c r="K800" s="4">
        <f t="shared" si="217"/>
        <v>1</v>
      </c>
      <c r="L800" s="4">
        <f t="shared" si="217"/>
        <v>0</v>
      </c>
      <c r="M800" s="4">
        <f t="shared" si="217"/>
        <v>0</v>
      </c>
      <c r="N800" s="4">
        <f t="shared" si="217"/>
        <v>0</v>
      </c>
      <c r="O800" s="4">
        <f t="shared" si="218"/>
        <v>1</v>
      </c>
      <c r="P800" s="4">
        <f t="shared" si="219"/>
        <v>0</v>
      </c>
      <c r="Q800" s="4">
        <f t="shared" si="220"/>
        <v>0</v>
      </c>
      <c r="R800" s="4">
        <f t="shared" si="221"/>
        <v>0</v>
      </c>
      <c r="S800" s="4">
        <f>IF(AND(VLOOKUP(G800,Dados!$D:$L,2,0)=VLOOKUP(I800,Dados!$S:$V,2,0),VLOOKUP(G800,Dados!$D:$L,3,0)=VLOOKUP(I800,Dados!$S:$V,3,0)),0,1)</f>
        <v>0</v>
      </c>
      <c r="T800" s="4">
        <f>IF(AND(VLOOKUP(G800,Dados!$D:$L,3,0)&lt;=VLOOKUP(H800,Dados!$X:$AB,2,0),VLOOKUP(G800,Dados!$D:$L,4,0)&gt;=VLOOKUP(H800,Dados!$X:$AB,3,0),VLOOKUP(G800,Dados!$D:$L,4,0)&lt;=VLOOKUP(H800,Dados!$X:$AB,4,0)),0,1)</f>
        <v>0</v>
      </c>
      <c r="U800" s="4">
        <f>IF(COUNTIFS(F:F,F800,H:H,H800)&lt;=VLOOKUP(H800,Dados!$X:$AB,5,0),0,1)</f>
        <v>0</v>
      </c>
    </row>
    <row r="801" spans="6:21">
      <c r="F801" s="4">
        <v>444</v>
      </c>
      <c r="G801" s="4">
        <v>31</v>
      </c>
      <c r="H801" s="4">
        <v>1</v>
      </c>
      <c r="I801" s="4">
        <v>16</v>
      </c>
      <c r="J801" s="4">
        <v>2</v>
      </c>
      <c r="K801" s="4">
        <f t="shared" si="217"/>
        <v>1</v>
      </c>
      <c r="L801" s="4">
        <f t="shared" si="217"/>
        <v>0</v>
      </c>
      <c r="M801" s="4">
        <f t="shared" si="217"/>
        <v>0</v>
      </c>
      <c r="N801" s="4">
        <f t="shared" si="217"/>
        <v>0</v>
      </c>
      <c r="O801" s="4">
        <f t="shared" si="218"/>
        <v>2</v>
      </c>
      <c r="P801" s="4">
        <f t="shared" si="219"/>
        <v>0</v>
      </c>
      <c r="Q801" s="4">
        <f t="shared" si="220"/>
        <v>0</v>
      </c>
      <c r="R801" s="4">
        <f t="shared" si="221"/>
        <v>0</v>
      </c>
      <c r="S801" s="4">
        <f>IF(AND(VLOOKUP(G801,Dados!$D:$L,2,0)=VLOOKUP(I801,Dados!$S:$V,2,0),VLOOKUP(G801,Dados!$D:$L,3,0)=VLOOKUP(I801,Dados!$S:$V,3,0)),0,1)</f>
        <v>0</v>
      </c>
      <c r="T801" s="4">
        <f>IF(AND(VLOOKUP(G801,Dados!$D:$L,3,0)&lt;=VLOOKUP(H801,Dados!$X:$AB,2,0),VLOOKUP(G801,Dados!$D:$L,4,0)&gt;=VLOOKUP(H801,Dados!$X:$AB,3,0),VLOOKUP(G801,Dados!$D:$L,4,0)&lt;=VLOOKUP(H801,Dados!$X:$AB,4,0)),0,1)</f>
        <v>0</v>
      </c>
      <c r="U801" s="4">
        <f>IF(COUNTIFS(F:F,F801,H:H,H801)&lt;=VLOOKUP(H801,Dados!$X:$AB,5,0),0,1)</f>
        <v>0</v>
      </c>
    </row>
    <row r="802" spans="6:21">
      <c r="F802" s="4">
        <v>444</v>
      </c>
      <c r="G802" s="4">
        <v>38</v>
      </c>
      <c r="H802" s="4">
        <v>1</v>
      </c>
      <c r="I802" s="4">
        <v>16</v>
      </c>
      <c r="J802" s="4">
        <v>6</v>
      </c>
      <c r="K802" s="4">
        <f t="shared" si="217"/>
        <v>1</v>
      </c>
      <c r="L802" s="4">
        <f t="shared" si="217"/>
        <v>0</v>
      </c>
      <c r="M802" s="4">
        <f t="shared" si="217"/>
        <v>0</v>
      </c>
      <c r="N802" s="4">
        <f t="shared" si="217"/>
        <v>0</v>
      </c>
      <c r="O802" s="4">
        <f t="shared" si="218"/>
        <v>6</v>
      </c>
      <c r="P802" s="4">
        <f t="shared" si="219"/>
        <v>0</v>
      </c>
      <c r="Q802" s="4">
        <f t="shared" si="220"/>
        <v>0</v>
      </c>
      <c r="R802" s="4">
        <f t="shared" si="221"/>
        <v>0</v>
      </c>
      <c r="S802" s="4">
        <f>IF(AND(VLOOKUP(G802,Dados!$D:$L,2,0)=VLOOKUP(I802,Dados!$S:$V,2,0),VLOOKUP(G802,Dados!$D:$L,3,0)=VLOOKUP(I802,Dados!$S:$V,3,0)),0,1)</f>
        <v>0</v>
      </c>
      <c r="T802" s="4">
        <f>IF(AND(VLOOKUP(G802,Dados!$D:$L,3,0)&lt;=VLOOKUP(H802,Dados!$X:$AB,2,0),VLOOKUP(G802,Dados!$D:$L,4,0)&gt;=VLOOKUP(H802,Dados!$X:$AB,3,0),VLOOKUP(G802,Dados!$D:$L,4,0)&lt;=VLOOKUP(H802,Dados!$X:$AB,4,0)),0,1)</f>
        <v>0</v>
      </c>
      <c r="U802" s="4">
        <f>IF(COUNTIFS(F:F,F802,H:H,H802)&lt;=VLOOKUP(H802,Dados!$X:$AB,5,0),0,1)</f>
        <v>0</v>
      </c>
    </row>
    <row r="803" spans="6:21">
      <c r="F803" s="4">
        <v>445</v>
      </c>
      <c r="G803" s="4">
        <v>30</v>
      </c>
      <c r="H803" s="4">
        <v>2</v>
      </c>
      <c r="I803" s="4">
        <v>16</v>
      </c>
      <c r="J803" s="4">
        <v>1</v>
      </c>
      <c r="K803" s="4">
        <f t="shared" si="217"/>
        <v>1</v>
      </c>
      <c r="L803" s="4">
        <f t="shared" si="217"/>
        <v>0</v>
      </c>
      <c r="M803" s="4">
        <f t="shared" si="217"/>
        <v>0</v>
      </c>
      <c r="N803" s="4">
        <f t="shared" si="217"/>
        <v>0</v>
      </c>
      <c r="O803" s="4">
        <f t="shared" si="218"/>
        <v>1</v>
      </c>
      <c r="P803" s="4">
        <f t="shared" si="219"/>
        <v>0</v>
      </c>
      <c r="Q803" s="4">
        <f t="shared" si="220"/>
        <v>0</v>
      </c>
      <c r="R803" s="4">
        <f t="shared" si="221"/>
        <v>0</v>
      </c>
      <c r="S803" s="4">
        <f>IF(AND(VLOOKUP(G803,Dados!$D:$L,2,0)=VLOOKUP(I803,Dados!$S:$V,2,0),VLOOKUP(G803,Dados!$D:$L,3,0)=VLOOKUP(I803,Dados!$S:$V,3,0)),0,1)</f>
        <v>0</v>
      </c>
      <c r="T803" s="4">
        <f>IF(AND(VLOOKUP(G803,Dados!$D:$L,3,0)&lt;=VLOOKUP(H803,Dados!$X:$AB,2,0),VLOOKUP(G803,Dados!$D:$L,4,0)&gt;=VLOOKUP(H803,Dados!$X:$AB,3,0),VLOOKUP(G803,Dados!$D:$L,4,0)&lt;=VLOOKUP(H803,Dados!$X:$AB,4,0)),0,1)</f>
        <v>0</v>
      </c>
      <c r="U803" s="4">
        <f>IF(COUNTIFS(F:F,F803,H:H,H803)&lt;=VLOOKUP(H803,Dados!$X:$AB,5,0),0,1)</f>
        <v>0</v>
      </c>
    </row>
    <row r="804" spans="6:21">
      <c r="F804" s="4">
        <v>445</v>
      </c>
      <c r="G804" s="4">
        <v>31</v>
      </c>
      <c r="H804" s="4">
        <v>2</v>
      </c>
      <c r="I804" s="4">
        <v>16</v>
      </c>
      <c r="J804" s="4">
        <v>2</v>
      </c>
      <c r="K804" s="4">
        <f t="shared" si="217"/>
        <v>1</v>
      </c>
      <c r="L804" s="4">
        <f t="shared" si="217"/>
        <v>0</v>
      </c>
      <c r="M804" s="4">
        <f t="shared" si="217"/>
        <v>0</v>
      </c>
      <c r="N804" s="4">
        <f t="shared" si="217"/>
        <v>0</v>
      </c>
      <c r="O804" s="4">
        <f t="shared" si="218"/>
        <v>2</v>
      </c>
      <c r="P804" s="4">
        <f t="shared" si="219"/>
        <v>0</v>
      </c>
      <c r="Q804" s="4">
        <f t="shared" si="220"/>
        <v>0</v>
      </c>
      <c r="R804" s="4">
        <f t="shared" si="221"/>
        <v>0</v>
      </c>
      <c r="S804" s="4">
        <f>IF(AND(VLOOKUP(G804,Dados!$D:$L,2,0)=VLOOKUP(I804,Dados!$S:$V,2,0),VLOOKUP(G804,Dados!$D:$L,3,0)=VLOOKUP(I804,Dados!$S:$V,3,0)),0,1)</f>
        <v>0</v>
      </c>
      <c r="T804" s="4">
        <f>IF(AND(VLOOKUP(G804,Dados!$D:$L,3,0)&lt;=VLOOKUP(H804,Dados!$X:$AB,2,0),VLOOKUP(G804,Dados!$D:$L,4,0)&gt;=VLOOKUP(H804,Dados!$X:$AB,3,0),VLOOKUP(G804,Dados!$D:$L,4,0)&lt;=VLOOKUP(H804,Dados!$X:$AB,4,0)),0,1)</f>
        <v>0</v>
      </c>
      <c r="U804" s="4">
        <f>IF(COUNTIFS(F:F,F804,H:H,H804)&lt;=VLOOKUP(H804,Dados!$X:$AB,5,0),0,1)</f>
        <v>0</v>
      </c>
    </row>
    <row r="805" spans="6:21">
      <c r="F805" s="4">
        <v>445</v>
      </c>
      <c r="G805" s="4">
        <v>38</v>
      </c>
      <c r="H805" s="4">
        <v>2</v>
      </c>
      <c r="I805" s="4">
        <v>16</v>
      </c>
      <c r="J805" s="4">
        <v>6</v>
      </c>
      <c r="K805" s="4">
        <f t="shared" si="217"/>
        <v>1</v>
      </c>
      <c r="L805" s="4">
        <f t="shared" si="217"/>
        <v>0</v>
      </c>
      <c r="M805" s="4">
        <f t="shared" si="217"/>
        <v>0</v>
      </c>
      <c r="N805" s="4">
        <f t="shared" si="217"/>
        <v>0</v>
      </c>
      <c r="O805" s="4">
        <f t="shared" si="218"/>
        <v>6</v>
      </c>
      <c r="P805" s="4">
        <f t="shared" si="219"/>
        <v>0</v>
      </c>
      <c r="Q805" s="4">
        <f t="shared" si="220"/>
        <v>0</v>
      </c>
      <c r="R805" s="4">
        <f t="shared" si="221"/>
        <v>0</v>
      </c>
      <c r="S805" s="4">
        <f>IF(AND(VLOOKUP(G805,Dados!$D:$L,2,0)=VLOOKUP(I805,Dados!$S:$V,2,0),VLOOKUP(G805,Dados!$D:$L,3,0)=VLOOKUP(I805,Dados!$S:$V,3,0)),0,1)</f>
        <v>0</v>
      </c>
      <c r="T805" s="4">
        <f>IF(AND(VLOOKUP(G805,Dados!$D:$L,3,0)&lt;=VLOOKUP(H805,Dados!$X:$AB,2,0),VLOOKUP(G805,Dados!$D:$L,4,0)&gt;=VLOOKUP(H805,Dados!$X:$AB,3,0),VLOOKUP(G805,Dados!$D:$L,4,0)&lt;=VLOOKUP(H805,Dados!$X:$AB,4,0)),0,1)</f>
        <v>0</v>
      </c>
      <c r="U805" s="4">
        <f>IF(COUNTIFS(F:F,F805,H:H,H805)&lt;=VLOOKUP(H805,Dados!$X:$AB,5,0),0,1)</f>
        <v>0</v>
      </c>
    </row>
    <row r="806" spans="6:21">
      <c r="F806" s="4">
        <v>446</v>
      </c>
      <c r="G806" s="4">
        <v>30</v>
      </c>
      <c r="H806" s="4">
        <v>3</v>
      </c>
      <c r="I806" s="4">
        <v>16</v>
      </c>
      <c r="J806" s="4">
        <v>1</v>
      </c>
      <c r="K806" s="4">
        <f t="shared" si="217"/>
        <v>15</v>
      </c>
      <c r="L806" s="4">
        <f t="shared" si="217"/>
        <v>0</v>
      </c>
      <c r="M806" s="4">
        <f t="shared" si="217"/>
        <v>0</v>
      </c>
      <c r="N806" s="4">
        <f t="shared" si="217"/>
        <v>0</v>
      </c>
      <c r="O806" s="4">
        <f t="shared" si="218"/>
        <v>15</v>
      </c>
      <c r="P806" s="4">
        <f t="shared" si="219"/>
        <v>0</v>
      </c>
      <c r="Q806" s="4">
        <f t="shared" si="220"/>
        <v>0</v>
      </c>
      <c r="R806" s="4">
        <f t="shared" si="221"/>
        <v>0</v>
      </c>
      <c r="S806" s="4">
        <f>IF(AND(VLOOKUP(G806,Dados!$D:$L,2,0)=VLOOKUP(I806,Dados!$S:$V,2,0),VLOOKUP(G806,Dados!$D:$L,3,0)=VLOOKUP(I806,Dados!$S:$V,3,0)),0,1)</f>
        <v>0</v>
      </c>
      <c r="T806" s="4">
        <f>IF(AND(VLOOKUP(G806,Dados!$D:$L,3,0)&lt;=VLOOKUP(H806,Dados!$X:$AB,2,0),VLOOKUP(G806,Dados!$D:$L,4,0)&gt;=VLOOKUP(H806,Dados!$X:$AB,3,0),VLOOKUP(G806,Dados!$D:$L,4,0)&lt;=VLOOKUP(H806,Dados!$X:$AB,4,0)),0,1)</f>
        <v>0</v>
      </c>
      <c r="U806" s="4">
        <f>IF(COUNTIFS(F:F,F806,H:H,H806)&lt;=VLOOKUP(H806,Dados!$X:$AB,5,0),0,1)</f>
        <v>0</v>
      </c>
    </row>
    <row r="807" spans="6:21">
      <c r="F807" s="4">
        <v>446</v>
      </c>
      <c r="G807" s="4">
        <v>31</v>
      </c>
      <c r="H807" s="4">
        <v>3</v>
      </c>
      <c r="I807" s="4">
        <v>16</v>
      </c>
      <c r="J807" s="4">
        <v>2</v>
      </c>
      <c r="K807" s="4">
        <f t="shared" si="217"/>
        <v>15</v>
      </c>
      <c r="L807" s="4">
        <f t="shared" si="217"/>
        <v>0</v>
      </c>
      <c r="M807" s="4">
        <f t="shared" si="217"/>
        <v>0</v>
      </c>
      <c r="N807" s="4">
        <f t="shared" si="217"/>
        <v>0</v>
      </c>
      <c r="O807" s="4">
        <f t="shared" si="218"/>
        <v>30</v>
      </c>
      <c r="P807" s="4">
        <f t="shared" si="219"/>
        <v>0</v>
      </c>
      <c r="Q807" s="4">
        <f t="shared" si="220"/>
        <v>0</v>
      </c>
      <c r="R807" s="4">
        <f t="shared" si="221"/>
        <v>0</v>
      </c>
      <c r="S807" s="4">
        <f>IF(AND(VLOOKUP(G807,Dados!$D:$L,2,0)=VLOOKUP(I807,Dados!$S:$V,2,0),VLOOKUP(G807,Dados!$D:$L,3,0)=VLOOKUP(I807,Dados!$S:$V,3,0)),0,1)</f>
        <v>0</v>
      </c>
      <c r="T807" s="4">
        <f>IF(AND(VLOOKUP(G807,Dados!$D:$L,3,0)&lt;=VLOOKUP(H807,Dados!$X:$AB,2,0),VLOOKUP(G807,Dados!$D:$L,4,0)&gt;=VLOOKUP(H807,Dados!$X:$AB,3,0),VLOOKUP(G807,Dados!$D:$L,4,0)&lt;=VLOOKUP(H807,Dados!$X:$AB,4,0)),0,1)</f>
        <v>0</v>
      </c>
      <c r="U807" s="4">
        <f>IF(COUNTIFS(F:F,F807,H:H,H807)&lt;=VLOOKUP(H807,Dados!$X:$AB,5,0),0,1)</f>
        <v>0</v>
      </c>
    </row>
    <row r="808" spans="6:21">
      <c r="F808" s="4">
        <v>446</v>
      </c>
      <c r="G808" s="4">
        <v>38</v>
      </c>
      <c r="H808" s="4">
        <v>3</v>
      </c>
      <c r="I808" s="4">
        <v>16</v>
      </c>
      <c r="J808" s="4">
        <v>6</v>
      </c>
      <c r="K808" s="4">
        <f t="shared" si="217"/>
        <v>15</v>
      </c>
      <c r="L808" s="4">
        <f t="shared" si="217"/>
        <v>0</v>
      </c>
      <c r="M808" s="4">
        <f t="shared" si="217"/>
        <v>0</v>
      </c>
      <c r="N808" s="4">
        <f t="shared" si="217"/>
        <v>0</v>
      </c>
      <c r="O808" s="4">
        <f t="shared" si="218"/>
        <v>90</v>
      </c>
      <c r="P808" s="4">
        <f t="shared" si="219"/>
        <v>0</v>
      </c>
      <c r="Q808" s="4">
        <f t="shared" si="220"/>
        <v>0</v>
      </c>
      <c r="R808" s="4">
        <f t="shared" si="221"/>
        <v>0</v>
      </c>
      <c r="S808" s="4">
        <f>IF(AND(VLOOKUP(G808,Dados!$D:$L,2,0)=VLOOKUP(I808,Dados!$S:$V,2,0),VLOOKUP(G808,Dados!$D:$L,3,0)=VLOOKUP(I808,Dados!$S:$V,3,0)),0,1)</f>
        <v>0</v>
      </c>
      <c r="T808" s="4">
        <f>IF(AND(VLOOKUP(G808,Dados!$D:$L,3,0)&lt;=VLOOKUP(H808,Dados!$X:$AB,2,0),VLOOKUP(G808,Dados!$D:$L,4,0)&gt;=VLOOKUP(H808,Dados!$X:$AB,3,0),VLOOKUP(G808,Dados!$D:$L,4,0)&lt;=VLOOKUP(H808,Dados!$X:$AB,4,0)),0,1)</f>
        <v>0</v>
      </c>
      <c r="U808" s="4">
        <f>IF(COUNTIFS(F:F,F808,H:H,H808)&lt;=VLOOKUP(H808,Dados!$X:$AB,5,0),0,1)</f>
        <v>0</v>
      </c>
    </row>
    <row r="809" spans="6:21">
      <c r="F809" s="4">
        <v>447</v>
      </c>
      <c r="G809" s="4">
        <v>42</v>
      </c>
      <c r="H809" s="4">
        <v>1</v>
      </c>
      <c r="I809" s="4">
        <v>17</v>
      </c>
      <c r="J809" s="4">
        <v>1</v>
      </c>
      <c r="K809" s="4">
        <f t="shared" si="217"/>
        <v>10</v>
      </c>
      <c r="L809" s="4">
        <f t="shared" si="217"/>
        <v>0</v>
      </c>
      <c r="M809" s="4">
        <f t="shared" si="217"/>
        <v>0</v>
      </c>
      <c r="N809" s="4">
        <f t="shared" si="217"/>
        <v>0</v>
      </c>
      <c r="O809" s="4">
        <f t="shared" si="218"/>
        <v>10</v>
      </c>
      <c r="P809" s="4">
        <f t="shared" si="219"/>
        <v>0</v>
      </c>
      <c r="Q809" s="4">
        <f t="shared" si="220"/>
        <v>0</v>
      </c>
      <c r="R809" s="4">
        <f t="shared" si="221"/>
        <v>0</v>
      </c>
      <c r="S809" s="4">
        <f>IF(AND(VLOOKUP(G809,Dados!$D:$L,2,0)=VLOOKUP(I809,Dados!$S:$V,2,0),VLOOKUP(G809,Dados!$D:$L,3,0)=VLOOKUP(I809,Dados!$S:$V,3,0)),0,1)</f>
        <v>0</v>
      </c>
      <c r="T809" s="4">
        <f>IF(AND(VLOOKUP(G809,Dados!$D:$L,3,0)&lt;=VLOOKUP(H809,Dados!$X:$AB,2,0),VLOOKUP(G809,Dados!$D:$L,4,0)&gt;=VLOOKUP(H809,Dados!$X:$AB,3,0),VLOOKUP(G809,Dados!$D:$L,4,0)&lt;=VLOOKUP(H809,Dados!$X:$AB,4,0)),0,1)</f>
        <v>0</v>
      </c>
      <c r="U809" s="4">
        <f>IF(COUNTIFS(F:F,F809,H:H,H809)&lt;=VLOOKUP(H809,Dados!$X:$AB,5,0),0,1)</f>
        <v>0</v>
      </c>
    </row>
    <row r="810" spans="6:21">
      <c r="F810" s="4">
        <v>447</v>
      </c>
      <c r="G810" s="4">
        <v>43</v>
      </c>
      <c r="H810" s="4">
        <v>1</v>
      </c>
      <c r="I810" s="4">
        <v>17</v>
      </c>
      <c r="J810" s="4">
        <v>8</v>
      </c>
      <c r="K810" s="4">
        <f t="shared" si="217"/>
        <v>10</v>
      </c>
      <c r="L810" s="4">
        <f t="shared" si="217"/>
        <v>0</v>
      </c>
      <c r="M810" s="4">
        <f t="shared" si="217"/>
        <v>0</v>
      </c>
      <c r="N810" s="4">
        <f t="shared" si="217"/>
        <v>0</v>
      </c>
      <c r="O810" s="4">
        <f t="shared" si="218"/>
        <v>80</v>
      </c>
      <c r="P810" s="4">
        <f t="shared" si="219"/>
        <v>0</v>
      </c>
      <c r="Q810" s="4">
        <f t="shared" si="220"/>
        <v>0</v>
      </c>
      <c r="R810" s="4">
        <f t="shared" si="221"/>
        <v>0</v>
      </c>
      <c r="S810" s="4">
        <f>IF(AND(VLOOKUP(G810,Dados!$D:$L,2,0)=VLOOKUP(I810,Dados!$S:$V,2,0),VLOOKUP(G810,Dados!$D:$L,3,0)=VLOOKUP(I810,Dados!$S:$V,3,0)),0,1)</f>
        <v>0</v>
      </c>
      <c r="T810" s="4">
        <f>IF(AND(VLOOKUP(G810,Dados!$D:$L,3,0)&lt;=VLOOKUP(H810,Dados!$X:$AB,2,0),VLOOKUP(G810,Dados!$D:$L,4,0)&gt;=VLOOKUP(H810,Dados!$X:$AB,3,0),VLOOKUP(G810,Dados!$D:$L,4,0)&lt;=VLOOKUP(H810,Dados!$X:$AB,4,0)),0,1)</f>
        <v>0</v>
      </c>
      <c r="U810" s="4">
        <f>IF(COUNTIFS(F:F,F810,H:H,H810)&lt;=VLOOKUP(H810,Dados!$X:$AB,5,0),0,1)</f>
        <v>0</v>
      </c>
    </row>
    <row r="811" spans="6:21">
      <c r="F811" s="4">
        <v>448</v>
      </c>
      <c r="G811" s="4">
        <v>42</v>
      </c>
      <c r="H811" s="4">
        <v>2</v>
      </c>
      <c r="I811" s="4">
        <v>17</v>
      </c>
      <c r="J811" s="4">
        <v>1</v>
      </c>
      <c r="K811" s="4">
        <f t="shared" si="217"/>
        <v>0</v>
      </c>
      <c r="L811" s="4">
        <f t="shared" si="217"/>
        <v>0</v>
      </c>
      <c r="M811" s="4">
        <f t="shared" si="217"/>
        <v>0</v>
      </c>
      <c r="N811" s="4">
        <f t="shared" si="217"/>
        <v>0</v>
      </c>
      <c r="O811" s="4">
        <f t="shared" si="218"/>
        <v>0</v>
      </c>
      <c r="P811" s="4">
        <f t="shared" si="219"/>
        <v>0</v>
      </c>
      <c r="Q811" s="4">
        <f t="shared" si="220"/>
        <v>0</v>
      </c>
      <c r="R811" s="4">
        <f t="shared" si="221"/>
        <v>0</v>
      </c>
      <c r="S811" s="4">
        <f>IF(AND(VLOOKUP(G811,Dados!$D:$L,2,0)=VLOOKUP(I811,Dados!$S:$V,2,0),VLOOKUP(G811,Dados!$D:$L,3,0)=VLOOKUP(I811,Dados!$S:$V,3,0)),0,1)</f>
        <v>0</v>
      </c>
      <c r="T811" s="4">
        <f>IF(AND(VLOOKUP(G811,Dados!$D:$L,3,0)&lt;=VLOOKUP(H811,Dados!$X:$AB,2,0),VLOOKUP(G811,Dados!$D:$L,4,0)&gt;=VLOOKUP(H811,Dados!$X:$AB,3,0),VLOOKUP(G811,Dados!$D:$L,4,0)&lt;=VLOOKUP(H811,Dados!$X:$AB,4,0)),0,1)</f>
        <v>0</v>
      </c>
      <c r="U811" s="4">
        <f>IF(COUNTIFS(F:F,F811,H:H,H811)&lt;=VLOOKUP(H811,Dados!$X:$AB,5,0),0,1)</f>
        <v>0</v>
      </c>
    </row>
    <row r="812" spans="6:21">
      <c r="F812" s="4">
        <v>448</v>
      </c>
      <c r="G812" s="4">
        <v>43</v>
      </c>
      <c r="H812" s="4">
        <v>2</v>
      </c>
      <c r="I812" s="4">
        <v>17</v>
      </c>
      <c r="J812" s="4">
        <v>8</v>
      </c>
      <c r="K812" s="4">
        <f t="shared" si="217"/>
        <v>0</v>
      </c>
      <c r="L812" s="4">
        <f t="shared" si="217"/>
        <v>0</v>
      </c>
      <c r="M812" s="4">
        <f t="shared" si="217"/>
        <v>0</v>
      </c>
      <c r="N812" s="4">
        <f t="shared" si="217"/>
        <v>0</v>
      </c>
      <c r="O812" s="4">
        <f t="shared" si="218"/>
        <v>0</v>
      </c>
      <c r="P812" s="4">
        <f t="shared" si="219"/>
        <v>0</v>
      </c>
      <c r="Q812" s="4">
        <f t="shared" si="220"/>
        <v>0</v>
      </c>
      <c r="R812" s="4">
        <f t="shared" si="221"/>
        <v>0</v>
      </c>
      <c r="S812" s="4">
        <f>IF(AND(VLOOKUP(G812,Dados!$D:$L,2,0)=VLOOKUP(I812,Dados!$S:$V,2,0),VLOOKUP(G812,Dados!$D:$L,3,0)=VLOOKUP(I812,Dados!$S:$V,3,0)),0,1)</f>
        <v>0</v>
      </c>
      <c r="T812" s="4">
        <f>IF(AND(VLOOKUP(G812,Dados!$D:$L,3,0)&lt;=VLOOKUP(H812,Dados!$X:$AB,2,0),VLOOKUP(G812,Dados!$D:$L,4,0)&gt;=VLOOKUP(H812,Dados!$X:$AB,3,0),VLOOKUP(G812,Dados!$D:$L,4,0)&lt;=VLOOKUP(H812,Dados!$X:$AB,4,0)),0,1)</f>
        <v>0</v>
      </c>
      <c r="U812" s="4">
        <f>IF(COUNTIFS(F:F,F812,H:H,H812)&lt;=VLOOKUP(H812,Dados!$X:$AB,5,0),0,1)</f>
        <v>0</v>
      </c>
    </row>
    <row r="813" spans="6:21">
      <c r="F813" s="4">
        <v>449</v>
      </c>
      <c r="G813" s="4">
        <v>42</v>
      </c>
      <c r="H813" s="4">
        <v>3</v>
      </c>
      <c r="I813" s="4">
        <v>17</v>
      </c>
      <c r="J813" s="4">
        <v>1</v>
      </c>
      <c r="K813" s="4">
        <f t="shared" si="217"/>
        <v>0</v>
      </c>
      <c r="L813" s="4">
        <f t="shared" si="217"/>
        <v>0</v>
      </c>
      <c r="M813" s="4">
        <f t="shared" si="217"/>
        <v>0</v>
      </c>
      <c r="N813" s="4">
        <f t="shared" si="217"/>
        <v>0</v>
      </c>
      <c r="O813" s="4">
        <f t="shared" si="218"/>
        <v>0</v>
      </c>
      <c r="P813" s="4">
        <f t="shared" si="219"/>
        <v>0</v>
      </c>
      <c r="Q813" s="4">
        <f t="shared" si="220"/>
        <v>0</v>
      </c>
      <c r="R813" s="4">
        <f t="shared" si="221"/>
        <v>0</v>
      </c>
      <c r="S813" s="4">
        <f>IF(AND(VLOOKUP(G813,Dados!$D:$L,2,0)=VLOOKUP(I813,Dados!$S:$V,2,0),VLOOKUP(G813,Dados!$D:$L,3,0)=VLOOKUP(I813,Dados!$S:$V,3,0)),0,1)</f>
        <v>0</v>
      </c>
      <c r="T813" s="4">
        <f>IF(AND(VLOOKUP(G813,Dados!$D:$L,3,0)&lt;=VLOOKUP(H813,Dados!$X:$AB,2,0),VLOOKUP(G813,Dados!$D:$L,4,0)&gt;=VLOOKUP(H813,Dados!$X:$AB,3,0),VLOOKUP(G813,Dados!$D:$L,4,0)&lt;=VLOOKUP(H813,Dados!$X:$AB,4,0)),0,1)</f>
        <v>0</v>
      </c>
      <c r="U813" s="4">
        <f>IF(COUNTIFS(F:F,F813,H:H,H813)&lt;=VLOOKUP(H813,Dados!$X:$AB,5,0),0,1)</f>
        <v>0</v>
      </c>
    </row>
    <row r="814" spans="6:21">
      <c r="F814" s="4">
        <v>449</v>
      </c>
      <c r="G814" s="4">
        <v>43</v>
      </c>
      <c r="H814" s="4">
        <v>3</v>
      </c>
      <c r="I814" s="4">
        <v>17</v>
      </c>
      <c r="J814" s="4">
        <v>8</v>
      </c>
      <c r="K814" s="4">
        <f t="shared" si="217"/>
        <v>0</v>
      </c>
      <c r="L814" s="4">
        <f t="shared" si="217"/>
        <v>0</v>
      </c>
      <c r="M814" s="4">
        <f t="shared" si="217"/>
        <v>0</v>
      </c>
      <c r="N814" s="4">
        <f t="shared" si="217"/>
        <v>0</v>
      </c>
      <c r="O814" s="4">
        <f t="shared" si="218"/>
        <v>0</v>
      </c>
      <c r="P814" s="4">
        <f t="shared" si="219"/>
        <v>0</v>
      </c>
      <c r="Q814" s="4">
        <f t="shared" si="220"/>
        <v>0</v>
      </c>
      <c r="R814" s="4">
        <f t="shared" si="221"/>
        <v>0</v>
      </c>
      <c r="S814" s="4">
        <f>IF(AND(VLOOKUP(G814,Dados!$D:$L,2,0)=VLOOKUP(I814,Dados!$S:$V,2,0),VLOOKUP(G814,Dados!$D:$L,3,0)=VLOOKUP(I814,Dados!$S:$V,3,0)),0,1)</f>
        <v>0</v>
      </c>
      <c r="T814" s="4">
        <f>IF(AND(VLOOKUP(G814,Dados!$D:$L,3,0)&lt;=VLOOKUP(H814,Dados!$X:$AB,2,0),VLOOKUP(G814,Dados!$D:$L,4,0)&gt;=VLOOKUP(H814,Dados!$X:$AB,3,0),VLOOKUP(G814,Dados!$D:$L,4,0)&lt;=VLOOKUP(H814,Dados!$X:$AB,4,0)),0,1)</f>
        <v>0</v>
      </c>
      <c r="U814" s="4">
        <f>IF(COUNTIFS(F:F,F814,H:H,H814)&lt;=VLOOKUP(H814,Dados!$X:$AB,5,0),0,1)</f>
        <v>0</v>
      </c>
    </row>
    <row r="815" spans="6:21">
      <c r="F815" s="4">
        <v>450</v>
      </c>
      <c r="G815" s="4">
        <v>46</v>
      </c>
      <c r="H815" s="4">
        <v>1</v>
      </c>
      <c r="I815" s="4">
        <v>18</v>
      </c>
      <c r="J815" s="4">
        <v>4</v>
      </c>
      <c r="K815" s="4">
        <f t="shared" si="217"/>
        <v>0</v>
      </c>
      <c r="L815" s="4">
        <f t="shared" si="217"/>
        <v>0</v>
      </c>
      <c r="M815" s="4">
        <f t="shared" si="217"/>
        <v>0</v>
      </c>
      <c r="N815" s="4">
        <f t="shared" si="217"/>
        <v>0</v>
      </c>
      <c r="O815" s="4">
        <f t="shared" si="218"/>
        <v>0</v>
      </c>
      <c r="P815" s="4">
        <f t="shared" si="219"/>
        <v>0</v>
      </c>
      <c r="Q815" s="4">
        <f t="shared" si="220"/>
        <v>0</v>
      </c>
      <c r="R815" s="4">
        <f t="shared" si="221"/>
        <v>0</v>
      </c>
      <c r="S815" s="4">
        <f>IF(AND(VLOOKUP(G815,Dados!$D:$L,2,0)=VLOOKUP(I815,Dados!$S:$V,2,0),VLOOKUP(G815,Dados!$D:$L,3,0)=VLOOKUP(I815,Dados!$S:$V,3,0)),0,1)</f>
        <v>0</v>
      </c>
      <c r="T815" s="4">
        <f>IF(AND(VLOOKUP(G815,Dados!$D:$L,3,0)&lt;=VLOOKUP(H815,Dados!$X:$AB,2,0),VLOOKUP(G815,Dados!$D:$L,4,0)&gt;=VLOOKUP(H815,Dados!$X:$AB,3,0),VLOOKUP(G815,Dados!$D:$L,4,0)&lt;=VLOOKUP(H815,Dados!$X:$AB,4,0)),0,1)</f>
        <v>0</v>
      </c>
      <c r="U815" s="4">
        <f>IF(COUNTIFS(F:F,F815,H:H,H815)&lt;=VLOOKUP(H815,Dados!$X:$AB,5,0),0,1)</f>
        <v>0</v>
      </c>
    </row>
    <row r="816" spans="6:21">
      <c r="F816" s="4">
        <v>450</v>
      </c>
      <c r="G816" s="4">
        <v>48</v>
      </c>
      <c r="H816" s="4">
        <v>1</v>
      </c>
      <c r="I816" s="4">
        <v>18</v>
      </c>
      <c r="J816" s="4">
        <v>1</v>
      </c>
      <c r="K816" s="4">
        <f t="shared" si="217"/>
        <v>0</v>
      </c>
      <c r="L816" s="4">
        <f t="shared" si="217"/>
        <v>0</v>
      </c>
      <c r="M816" s="4">
        <f t="shared" si="217"/>
        <v>0</v>
      </c>
      <c r="N816" s="4">
        <f t="shared" si="217"/>
        <v>0</v>
      </c>
      <c r="O816" s="4">
        <f t="shared" si="218"/>
        <v>0</v>
      </c>
      <c r="P816" s="4">
        <f t="shared" si="219"/>
        <v>0</v>
      </c>
      <c r="Q816" s="4">
        <f t="shared" si="220"/>
        <v>0</v>
      </c>
      <c r="R816" s="4">
        <f t="shared" si="221"/>
        <v>0</v>
      </c>
      <c r="S816" s="4">
        <f>IF(AND(VLOOKUP(G816,Dados!$D:$L,2,0)=VLOOKUP(I816,Dados!$S:$V,2,0),VLOOKUP(G816,Dados!$D:$L,3,0)=VLOOKUP(I816,Dados!$S:$V,3,0)),0,1)</f>
        <v>0</v>
      </c>
      <c r="T816" s="4">
        <f>IF(AND(VLOOKUP(G816,Dados!$D:$L,3,0)&lt;=VLOOKUP(H816,Dados!$X:$AB,2,0),VLOOKUP(G816,Dados!$D:$L,4,0)&gt;=VLOOKUP(H816,Dados!$X:$AB,3,0),VLOOKUP(G816,Dados!$D:$L,4,0)&lt;=VLOOKUP(H816,Dados!$X:$AB,4,0)),0,1)</f>
        <v>0</v>
      </c>
      <c r="U816" s="4">
        <f>IF(COUNTIFS(F:F,F816,H:H,H816)&lt;=VLOOKUP(H816,Dados!$X:$AB,5,0),0,1)</f>
        <v>0</v>
      </c>
    </row>
    <row r="817" spans="6:21">
      <c r="F817" s="4">
        <v>450</v>
      </c>
      <c r="G817" s="4">
        <v>49</v>
      </c>
      <c r="H817" s="4">
        <v>1</v>
      </c>
      <c r="I817" s="4">
        <v>18</v>
      </c>
      <c r="J817" s="4">
        <v>1</v>
      </c>
      <c r="K817" s="4">
        <f t="shared" ref="K817:N880" si="222">SUMIFS($X:$X,$W:$W,$F817,$Z:$Z,$I817,$AA:$AA,$H817,$AB:$AB,K$2)</f>
        <v>0</v>
      </c>
      <c r="L817" s="4">
        <f t="shared" si="222"/>
        <v>0</v>
      </c>
      <c r="M817" s="4">
        <f t="shared" si="222"/>
        <v>0</v>
      </c>
      <c r="N817" s="4">
        <f t="shared" si="222"/>
        <v>0</v>
      </c>
      <c r="O817" s="4">
        <f t="shared" si="218"/>
        <v>0</v>
      </c>
      <c r="P817" s="4">
        <f t="shared" si="219"/>
        <v>0</v>
      </c>
      <c r="Q817" s="4">
        <f t="shared" si="220"/>
        <v>0</v>
      </c>
      <c r="R817" s="4">
        <f t="shared" si="221"/>
        <v>0</v>
      </c>
      <c r="S817" s="4">
        <f>IF(AND(VLOOKUP(G817,Dados!$D:$L,2,0)=VLOOKUP(I817,Dados!$S:$V,2,0),VLOOKUP(G817,Dados!$D:$L,3,0)=VLOOKUP(I817,Dados!$S:$V,3,0)),0,1)</f>
        <v>0</v>
      </c>
      <c r="T817" s="4">
        <f>IF(AND(VLOOKUP(G817,Dados!$D:$L,3,0)&lt;=VLOOKUP(H817,Dados!$X:$AB,2,0),VLOOKUP(G817,Dados!$D:$L,4,0)&gt;=VLOOKUP(H817,Dados!$X:$AB,3,0),VLOOKUP(G817,Dados!$D:$L,4,0)&lt;=VLOOKUP(H817,Dados!$X:$AB,4,0)),0,1)</f>
        <v>0</v>
      </c>
      <c r="U817" s="4">
        <f>IF(COUNTIFS(F:F,F817,H:H,H817)&lt;=VLOOKUP(H817,Dados!$X:$AB,5,0),0,1)</f>
        <v>0</v>
      </c>
    </row>
    <row r="818" spans="6:21">
      <c r="F818" s="4">
        <v>451</v>
      </c>
      <c r="G818" s="4">
        <v>46</v>
      </c>
      <c r="H818" s="4">
        <v>3</v>
      </c>
      <c r="I818" s="4">
        <v>18</v>
      </c>
      <c r="J818" s="4">
        <v>4</v>
      </c>
      <c r="K818" s="4">
        <f t="shared" si="222"/>
        <v>0</v>
      </c>
      <c r="L818" s="4">
        <f t="shared" si="222"/>
        <v>0</v>
      </c>
      <c r="M818" s="4">
        <f t="shared" si="222"/>
        <v>0</v>
      </c>
      <c r="N818" s="4">
        <f t="shared" si="222"/>
        <v>0</v>
      </c>
      <c r="O818" s="4">
        <f t="shared" si="218"/>
        <v>0</v>
      </c>
      <c r="P818" s="4">
        <f t="shared" si="219"/>
        <v>0</v>
      </c>
      <c r="Q818" s="4">
        <f t="shared" si="220"/>
        <v>0</v>
      </c>
      <c r="R818" s="4">
        <f t="shared" si="221"/>
        <v>0</v>
      </c>
      <c r="S818" s="4">
        <f>IF(AND(VLOOKUP(G818,Dados!$D:$L,2,0)=VLOOKUP(I818,Dados!$S:$V,2,0),VLOOKUP(G818,Dados!$D:$L,3,0)=VLOOKUP(I818,Dados!$S:$V,3,0)),0,1)</f>
        <v>0</v>
      </c>
      <c r="T818" s="4">
        <f>IF(AND(VLOOKUP(G818,Dados!$D:$L,3,0)&lt;=VLOOKUP(H818,Dados!$X:$AB,2,0),VLOOKUP(G818,Dados!$D:$L,4,0)&gt;=VLOOKUP(H818,Dados!$X:$AB,3,0),VLOOKUP(G818,Dados!$D:$L,4,0)&lt;=VLOOKUP(H818,Dados!$X:$AB,4,0)),0,1)</f>
        <v>0</v>
      </c>
      <c r="U818" s="4">
        <f>IF(COUNTIFS(F:F,F818,H:H,H818)&lt;=VLOOKUP(H818,Dados!$X:$AB,5,0),0,1)</f>
        <v>0</v>
      </c>
    </row>
    <row r="819" spans="6:21">
      <c r="F819" s="4">
        <v>451</v>
      </c>
      <c r="G819" s="4">
        <v>48</v>
      </c>
      <c r="H819" s="4">
        <v>3</v>
      </c>
      <c r="I819" s="4">
        <v>18</v>
      </c>
      <c r="J819" s="4">
        <v>1</v>
      </c>
      <c r="K819" s="4">
        <f t="shared" si="222"/>
        <v>0</v>
      </c>
      <c r="L819" s="4">
        <f t="shared" si="222"/>
        <v>0</v>
      </c>
      <c r="M819" s="4">
        <f t="shared" si="222"/>
        <v>0</v>
      </c>
      <c r="N819" s="4">
        <f t="shared" si="222"/>
        <v>0</v>
      </c>
      <c r="O819" s="4">
        <f t="shared" ref="O819:O882" si="223">$J819*K819</f>
        <v>0</v>
      </c>
      <c r="P819" s="4">
        <f t="shared" ref="P819:P882" si="224">$J819*L819</f>
        <v>0</v>
      </c>
      <c r="Q819" s="4">
        <f t="shared" ref="Q819:Q882" si="225">$J819*M819</f>
        <v>0</v>
      </c>
      <c r="R819" s="4">
        <f t="shared" ref="R819:R882" si="226">$J819*N819</f>
        <v>0</v>
      </c>
      <c r="S819" s="4">
        <f>IF(AND(VLOOKUP(G819,Dados!$D:$L,2,0)=VLOOKUP(I819,Dados!$S:$V,2,0),VLOOKUP(G819,Dados!$D:$L,3,0)=VLOOKUP(I819,Dados!$S:$V,3,0)),0,1)</f>
        <v>0</v>
      </c>
      <c r="T819" s="4">
        <f>IF(AND(VLOOKUP(G819,Dados!$D:$L,3,0)&lt;=VLOOKUP(H819,Dados!$X:$AB,2,0),VLOOKUP(G819,Dados!$D:$L,4,0)&gt;=VLOOKUP(H819,Dados!$X:$AB,3,0),VLOOKUP(G819,Dados!$D:$L,4,0)&lt;=VLOOKUP(H819,Dados!$X:$AB,4,0)),0,1)</f>
        <v>0</v>
      </c>
      <c r="U819" s="4">
        <f>IF(COUNTIFS(F:F,F819,H:H,H819)&lt;=VLOOKUP(H819,Dados!$X:$AB,5,0),0,1)</f>
        <v>0</v>
      </c>
    </row>
    <row r="820" spans="6:21">
      <c r="F820" s="4">
        <v>451</v>
      </c>
      <c r="G820" s="4">
        <v>49</v>
      </c>
      <c r="H820" s="4">
        <v>3</v>
      </c>
      <c r="I820" s="4">
        <v>18</v>
      </c>
      <c r="J820" s="4">
        <v>1</v>
      </c>
      <c r="K820" s="4">
        <f t="shared" si="222"/>
        <v>0</v>
      </c>
      <c r="L820" s="4">
        <f t="shared" si="222"/>
        <v>0</v>
      </c>
      <c r="M820" s="4">
        <f t="shared" si="222"/>
        <v>0</v>
      </c>
      <c r="N820" s="4">
        <f t="shared" si="222"/>
        <v>0</v>
      </c>
      <c r="O820" s="4">
        <f t="shared" si="223"/>
        <v>0</v>
      </c>
      <c r="P820" s="4">
        <f t="shared" si="224"/>
        <v>0</v>
      </c>
      <c r="Q820" s="4">
        <f t="shared" si="225"/>
        <v>0</v>
      </c>
      <c r="R820" s="4">
        <f t="shared" si="226"/>
        <v>0</v>
      </c>
      <c r="S820" s="4">
        <f>IF(AND(VLOOKUP(G820,Dados!$D:$L,2,0)=VLOOKUP(I820,Dados!$S:$V,2,0),VLOOKUP(G820,Dados!$D:$L,3,0)=VLOOKUP(I820,Dados!$S:$V,3,0)),0,1)</f>
        <v>0</v>
      </c>
      <c r="T820" s="4">
        <f>IF(AND(VLOOKUP(G820,Dados!$D:$L,3,0)&lt;=VLOOKUP(H820,Dados!$X:$AB,2,0),VLOOKUP(G820,Dados!$D:$L,4,0)&gt;=VLOOKUP(H820,Dados!$X:$AB,3,0),VLOOKUP(G820,Dados!$D:$L,4,0)&lt;=VLOOKUP(H820,Dados!$X:$AB,4,0)),0,1)</f>
        <v>0</v>
      </c>
      <c r="U820" s="4">
        <f>IF(COUNTIFS(F:F,F820,H:H,H820)&lt;=VLOOKUP(H820,Dados!$X:$AB,5,0),0,1)</f>
        <v>0</v>
      </c>
    </row>
    <row r="821" spans="6:21">
      <c r="F821" s="4">
        <v>452</v>
      </c>
      <c r="G821" s="4">
        <v>46</v>
      </c>
      <c r="H821" s="4">
        <v>1</v>
      </c>
      <c r="I821" s="4">
        <v>19</v>
      </c>
      <c r="J821" s="4">
        <v>3</v>
      </c>
      <c r="K821" s="4">
        <f t="shared" si="222"/>
        <v>0</v>
      </c>
      <c r="L821" s="4">
        <f t="shared" si="222"/>
        <v>0</v>
      </c>
      <c r="M821" s="4">
        <f t="shared" si="222"/>
        <v>0</v>
      </c>
      <c r="N821" s="4">
        <f t="shared" si="222"/>
        <v>0</v>
      </c>
      <c r="O821" s="4">
        <f t="shared" si="223"/>
        <v>0</v>
      </c>
      <c r="P821" s="4">
        <f t="shared" si="224"/>
        <v>0</v>
      </c>
      <c r="Q821" s="4">
        <f t="shared" si="225"/>
        <v>0</v>
      </c>
      <c r="R821" s="4">
        <f t="shared" si="226"/>
        <v>0</v>
      </c>
      <c r="S821" s="4">
        <f>IF(AND(VLOOKUP(G821,Dados!$D:$L,2,0)=VLOOKUP(I821,Dados!$S:$V,2,0),VLOOKUP(G821,Dados!$D:$L,3,0)=VLOOKUP(I821,Dados!$S:$V,3,0)),0,1)</f>
        <v>0</v>
      </c>
      <c r="T821" s="4">
        <f>IF(AND(VLOOKUP(G821,Dados!$D:$L,3,0)&lt;=VLOOKUP(H821,Dados!$X:$AB,2,0),VLOOKUP(G821,Dados!$D:$L,4,0)&gt;=VLOOKUP(H821,Dados!$X:$AB,3,0),VLOOKUP(G821,Dados!$D:$L,4,0)&lt;=VLOOKUP(H821,Dados!$X:$AB,4,0)),0,1)</f>
        <v>0</v>
      </c>
      <c r="U821" s="4">
        <f>IF(COUNTIFS(F:F,F821,H:H,H821)&lt;=VLOOKUP(H821,Dados!$X:$AB,5,0),0,1)</f>
        <v>0</v>
      </c>
    </row>
    <row r="822" spans="6:21">
      <c r="F822" s="4">
        <v>452</v>
      </c>
      <c r="G822" s="4">
        <v>48</v>
      </c>
      <c r="H822" s="4">
        <v>1</v>
      </c>
      <c r="I822" s="4">
        <v>19</v>
      </c>
      <c r="J822" s="4">
        <v>2</v>
      </c>
      <c r="K822" s="4">
        <f t="shared" si="222"/>
        <v>0</v>
      </c>
      <c r="L822" s="4">
        <f t="shared" si="222"/>
        <v>0</v>
      </c>
      <c r="M822" s="4">
        <f t="shared" si="222"/>
        <v>0</v>
      </c>
      <c r="N822" s="4">
        <f t="shared" si="222"/>
        <v>0</v>
      </c>
      <c r="O822" s="4">
        <f t="shared" si="223"/>
        <v>0</v>
      </c>
      <c r="P822" s="4">
        <f t="shared" si="224"/>
        <v>0</v>
      </c>
      <c r="Q822" s="4">
        <f t="shared" si="225"/>
        <v>0</v>
      </c>
      <c r="R822" s="4">
        <f t="shared" si="226"/>
        <v>0</v>
      </c>
      <c r="S822" s="4">
        <f>IF(AND(VLOOKUP(G822,Dados!$D:$L,2,0)=VLOOKUP(I822,Dados!$S:$V,2,0),VLOOKUP(G822,Dados!$D:$L,3,0)=VLOOKUP(I822,Dados!$S:$V,3,0)),0,1)</f>
        <v>0</v>
      </c>
      <c r="T822" s="4">
        <f>IF(AND(VLOOKUP(G822,Dados!$D:$L,3,0)&lt;=VLOOKUP(H822,Dados!$X:$AB,2,0),VLOOKUP(G822,Dados!$D:$L,4,0)&gt;=VLOOKUP(H822,Dados!$X:$AB,3,0),VLOOKUP(G822,Dados!$D:$L,4,0)&lt;=VLOOKUP(H822,Dados!$X:$AB,4,0)),0,1)</f>
        <v>0</v>
      </c>
      <c r="U822" s="4">
        <f>IF(COUNTIFS(F:F,F822,H:H,H822)&lt;=VLOOKUP(H822,Dados!$X:$AB,5,0),0,1)</f>
        <v>0</v>
      </c>
    </row>
    <row r="823" spans="6:21">
      <c r="F823" s="4">
        <v>452</v>
      </c>
      <c r="G823" s="4">
        <v>49</v>
      </c>
      <c r="H823" s="4">
        <v>1</v>
      </c>
      <c r="I823" s="4">
        <v>19</v>
      </c>
      <c r="J823" s="4">
        <v>3</v>
      </c>
      <c r="K823" s="4">
        <f t="shared" si="222"/>
        <v>0</v>
      </c>
      <c r="L823" s="4">
        <f t="shared" si="222"/>
        <v>0</v>
      </c>
      <c r="M823" s="4">
        <f t="shared" si="222"/>
        <v>0</v>
      </c>
      <c r="N823" s="4">
        <f t="shared" si="222"/>
        <v>0</v>
      </c>
      <c r="O823" s="4">
        <f t="shared" si="223"/>
        <v>0</v>
      </c>
      <c r="P823" s="4">
        <f t="shared" si="224"/>
        <v>0</v>
      </c>
      <c r="Q823" s="4">
        <f t="shared" si="225"/>
        <v>0</v>
      </c>
      <c r="R823" s="4">
        <f t="shared" si="226"/>
        <v>0</v>
      </c>
      <c r="S823" s="4">
        <f>IF(AND(VLOOKUP(G823,Dados!$D:$L,2,0)=VLOOKUP(I823,Dados!$S:$V,2,0),VLOOKUP(G823,Dados!$D:$L,3,0)=VLOOKUP(I823,Dados!$S:$V,3,0)),0,1)</f>
        <v>0</v>
      </c>
      <c r="T823" s="4">
        <f>IF(AND(VLOOKUP(G823,Dados!$D:$L,3,0)&lt;=VLOOKUP(H823,Dados!$X:$AB,2,0),VLOOKUP(G823,Dados!$D:$L,4,0)&gt;=VLOOKUP(H823,Dados!$X:$AB,3,0),VLOOKUP(G823,Dados!$D:$L,4,0)&lt;=VLOOKUP(H823,Dados!$X:$AB,4,0)),0,1)</f>
        <v>0</v>
      </c>
      <c r="U823" s="4">
        <f>IF(COUNTIFS(F:F,F823,H:H,H823)&lt;=VLOOKUP(H823,Dados!$X:$AB,5,0),0,1)</f>
        <v>0</v>
      </c>
    </row>
    <row r="824" spans="6:21">
      <c r="F824" s="4">
        <v>453</v>
      </c>
      <c r="G824" s="4">
        <v>46</v>
      </c>
      <c r="H824" s="4">
        <v>3</v>
      </c>
      <c r="I824" s="4">
        <v>19</v>
      </c>
      <c r="J824" s="4">
        <v>3</v>
      </c>
      <c r="K824" s="4">
        <f t="shared" si="222"/>
        <v>0</v>
      </c>
      <c r="L824" s="4">
        <f t="shared" si="222"/>
        <v>0</v>
      </c>
      <c r="M824" s="4">
        <f t="shared" si="222"/>
        <v>0</v>
      </c>
      <c r="N824" s="4">
        <f t="shared" si="222"/>
        <v>0</v>
      </c>
      <c r="O824" s="4">
        <f t="shared" si="223"/>
        <v>0</v>
      </c>
      <c r="P824" s="4">
        <f t="shared" si="224"/>
        <v>0</v>
      </c>
      <c r="Q824" s="4">
        <f t="shared" si="225"/>
        <v>0</v>
      </c>
      <c r="R824" s="4">
        <f t="shared" si="226"/>
        <v>0</v>
      </c>
      <c r="S824" s="4">
        <f>IF(AND(VLOOKUP(G824,Dados!$D:$L,2,0)=VLOOKUP(I824,Dados!$S:$V,2,0),VLOOKUP(G824,Dados!$D:$L,3,0)=VLOOKUP(I824,Dados!$S:$V,3,0)),0,1)</f>
        <v>0</v>
      </c>
      <c r="T824" s="4">
        <f>IF(AND(VLOOKUP(G824,Dados!$D:$L,3,0)&lt;=VLOOKUP(H824,Dados!$X:$AB,2,0),VLOOKUP(G824,Dados!$D:$L,4,0)&gt;=VLOOKUP(H824,Dados!$X:$AB,3,0),VLOOKUP(G824,Dados!$D:$L,4,0)&lt;=VLOOKUP(H824,Dados!$X:$AB,4,0)),0,1)</f>
        <v>0</v>
      </c>
      <c r="U824" s="4">
        <f>IF(COUNTIFS(F:F,F824,H:H,H824)&lt;=VLOOKUP(H824,Dados!$X:$AB,5,0),0,1)</f>
        <v>0</v>
      </c>
    </row>
    <row r="825" spans="6:21">
      <c r="F825" s="4">
        <v>453</v>
      </c>
      <c r="G825" s="4">
        <v>47</v>
      </c>
      <c r="H825" s="4">
        <v>3</v>
      </c>
      <c r="I825" s="4">
        <v>19</v>
      </c>
      <c r="J825" s="4">
        <v>3</v>
      </c>
      <c r="K825" s="4">
        <f t="shared" si="222"/>
        <v>0</v>
      </c>
      <c r="L825" s="4">
        <f t="shared" si="222"/>
        <v>0</v>
      </c>
      <c r="M825" s="4">
        <f t="shared" si="222"/>
        <v>0</v>
      </c>
      <c r="N825" s="4">
        <f t="shared" si="222"/>
        <v>0</v>
      </c>
      <c r="O825" s="4">
        <f t="shared" si="223"/>
        <v>0</v>
      </c>
      <c r="P825" s="4">
        <f t="shared" si="224"/>
        <v>0</v>
      </c>
      <c r="Q825" s="4">
        <f t="shared" si="225"/>
        <v>0</v>
      </c>
      <c r="R825" s="4">
        <f t="shared" si="226"/>
        <v>0</v>
      </c>
      <c r="S825" s="4">
        <f>IF(AND(VLOOKUP(G825,Dados!$D:$L,2,0)=VLOOKUP(I825,Dados!$S:$V,2,0),VLOOKUP(G825,Dados!$D:$L,3,0)=VLOOKUP(I825,Dados!$S:$V,3,0)),0,1)</f>
        <v>0</v>
      </c>
      <c r="T825" s="4">
        <f>IF(AND(VLOOKUP(G825,Dados!$D:$L,3,0)&lt;=VLOOKUP(H825,Dados!$X:$AB,2,0),VLOOKUP(G825,Dados!$D:$L,4,0)&gt;=VLOOKUP(H825,Dados!$X:$AB,3,0),VLOOKUP(G825,Dados!$D:$L,4,0)&lt;=VLOOKUP(H825,Dados!$X:$AB,4,0)),0,1)</f>
        <v>0</v>
      </c>
      <c r="U825" s="4">
        <f>IF(COUNTIFS(F:F,F825,H:H,H825)&lt;=VLOOKUP(H825,Dados!$X:$AB,5,0),0,1)</f>
        <v>0</v>
      </c>
    </row>
    <row r="826" spans="6:21">
      <c r="F826" s="4">
        <v>453</v>
      </c>
      <c r="G826" s="4">
        <v>48</v>
      </c>
      <c r="H826" s="4">
        <v>3</v>
      </c>
      <c r="I826" s="4">
        <v>19</v>
      </c>
      <c r="J826" s="4">
        <v>2</v>
      </c>
      <c r="K826" s="4">
        <f t="shared" si="222"/>
        <v>0</v>
      </c>
      <c r="L826" s="4">
        <f t="shared" si="222"/>
        <v>0</v>
      </c>
      <c r="M826" s="4">
        <f t="shared" si="222"/>
        <v>0</v>
      </c>
      <c r="N826" s="4">
        <f t="shared" si="222"/>
        <v>0</v>
      </c>
      <c r="O826" s="4">
        <f t="shared" si="223"/>
        <v>0</v>
      </c>
      <c r="P826" s="4">
        <f t="shared" si="224"/>
        <v>0</v>
      </c>
      <c r="Q826" s="4">
        <f t="shared" si="225"/>
        <v>0</v>
      </c>
      <c r="R826" s="4">
        <f t="shared" si="226"/>
        <v>0</v>
      </c>
      <c r="S826" s="4">
        <f>IF(AND(VLOOKUP(G826,Dados!$D:$L,2,0)=VLOOKUP(I826,Dados!$S:$V,2,0),VLOOKUP(G826,Dados!$D:$L,3,0)=VLOOKUP(I826,Dados!$S:$V,3,0)),0,1)</f>
        <v>0</v>
      </c>
      <c r="T826" s="4">
        <f>IF(AND(VLOOKUP(G826,Dados!$D:$L,3,0)&lt;=VLOOKUP(H826,Dados!$X:$AB,2,0),VLOOKUP(G826,Dados!$D:$L,4,0)&gt;=VLOOKUP(H826,Dados!$X:$AB,3,0),VLOOKUP(G826,Dados!$D:$L,4,0)&lt;=VLOOKUP(H826,Dados!$X:$AB,4,0)),0,1)</f>
        <v>0</v>
      </c>
      <c r="U826" s="4">
        <f>IF(COUNTIFS(F:F,F826,H:H,H826)&lt;=VLOOKUP(H826,Dados!$X:$AB,5,0),0,1)</f>
        <v>0</v>
      </c>
    </row>
    <row r="827" spans="6:21">
      <c r="F827" s="4">
        <v>454</v>
      </c>
      <c r="G827" s="4">
        <v>54</v>
      </c>
      <c r="H827" s="4">
        <v>1</v>
      </c>
      <c r="I827" s="4">
        <v>20</v>
      </c>
      <c r="J827" s="4">
        <v>1</v>
      </c>
      <c r="K827" s="4">
        <f t="shared" si="222"/>
        <v>0</v>
      </c>
      <c r="L827" s="4">
        <f t="shared" si="222"/>
        <v>0</v>
      </c>
      <c r="M827" s="4">
        <f t="shared" si="222"/>
        <v>0</v>
      </c>
      <c r="N827" s="4">
        <f t="shared" si="222"/>
        <v>0</v>
      </c>
      <c r="O827" s="4">
        <f t="shared" si="223"/>
        <v>0</v>
      </c>
      <c r="P827" s="4">
        <f t="shared" si="224"/>
        <v>0</v>
      </c>
      <c r="Q827" s="4">
        <f t="shared" si="225"/>
        <v>0</v>
      </c>
      <c r="R827" s="4">
        <f t="shared" si="226"/>
        <v>0</v>
      </c>
      <c r="S827" s="4">
        <f>IF(AND(VLOOKUP(G827,Dados!$D:$L,2,0)=VLOOKUP(I827,Dados!$S:$V,2,0),VLOOKUP(G827,Dados!$D:$L,3,0)=VLOOKUP(I827,Dados!$S:$V,3,0)),0,1)</f>
        <v>0</v>
      </c>
      <c r="T827" s="4">
        <f>IF(AND(VLOOKUP(G827,Dados!$D:$L,3,0)&lt;=VLOOKUP(H827,Dados!$X:$AB,2,0),VLOOKUP(G827,Dados!$D:$L,4,0)&gt;=VLOOKUP(H827,Dados!$X:$AB,3,0),VLOOKUP(G827,Dados!$D:$L,4,0)&lt;=VLOOKUP(H827,Dados!$X:$AB,4,0)),0,1)</f>
        <v>0</v>
      </c>
      <c r="U827" s="4">
        <f>IF(COUNTIFS(F:F,F827,H:H,H827)&lt;=VLOOKUP(H827,Dados!$X:$AB,5,0),0,1)</f>
        <v>0</v>
      </c>
    </row>
    <row r="828" spans="6:21">
      <c r="F828" s="4">
        <v>454</v>
      </c>
      <c r="G828" s="4">
        <v>57</v>
      </c>
      <c r="H828" s="4">
        <v>1</v>
      </c>
      <c r="I828" s="4">
        <v>20</v>
      </c>
      <c r="J828" s="4">
        <v>3</v>
      </c>
      <c r="K828" s="4">
        <f t="shared" si="222"/>
        <v>0</v>
      </c>
      <c r="L828" s="4">
        <f t="shared" si="222"/>
        <v>0</v>
      </c>
      <c r="M828" s="4">
        <f t="shared" si="222"/>
        <v>0</v>
      </c>
      <c r="N828" s="4">
        <f t="shared" si="222"/>
        <v>0</v>
      </c>
      <c r="O828" s="4">
        <f t="shared" si="223"/>
        <v>0</v>
      </c>
      <c r="P828" s="4">
        <f t="shared" si="224"/>
        <v>0</v>
      </c>
      <c r="Q828" s="4">
        <f t="shared" si="225"/>
        <v>0</v>
      </c>
      <c r="R828" s="4">
        <f t="shared" si="226"/>
        <v>0</v>
      </c>
      <c r="S828" s="4">
        <f>IF(AND(VLOOKUP(G828,Dados!$D:$L,2,0)=VLOOKUP(I828,Dados!$S:$V,2,0),VLOOKUP(G828,Dados!$D:$L,3,0)=VLOOKUP(I828,Dados!$S:$V,3,0)),0,1)</f>
        <v>0</v>
      </c>
      <c r="T828" s="4">
        <f>IF(AND(VLOOKUP(G828,Dados!$D:$L,3,0)&lt;=VLOOKUP(H828,Dados!$X:$AB,2,0),VLOOKUP(G828,Dados!$D:$L,4,0)&gt;=VLOOKUP(H828,Dados!$X:$AB,3,0),VLOOKUP(G828,Dados!$D:$L,4,0)&lt;=VLOOKUP(H828,Dados!$X:$AB,4,0)),0,1)</f>
        <v>0</v>
      </c>
      <c r="U828" s="4">
        <f>IF(COUNTIFS(F:F,F828,H:H,H828)&lt;=VLOOKUP(H828,Dados!$X:$AB,5,0),0,1)</f>
        <v>0</v>
      </c>
    </row>
    <row r="829" spans="6:21">
      <c r="F829" s="4">
        <v>454</v>
      </c>
      <c r="G829" s="4">
        <v>58</v>
      </c>
      <c r="H829" s="4">
        <v>1</v>
      </c>
      <c r="I829" s="4">
        <v>20</v>
      </c>
      <c r="J829" s="4">
        <v>4</v>
      </c>
      <c r="K829" s="4">
        <f t="shared" si="222"/>
        <v>0</v>
      </c>
      <c r="L829" s="4">
        <f t="shared" si="222"/>
        <v>0</v>
      </c>
      <c r="M829" s="4">
        <f t="shared" si="222"/>
        <v>0</v>
      </c>
      <c r="N829" s="4">
        <f t="shared" si="222"/>
        <v>0</v>
      </c>
      <c r="O829" s="4">
        <f t="shared" si="223"/>
        <v>0</v>
      </c>
      <c r="P829" s="4">
        <f t="shared" si="224"/>
        <v>0</v>
      </c>
      <c r="Q829" s="4">
        <f t="shared" si="225"/>
        <v>0</v>
      </c>
      <c r="R829" s="4">
        <f t="shared" si="226"/>
        <v>0</v>
      </c>
      <c r="S829" s="4">
        <f>IF(AND(VLOOKUP(G829,Dados!$D:$L,2,0)=VLOOKUP(I829,Dados!$S:$V,2,0),VLOOKUP(G829,Dados!$D:$L,3,0)=VLOOKUP(I829,Dados!$S:$V,3,0)),0,1)</f>
        <v>0</v>
      </c>
      <c r="T829" s="4">
        <f>IF(AND(VLOOKUP(G829,Dados!$D:$L,3,0)&lt;=VLOOKUP(H829,Dados!$X:$AB,2,0),VLOOKUP(G829,Dados!$D:$L,4,0)&gt;=VLOOKUP(H829,Dados!$X:$AB,3,0),VLOOKUP(G829,Dados!$D:$L,4,0)&lt;=VLOOKUP(H829,Dados!$X:$AB,4,0)),0,1)</f>
        <v>0</v>
      </c>
      <c r="U829" s="4">
        <f>IF(COUNTIFS(F:F,F829,H:H,H829)&lt;=VLOOKUP(H829,Dados!$X:$AB,5,0),0,1)</f>
        <v>0</v>
      </c>
    </row>
    <row r="830" spans="6:21">
      <c r="F830" s="4">
        <v>455</v>
      </c>
      <c r="G830" s="4">
        <v>54</v>
      </c>
      <c r="H830" s="4">
        <v>3</v>
      </c>
      <c r="I830" s="4">
        <v>20</v>
      </c>
      <c r="J830" s="4">
        <v>1</v>
      </c>
      <c r="K830" s="4">
        <f t="shared" si="222"/>
        <v>0</v>
      </c>
      <c r="L830" s="4">
        <f t="shared" si="222"/>
        <v>0</v>
      </c>
      <c r="M830" s="4">
        <f t="shared" si="222"/>
        <v>0</v>
      </c>
      <c r="N830" s="4">
        <f t="shared" si="222"/>
        <v>0</v>
      </c>
      <c r="O830" s="4">
        <f t="shared" si="223"/>
        <v>0</v>
      </c>
      <c r="P830" s="4">
        <f t="shared" si="224"/>
        <v>0</v>
      </c>
      <c r="Q830" s="4">
        <f t="shared" si="225"/>
        <v>0</v>
      </c>
      <c r="R830" s="4">
        <f t="shared" si="226"/>
        <v>0</v>
      </c>
      <c r="S830" s="4">
        <f>IF(AND(VLOOKUP(G830,Dados!$D:$L,2,0)=VLOOKUP(I830,Dados!$S:$V,2,0),VLOOKUP(G830,Dados!$D:$L,3,0)=VLOOKUP(I830,Dados!$S:$V,3,0)),0,1)</f>
        <v>0</v>
      </c>
      <c r="T830" s="4">
        <f>IF(AND(VLOOKUP(G830,Dados!$D:$L,3,0)&lt;=VLOOKUP(H830,Dados!$X:$AB,2,0),VLOOKUP(G830,Dados!$D:$L,4,0)&gt;=VLOOKUP(H830,Dados!$X:$AB,3,0),VLOOKUP(G830,Dados!$D:$L,4,0)&lt;=VLOOKUP(H830,Dados!$X:$AB,4,0)),0,1)</f>
        <v>0</v>
      </c>
      <c r="U830" s="4">
        <f>IF(COUNTIFS(F:F,F830,H:H,H830)&lt;=VLOOKUP(H830,Dados!$X:$AB,5,0),0,1)</f>
        <v>0</v>
      </c>
    </row>
    <row r="831" spans="6:21">
      <c r="F831" s="4">
        <v>455</v>
      </c>
      <c r="G831" s="4">
        <v>57</v>
      </c>
      <c r="H831" s="4">
        <v>3</v>
      </c>
      <c r="I831" s="4">
        <v>20</v>
      </c>
      <c r="J831" s="4">
        <v>3</v>
      </c>
      <c r="K831" s="4">
        <f t="shared" si="222"/>
        <v>0</v>
      </c>
      <c r="L831" s="4">
        <f t="shared" si="222"/>
        <v>0</v>
      </c>
      <c r="M831" s="4">
        <f t="shared" si="222"/>
        <v>0</v>
      </c>
      <c r="N831" s="4">
        <f t="shared" si="222"/>
        <v>0</v>
      </c>
      <c r="O831" s="4">
        <f t="shared" si="223"/>
        <v>0</v>
      </c>
      <c r="P831" s="4">
        <f t="shared" si="224"/>
        <v>0</v>
      </c>
      <c r="Q831" s="4">
        <f t="shared" si="225"/>
        <v>0</v>
      </c>
      <c r="R831" s="4">
        <f t="shared" si="226"/>
        <v>0</v>
      </c>
      <c r="S831" s="4">
        <f>IF(AND(VLOOKUP(G831,Dados!$D:$L,2,0)=VLOOKUP(I831,Dados!$S:$V,2,0),VLOOKUP(G831,Dados!$D:$L,3,0)=VLOOKUP(I831,Dados!$S:$V,3,0)),0,1)</f>
        <v>0</v>
      </c>
      <c r="T831" s="4">
        <f>IF(AND(VLOOKUP(G831,Dados!$D:$L,3,0)&lt;=VLOOKUP(H831,Dados!$X:$AB,2,0),VLOOKUP(G831,Dados!$D:$L,4,0)&gt;=VLOOKUP(H831,Dados!$X:$AB,3,0),VLOOKUP(G831,Dados!$D:$L,4,0)&lt;=VLOOKUP(H831,Dados!$X:$AB,4,0)),0,1)</f>
        <v>0</v>
      </c>
      <c r="U831" s="4">
        <f>IF(COUNTIFS(F:F,F831,H:H,H831)&lt;=VLOOKUP(H831,Dados!$X:$AB,5,0),0,1)</f>
        <v>0</v>
      </c>
    </row>
    <row r="832" spans="6:21">
      <c r="F832" s="4">
        <v>455</v>
      </c>
      <c r="G832" s="4">
        <v>58</v>
      </c>
      <c r="H832" s="4">
        <v>3</v>
      </c>
      <c r="I832" s="4">
        <v>20</v>
      </c>
      <c r="J832" s="4">
        <v>4</v>
      </c>
      <c r="K832" s="4">
        <f t="shared" si="222"/>
        <v>0</v>
      </c>
      <c r="L832" s="4">
        <f t="shared" si="222"/>
        <v>0</v>
      </c>
      <c r="M832" s="4">
        <f t="shared" si="222"/>
        <v>0</v>
      </c>
      <c r="N832" s="4">
        <f t="shared" si="222"/>
        <v>0</v>
      </c>
      <c r="O832" s="4">
        <f t="shared" si="223"/>
        <v>0</v>
      </c>
      <c r="P832" s="4">
        <f t="shared" si="224"/>
        <v>0</v>
      </c>
      <c r="Q832" s="4">
        <f t="shared" si="225"/>
        <v>0</v>
      </c>
      <c r="R832" s="4">
        <f t="shared" si="226"/>
        <v>0</v>
      </c>
      <c r="S832" s="4">
        <f>IF(AND(VLOOKUP(G832,Dados!$D:$L,2,0)=VLOOKUP(I832,Dados!$S:$V,2,0),VLOOKUP(G832,Dados!$D:$L,3,0)=VLOOKUP(I832,Dados!$S:$V,3,0)),0,1)</f>
        <v>0</v>
      </c>
      <c r="T832" s="4">
        <f>IF(AND(VLOOKUP(G832,Dados!$D:$L,3,0)&lt;=VLOOKUP(H832,Dados!$X:$AB,2,0),VLOOKUP(G832,Dados!$D:$L,4,0)&gt;=VLOOKUP(H832,Dados!$X:$AB,3,0),VLOOKUP(G832,Dados!$D:$L,4,0)&lt;=VLOOKUP(H832,Dados!$X:$AB,4,0)),0,1)</f>
        <v>0</v>
      </c>
      <c r="U832" s="4">
        <f>IF(COUNTIFS(F:F,F832,H:H,H832)&lt;=VLOOKUP(H832,Dados!$X:$AB,5,0),0,1)</f>
        <v>0</v>
      </c>
    </row>
    <row r="833" spans="6:21">
      <c r="F833" s="4">
        <v>456</v>
      </c>
      <c r="G833" s="4">
        <v>61</v>
      </c>
      <c r="H833" s="4">
        <v>1</v>
      </c>
      <c r="I833" s="4">
        <v>21</v>
      </c>
      <c r="J833" s="4">
        <v>1</v>
      </c>
      <c r="K833" s="4">
        <f t="shared" si="222"/>
        <v>0</v>
      </c>
      <c r="L833" s="4">
        <f t="shared" si="222"/>
        <v>0</v>
      </c>
      <c r="M833" s="4">
        <f t="shared" si="222"/>
        <v>0</v>
      </c>
      <c r="N833" s="4">
        <f t="shared" si="222"/>
        <v>0</v>
      </c>
      <c r="O833" s="4">
        <f t="shared" si="223"/>
        <v>0</v>
      </c>
      <c r="P833" s="4">
        <f t="shared" si="224"/>
        <v>0</v>
      </c>
      <c r="Q833" s="4">
        <f t="shared" si="225"/>
        <v>0</v>
      </c>
      <c r="R833" s="4">
        <f t="shared" si="226"/>
        <v>0</v>
      </c>
      <c r="S833" s="4">
        <f>IF(AND(VLOOKUP(G833,Dados!$D:$L,2,0)=VLOOKUP(I833,Dados!$S:$V,2,0),VLOOKUP(G833,Dados!$D:$L,3,0)=VLOOKUP(I833,Dados!$S:$V,3,0)),0,1)</f>
        <v>0</v>
      </c>
      <c r="T833" s="4">
        <f>IF(AND(VLOOKUP(G833,Dados!$D:$L,3,0)&lt;=VLOOKUP(H833,Dados!$X:$AB,2,0),VLOOKUP(G833,Dados!$D:$L,4,0)&gt;=VLOOKUP(H833,Dados!$X:$AB,3,0),VLOOKUP(G833,Dados!$D:$L,4,0)&lt;=VLOOKUP(H833,Dados!$X:$AB,4,0)),0,1)</f>
        <v>0</v>
      </c>
      <c r="U833" s="4">
        <f>IF(COUNTIFS(F:F,F833,H:H,H833)&lt;=VLOOKUP(H833,Dados!$X:$AB,5,0),0,1)</f>
        <v>0</v>
      </c>
    </row>
    <row r="834" spans="6:21">
      <c r="F834" s="4">
        <v>456</v>
      </c>
      <c r="G834" s="4">
        <v>63</v>
      </c>
      <c r="H834" s="4">
        <v>1</v>
      </c>
      <c r="I834" s="4">
        <v>21</v>
      </c>
      <c r="J834" s="4">
        <v>11</v>
      </c>
      <c r="K834" s="4">
        <f t="shared" si="222"/>
        <v>0</v>
      </c>
      <c r="L834" s="4">
        <f t="shared" si="222"/>
        <v>0</v>
      </c>
      <c r="M834" s="4">
        <f t="shared" si="222"/>
        <v>0</v>
      </c>
      <c r="N834" s="4">
        <f t="shared" si="222"/>
        <v>0</v>
      </c>
      <c r="O834" s="4">
        <f t="shared" si="223"/>
        <v>0</v>
      </c>
      <c r="P834" s="4">
        <f t="shared" si="224"/>
        <v>0</v>
      </c>
      <c r="Q834" s="4">
        <f t="shared" si="225"/>
        <v>0</v>
      </c>
      <c r="R834" s="4">
        <f t="shared" si="226"/>
        <v>0</v>
      </c>
      <c r="S834" s="4">
        <f>IF(AND(VLOOKUP(G834,Dados!$D:$L,2,0)=VLOOKUP(I834,Dados!$S:$V,2,0),VLOOKUP(G834,Dados!$D:$L,3,0)=VLOOKUP(I834,Dados!$S:$V,3,0)),0,1)</f>
        <v>0</v>
      </c>
      <c r="T834" s="4">
        <f>IF(AND(VLOOKUP(G834,Dados!$D:$L,3,0)&lt;=VLOOKUP(H834,Dados!$X:$AB,2,0),VLOOKUP(G834,Dados!$D:$L,4,0)&gt;=VLOOKUP(H834,Dados!$X:$AB,3,0),VLOOKUP(G834,Dados!$D:$L,4,0)&lt;=VLOOKUP(H834,Dados!$X:$AB,4,0)),0,1)</f>
        <v>0</v>
      </c>
      <c r="U834" s="4">
        <f>IF(COUNTIFS(F:F,F834,H:H,H834)&lt;=VLOOKUP(H834,Dados!$X:$AB,5,0),0,1)</f>
        <v>0</v>
      </c>
    </row>
    <row r="835" spans="6:21">
      <c r="F835" s="4">
        <v>457</v>
      </c>
      <c r="G835" s="4">
        <v>61</v>
      </c>
      <c r="H835" s="4">
        <v>2</v>
      </c>
      <c r="I835" s="4">
        <v>21</v>
      </c>
      <c r="J835" s="4">
        <v>1</v>
      </c>
      <c r="K835" s="4">
        <f t="shared" si="222"/>
        <v>1</v>
      </c>
      <c r="L835" s="4">
        <f t="shared" si="222"/>
        <v>0</v>
      </c>
      <c r="M835" s="4">
        <f t="shared" si="222"/>
        <v>0</v>
      </c>
      <c r="N835" s="4">
        <f t="shared" si="222"/>
        <v>0</v>
      </c>
      <c r="O835" s="4">
        <f t="shared" si="223"/>
        <v>1</v>
      </c>
      <c r="P835" s="4">
        <f t="shared" si="224"/>
        <v>0</v>
      </c>
      <c r="Q835" s="4">
        <f t="shared" si="225"/>
        <v>0</v>
      </c>
      <c r="R835" s="4">
        <f t="shared" si="226"/>
        <v>0</v>
      </c>
      <c r="S835" s="4">
        <f>IF(AND(VLOOKUP(G835,Dados!$D:$L,2,0)=VLOOKUP(I835,Dados!$S:$V,2,0),VLOOKUP(G835,Dados!$D:$L,3,0)=VLOOKUP(I835,Dados!$S:$V,3,0)),0,1)</f>
        <v>0</v>
      </c>
      <c r="T835" s="4">
        <f>IF(AND(VLOOKUP(G835,Dados!$D:$L,3,0)&lt;=VLOOKUP(H835,Dados!$X:$AB,2,0),VLOOKUP(G835,Dados!$D:$L,4,0)&gt;=VLOOKUP(H835,Dados!$X:$AB,3,0),VLOOKUP(G835,Dados!$D:$L,4,0)&lt;=VLOOKUP(H835,Dados!$X:$AB,4,0)),0,1)</f>
        <v>0</v>
      </c>
      <c r="U835" s="4">
        <f>IF(COUNTIFS(F:F,F835,H:H,H835)&lt;=VLOOKUP(H835,Dados!$X:$AB,5,0),0,1)</f>
        <v>0</v>
      </c>
    </row>
    <row r="836" spans="6:21">
      <c r="F836" s="4">
        <v>457</v>
      </c>
      <c r="G836" s="4">
        <v>63</v>
      </c>
      <c r="H836" s="4">
        <v>2</v>
      </c>
      <c r="I836" s="4">
        <v>21</v>
      </c>
      <c r="J836" s="4">
        <v>11</v>
      </c>
      <c r="K836" s="4">
        <f t="shared" si="222"/>
        <v>1</v>
      </c>
      <c r="L836" s="4">
        <f t="shared" si="222"/>
        <v>0</v>
      </c>
      <c r="M836" s="4">
        <f t="shared" si="222"/>
        <v>0</v>
      </c>
      <c r="N836" s="4">
        <f t="shared" si="222"/>
        <v>0</v>
      </c>
      <c r="O836" s="4">
        <f t="shared" si="223"/>
        <v>11</v>
      </c>
      <c r="P836" s="4">
        <f t="shared" si="224"/>
        <v>0</v>
      </c>
      <c r="Q836" s="4">
        <f t="shared" si="225"/>
        <v>0</v>
      </c>
      <c r="R836" s="4">
        <f t="shared" si="226"/>
        <v>0</v>
      </c>
      <c r="S836" s="4">
        <f>IF(AND(VLOOKUP(G836,Dados!$D:$L,2,0)=VLOOKUP(I836,Dados!$S:$V,2,0),VLOOKUP(G836,Dados!$D:$L,3,0)=VLOOKUP(I836,Dados!$S:$V,3,0)),0,1)</f>
        <v>0</v>
      </c>
      <c r="T836" s="4">
        <f>IF(AND(VLOOKUP(G836,Dados!$D:$L,3,0)&lt;=VLOOKUP(H836,Dados!$X:$AB,2,0),VLOOKUP(G836,Dados!$D:$L,4,0)&gt;=VLOOKUP(H836,Dados!$X:$AB,3,0),VLOOKUP(G836,Dados!$D:$L,4,0)&lt;=VLOOKUP(H836,Dados!$X:$AB,4,0)),0,1)</f>
        <v>0</v>
      </c>
      <c r="U836" s="4">
        <f>IF(COUNTIFS(F:F,F836,H:H,H836)&lt;=VLOOKUP(H836,Dados!$X:$AB,5,0),0,1)</f>
        <v>0</v>
      </c>
    </row>
    <row r="837" spans="6:21">
      <c r="F837" s="4">
        <v>458</v>
      </c>
      <c r="G837" s="4">
        <v>61</v>
      </c>
      <c r="H837" s="4">
        <v>3</v>
      </c>
      <c r="I837" s="4">
        <v>21</v>
      </c>
      <c r="J837" s="4">
        <v>1</v>
      </c>
      <c r="K837" s="4">
        <f t="shared" si="222"/>
        <v>0</v>
      </c>
      <c r="L837" s="4">
        <f t="shared" si="222"/>
        <v>0</v>
      </c>
      <c r="M837" s="4">
        <f t="shared" si="222"/>
        <v>0</v>
      </c>
      <c r="N837" s="4">
        <f t="shared" si="222"/>
        <v>0</v>
      </c>
      <c r="O837" s="4">
        <f t="shared" si="223"/>
        <v>0</v>
      </c>
      <c r="P837" s="4">
        <f t="shared" si="224"/>
        <v>0</v>
      </c>
      <c r="Q837" s="4">
        <f t="shared" si="225"/>
        <v>0</v>
      </c>
      <c r="R837" s="4">
        <f t="shared" si="226"/>
        <v>0</v>
      </c>
      <c r="S837" s="4">
        <f>IF(AND(VLOOKUP(G837,Dados!$D:$L,2,0)=VLOOKUP(I837,Dados!$S:$V,2,0),VLOOKUP(G837,Dados!$D:$L,3,0)=VLOOKUP(I837,Dados!$S:$V,3,0)),0,1)</f>
        <v>0</v>
      </c>
      <c r="T837" s="4">
        <f>IF(AND(VLOOKUP(G837,Dados!$D:$L,3,0)&lt;=VLOOKUP(H837,Dados!$X:$AB,2,0),VLOOKUP(G837,Dados!$D:$L,4,0)&gt;=VLOOKUP(H837,Dados!$X:$AB,3,0),VLOOKUP(G837,Dados!$D:$L,4,0)&lt;=VLOOKUP(H837,Dados!$X:$AB,4,0)),0,1)</f>
        <v>0</v>
      </c>
      <c r="U837" s="4">
        <f>IF(COUNTIFS(F:F,F837,H:H,H837)&lt;=VLOOKUP(H837,Dados!$X:$AB,5,0),0,1)</f>
        <v>0</v>
      </c>
    </row>
    <row r="838" spans="6:21">
      <c r="F838" s="4">
        <v>458</v>
      </c>
      <c r="G838" s="4">
        <v>63</v>
      </c>
      <c r="H838" s="4">
        <v>3</v>
      </c>
      <c r="I838" s="4">
        <v>21</v>
      </c>
      <c r="J838" s="4">
        <v>11</v>
      </c>
      <c r="K838" s="4">
        <f t="shared" si="222"/>
        <v>0</v>
      </c>
      <c r="L838" s="4">
        <f t="shared" si="222"/>
        <v>0</v>
      </c>
      <c r="M838" s="4">
        <f t="shared" si="222"/>
        <v>0</v>
      </c>
      <c r="N838" s="4">
        <f t="shared" si="222"/>
        <v>0</v>
      </c>
      <c r="O838" s="4">
        <f t="shared" si="223"/>
        <v>0</v>
      </c>
      <c r="P838" s="4">
        <f t="shared" si="224"/>
        <v>0</v>
      </c>
      <c r="Q838" s="4">
        <f t="shared" si="225"/>
        <v>0</v>
      </c>
      <c r="R838" s="4">
        <f t="shared" si="226"/>
        <v>0</v>
      </c>
      <c r="S838" s="4">
        <f>IF(AND(VLOOKUP(G838,Dados!$D:$L,2,0)=VLOOKUP(I838,Dados!$S:$V,2,0),VLOOKUP(G838,Dados!$D:$L,3,0)=VLOOKUP(I838,Dados!$S:$V,3,0)),0,1)</f>
        <v>0</v>
      </c>
      <c r="T838" s="4">
        <f>IF(AND(VLOOKUP(G838,Dados!$D:$L,3,0)&lt;=VLOOKUP(H838,Dados!$X:$AB,2,0),VLOOKUP(G838,Dados!$D:$L,4,0)&gt;=VLOOKUP(H838,Dados!$X:$AB,3,0),VLOOKUP(G838,Dados!$D:$L,4,0)&lt;=VLOOKUP(H838,Dados!$X:$AB,4,0)),0,1)</f>
        <v>0</v>
      </c>
      <c r="U838" s="4">
        <f>IF(COUNTIFS(F:F,F838,H:H,H838)&lt;=VLOOKUP(H838,Dados!$X:$AB,5,0),0,1)</f>
        <v>0</v>
      </c>
    </row>
    <row r="839" spans="6:21">
      <c r="F839" s="4">
        <v>459</v>
      </c>
      <c r="G839" s="4">
        <v>60</v>
      </c>
      <c r="H839" s="4">
        <v>1</v>
      </c>
      <c r="I839" s="4">
        <v>22</v>
      </c>
      <c r="J839" s="4">
        <v>1</v>
      </c>
      <c r="K839" s="4">
        <f t="shared" si="222"/>
        <v>0</v>
      </c>
      <c r="L839" s="4">
        <f t="shared" si="222"/>
        <v>0</v>
      </c>
      <c r="M839" s="4">
        <f t="shared" si="222"/>
        <v>0</v>
      </c>
      <c r="N839" s="4">
        <f t="shared" si="222"/>
        <v>0</v>
      </c>
      <c r="O839" s="4">
        <f t="shared" si="223"/>
        <v>0</v>
      </c>
      <c r="P839" s="4">
        <f t="shared" si="224"/>
        <v>0</v>
      </c>
      <c r="Q839" s="4">
        <f t="shared" si="225"/>
        <v>0</v>
      </c>
      <c r="R839" s="4">
        <f t="shared" si="226"/>
        <v>0</v>
      </c>
      <c r="S839" s="4">
        <f>IF(AND(VLOOKUP(G839,Dados!$D:$L,2,0)=VLOOKUP(I839,Dados!$S:$V,2,0),VLOOKUP(G839,Dados!$D:$L,3,0)=VLOOKUP(I839,Dados!$S:$V,3,0)),0,1)</f>
        <v>0</v>
      </c>
      <c r="T839" s="4">
        <f>IF(AND(VLOOKUP(G839,Dados!$D:$L,3,0)&lt;=VLOOKUP(H839,Dados!$X:$AB,2,0),VLOOKUP(G839,Dados!$D:$L,4,0)&gt;=VLOOKUP(H839,Dados!$X:$AB,3,0),VLOOKUP(G839,Dados!$D:$L,4,0)&lt;=VLOOKUP(H839,Dados!$X:$AB,4,0)),0,1)</f>
        <v>0</v>
      </c>
      <c r="U839" s="4">
        <f>IF(COUNTIFS(F:F,F839,H:H,H839)&lt;=VLOOKUP(H839,Dados!$X:$AB,5,0),0,1)</f>
        <v>0</v>
      </c>
    </row>
    <row r="840" spans="6:21">
      <c r="F840" s="4">
        <v>459</v>
      </c>
      <c r="G840" s="4">
        <v>63</v>
      </c>
      <c r="H840" s="4">
        <v>1</v>
      </c>
      <c r="I840" s="4">
        <v>22</v>
      </c>
      <c r="J840" s="4">
        <v>9</v>
      </c>
      <c r="K840" s="4">
        <f t="shared" si="222"/>
        <v>0</v>
      </c>
      <c r="L840" s="4">
        <f t="shared" si="222"/>
        <v>0</v>
      </c>
      <c r="M840" s="4">
        <f t="shared" si="222"/>
        <v>0</v>
      </c>
      <c r="N840" s="4">
        <f t="shared" si="222"/>
        <v>0</v>
      </c>
      <c r="O840" s="4">
        <f t="shared" si="223"/>
        <v>0</v>
      </c>
      <c r="P840" s="4">
        <f t="shared" si="224"/>
        <v>0</v>
      </c>
      <c r="Q840" s="4">
        <f t="shared" si="225"/>
        <v>0</v>
      </c>
      <c r="R840" s="4">
        <f t="shared" si="226"/>
        <v>0</v>
      </c>
      <c r="S840" s="4">
        <f>IF(AND(VLOOKUP(G840,Dados!$D:$L,2,0)=VLOOKUP(I840,Dados!$S:$V,2,0),VLOOKUP(G840,Dados!$D:$L,3,0)=VLOOKUP(I840,Dados!$S:$V,3,0)),0,1)</f>
        <v>0</v>
      </c>
      <c r="T840" s="4">
        <f>IF(AND(VLOOKUP(G840,Dados!$D:$L,3,0)&lt;=VLOOKUP(H840,Dados!$X:$AB,2,0),VLOOKUP(G840,Dados!$D:$L,4,0)&gt;=VLOOKUP(H840,Dados!$X:$AB,3,0),VLOOKUP(G840,Dados!$D:$L,4,0)&lt;=VLOOKUP(H840,Dados!$X:$AB,4,0)),0,1)</f>
        <v>0</v>
      </c>
      <c r="U840" s="4">
        <f>IF(COUNTIFS(F:F,F840,H:H,H840)&lt;=VLOOKUP(H840,Dados!$X:$AB,5,0),0,1)</f>
        <v>0</v>
      </c>
    </row>
    <row r="841" spans="6:21">
      <c r="F841" s="4">
        <v>460</v>
      </c>
      <c r="G841" s="4">
        <v>60</v>
      </c>
      <c r="H841" s="4">
        <v>2</v>
      </c>
      <c r="I841" s="4">
        <v>22</v>
      </c>
      <c r="J841" s="4">
        <v>1</v>
      </c>
      <c r="K841" s="4">
        <f t="shared" si="222"/>
        <v>0</v>
      </c>
      <c r="L841" s="4">
        <f t="shared" si="222"/>
        <v>0</v>
      </c>
      <c r="M841" s="4">
        <f t="shared" si="222"/>
        <v>0</v>
      </c>
      <c r="N841" s="4">
        <f t="shared" si="222"/>
        <v>0</v>
      </c>
      <c r="O841" s="4">
        <f t="shared" si="223"/>
        <v>0</v>
      </c>
      <c r="P841" s="4">
        <f t="shared" si="224"/>
        <v>0</v>
      </c>
      <c r="Q841" s="4">
        <f t="shared" si="225"/>
        <v>0</v>
      </c>
      <c r="R841" s="4">
        <f t="shared" si="226"/>
        <v>0</v>
      </c>
      <c r="S841" s="4">
        <f>IF(AND(VLOOKUP(G841,Dados!$D:$L,2,0)=VLOOKUP(I841,Dados!$S:$V,2,0),VLOOKUP(G841,Dados!$D:$L,3,0)=VLOOKUP(I841,Dados!$S:$V,3,0)),0,1)</f>
        <v>0</v>
      </c>
      <c r="T841" s="4">
        <f>IF(AND(VLOOKUP(G841,Dados!$D:$L,3,0)&lt;=VLOOKUP(H841,Dados!$X:$AB,2,0),VLOOKUP(G841,Dados!$D:$L,4,0)&gt;=VLOOKUP(H841,Dados!$X:$AB,3,0),VLOOKUP(G841,Dados!$D:$L,4,0)&lt;=VLOOKUP(H841,Dados!$X:$AB,4,0)),0,1)</f>
        <v>0</v>
      </c>
      <c r="U841" s="4">
        <f>IF(COUNTIFS(F:F,F841,H:H,H841)&lt;=VLOOKUP(H841,Dados!$X:$AB,5,0),0,1)</f>
        <v>0</v>
      </c>
    </row>
    <row r="842" spans="6:21">
      <c r="F842" s="4">
        <v>460</v>
      </c>
      <c r="G842" s="4">
        <v>63</v>
      </c>
      <c r="H842" s="4">
        <v>2</v>
      </c>
      <c r="I842" s="4">
        <v>22</v>
      </c>
      <c r="J842" s="4">
        <v>9</v>
      </c>
      <c r="K842" s="4">
        <f t="shared" si="222"/>
        <v>0</v>
      </c>
      <c r="L842" s="4">
        <f t="shared" si="222"/>
        <v>0</v>
      </c>
      <c r="M842" s="4">
        <f t="shared" si="222"/>
        <v>0</v>
      </c>
      <c r="N842" s="4">
        <f t="shared" si="222"/>
        <v>0</v>
      </c>
      <c r="O842" s="4">
        <f t="shared" si="223"/>
        <v>0</v>
      </c>
      <c r="P842" s="4">
        <f t="shared" si="224"/>
        <v>0</v>
      </c>
      <c r="Q842" s="4">
        <f t="shared" si="225"/>
        <v>0</v>
      </c>
      <c r="R842" s="4">
        <f t="shared" si="226"/>
        <v>0</v>
      </c>
      <c r="S842" s="4">
        <f>IF(AND(VLOOKUP(G842,Dados!$D:$L,2,0)=VLOOKUP(I842,Dados!$S:$V,2,0),VLOOKUP(G842,Dados!$D:$L,3,0)=VLOOKUP(I842,Dados!$S:$V,3,0)),0,1)</f>
        <v>0</v>
      </c>
      <c r="T842" s="4">
        <f>IF(AND(VLOOKUP(G842,Dados!$D:$L,3,0)&lt;=VLOOKUP(H842,Dados!$X:$AB,2,0),VLOOKUP(G842,Dados!$D:$L,4,0)&gt;=VLOOKUP(H842,Dados!$X:$AB,3,0),VLOOKUP(G842,Dados!$D:$L,4,0)&lt;=VLOOKUP(H842,Dados!$X:$AB,4,0)),0,1)</f>
        <v>0</v>
      </c>
      <c r="U842" s="4">
        <f>IF(COUNTIFS(F:F,F842,H:H,H842)&lt;=VLOOKUP(H842,Dados!$X:$AB,5,0),0,1)</f>
        <v>0</v>
      </c>
    </row>
    <row r="843" spans="6:21">
      <c r="F843" s="4">
        <v>461</v>
      </c>
      <c r="G843" s="4">
        <v>60</v>
      </c>
      <c r="H843" s="4">
        <v>3</v>
      </c>
      <c r="I843" s="4">
        <v>22</v>
      </c>
      <c r="J843" s="4">
        <v>1</v>
      </c>
      <c r="K843" s="4">
        <f t="shared" si="222"/>
        <v>0</v>
      </c>
      <c r="L843" s="4">
        <f t="shared" si="222"/>
        <v>0</v>
      </c>
      <c r="M843" s="4">
        <f t="shared" si="222"/>
        <v>0</v>
      </c>
      <c r="N843" s="4">
        <f t="shared" si="222"/>
        <v>0</v>
      </c>
      <c r="O843" s="4">
        <f t="shared" si="223"/>
        <v>0</v>
      </c>
      <c r="P843" s="4">
        <f t="shared" si="224"/>
        <v>0</v>
      </c>
      <c r="Q843" s="4">
        <f t="shared" si="225"/>
        <v>0</v>
      </c>
      <c r="R843" s="4">
        <f t="shared" si="226"/>
        <v>0</v>
      </c>
      <c r="S843" s="4">
        <f>IF(AND(VLOOKUP(G843,Dados!$D:$L,2,0)=VLOOKUP(I843,Dados!$S:$V,2,0),VLOOKUP(G843,Dados!$D:$L,3,0)=VLOOKUP(I843,Dados!$S:$V,3,0)),0,1)</f>
        <v>0</v>
      </c>
      <c r="T843" s="4">
        <f>IF(AND(VLOOKUP(G843,Dados!$D:$L,3,0)&lt;=VLOOKUP(H843,Dados!$X:$AB,2,0),VLOOKUP(G843,Dados!$D:$L,4,0)&gt;=VLOOKUP(H843,Dados!$X:$AB,3,0),VLOOKUP(G843,Dados!$D:$L,4,0)&lt;=VLOOKUP(H843,Dados!$X:$AB,4,0)),0,1)</f>
        <v>0</v>
      </c>
      <c r="U843" s="4">
        <f>IF(COUNTIFS(F:F,F843,H:H,H843)&lt;=VLOOKUP(H843,Dados!$X:$AB,5,0),0,1)</f>
        <v>0</v>
      </c>
    </row>
    <row r="844" spans="6:21">
      <c r="F844" s="4">
        <v>461</v>
      </c>
      <c r="G844" s="4">
        <v>63</v>
      </c>
      <c r="H844" s="4">
        <v>3</v>
      </c>
      <c r="I844" s="4">
        <v>22</v>
      </c>
      <c r="J844" s="4">
        <v>9</v>
      </c>
      <c r="K844" s="4">
        <f t="shared" si="222"/>
        <v>0</v>
      </c>
      <c r="L844" s="4">
        <f t="shared" si="222"/>
        <v>0</v>
      </c>
      <c r="M844" s="4">
        <f t="shared" si="222"/>
        <v>0</v>
      </c>
      <c r="N844" s="4">
        <f t="shared" si="222"/>
        <v>0</v>
      </c>
      <c r="O844" s="4">
        <f t="shared" si="223"/>
        <v>0</v>
      </c>
      <c r="P844" s="4">
        <f t="shared" si="224"/>
        <v>0</v>
      </c>
      <c r="Q844" s="4">
        <f t="shared" si="225"/>
        <v>0</v>
      </c>
      <c r="R844" s="4">
        <f t="shared" si="226"/>
        <v>0</v>
      </c>
      <c r="S844" s="4">
        <f>IF(AND(VLOOKUP(G844,Dados!$D:$L,2,0)=VLOOKUP(I844,Dados!$S:$V,2,0),VLOOKUP(G844,Dados!$D:$L,3,0)=VLOOKUP(I844,Dados!$S:$V,3,0)),0,1)</f>
        <v>0</v>
      </c>
      <c r="T844" s="4">
        <f>IF(AND(VLOOKUP(G844,Dados!$D:$L,3,0)&lt;=VLOOKUP(H844,Dados!$X:$AB,2,0),VLOOKUP(G844,Dados!$D:$L,4,0)&gt;=VLOOKUP(H844,Dados!$X:$AB,3,0),VLOOKUP(G844,Dados!$D:$L,4,0)&lt;=VLOOKUP(H844,Dados!$X:$AB,4,0)),0,1)</f>
        <v>0</v>
      </c>
      <c r="U844" s="4">
        <f>IF(COUNTIFS(F:F,F844,H:H,H844)&lt;=VLOOKUP(H844,Dados!$X:$AB,5,0),0,1)</f>
        <v>0</v>
      </c>
    </row>
    <row r="845" spans="6:21">
      <c r="F845" s="4">
        <v>462</v>
      </c>
      <c r="G845" s="4">
        <v>63</v>
      </c>
      <c r="H845" s="4">
        <v>1</v>
      </c>
      <c r="I845" s="4">
        <v>23</v>
      </c>
      <c r="J845" s="4">
        <v>11</v>
      </c>
      <c r="K845" s="4">
        <f t="shared" si="222"/>
        <v>0</v>
      </c>
      <c r="L845" s="4">
        <f t="shared" si="222"/>
        <v>0</v>
      </c>
      <c r="M845" s="4">
        <f t="shared" si="222"/>
        <v>0</v>
      </c>
      <c r="N845" s="4">
        <f t="shared" si="222"/>
        <v>0</v>
      </c>
      <c r="O845" s="4">
        <f t="shared" si="223"/>
        <v>0</v>
      </c>
      <c r="P845" s="4">
        <f t="shared" si="224"/>
        <v>0</v>
      </c>
      <c r="Q845" s="4">
        <f t="shared" si="225"/>
        <v>0</v>
      </c>
      <c r="R845" s="4">
        <f t="shared" si="226"/>
        <v>0</v>
      </c>
      <c r="S845" s="4">
        <f>IF(AND(VLOOKUP(G845,Dados!$D:$L,2,0)=VLOOKUP(I845,Dados!$S:$V,2,0),VLOOKUP(G845,Dados!$D:$L,3,0)=VLOOKUP(I845,Dados!$S:$V,3,0)),0,1)</f>
        <v>0</v>
      </c>
      <c r="T845" s="4">
        <f>IF(AND(VLOOKUP(G845,Dados!$D:$L,3,0)&lt;=VLOOKUP(H845,Dados!$X:$AB,2,0),VLOOKUP(G845,Dados!$D:$L,4,0)&gt;=VLOOKUP(H845,Dados!$X:$AB,3,0),VLOOKUP(G845,Dados!$D:$L,4,0)&lt;=VLOOKUP(H845,Dados!$X:$AB,4,0)),0,1)</f>
        <v>0</v>
      </c>
      <c r="U845" s="4">
        <f>IF(COUNTIFS(F:F,F845,H:H,H845)&lt;=VLOOKUP(H845,Dados!$X:$AB,5,0),0,1)</f>
        <v>0</v>
      </c>
    </row>
    <row r="846" spans="6:21">
      <c r="F846" s="4">
        <v>463</v>
      </c>
      <c r="G846" s="4">
        <v>63</v>
      </c>
      <c r="H846" s="4">
        <v>2</v>
      </c>
      <c r="I846" s="4">
        <v>23</v>
      </c>
      <c r="J846" s="4">
        <v>11</v>
      </c>
      <c r="K846" s="4">
        <f t="shared" si="222"/>
        <v>0</v>
      </c>
      <c r="L846" s="4">
        <f t="shared" si="222"/>
        <v>0</v>
      </c>
      <c r="M846" s="4">
        <f t="shared" si="222"/>
        <v>0</v>
      </c>
      <c r="N846" s="4">
        <f t="shared" si="222"/>
        <v>0</v>
      </c>
      <c r="O846" s="4">
        <f t="shared" si="223"/>
        <v>0</v>
      </c>
      <c r="P846" s="4">
        <f t="shared" si="224"/>
        <v>0</v>
      </c>
      <c r="Q846" s="4">
        <f t="shared" si="225"/>
        <v>0</v>
      </c>
      <c r="R846" s="4">
        <f t="shared" si="226"/>
        <v>0</v>
      </c>
      <c r="S846" s="4">
        <f>IF(AND(VLOOKUP(G846,Dados!$D:$L,2,0)=VLOOKUP(I846,Dados!$S:$V,2,0),VLOOKUP(G846,Dados!$D:$L,3,0)=VLOOKUP(I846,Dados!$S:$V,3,0)),0,1)</f>
        <v>0</v>
      </c>
      <c r="T846" s="4">
        <f>IF(AND(VLOOKUP(G846,Dados!$D:$L,3,0)&lt;=VLOOKUP(H846,Dados!$X:$AB,2,0),VLOOKUP(G846,Dados!$D:$L,4,0)&gt;=VLOOKUP(H846,Dados!$X:$AB,3,0),VLOOKUP(G846,Dados!$D:$L,4,0)&lt;=VLOOKUP(H846,Dados!$X:$AB,4,0)),0,1)</f>
        <v>0</v>
      </c>
      <c r="U846" s="4">
        <f>IF(COUNTIFS(F:F,F846,H:H,H846)&lt;=VLOOKUP(H846,Dados!$X:$AB,5,0),0,1)</f>
        <v>0</v>
      </c>
    </row>
    <row r="847" spans="6:21">
      <c r="F847" s="4">
        <v>464</v>
      </c>
      <c r="G847" s="4">
        <v>63</v>
      </c>
      <c r="H847" s="4">
        <v>3</v>
      </c>
      <c r="I847" s="4">
        <v>23</v>
      </c>
      <c r="J847" s="4">
        <v>11</v>
      </c>
      <c r="K847" s="4">
        <f t="shared" si="222"/>
        <v>0</v>
      </c>
      <c r="L847" s="4">
        <f t="shared" si="222"/>
        <v>0</v>
      </c>
      <c r="M847" s="4">
        <f t="shared" si="222"/>
        <v>0</v>
      </c>
      <c r="N847" s="4">
        <f t="shared" si="222"/>
        <v>0</v>
      </c>
      <c r="O847" s="4">
        <f t="shared" si="223"/>
        <v>0</v>
      </c>
      <c r="P847" s="4">
        <f t="shared" si="224"/>
        <v>0</v>
      </c>
      <c r="Q847" s="4">
        <f t="shared" si="225"/>
        <v>0</v>
      </c>
      <c r="R847" s="4">
        <f t="shared" si="226"/>
        <v>0</v>
      </c>
      <c r="S847" s="4">
        <f>IF(AND(VLOOKUP(G847,Dados!$D:$L,2,0)=VLOOKUP(I847,Dados!$S:$V,2,0),VLOOKUP(G847,Dados!$D:$L,3,0)=VLOOKUP(I847,Dados!$S:$V,3,0)),0,1)</f>
        <v>0</v>
      </c>
      <c r="T847" s="4">
        <f>IF(AND(VLOOKUP(G847,Dados!$D:$L,3,0)&lt;=VLOOKUP(H847,Dados!$X:$AB,2,0),VLOOKUP(G847,Dados!$D:$L,4,0)&gt;=VLOOKUP(H847,Dados!$X:$AB,3,0),VLOOKUP(G847,Dados!$D:$L,4,0)&lt;=VLOOKUP(H847,Dados!$X:$AB,4,0)),0,1)</f>
        <v>0</v>
      </c>
      <c r="U847" s="4">
        <f>IF(COUNTIFS(F:F,F847,H:H,H847)&lt;=VLOOKUP(H847,Dados!$X:$AB,5,0),0,1)</f>
        <v>0</v>
      </c>
    </row>
    <row r="848" spans="6:21">
      <c r="F848" s="4">
        <v>465</v>
      </c>
      <c r="G848" s="4">
        <v>60</v>
      </c>
      <c r="H848" s="4">
        <v>1</v>
      </c>
      <c r="I848" s="4">
        <v>24</v>
      </c>
      <c r="J848" s="4">
        <v>1</v>
      </c>
      <c r="K848" s="4">
        <f t="shared" si="222"/>
        <v>0</v>
      </c>
      <c r="L848" s="4">
        <f t="shared" si="222"/>
        <v>0</v>
      </c>
      <c r="M848" s="4">
        <f t="shared" si="222"/>
        <v>0</v>
      </c>
      <c r="N848" s="4">
        <f t="shared" si="222"/>
        <v>0</v>
      </c>
      <c r="O848" s="4">
        <f t="shared" si="223"/>
        <v>0</v>
      </c>
      <c r="P848" s="4">
        <f t="shared" si="224"/>
        <v>0</v>
      </c>
      <c r="Q848" s="4">
        <f t="shared" si="225"/>
        <v>0</v>
      </c>
      <c r="R848" s="4">
        <f t="shared" si="226"/>
        <v>0</v>
      </c>
      <c r="S848" s="4">
        <f>IF(AND(VLOOKUP(G848,Dados!$D:$L,2,0)=VLOOKUP(I848,Dados!$S:$V,2,0),VLOOKUP(G848,Dados!$D:$L,3,0)=VLOOKUP(I848,Dados!$S:$V,3,0)),0,1)</f>
        <v>0</v>
      </c>
      <c r="T848" s="4">
        <f>IF(AND(VLOOKUP(G848,Dados!$D:$L,3,0)&lt;=VLOOKUP(H848,Dados!$X:$AB,2,0),VLOOKUP(G848,Dados!$D:$L,4,0)&gt;=VLOOKUP(H848,Dados!$X:$AB,3,0),VLOOKUP(G848,Dados!$D:$L,4,0)&lt;=VLOOKUP(H848,Dados!$X:$AB,4,0)),0,1)</f>
        <v>0</v>
      </c>
      <c r="U848" s="4">
        <f>IF(COUNTIFS(F:F,F848,H:H,H848)&lt;=VLOOKUP(H848,Dados!$X:$AB,5,0),0,1)</f>
        <v>0</v>
      </c>
    </row>
    <row r="849" spans="6:21">
      <c r="F849" s="4">
        <v>465</v>
      </c>
      <c r="G849" s="4">
        <v>63</v>
      </c>
      <c r="H849" s="4">
        <v>1</v>
      </c>
      <c r="I849" s="4">
        <v>24</v>
      </c>
      <c r="J849" s="4">
        <v>9</v>
      </c>
      <c r="K849" s="4">
        <f t="shared" si="222"/>
        <v>0</v>
      </c>
      <c r="L849" s="4">
        <f t="shared" si="222"/>
        <v>0</v>
      </c>
      <c r="M849" s="4">
        <f t="shared" si="222"/>
        <v>0</v>
      </c>
      <c r="N849" s="4">
        <f t="shared" si="222"/>
        <v>0</v>
      </c>
      <c r="O849" s="4">
        <f t="shared" si="223"/>
        <v>0</v>
      </c>
      <c r="P849" s="4">
        <f t="shared" si="224"/>
        <v>0</v>
      </c>
      <c r="Q849" s="4">
        <f t="shared" si="225"/>
        <v>0</v>
      </c>
      <c r="R849" s="4">
        <f t="shared" si="226"/>
        <v>0</v>
      </c>
      <c r="S849" s="4">
        <f>IF(AND(VLOOKUP(G849,Dados!$D:$L,2,0)=VLOOKUP(I849,Dados!$S:$V,2,0),VLOOKUP(G849,Dados!$D:$L,3,0)=VLOOKUP(I849,Dados!$S:$V,3,0)),0,1)</f>
        <v>0</v>
      </c>
      <c r="T849" s="4">
        <f>IF(AND(VLOOKUP(G849,Dados!$D:$L,3,0)&lt;=VLOOKUP(H849,Dados!$X:$AB,2,0),VLOOKUP(G849,Dados!$D:$L,4,0)&gt;=VLOOKUP(H849,Dados!$X:$AB,3,0),VLOOKUP(G849,Dados!$D:$L,4,0)&lt;=VLOOKUP(H849,Dados!$X:$AB,4,0)),0,1)</f>
        <v>0</v>
      </c>
      <c r="U849" s="4">
        <f>IF(COUNTIFS(F:F,F849,H:H,H849)&lt;=VLOOKUP(H849,Dados!$X:$AB,5,0),0,1)</f>
        <v>0</v>
      </c>
    </row>
    <row r="850" spans="6:21">
      <c r="F850" s="4">
        <v>466</v>
      </c>
      <c r="G850" s="4">
        <v>60</v>
      </c>
      <c r="H850" s="4">
        <v>2</v>
      </c>
      <c r="I850" s="4">
        <v>24</v>
      </c>
      <c r="J850" s="4">
        <v>1</v>
      </c>
      <c r="K850" s="4">
        <f t="shared" si="222"/>
        <v>0</v>
      </c>
      <c r="L850" s="4">
        <f t="shared" si="222"/>
        <v>0</v>
      </c>
      <c r="M850" s="4">
        <f t="shared" si="222"/>
        <v>0</v>
      </c>
      <c r="N850" s="4">
        <f t="shared" si="222"/>
        <v>0</v>
      </c>
      <c r="O850" s="4">
        <f t="shared" si="223"/>
        <v>0</v>
      </c>
      <c r="P850" s="4">
        <f t="shared" si="224"/>
        <v>0</v>
      </c>
      <c r="Q850" s="4">
        <f t="shared" si="225"/>
        <v>0</v>
      </c>
      <c r="R850" s="4">
        <f t="shared" si="226"/>
        <v>0</v>
      </c>
      <c r="S850" s="4">
        <f>IF(AND(VLOOKUP(G850,Dados!$D:$L,2,0)=VLOOKUP(I850,Dados!$S:$V,2,0),VLOOKUP(G850,Dados!$D:$L,3,0)=VLOOKUP(I850,Dados!$S:$V,3,0)),0,1)</f>
        <v>0</v>
      </c>
      <c r="T850" s="4">
        <f>IF(AND(VLOOKUP(G850,Dados!$D:$L,3,0)&lt;=VLOOKUP(H850,Dados!$X:$AB,2,0),VLOOKUP(G850,Dados!$D:$L,4,0)&gt;=VLOOKUP(H850,Dados!$X:$AB,3,0),VLOOKUP(G850,Dados!$D:$L,4,0)&lt;=VLOOKUP(H850,Dados!$X:$AB,4,0)),0,1)</f>
        <v>0</v>
      </c>
      <c r="U850" s="4">
        <f>IF(COUNTIFS(F:F,F850,H:H,H850)&lt;=VLOOKUP(H850,Dados!$X:$AB,5,0),0,1)</f>
        <v>0</v>
      </c>
    </row>
    <row r="851" spans="6:21">
      <c r="F851" s="4">
        <v>466</v>
      </c>
      <c r="G851" s="4">
        <v>63</v>
      </c>
      <c r="H851" s="4">
        <v>2</v>
      </c>
      <c r="I851" s="4">
        <v>24</v>
      </c>
      <c r="J851" s="4">
        <v>9</v>
      </c>
      <c r="K851" s="4">
        <f t="shared" si="222"/>
        <v>0</v>
      </c>
      <c r="L851" s="4">
        <f t="shared" si="222"/>
        <v>0</v>
      </c>
      <c r="M851" s="4">
        <f t="shared" si="222"/>
        <v>0</v>
      </c>
      <c r="N851" s="4">
        <f t="shared" si="222"/>
        <v>0</v>
      </c>
      <c r="O851" s="4">
        <f t="shared" si="223"/>
        <v>0</v>
      </c>
      <c r="P851" s="4">
        <f t="shared" si="224"/>
        <v>0</v>
      </c>
      <c r="Q851" s="4">
        <f t="shared" si="225"/>
        <v>0</v>
      </c>
      <c r="R851" s="4">
        <f t="shared" si="226"/>
        <v>0</v>
      </c>
      <c r="S851" s="4">
        <f>IF(AND(VLOOKUP(G851,Dados!$D:$L,2,0)=VLOOKUP(I851,Dados!$S:$V,2,0),VLOOKUP(G851,Dados!$D:$L,3,0)=VLOOKUP(I851,Dados!$S:$V,3,0)),0,1)</f>
        <v>0</v>
      </c>
      <c r="T851" s="4">
        <f>IF(AND(VLOOKUP(G851,Dados!$D:$L,3,0)&lt;=VLOOKUP(H851,Dados!$X:$AB,2,0),VLOOKUP(G851,Dados!$D:$L,4,0)&gt;=VLOOKUP(H851,Dados!$X:$AB,3,0),VLOOKUP(G851,Dados!$D:$L,4,0)&lt;=VLOOKUP(H851,Dados!$X:$AB,4,0)),0,1)</f>
        <v>0</v>
      </c>
      <c r="U851" s="4">
        <f>IF(COUNTIFS(F:F,F851,H:H,H851)&lt;=VLOOKUP(H851,Dados!$X:$AB,5,0),0,1)</f>
        <v>0</v>
      </c>
    </row>
    <row r="852" spans="6:21">
      <c r="F852" s="4">
        <v>467</v>
      </c>
      <c r="G852" s="4">
        <v>60</v>
      </c>
      <c r="H852" s="4">
        <v>3</v>
      </c>
      <c r="I852" s="4">
        <v>24</v>
      </c>
      <c r="J852" s="4">
        <v>1</v>
      </c>
      <c r="K852" s="4">
        <f t="shared" si="222"/>
        <v>0</v>
      </c>
      <c r="L852" s="4">
        <f t="shared" si="222"/>
        <v>0</v>
      </c>
      <c r="M852" s="4">
        <f t="shared" si="222"/>
        <v>0</v>
      </c>
      <c r="N852" s="4">
        <f t="shared" si="222"/>
        <v>0</v>
      </c>
      <c r="O852" s="4">
        <f t="shared" si="223"/>
        <v>0</v>
      </c>
      <c r="P852" s="4">
        <f t="shared" si="224"/>
        <v>0</v>
      </c>
      <c r="Q852" s="4">
        <f t="shared" si="225"/>
        <v>0</v>
      </c>
      <c r="R852" s="4">
        <f t="shared" si="226"/>
        <v>0</v>
      </c>
      <c r="S852" s="4">
        <f>IF(AND(VLOOKUP(G852,Dados!$D:$L,2,0)=VLOOKUP(I852,Dados!$S:$V,2,0),VLOOKUP(G852,Dados!$D:$L,3,0)=VLOOKUP(I852,Dados!$S:$V,3,0)),0,1)</f>
        <v>0</v>
      </c>
      <c r="T852" s="4">
        <f>IF(AND(VLOOKUP(G852,Dados!$D:$L,3,0)&lt;=VLOOKUP(H852,Dados!$X:$AB,2,0),VLOOKUP(G852,Dados!$D:$L,4,0)&gt;=VLOOKUP(H852,Dados!$X:$AB,3,0),VLOOKUP(G852,Dados!$D:$L,4,0)&lt;=VLOOKUP(H852,Dados!$X:$AB,4,0)),0,1)</f>
        <v>0</v>
      </c>
      <c r="U852" s="4">
        <f>IF(COUNTIFS(F:F,F852,H:H,H852)&lt;=VLOOKUP(H852,Dados!$X:$AB,5,0),0,1)</f>
        <v>0</v>
      </c>
    </row>
    <row r="853" spans="6:21">
      <c r="F853" s="4">
        <v>467</v>
      </c>
      <c r="G853" s="4">
        <v>63</v>
      </c>
      <c r="H853" s="4">
        <v>3</v>
      </c>
      <c r="I853" s="4">
        <v>24</v>
      </c>
      <c r="J853" s="4">
        <v>9</v>
      </c>
      <c r="K853" s="4">
        <f t="shared" si="222"/>
        <v>0</v>
      </c>
      <c r="L853" s="4">
        <f t="shared" si="222"/>
        <v>0</v>
      </c>
      <c r="M853" s="4">
        <f t="shared" si="222"/>
        <v>0</v>
      </c>
      <c r="N853" s="4">
        <f t="shared" si="222"/>
        <v>0</v>
      </c>
      <c r="O853" s="4">
        <f t="shared" si="223"/>
        <v>0</v>
      </c>
      <c r="P853" s="4">
        <f t="shared" si="224"/>
        <v>0</v>
      </c>
      <c r="Q853" s="4">
        <f t="shared" si="225"/>
        <v>0</v>
      </c>
      <c r="R853" s="4">
        <f t="shared" si="226"/>
        <v>0</v>
      </c>
      <c r="S853" s="4">
        <f>IF(AND(VLOOKUP(G853,Dados!$D:$L,2,0)=VLOOKUP(I853,Dados!$S:$V,2,0),VLOOKUP(G853,Dados!$D:$L,3,0)=VLOOKUP(I853,Dados!$S:$V,3,0)),0,1)</f>
        <v>0</v>
      </c>
      <c r="T853" s="4">
        <f>IF(AND(VLOOKUP(G853,Dados!$D:$L,3,0)&lt;=VLOOKUP(H853,Dados!$X:$AB,2,0),VLOOKUP(G853,Dados!$D:$L,4,0)&gt;=VLOOKUP(H853,Dados!$X:$AB,3,0),VLOOKUP(G853,Dados!$D:$L,4,0)&lt;=VLOOKUP(H853,Dados!$X:$AB,4,0)),0,1)</f>
        <v>0</v>
      </c>
      <c r="U853" s="4">
        <f>IF(COUNTIFS(F:F,F853,H:H,H853)&lt;=VLOOKUP(H853,Dados!$X:$AB,5,0),0,1)</f>
        <v>0</v>
      </c>
    </row>
    <row r="854" spans="6:21">
      <c r="F854" s="4">
        <v>468</v>
      </c>
      <c r="G854" s="4">
        <v>63</v>
      </c>
      <c r="H854" s="4">
        <v>1</v>
      </c>
      <c r="I854" s="4">
        <v>25</v>
      </c>
      <c r="J854" s="4">
        <v>12</v>
      </c>
      <c r="K854" s="4">
        <f t="shared" si="222"/>
        <v>0</v>
      </c>
      <c r="L854" s="4">
        <f t="shared" si="222"/>
        <v>0</v>
      </c>
      <c r="M854" s="4">
        <f t="shared" si="222"/>
        <v>0</v>
      </c>
      <c r="N854" s="4">
        <f t="shared" si="222"/>
        <v>0</v>
      </c>
      <c r="O854" s="4">
        <f t="shared" si="223"/>
        <v>0</v>
      </c>
      <c r="P854" s="4">
        <f t="shared" si="224"/>
        <v>0</v>
      </c>
      <c r="Q854" s="4">
        <f t="shared" si="225"/>
        <v>0</v>
      </c>
      <c r="R854" s="4">
        <f t="shared" si="226"/>
        <v>0</v>
      </c>
      <c r="S854" s="4">
        <f>IF(AND(VLOOKUP(G854,Dados!$D:$L,2,0)=VLOOKUP(I854,Dados!$S:$V,2,0),VLOOKUP(G854,Dados!$D:$L,3,0)=VLOOKUP(I854,Dados!$S:$V,3,0)),0,1)</f>
        <v>0</v>
      </c>
      <c r="T854" s="4">
        <f>IF(AND(VLOOKUP(G854,Dados!$D:$L,3,0)&lt;=VLOOKUP(H854,Dados!$X:$AB,2,0),VLOOKUP(G854,Dados!$D:$L,4,0)&gt;=VLOOKUP(H854,Dados!$X:$AB,3,0),VLOOKUP(G854,Dados!$D:$L,4,0)&lt;=VLOOKUP(H854,Dados!$X:$AB,4,0)),0,1)</f>
        <v>0</v>
      </c>
      <c r="U854" s="4">
        <f>IF(COUNTIFS(F:F,F854,H:H,H854)&lt;=VLOOKUP(H854,Dados!$X:$AB,5,0),0,1)</f>
        <v>0</v>
      </c>
    </row>
    <row r="855" spans="6:21">
      <c r="F855" s="4">
        <v>469</v>
      </c>
      <c r="G855" s="4">
        <v>63</v>
      </c>
      <c r="H855" s="4">
        <v>2</v>
      </c>
      <c r="I855" s="4">
        <v>25</v>
      </c>
      <c r="J855" s="4">
        <v>12</v>
      </c>
      <c r="K855" s="4">
        <f t="shared" si="222"/>
        <v>0</v>
      </c>
      <c r="L855" s="4">
        <f t="shared" si="222"/>
        <v>0</v>
      </c>
      <c r="M855" s="4">
        <f t="shared" si="222"/>
        <v>0</v>
      </c>
      <c r="N855" s="4">
        <f t="shared" si="222"/>
        <v>0</v>
      </c>
      <c r="O855" s="4">
        <f t="shared" si="223"/>
        <v>0</v>
      </c>
      <c r="P855" s="4">
        <f t="shared" si="224"/>
        <v>0</v>
      </c>
      <c r="Q855" s="4">
        <f t="shared" si="225"/>
        <v>0</v>
      </c>
      <c r="R855" s="4">
        <f t="shared" si="226"/>
        <v>0</v>
      </c>
      <c r="S855" s="4">
        <f>IF(AND(VLOOKUP(G855,Dados!$D:$L,2,0)=VLOOKUP(I855,Dados!$S:$V,2,0),VLOOKUP(G855,Dados!$D:$L,3,0)=VLOOKUP(I855,Dados!$S:$V,3,0)),0,1)</f>
        <v>0</v>
      </c>
      <c r="T855" s="4">
        <f>IF(AND(VLOOKUP(G855,Dados!$D:$L,3,0)&lt;=VLOOKUP(H855,Dados!$X:$AB,2,0),VLOOKUP(G855,Dados!$D:$L,4,0)&gt;=VLOOKUP(H855,Dados!$X:$AB,3,0),VLOOKUP(G855,Dados!$D:$L,4,0)&lt;=VLOOKUP(H855,Dados!$X:$AB,4,0)),0,1)</f>
        <v>0</v>
      </c>
      <c r="U855" s="4">
        <f>IF(COUNTIFS(F:F,F855,H:H,H855)&lt;=VLOOKUP(H855,Dados!$X:$AB,5,0),0,1)</f>
        <v>0</v>
      </c>
    </row>
    <row r="856" spans="6:21">
      <c r="F856" s="4">
        <v>470</v>
      </c>
      <c r="G856" s="4">
        <v>63</v>
      </c>
      <c r="H856" s="4">
        <v>3</v>
      </c>
      <c r="I856" s="4">
        <v>25</v>
      </c>
      <c r="J856" s="4">
        <v>12</v>
      </c>
      <c r="K856" s="4">
        <f t="shared" si="222"/>
        <v>0</v>
      </c>
      <c r="L856" s="4">
        <f t="shared" si="222"/>
        <v>0</v>
      </c>
      <c r="M856" s="4">
        <f t="shared" si="222"/>
        <v>0</v>
      </c>
      <c r="N856" s="4">
        <f t="shared" si="222"/>
        <v>0</v>
      </c>
      <c r="O856" s="4">
        <f t="shared" si="223"/>
        <v>0</v>
      </c>
      <c r="P856" s="4">
        <f t="shared" si="224"/>
        <v>0</v>
      </c>
      <c r="Q856" s="4">
        <f t="shared" si="225"/>
        <v>0</v>
      </c>
      <c r="R856" s="4">
        <f t="shared" si="226"/>
        <v>0</v>
      </c>
      <c r="S856" s="4">
        <f>IF(AND(VLOOKUP(G856,Dados!$D:$L,2,0)=VLOOKUP(I856,Dados!$S:$V,2,0),VLOOKUP(G856,Dados!$D:$L,3,0)=VLOOKUP(I856,Dados!$S:$V,3,0)),0,1)</f>
        <v>0</v>
      </c>
      <c r="T856" s="4">
        <f>IF(AND(VLOOKUP(G856,Dados!$D:$L,3,0)&lt;=VLOOKUP(H856,Dados!$X:$AB,2,0),VLOOKUP(G856,Dados!$D:$L,4,0)&gt;=VLOOKUP(H856,Dados!$X:$AB,3,0),VLOOKUP(G856,Dados!$D:$L,4,0)&lt;=VLOOKUP(H856,Dados!$X:$AB,4,0)),0,1)</f>
        <v>0</v>
      </c>
      <c r="U856" s="4">
        <f>IF(COUNTIFS(F:F,F856,H:H,H856)&lt;=VLOOKUP(H856,Dados!$X:$AB,5,0),0,1)</f>
        <v>0</v>
      </c>
    </row>
    <row r="857" spans="6:21">
      <c r="F857" s="4">
        <v>471</v>
      </c>
      <c r="G857" s="4">
        <v>63</v>
      </c>
      <c r="H857" s="4">
        <v>1</v>
      </c>
      <c r="I857" s="4">
        <v>26</v>
      </c>
      <c r="J857" s="4">
        <v>11</v>
      </c>
      <c r="K857" s="4">
        <f t="shared" si="222"/>
        <v>0</v>
      </c>
      <c r="L857" s="4">
        <f t="shared" si="222"/>
        <v>0</v>
      </c>
      <c r="M857" s="4">
        <f t="shared" si="222"/>
        <v>0</v>
      </c>
      <c r="N857" s="4">
        <f t="shared" si="222"/>
        <v>0</v>
      </c>
      <c r="O857" s="4">
        <f t="shared" si="223"/>
        <v>0</v>
      </c>
      <c r="P857" s="4">
        <f t="shared" si="224"/>
        <v>0</v>
      </c>
      <c r="Q857" s="4">
        <f t="shared" si="225"/>
        <v>0</v>
      </c>
      <c r="R857" s="4">
        <f t="shared" si="226"/>
        <v>0</v>
      </c>
      <c r="S857" s="4">
        <f>IF(AND(VLOOKUP(G857,Dados!$D:$L,2,0)=VLOOKUP(I857,Dados!$S:$V,2,0),VLOOKUP(G857,Dados!$D:$L,3,0)=VLOOKUP(I857,Dados!$S:$V,3,0)),0,1)</f>
        <v>0</v>
      </c>
      <c r="T857" s="4">
        <f>IF(AND(VLOOKUP(G857,Dados!$D:$L,3,0)&lt;=VLOOKUP(H857,Dados!$X:$AB,2,0),VLOOKUP(G857,Dados!$D:$L,4,0)&gt;=VLOOKUP(H857,Dados!$X:$AB,3,0),VLOOKUP(G857,Dados!$D:$L,4,0)&lt;=VLOOKUP(H857,Dados!$X:$AB,4,0)),0,1)</f>
        <v>0</v>
      </c>
      <c r="U857" s="4">
        <f>IF(COUNTIFS(F:F,F857,H:H,H857)&lt;=VLOOKUP(H857,Dados!$X:$AB,5,0),0,1)</f>
        <v>0</v>
      </c>
    </row>
    <row r="858" spans="6:21">
      <c r="F858" s="4">
        <v>472</v>
      </c>
      <c r="G858" s="4">
        <v>63</v>
      </c>
      <c r="H858" s="4">
        <v>2</v>
      </c>
      <c r="I858" s="4">
        <v>26</v>
      </c>
      <c r="J858" s="4">
        <v>11</v>
      </c>
      <c r="K858" s="4">
        <f t="shared" si="222"/>
        <v>0</v>
      </c>
      <c r="L858" s="4">
        <f t="shared" si="222"/>
        <v>0</v>
      </c>
      <c r="M858" s="4">
        <f t="shared" si="222"/>
        <v>0</v>
      </c>
      <c r="N858" s="4">
        <f t="shared" si="222"/>
        <v>0</v>
      </c>
      <c r="O858" s="4">
        <f t="shared" si="223"/>
        <v>0</v>
      </c>
      <c r="P858" s="4">
        <f t="shared" si="224"/>
        <v>0</v>
      </c>
      <c r="Q858" s="4">
        <f t="shared" si="225"/>
        <v>0</v>
      </c>
      <c r="R858" s="4">
        <f t="shared" si="226"/>
        <v>0</v>
      </c>
      <c r="S858" s="4">
        <f>IF(AND(VLOOKUP(G858,Dados!$D:$L,2,0)=VLOOKUP(I858,Dados!$S:$V,2,0),VLOOKUP(G858,Dados!$D:$L,3,0)=VLOOKUP(I858,Dados!$S:$V,3,0)),0,1)</f>
        <v>0</v>
      </c>
      <c r="T858" s="4">
        <f>IF(AND(VLOOKUP(G858,Dados!$D:$L,3,0)&lt;=VLOOKUP(H858,Dados!$X:$AB,2,0),VLOOKUP(G858,Dados!$D:$L,4,0)&gt;=VLOOKUP(H858,Dados!$X:$AB,3,0),VLOOKUP(G858,Dados!$D:$L,4,0)&lt;=VLOOKUP(H858,Dados!$X:$AB,4,0)),0,1)</f>
        <v>0</v>
      </c>
      <c r="U858" s="4">
        <f>IF(COUNTIFS(F:F,F858,H:H,H858)&lt;=VLOOKUP(H858,Dados!$X:$AB,5,0),0,1)</f>
        <v>0</v>
      </c>
    </row>
    <row r="859" spans="6:21">
      <c r="F859" s="4">
        <v>473</v>
      </c>
      <c r="G859" s="4">
        <v>63</v>
      </c>
      <c r="H859" s="4">
        <v>3</v>
      </c>
      <c r="I859" s="4">
        <v>26</v>
      </c>
      <c r="J859" s="4">
        <v>11</v>
      </c>
      <c r="K859" s="4">
        <f t="shared" si="222"/>
        <v>0</v>
      </c>
      <c r="L859" s="4">
        <f t="shared" si="222"/>
        <v>0</v>
      </c>
      <c r="M859" s="4">
        <f t="shared" si="222"/>
        <v>0</v>
      </c>
      <c r="N859" s="4">
        <f t="shared" si="222"/>
        <v>0</v>
      </c>
      <c r="O859" s="4">
        <f t="shared" si="223"/>
        <v>0</v>
      </c>
      <c r="P859" s="4">
        <f t="shared" si="224"/>
        <v>0</v>
      </c>
      <c r="Q859" s="4">
        <f t="shared" si="225"/>
        <v>0</v>
      </c>
      <c r="R859" s="4">
        <f t="shared" si="226"/>
        <v>0</v>
      </c>
      <c r="S859" s="4">
        <f>IF(AND(VLOOKUP(G859,Dados!$D:$L,2,0)=VLOOKUP(I859,Dados!$S:$V,2,0),VLOOKUP(G859,Dados!$D:$L,3,0)=VLOOKUP(I859,Dados!$S:$V,3,0)),0,1)</f>
        <v>0</v>
      </c>
      <c r="T859" s="4">
        <f>IF(AND(VLOOKUP(G859,Dados!$D:$L,3,0)&lt;=VLOOKUP(H859,Dados!$X:$AB,2,0),VLOOKUP(G859,Dados!$D:$L,4,0)&gt;=VLOOKUP(H859,Dados!$X:$AB,3,0),VLOOKUP(G859,Dados!$D:$L,4,0)&lt;=VLOOKUP(H859,Dados!$X:$AB,4,0)),0,1)</f>
        <v>0</v>
      </c>
      <c r="U859" s="4">
        <f>IF(COUNTIFS(F:F,F859,H:H,H859)&lt;=VLOOKUP(H859,Dados!$X:$AB,5,0),0,1)</f>
        <v>0</v>
      </c>
    </row>
    <row r="860" spans="6:21">
      <c r="F860" s="4">
        <v>474</v>
      </c>
      <c r="G860" s="4">
        <v>60</v>
      </c>
      <c r="H860" s="4">
        <v>1</v>
      </c>
      <c r="I860" s="4">
        <v>27</v>
      </c>
      <c r="J860" s="4">
        <v>1</v>
      </c>
      <c r="K860" s="4">
        <f t="shared" si="222"/>
        <v>0</v>
      </c>
      <c r="L860" s="4">
        <f t="shared" si="222"/>
        <v>0</v>
      </c>
      <c r="M860" s="4">
        <f t="shared" si="222"/>
        <v>0</v>
      </c>
      <c r="N860" s="4">
        <f t="shared" si="222"/>
        <v>0</v>
      </c>
      <c r="O860" s="4">
        <f t="shared" si="223"/>
        <v>0</v>
      </c>
      <c r="P860" s="4">
        <f t="shared" si="224"/>
        <v>0</v>
      </c>
      <c r="Q860" s="4">
        <f t="shared" si="225"/>
        <v>0</v>
      </c>
      <c r="R860" s="4">
        <f t="shared" si="226"/>
        <v>0</v>
      </c>
      <c r="S860" s="4">
        <f>IF(AND(VLOOKUP(G860,Dados!$D:$L,2,0)=VLOOKUP(I860,Dados!$S:$V,2,0),VLOOKUP(G860,Dados!$D:$L,3,0)=VLOOKUP(I860,Dados!$S:$V,3,0)),0,1)</f>
        <v>0</v>
      </c>
      <c r="T860" s="4">
        <f>IF(AND(VLOOKUP(G860,Dados!$D:$L,3,0)&lt;=VLOOKUP(H860,Dados!$X:$AB,2,0),VLOOKUP(G860,Dados!$D:$L,4,0)&gt;=VLOOKUP(H860,Dados!$X:$AB,3,0),VLOOKUP(G860,Dados!$D:$L,4,0)&lt;=VLOOKUP(H860,Dados!$X:$AB,4,0)),0,1)</f>
        <v>0</v>
      </c>
      <c r="U860" s="4">
        <f>IF(COUNTIFS(F:F,F860,H:H,H860)&lt;=VLOOKUP(H860,Dados!$X:$AB,5,0),0,1)</f>
        <v>0</v>
      </c>
    </row>
    <row r="861" spans="6:21">
      <c r="F861" s="4">
        <v>474</v>
      </c>
      <c r="G861" s="4">
        <v>63</v>
      </c>
      <c r="H861" s="4">
        <v>1</v>
      </c>
      <c r="I861" s="4">
        <v>27</v>
      </c>
      <c r="J861" s="4">
        <v>10</v>
      </c>
      <c r="K861" s="4">
        <f t="shared" si="222"/>
        <v>0</v>
      </c>
      <c r="L861" s="4">
        <f t="shared" si="222"/>
        <v>0</v>
      </c>
      <c r="M861" s="4">
        <f t="shared" si="222"/>
        <v>0</v>
      </c>
      <c r="N861" s="4">
        <f t="shared" si="222"/>
        <v>0</v>
      </c>
      <c r="O861" s="4">
        <f t="shared" si="223"/>
        <v>0</v>
      </c>
      <c r="P861" s="4">
        <f t="shared" si="224"/>
        <v>0</v>
      </c>
      <c r="Q861" s="4">
        <f t="shared" si="225"/>
        <v>0</v>
      </c>
      <c r="R861" s="4">
        <f t="shared" si="226"/>
        <v>0</v>
      </c>
      <c r="S861" s="4">
        <f>IF(AND(VLOOKUP(G861,Dados!$D:$L,2,0)=VLOOKUP(I861,Dados!$S:$V,2,0),VLOOKUP(G861,Dados!$D:$L,3,0)=VLOOKUP(I861,Dados!$S:$V,3,0)),0,1)</f>
        <v>0</v>
      </c>
      <c r="T861" s="4">
        <f>IF(AND(VLOOKUP(G861,Dados!$D:$L,3,0)&lt;=VLOOKUP(H861,Dados!$X:$AB,2,0),VLOOKUP(G861,Dados!$D:$L,4,0)&gt;=VLOOKUP(H861,Dados!$X:$AB,3,0),VLOOKUP(G861,Dados!$D:$L,4,0)&lt;=VLOOKUP(H861,Dados!$X:$AB,4,0)),0,1)</f>
        <v>0</v>
      </c>
      <c r="U861" s="4">
        <f>IF(COUNTIFS(F:F,F861,H:H,H861)&lt;=VLOOKUP(H861,Dados!$X:$AB,5,0),0,1)</f>
        <v>0</v>
      </c>
    </row>
    <row r="862" spans="6:21">
      <c r="F862" s="4">
        <v>474</v>
      </c>
      <c r="G862" s="4">
        <v>67</v>
      </c>
      <c r="H862" s="4">
        <v>1</v>
      </c>
      <c r="I862" s="4">
        <v>27</v>
      </c>
      <c r="J862" s="4">
        <v>1</v>
      </c>
      <c r="K862" s="4">
        <f t="shared" si="222"/>
        <v>0</v>
      </c>
      <c r="L862" s="4">
        <f t="shared" si="222"/>
        <v>0</v>
      </c>
      <c r="M862" s="4">
        <f t="shared" si="222"/>
        <v>0</v>
      </c>
      <c r="N862" s="4">
        <f t="shared" si="222"/>
        <v>0</v>
      </c>
      <c r="O862" s="4">
        <f t="shared" si="223"/>
        <v>0</v>
      </c>
      <c r="P862" s="4">
        <f t="shared" si="224"/>
        <v>0</v>
      </c>
      <c r="Q862" s="4">
        <f t="shared" si="225"/>
        <v>0</v>
      </c>
      <c r="R862" s="4">
        <f t="shared" si="226"/>
        <v>0</v>
      </c>
      <c r="S862" s="4">
        <f>IF(AND(VLOOKUP(G862,Dados!$D:$L,2,0)=VLOOKUP(I862,Dados!$S:$V,2,0),VLOOKUP(G862,Dados!$D:$L,3,0)=VLOOKUP(I862,Dados!$S:$V,3,0)),0,1)</f>
        <v>0</v>
      </c>
      <c r="T862" s="4">
        <f>IF(AND(VLOOKUP(G862,Dados!$D:$L,3,0)&lt;=VLOOKUP(H862,Dados!$X:$AB,2,0),VLOOKUP(G862,Dados!$D:$L,4,0)&gt;=VLOOKUP(H862,Dados!$X:$AB,3,0),VLOOKUP(G862,Dados!$D:$L,4,0)&lt;=VLOOKUP(H862,Dados!$X:$AB,4,0)),0,1)</f>
        <v>0</v>
      </c>
      <c r="U862" s="4">
        <f>IF(COUNTIFS(F:F,F862,H:H,H862)&lt;=VLOOKUP(H862,Dados!$X:$AB,5,0),0,1)</f>
        <v>0</v>
      </c>
    </row>
    <row r="863" spans="6:21">
      <c r="F863" s="4">
        <v>475</v>
      </c>
      <c r="G863" s="4">
        <v>60</v>
      </c>
      <c r="H863" s="4">
        <v>2</v>
      </c>
      <c r="I863" s="4">
        <v>27</v>
      </c>
      <c r="J863" s="4">
        <v>1</v>
      </c>
      <c r="K863" s="4">
        <f t="shared" si="222"/>
        <v>0</v>
      </c>
      <c r="L863" s="4">
        <f t="shared" si="222"/>
        <v>0</v>
      </c>
      <c r="M863" s="4">
        <f t="shared" si="222"/>
        <v>0</v>
      </c>
      <c r="N863" s="4">
        <f t="shared" si="222"/>
        <v>0</v>
      </c>
      <c r="O863" s="4">
        <f t="shared" si="223"/>
        <v>0</v>
      </c>
      <c r="P863" s="4">
        <f t="shared" si="224"/>
        <v>0</v>
      </c>
      <c r="Q863" s="4">
        <f t="shared" si="225"/>
        <v>0</v>
      </c>
      <c r="R863" s="4">
        <f t="shared" si="226"/>
        <v>0</v>
      </c>
      <c r="S863" s="4">
        <f>IF(AND(VLOOKUP(G863,Dados!$D:$L,2,0)=VLOOKUP(I863,Dados!$S:$V,2,0),VLOOKUP(G863,Dados!$D:$L,3,0)=VLOOKUP(I863,Dados!$S:$V,3,0)),0,1)</f>
        <v>0</v>
      </c>
      <c r="T863" s="4">
        <f>IF(AND(VLOOKUP(G863,Dados!$D:$L,3,0)&lt;=VLOOKUP(H863,Dados!$X:$AB,2,0),VLOOKUP(G863,Dados!$D:$L,4,0)&gt;=VLOOKUP(H863,Dados!$X:$AB,3,0),VLOOKUP(G863,Dados!$D:$L,4,0)&lt;=VLOOKUP(H863,Dados!$X:$AB,4,0)),0,1)</f>
        <v>0</v>
      </c>
      <c r="U863" s="4">
        <f>IF(COUNTIFS(F:F,F863,H:H,H863)&lt;=VLOOKUP(H863,Dados!$X:$AB,5,0),0,1)</f>
        <v>0</v>
      </c>
    </row>
    <row r="864" spans="6:21">
      <c r="F864" s="4">
        <v>475</v>
      </c>
      <c r="G864" s="4">
        <v>63</v>
      </c>
      <c r="H864" s="4">
        <v>2</v>
      </c>
      <c r="I864" s="4">
        <v>27</v>
      </c>
      <c r="J864" s="4">
        <v>10</v>
      </c>
      <c r="K864" s="4">
        <f t="shared" si="222"/>
        <v>0</v>
      </c>
      <c r="L864" s="4">
        <f t="shared" si="222"/>
        <v>0</v>
      </c>
      <c r="M864" s="4">
        <f t="shared" si="222"/>
        <v>0</v>
      </c>
      <c r="N864" s="4">
        <f t="shared" si="222"/>
        <v>0</v>
      </c>
      <c r="O864" s="4">
        <f t="shared" si="223"/>
        <v>0</v>
      </c>
      <c r="P864" s="4">
        <f t="shared" si="224"/>
        <v>0</v>
      </c>
      <c r="Q864" s="4">
        <f t="shared" si="225"/>
        <v>0</v>
      </c>
      <c r="R864" s="4">
        <f t="shared" si="226"/>
        <v>0</v>
      </c>
      <c r="S864" s="4">
        <f>IF(AND(VLOOKUP(G864,Dados!$D:$L,2,0)=VLOOKUP(I864,Dados!$S:$V,2,0),VLOOKUP(G864,Dados!$D:$L,3,0)=VLOOKUP(I864,Dados!$S:$V,3,0)),0,1)</f>
        <v>0</v>
      </c>
      <c r="T864" s="4">
        <f>IF(AND(VLOOKUP(G864,Dados!$D:$L,3,0)&lt;=VLOOKUP(H864,Dados!$X:$AB,2,0),VLOOKUP(G864,Dados!$D:$L,4,0)&gt;=VLOOKUP(H864,Dados!$X:$AB,3,0),VLOOKUP(G864,Dados!$D:$L,4,0)&lt;=VLOOKUP(H864,Dados!$X:$AB,4,0)),0,1)</f>
        <v>0</v>
      </c>
      <c r="U864" s="4">
        <f>IF(COUNTIFS(F:F,F864,H:H,H864)&lt;=VLOOKUP(H864,Dados!$X:$AB,5,0),0,1)</f>
        <v>0</v>
      </c>
    </row>
    <row r="865" spans="6:21">
      <c r="F865" s="4">
        <v>475</v>
      </c>
      <c r="G865" s="4">
        <v>67</v>
      </c>
      <c r="H865" s="4">
        <v>2</v>
      </c>
      <c r="I865" s="4">
        <v>27</v>
      </c>
      <c r="J865" s="4">
        <v>1</v>
      </c>
      <c r="K865" s="4">
        <f t="shared" si="222"/>
        <v>0</v>
      </c>
      <c r="L865" s="4">
        <f t="shared" si="222"/>
        <v>0</v>
      </c>
      <c r="M865" s="4">
        <f t="shared" si="222"/>
        <v>0</v>
      </c>
      <c r="N865" s="4">
        <f t="shared" si="222"/>
        <v>0</v>
      </c>
      <c r="O865" s="4">
        <f t="shared" si="223"/>
        <v>0</v>
      </c>
      <c r="P865" s="4">
        <f t="shared" si="224"/>
        <v>0</v>
      </c>
      <c r="Q865" s="4">
        <f t="shared" si="225"/>
        <v>0</v>
      </c>
      <c r="R865" s="4">
        <f t="shared" si="226"/>
        <v>0</v>
      </c>
      <c r="S865" s="4">
        <f>IF(AND(VLOOKUP(G865,Dados!$D:$L,2,0)=VLOOKUP(I865,Dados!$S:$V,2,0),VLOOKUP(G865,Dados!$D:$L,3,0)=VLOOKUP(I865,Dados!$S:$V,3,0)),0,1)</f>
        <v>0</v>
      </c>
      <c r="T865" s="4">
        <f>IF(AND(VLOOKUP(G865,Dados!$D:$L,3,0)&lt;=VLOOKUP(H865,Dados!$X:$AB,2,0),VLOOKUP(G865,Dados!$D:$L,4,0)&gt;=VLOOKUP(H865,Dados!$X:$AB,3,0),VLOOKUP(G865,Dados!$D:$L,4,0)&lt;=VLOOKUP(H865,Dados!$X:$AB,4,0)),0,1)</f>
        <v>0</v>
      </c>
      <c r="U865" s="4">
        <f>IF(COUNTIFS(F:F,F865,H:H,H865)&lt;=VLOOKUP(H865,Dados!$X:$AB,5,0),0,1)</f>
        <v>0</v>
      </c>
    </row>
    <row r="866" spans="6:21">
      <c r="F866" s="4">
        <v>476</v>
      </c>
      <c r="G866" s="4">
        <v>60</v>
      </c>
      <c r="H866" s="4">
        <v>3</v>
      </c>
      <c r="I866" s="4">
        <v>27</v>
      </c>
      <c r="J866" s="4">
        <v>1</v>
      </c>
      <c r="K866" s="4">
        <f t="shared" si="222"/>
        <v>0</v>
      </c>
      <c r="L866" s="4">
        <f t="shared" si="222"/>
        <v>0</v>
      </c>
      <c r="M866" s="4">
        <f t="shared" si="222"/>
        <v>0</v>
      </c>
      <c r="N866" s="4">
        <f t="shared" si="222"/>
        <v>0</v>
      </c>
      <c r="O866" s="4">
        <f t="shared" si="223"/>
        <v>0</v>
      </c>
      <c r="P866" s="4">
        <f t="shared" si="224"/>
        <v>0</v>
      </c>
      <c r="Q866" s="4">
        <f t="shared" si="225"/>
        <v>0</v>
      </c>
      <c r="R866" s="4">
        <f t="shared" si="226"/>
        <v>0</v>
      </c>
      <c r="S866" s="4">
        <f>IF(AND(VLOOKUP(G866,Dados!$D:$L,2,0)=VLOOKUP(I866,Dados!$S:$V,2,0),VLOOKUP(G866,Dados!$D:$L,3,0)=VLOOKUP(I866,Dados!$S:$V,3,0)),0,1)</f>
        <v>0</v>
      </c>
      <c r="T866" s="4">
        <f>IF(AND(VLOOKUP(G866,Dados!$D:$L,3,0)&lt;=VLOOKUP(H866,Dados!$X:$AB,2,0),VLOOKUP(G866,Dados!$D:$L,4,0)&gt;=VLOOKUP(H866,Dados!$X:$AB,3,0),VLOOKUP(G866,Dados!$D:$L,4,0)&lt;=VLOOKUP(H866,Dados!$X:$AB,4,0)),0,1)</f>
        <v>0</v>
      </c>
      <c r="U866" s="4">
        <f>IF(COUNTIFS(F:F,F866,H:H,H866)&lt;=VLOOKUP(H866,Dados!$X:$AB,5,0),0,1)</f>
        <v>0</v>
      </c>
    </row>
    <row r="867" spans="6:21">
      <c r="F867" s="4">
        <v>476</v>
      </c>
      <c r="G867" s="4">
        <v>63</v>
      </c>
      <c r="H867" s="4">
        <v>3</v>
      </c>
      <c r="I867" s="4">
        <v>27</v>
      </c>
      <c r="J867" s="4">
        <v>10</v>
      </c>
      <c r="K867" s="4">
        <f t="shared" si="222"/>
        <v>0</v>
      </c>
      <c r="L867" s="4">
        <f t="shared" si="222"/>
        <v>0</v>
      </c>
      <c r="M867" s="4">
        <f t="shared" si="222"/>
        <v>0</v>
      </c>
      <c r="N867" s="4">
        <f t="shared" si="222"/>
        <v>0</v>
      </c>
      <c r="O867" s="4">
        <f t="shared" si="223"/>
        <v>0</v>
      </c>
      <c r="P867" s="4">
        <f t="shared" si="224"/>
        <v>0</v>
      </c>
      <c r="Q867" s="4">
        <f t="shared" si="225"/>
        <v>0</v>
      </c>
      <c r="R867" s="4">
        <f t="shared" si="226"/>
        <v>0</v>
      </c>
      <c r="S867" s="4">
        <f>IF(AND(VLOOKUP(G867,Dados!$D:$L,2,0)=VLOOKUP(I867,Dados!$S:$V,2,0),VLOOKUP(G867,Dados!$D:$L,3,0)=VLOOKUP(I867,Dados!$S:$V,3,0)),0,1)</f>
        <v>0</v>
      </c>
      <c r="T867" s="4">
        <f>IF(AND(VLOOKUP(G867,Dados!$D:$L,3,0)&lt;=VLOOKUP(H867,Dados!$X:$AB,2,0),VLOOKUP(G867,Dados!$D:$L,4,0)&gt;=VLOOKUP(H867,Dados!$X:$AB,3,0),VLOOKUP(G867,Dados!$D:$L,4,0)&lt;=VLOOKUP(H867,Dados!$X:$AB,4,0)),0,1)</f>
        <v>0</v>
      </c>
      <c r="U867" s="4">
        <f>IF(COUNTIFS(F:F,F867,H:H,H867)&lt;=VLOOKUP(H867,Dados!$X:$AB,5,0),0,1)</f>
        <v>0</v>
      </c>
    </row>
    <row r="868" spans="6:21">
      <c r="F868" s="4">
        <v>476</v>
      </c>
      <c r="G868" s="4">
        <v>67</v>
      </c>
      <c r="H868" s="4">
        <v>3</v>
      </c>
      <c r="I868" s="4">
        <v>27</v>
      </c>
      <c r="J868" s="4">
        <v>1</v>
      </c>
      <c r="K868" s="4">
        <f t="shared" si="222"/>
        <v>0</v>
      </c>
      <c r="L868" s="4">
        <f t="shared" si="222"/>
        <v>0</v>
      </c>
      <c r="M868" s="4">
        <f t="shared" si="222"/>
        <v>0</v>
      </c>
      <c r="N868" s="4">
        <f t="shared" si="222"/>
        <v>0</v>
      </c>
      <c r="O868" s="4">
        <f t="shared" si="223"/>
        <v>0</v>
      </c>
      <c r="P868" s="4">
        <f t="shared" si="224"/>
        <v>0</v>
      </c>
      <c r="Q868" s="4">
        <f t="shared" si="225"/>
        <v>0</v>
      </c>
      <c r="R868" s="4">
        <f t="shared" si="226"/>
        <v>0</v>
      </c>
      <c r="S868" s="4">
        <f>IF(AND(VLOOKUP(G868,Dados!$D:$L,2,0)=VLOOKUP(I868,Dados!$S:$V,2,0),VLOOKUP(G868,Dados!$D:$L,3,0)=VLOOKUP(I868,Dados!$S:$V,3,0)),0,1)</f>
        <v>0</v>
      </c>
      <c r="T868" s="4">
        <f>IF(AND(VLOOKUP(G868,Dados!$D:$L,3,0)&lt;=VLOOKUP(H868,Dados!$X:$AB,2,0),VLOOKUP(G868,Dados!$D:$L,4,0)&gt;=VLOOKUP(H868,Dados!$X:$AB,3,0),VLOOKUP(G868,Dados!$D:$L,4,0)&lt;=VLOOKUP(H868,Dados!$X:$AB,4,0)),0,1)</f>
        <v>0</v>
      </c>
      <c r="U868" s="4">
        <f>IF(COUNTIFS(F:F,F868,H:H,H868)&lt;=VLOOKUP(H868,Dados!$X:$AB,5,0),0,1)</f>
        <v>0</v>
      </c>
    </row>
    <row r="869" spans="6:21">
      <c r="F869" s="4">
        <v>477</v>
      </c>
      <c r="G869" s="4">
        <v>60</v>
      </c>
      <c r="H869" s="4">
        <v>1</v>
      </c>
      <c r="I869" s="4">
        <v>28</v>
      </c>
      <c r="J869" s="4">
        <v>1</v>
      </c>
      <c r="K869" s="4">
        <f t="shared" si="222"/>
        <v>0</v>
      </c>
      <c r="L869" s="4">
        <f t="shared" si="222"/>
        <v>0</v>
      </c>
      <c r="M869" s="4">
        <f t="shared" si="222"/>
        <v>0</v>
      </c>
      <c r="N869" s="4">
        <f t="shared" si="222"/>
        <v>0</v>
      </c>
      <c r="O869" s="4">
        <f t="shared" si="223"/>
        <v>0</v>
      </c>
      <c r="P869" s="4">
        <f t="shared" si="224"/>
        <v>0</v>
      </c>
      <c r="Q869" s="4">
        <f t="shared" si="225"/>
        <v>0</v>
      </c>
      <c r="R869" s="4">
        <f t="shared" si="226"/>
        <v>0</v>
      </c>
      <c r="S869" s="4">
        <f>IF(AND(VLOOKUP(G869,Dados!$D:$L,2,0)=VLOOKUP(I869,Dados!$S:$V,2,0),VLOOKUP(G869,Dados!$D:$L,3,0)=VLOOKUP(I869,Dados!$S:$V,3,0)),0,1)</f>
        <v>0</v>
      </c>
      <c r="T869" s="4">
        <f>IF(AND(VLOOKUP(G869,Dados!$D:$L,3,0)&lt;=VLOOKUP(H869,Dados!$X:$AB,2,0),VLOOKUP(G869,Dados!$D:$L,4,0)&gt;=VLOOKUP(H869,Dados!$X:$AB,3,0),VLOOKUP(G869,Dados!$D:$L,4,0)&lt;=VLOOKUP(H869,Dados!$X:$AB,4,0)),0,1)</f>
        <v>0</v>
      </c>
      <c r="U869" s="4">
        <f>IF(COUNTIFS(F:F,F869,H:H,H869)&lt;=VLOOKUP(H869,Dados!$X:$AB,5,0),0,1)</f>
        <v>0</v>
      </c>
    </row>
    <row r="870" spans="6:21">
      <c r="F870" s="4">
        <v>477</v>
      </c>
      <c r="G870" s="4">
        <v>63</v>
      </c>
      <c r="H870" s="4">
        <v>1</v>
      </c>
      <c r="I870" s="4">
        <v>28</v>
      </c>
      <c r="J870" s="4">
        <v>11</v>
      </c>
      <c r="K870" s="4">
        <f t="shared" si="222"/>
        <v>0</v>
      </c>
      <c r="L870" s="4">
        <f t="shared" si="222"/>
        <v>0</v>
      </c>
      <c r="M870" s="4">
        <f t="shared" si="222"/>
        <v>0</v>
      </c>
      <c r="N870" s="4">
        <f t="shared" si="222"/>
        <v>0</v>
      </c>
      <c r="O870" s="4">
        <f t="shared" si="223"/>
        <v>0</v>
      </c>
      <c r="P870" s="4">
        <f t="shared" si="224"/>
        <v>0</v>
      </c>
      <c r="Q870" s="4">
        <f t="shared" si="225"/>
        <v>0</v>
      </c>
      <c r="R870" s="4">
        <f t="shared" si="226"/>
        <v>0</v>
      </c>
      <c r="S870" s="4">
        <f>IF(AND(VLOOKUP(G870,Dados!$D:$L,2,0)=VLOOKUP(I870,Dados!$S:$V,2,0),VLOOKUP(G870,Dados!$D:$L,3,0)=VLOOKUP(I870,Dados!$S:$V,3,0)),0,1)</f>
        <v>0</v>
      </c>
      <c r="T870" s="4">
        <f>IF(AND(VLOOKUP(G870,Dados!$D:$L,3,0)&lt;=VLOOKUP(H870,Dados!$X:$AB,2,0),VLOOKUP(G870,Dados!$D:$L,4,0)&gt;=VLOOKUP(H870,Dados!$X:$AB,3,0),VLOOKUP(G870,Dados!$D:$L,4,0)&lt;=VLOOKUP(H870,Dados!$X:$AB,4,0)),0,1)</f>
        <v>0</v>
      </c>
      <c r="U870" s="4">
        <f>IF(COUNTIFS(F:F,F870,H:H,H870)&lt;=VLOOKUP(H870,Dados!$X:$AB,5,0),0,1)</f>
        <v>0</v>
      </c>
    </row>
    <row r="871" spans="6:21">
      <c r="F871" s="4">
        <v>478</v>
      </c>
      <c r="G871" s="4">
        <v>60</v>
      </c>
      <c r="H871" s="4">
        <v>2</v>
      </c>
      <c r="I871" s="4">
        <v>28</v>
      </c>
      <c r="J871" s="4">
        <v>1</v>
      </c>
      <c r="K871" s="4">
        <f t="shared" si="222"/>
        <v>0</v>
      </c>
      <c r="L871" s="4">
        <f t="shared" si="222"/>
        <v>0</v>
      </c>
      <c r="M871" s="4">
        <f t="shared" si="222"/>
        <v>0</v>
      </c>
      <c r="N871" s="4">
        <f t="shared" si="222"/>
        <v>0</v>
      </c>
      <c r="O871" s="4">
        <f t="shared" si="223"/>
        <v>0</v>
      </c>
      <c r="P871" s="4">
        <f t="shared" si="224"/>
        <v>0</v>
      </c>
      <c r="Q871" s="4">
        <f t="shared" si="225"/>
        <v>0</v>
      </c>
      <c r="R871" s="4">
        <f t="shared" si="226"/>
        <v>0</v>
      </c>
      <c r="S871" s="4">
        <f>IF(AND(VLOOKUP(G871,Dados!$D:$L,2,0)=VLOOKUP(I871,Dados!$S:$V,2,0),VLOOKUP(G871,Dados!$D:$L,3,0)=VLOOKUP(I871,Dados!$S:$V,3,0)),0,1)</f>
        <v>0</v>
      </c>
      <c r="T871" s="4">
        <f>IF(AND(VLOOKUP(G871,Dados!$D:$L,3,0)&lt;=VLOOKUP(H871,Dados!$X:$AB,2,0),VLOOKUP(G871,Dados!$D:$L,4,0)&gt;=VLOOKUP(H871,Dados!$X:$AB,3,0),VLOOKUP(G871,Dados!$D:$L,4,0)&lt;=VLOOKUP(H871,Dados!$X:$AB,4,0)),0,1)</f>
        <v>0</v>
      </c>
      <c r="U871" s="4">
        <f>IF(COUNTIFS(F:F,F871,H:H,H871)&lt;=VLOOKUP(H871,Dados!$X:$AB,5,0),0,1)</f>
        <v>0</v>
      </c>
    </row>
    <row r="872" spans="6:21">
      <c r="F872" s="4">
        <v>478</v>
      </c>
      <c r="G872" s="4">
        <v>63</v>
      </c>
      <c r="H872" s="4">
        <v>2</v>
      </c>
      <c r="I872" s="4">
        <v>28</v>
      </c>
      <c r="J872" s="4">
        <v>11</v>
      </c>
      <c r="K872" s="4">
        <f t="shared" si="222"/>
        <v>0</v>
      </c>
      <c r="L872" s="4">
        <f t="shared" si="222"/>
        <v>0</v>
      </c>
      <c r="M872" s="4">
        <f t="shared" si="222"/>
        <v>0</v>
      </c>
      <c r="N872" s="4">
        <f t="shared" si="222"/>
        <v>0</v>
      </c>
      <c r="O872" s="4">
        <f t="shared" si="223"/>
        <v>0</v>
      </c>
      <c r="P872" s="4">
        <f t="shared" si="224"/>
        <v>0</v>
      </c>
      <c r="Q872" s="4">
        <f t="shared" si="225"/>
        <v>0</v>
      </c>
      <c r="R872" s="4">
        <f t="shared" si="226"/>
        <v>0</v>
      </c>
      <c r="S872" s="4">
        <f>IF(AND(VLOOKUP(G872,Dados!$D:$L,2,0)=VLOOKUP(I872,Dados!$S:$V,2,0),VLOOKUP(G872,Dados!$D:$L,3,0)=VLOOKUP(I872,Dados!$S:$V,3,0)),0,1)</f>
        <v>0</v>
      </c>
      <c r="T872" s="4">
        <f>IF(AND(VLOOKUP(G872,Dados!$D:$L,3,0)&lt;=VLOOKUP(H872,Dados!$X:$AB,2,0),VLOOKUP(G872,Dados!$D:$L,4,0)&gt;=VLOOKUP(H872,Dados!$X:$AB,3,0),VLOOKUP(G872,Dados!$D:$L,4,0)&lt;=VLOOKUP(H872,Dados!$X:$AB,4,0)),0,1)</f>
        <v>0</v>
      </c>
      <c r="U872" s="4">
        <f>IF(COUNTIFS(F:F,F872,H:H,H872)&lt;=VLOOKUP(H872,Dados!$X:$AB,5,0),0,1)</f>
        <v>0</v>
      </c>
    </row>
    <row r="873" spans="6:21">
      <c r="F873" s="4">
        <v>479</v>
      </c>
      <c r="G873" s="4">
        <v>60</v>
      </c>
      <c r="H873" s="4">
        <v>3</v>
      </c>
      <c r="I873" s="4">
        <v>28</v>
      </c>
      <c r="J873" s="4">
        <v>1</v>
      </c>
      <c r="K873" s="4">
        <f t="shared" si="222"/>
        <v>0</v>
      </c>
      <c r="L873" s="4">
        <f t="shared" si="222"/>
        <v>0</v>
      </c>
      <c r="M873" s="4">
        <f t="shared" si="222"/>
        <v>0</v>
      </c>
      <c r="N873" s="4">
        <f t="shared" si="222"/>
        <v>0</v>
      </c>
      <c r="O873" s="4">
        <f t="shared" si="223"/>
        <v>0</v>
      </c>
      <c r="P873" s="4">
        <f t="shared" si="224"/>
        <v>0</v>
      </c>
      <c r="Q873" s="4">
        <f t="shared" si="225"/>
        <v>0</v>
      </c>
      <c r="R873" s="4">
        <f t="shared" si="226"/>
        <v>0</v>
      </c>
      <c r="S873" s="4">
        <f>IF(AND(VLOOKUP(G873,Dados!$D:$L,2,0)=VLOOKUP(I873,Dados!$S:$V,2,0),VLOOKUP(G873,Dados!$D:$L,3,0)=VLOOKUP(I873,Dados!$S:$V,3,0)),0,1)</f>
        <v>0</v>
      </c>
      <c r="T873" s="4">
        <f>IF(AND(VLOOKUP(G873,Dados!$D:$L,3,0)&lt;=VLOOKUP(H873,Dados!$X:$AB,2,0),VLOOKUP(G873,Dados!$D:$L,4,0)&gt;=VLOOKUP(H873,Dados!$X:$AB,3,0),VLOOKUP(G873,Dados!$D:$L,4,0)&lt;=VLOOKUP(H873,Dados!$X:$AB,4,0)),0,1)</f>
        <v>0</v>
      </c>
      <c r="U873" s="4">
        <f>IF(COUNTIFS(F:F,F873,H:H,H873)&lt;=VLOOKUP(H873,Dados!$X:$AB,5,0),0,1)</f>
        <v>0</v>
      </c>
    </row>
    <row r="874" spans="6:21">
      <c r="F874" s="4">
        <v>479</v>
      </c>
      <c r="G874" s="4">
        <v>63</v>
      </c>
      <c r="H874" s="4">
        <v>3</v>
      </c>
      <c r="I874" s="4">
        <v>28</v>
      </c>
      <c r="J874" s="4">
        <v>11</v>
      </c>
      <c r="K874" s="4">
        <f t="shared" si="222"/>
        <v>0</v>
      </c>
      <c r="L874" s="4">
        <f t="shared" si="222"/>
        <v>0</v>
      </c>
      <c r="M874" s="4">
        <f t="shared" si="222"/>
        <v>0</v>
      </c>
      <c r="N874" s="4">
        <f t="shared" si="222"/>
        <v>0</v>
      </c>
      <c r="O874" s="4">
        <f t="shared" si="223"/>
        <v>0</v>
      </c>
      <c r="P874" s="4">
        <f t="shared" si="224"/>
        <v>0</v>
      </c>
      <c r="Q874" s="4">
        <f t="shared" si="225"/>
        <v>0</v>
      </c>
      <c r="R874" s="4">
        <f t="shared" si="226"/>
        <v>0</v>
      </c>
      <c r="S874" s="4">
        <f>IF(AND(VLOOKUP(G874,Dados!$D:$L,2,0)=VLOOKUP(I874,Dados!$S:$V,2,0),VLOOKUP(G874,Dados!$D:$L,3,0)=VLOOKUP(I874,Dados!$S:$V,3,0)),0,1)</f>
        <v>0</v>
      </c>
      <c r="T874" s="4">
        <f>IF(AND(VLOOKUP(G874,Dados!$D:$L,3,0)&lt;=VLOOKUP(H874,Dados!$X:$AB,2,0),VLOOKUP(G874,Dados!$D:$L,4,0)&gt;=VLOOKUP(H874,Dados!$X:$AB,3,0),VLOOKUP(G874,Dados!$D:$L,4,0)&lt;=VLOOKUP(H874,Dados!$X:$AB,4,0)),0,1)</f>
        <v>0</v>
      </c>
      <c r="U874" s="4">
        <f>IF(COUNTIFS(F:F,F874,H:H,H874)&lt;=VLOOKUP(H874,Dados!$X:$AB,5,0),0,1)</f>
        <v>0</v>
      </c>
    </row>
    <row r="875" spans="6:21">
      <c r="F875" s="4">
        <v>480</v>
      </c>
      <c r="G875" s="4">
        <v>63</v>
      </c>
      <c r="H875" s="4">
        <v>1</v>
      </c>
      <c r="I875" s="4">
        <v>29</v>
      </c>
      <c r="J875" s="4">
        <v>11</v>
      </c>
      <c r="K875" s="4">
        <f t="shared" si="222"/>
        <v>0</v>
      </c>
      <c r="L875" s="4">
        <f t="shared" si="222"/>
        <v>0</v>
      </c>
      <c r="M875" s="4">
        <f t="shared" si="222"/>
        <v>0</v>
      </c>
      <c r="N875" s="4">
        <f t="shared" si="222"/>
        <v>0</v>
      </c>
      <c r="O875" s="4">
        <f t="shared" si="223"/>
        <v>0</v>
      </c>
      <c r="P875" s="4">
        <f t="shared" si="224"/>
        <v>0</v>
      </c>
      <c r="Q875" s="4">
        <f t="shared" si="225"/>
        <v>0</v>
      </c>
      <c r="R875" s="4">
        <f t="shared" si="226"/>
        <v>0</v>
      </c>
      <c r="S875" s="4">
        <f>IF(AND(VLOOKUP(G875,Dados!$D:$L,2,0)=VLOOKUP(I875,Dados!$S:$V,2,0),VLOOKUP(G875,Dados!$D:$L,3,0)=VLOOKUP(I875,Dados!$S:$V,3,0)),0,1)</f>
        <v>0</v>
      </c>
      <c r="T875" s="4">
        <f>IF(AND(VLOOKUP(G875,Dados!$D:$L,3,0)&lt;=VLOOKUP(H875,Dados!$X:$AB,2,0),VLOOKUP(G875,Dados!$D:$L,4,0)&gt;=VLOOKUP(H875,Dados!$X:$AB,3,0),VLOOKUP(G875,Dados!$D:$L,4,0)&lt;=VLOOKUP(H875,Dados!$X:$AB,4,0)),0,1)</f>
        <v>0</v>
      </c>
      <c r="U875" s="4">
        <f>IF(COUNTIFS(F:F,F875,H:H,H875)&lt;=VLOOKUP(H875,Dados!$X:$AB,5,0),0,1)</f>
        <v>0</v>
      </c>
    </row>
    <row r="876" spans="6:21">
      <c r="F876" s="4">
        <v>480</v>
      </c>
      <c r="G876" s="4">
        <v>67</v>
      </c>
      <c r="H876" s="4">
        <v>1</v>
      </c>
      <c r="I876" s="4">
        <v>29</v>
      </c>
      <c r="J876" s="4">
        <v>1</v>
      </c>
      <c r="K876" s="4">
        <f t="shared" si="222"/>
        <v>0</v>
      </c>
      <c r="L876" s="4">
        <f t="shared" si="222"/>
        <v>0</v>
      </c>
      <c r="M876" s="4">
        <f t="shared" si="222"/>
        <v>0</v>
      </c>
      <c r="N876" s="4">
        <f t="shared" si="222"/>
        <v>0</v>
      </c>
      <c r="O876" s="4">
        <f t="shared" si="223"/>
        <v>0</v>
      </c>
      <c r="P876" s="4">
        <f t="shared" si="224"/>
        <v>0</v>
      </c>
      <c r="Q876" s="4">
        <f t="shared" si="225"/>
        <v>0</v>
      </c>
      <c r="R876" s="4">
        <f t="shared" si="226"/>
        <v>0</v>
      </c>
      <c r="S876" s="4">
        <f>IF(AND(VLOOKUP(G876,Dados!$D:$L,2,0)=VLOOKUP(I876,Dados!$S:$V,2,0),VLOOKUP(G876,Dados!$D:$L,3,0)=VLOOKUP(I876,Dados!$S:$V,3,0)),0,1)</f>
        <v>0</v>
      </c>
      <c r="T876" s="4">
        <f>IF(AND(VLOOKUP(G876,Dados!$D:$L,3,0)&lt;=VLOOKUP(H876,Dados!$X:$AB,2,0),VLOOKUP(G876,Dados!$D:$L,4,0)&gt;=VLOOKUP(H876,Dados!$X:$AB,3,0),VLOOKUP(G876,Dados!$D:$L,4,0)&lt;=VLOOKUP(H876,Dados!$X:$AB,4,0)),0,1)</f>
        <v>0</v>
      </c>
      <c r="U876" s="4">
        <f>IF(COUNTIFS(F:F,F876,H:H,H876)&lt;=VLOOKUP(H876,Dados!$X:$AB,5,0),0,1)</f>
        <v>0</v>
      </c>
    </row>
    <row r="877" spans="6:21">
      <c r="F877" s="4">
        <v>481</v>
      </c>
      <c r="G877" s="4">
        <v>63</v>
      </c>
      <c r="H877" s="4">
        <v>2</v>
      </c>
      <c r="I877" s="4">
        <v>29</v>
      </c>
      <c r="J877" s="4">
        <v>11</v>
      </c>
      <c r="K877" s="4">
        <f t="shared" si="222"/>
        <v>0</v>
      </c>
      <c r="L877" s="4">
        <f t="shared" si="222"/>
        <v>0</v>
      </c>
      <c r="M877" s="4">
        <f t="shared" si="222"/>
        <v>0</v>
      </c>
      <c r="N877" s="4">
        <f t="shared" si="222"/>
        <v>0</v>
      </c>
      <c r="O877" s="4">
        <f t="shared" si="223"/>
        <v>0</v>
      </c>
      <c r="P877" s="4">
        <f t="shared" si="224"/>
        <v>0</v>
      </c>
      <c r="Q877" s="4">
        <f t="shared" si="225"/>
        <v>0</v>
      </c>
      <c r="R877" s="4">
        <f t="shared" si="226"/>
        <v>0</v>
      </c>
      <c r="S877" s="4">
        <f>IF(AND(VLOOKUP(G877,Dados!$D:$L,2,0)=VLOOKUP(I877,Dados!$S:$V,2,0),VLOOKUP(G877,Dados!$D:$L,3,0)=VLOOKUP(I877,Dados!$S:$V,3,0)),0,1)</f>
        <v>0</v>
      </c>
      <c r="T877" s="4">
        <f>IF(AND(VLOOKUP(G877,Dados!$D:$L,3,0)&lt;=VLOOKUP(H877,Dados!$X:$AB,2,0),VLOOKUP(G877,Dados!$D:$L,4,0)&gt;=VLOOKUP(H877,Dados!$X:$AB,3,0),VLOOKUP(G877,Dados!$D:$L,4,0)&lt;=VLOOKUP(H877,Dados!$X:$AB,4,0)),0,1)</f>
        <v>0</v>
      </c>
      <c r="U877" s="4">
        <f>IF(COUNTIFS(F:F,F877,H:H,H877)&lt;=VLOOKUP(H877,Dados!$X:$AB,5,0),0,1)</f>
        <v>0</v>
      </c>
    </row>
    <row r="878" spans="6:21">
      <c r="F878" s="4">
        <v>481</v>
      </c>
      <c r="G878" s="4">
        <v>67</v>
      </c>
      <c r="H878" s="4">
        <v>2</v>
      </c>
      <c r="I878" s="4">
        <v>29</v>
      </c>
      <c r="J878" s="4">
        <v>1</v>
      </c>
      <c r="K878" s="4">
        <f t="shared" si="222"/>
        <v>0</v>
      </c>
      <c r="L878" s="4">
        <f t="shared" si="222"/>
        <v>0</v>
      </c>
      <c r="M878" s="4">
        <f t="shared" si="222"/>
        <v>0</v>
      </c>
      <c r="N878" s="4">
        <f t="shared" si="222"/>
        <v>0</v>
      </c>
      <c r="O878" s="4">
        <f t="shared" si="223"/>
        <v>0</v>
      </c>
      <c r="P878" s="4">
        <f t="shared" si="224"/>
        <v>0</v>
      </c>
      <c r="Q878" s="4">
        <f t="shared" si="225"/>
        <v>0</v>
      </c>
      <c r="R878" s="4">
        <f t="shared" si="226"/>
        <v>0</v>
      </c>
      <c r="S878" s="4">
        <f>IF(AND(VLOOKUP(G878,Dados!$D:$L,2,0)=VLOOKUP(I878,Dados!$S:$V,2,0),VLOOKUP(G878,Dados!$D:$L,3,0)=VLOOKUP(I878,Dados!$S:$V,3,0)),0,1)</f>
        <v>0</v>
      </c>
      <c r="T878" s="4">
        <f>IF(AND(VLOOKUP(G878,Dados!$D:$L,3,0)&lt;=VLOOKUP(H878,Dados!$X:$AB,2,0),VLOOKUP(G878,Dados!$D:$L,4,0)&gt;=VLOOKUP(H878,Dados!$X:$AB,3,0),VLOOKUP(G878,Dados!$D:$L,4,0)&lt;=VLOOKUP(H878,Dados!$X:$AB,4,0)),0,1)</f>
        <v>0</v>
      </c>
      <c r="U878" s="4">
        <f>IF(COUNTIFS(F:F,F878,H:H,H878)&lt;=VLOOKUP(H878,Dados!$X:$AB,5,0),0,1)</f>
        <v>0</v>
      </c>
    </row>
    <row r="879" spans="6:21">
      <c r="F879" s="4">
        <v>482</v>
      </c>
      <c r="G879" s="4">
        <v>63</v>
      </c>
      <c r="H879" s="4">
        <v>3</v>
      </c>
      <c r="I879" s="4">
        <v>29</v>
      </c>
      <c r="J879" s="4">
        <v>11</v>
      </c>
      <c r="K879" s="4">
        <f t="shared" si="222"/>
        <v>0</v>
      </c>
      <c r="L879" s="4">
        <f t="shared" si="222"/>
        <v>0</v>
      </c>
      <c r="M879" s="4">
        <f t="shared" si="222"/>
        <v>0</v>
      </c>
      <c r="N879" s="4">
        <f t="shared" si="222"/>
        <v>0</v>
      </c>
      <c r="O879" s="4">
        <f t="shared" si="223"/>
        <v>0</v>
      </c>
      <c r="P879" s="4">
        <f t="shared" si="224"/>
        <v>0</v>
      </c>
      <c r="Q879" s="4">
        <f t="shared" si="225"/>
        <v>0</v>
      </c>
      <c r="R879" s="4">
        <f t="shared" si="226"/>
        <v>0</v>
      </c>
      <c r="S879" s="4">
        <f>IF(AND(VLOOKUP(G879,Dados!$D:$L,2,0)=VLOOKUP(I879,Dados!$S:$V,2,0),VLOOKUP(G879,Dados!$D:$L,3,0)=VLOOKUP(I879,Dados!$S:$V,3,0)),0,1)</f>
        <v>0</v>
      </c>
      <c r="T879" s="4">
        <f>IF(AND(VLOOKUP(G879,Dados!$D:$L,3,0)&lt;=VLOOKUP(H879,Dados!$X:$AB,2,0),VLOOKUP(G879,Dados!$D:$L,4,0)&gt;=VLOOKUP(H879,Dados!$X:$AB,3,0),VLOOKUP(G879,Dados!$D:$L,4,0)&lt;=VLOOKUP(H879,Dados!$X:$AB,4,0)),0,1)</f>
        <v>0</v>
      </c>
      <c r="U879" s="4">
        <f>IF(COUNTIFS(F:F,F879,H:H,H879)&lt;=VLOOKUP(H879,Dados!$X:$AB,5,0),0,1)</f>
        <v>0</v>
      </c>
    </row>
    <row r="880" spans="6:21">
      <c r="F880" s="4">
        <v>482</v>
      </c>
      <c r="G880" s="4">
        <v>67</v>
      </c>
      <c r="H880" s="4">
        <v>3</v>
      </c>
      <c r="I880" s="4">
        <v>29</v>
      </c>
      <c r="J880" s="4">
        <v>1</v>
      </c>
      <c r="K880" s="4">
        <f t="shared" si="222"/>
        <v>0</v>
      </c>
      <c r="L880" s="4">
        <f t="shared" si="222"/>
        <v>0</v>
      </c>
      <c r="M880" s="4">
        <f t="shared" si="222"/>
        <v>0</v>
      </c>
      <c r="N880" s="4">
        <f t="shared" ref="K880:N943" si="227">SUMIFS($X:$X,$W:$W,$F880,$Z:$Z,$I880,$AA:$AA,$H880,$AB:$AB,N$2)</f>
        <v>0</v>
      </c>
      <c r="O880" s="4">
        <f t="shared" si="223"/>
        <v>0</v>
      </c>
      <c r="P880" s="4">
        <f t="shared" si="224"/>
        <v>0</v>
      </c>
      <c r="Q880" s="4">
        <f t="shared" si="225"/>
        <v>0</v>
      </c>
      <c r="R880" s="4">
        <f t="shared" si="226"/>
        <v>0</v>
      </c>
      <c r="S880" s="4">
        <f>IF(AND(VLOOKUP(G880,Dados!$D:$L,2,0)=VLOOKUP(I880,Dados!$S:$V,2,0),VLOOKUP(G880,Dados!$D:$L,3,0)=VLOOKUP(I880,Dados!$S:$V,3,0)),0,1)</f>
        <v>0</v>
      </c>
      <c r="T880" s="4">
        <f>IF(AND(VLOOKUP(G880,Dados!$D:$L,3,0)&lt;=VLOOKUP(H880,Dados!$X:$AB,2,0),VLOOKUP(G880,Dados!$D:$L,4,0)&gt;=VLOOKUP(H880,Dados!$X:$AB,3,0),VLOOKUP(G880,Dados!$D:$L,4,0)&lt;=VLOOKUP(H880,Dados!$X:$AB,4,0)),0,1)</f>
        <v>0</v>
      </c>
      <c r="U880" s="4">
        <f>IF(COUNTIFS(F:F,F880,H:H,H880)&lt;=VLOOKUP(H880,Dados!$X:$AB,5,0),0,1)</f>
        <v>0</v>
      </c>
    </row>
    <row r="881" spans="6:21">
      <c r="F881" s="4">
        <v>483</v>
      </c>
      <c r="G881" s="4">
        <v>3</v>
      </c>
      <c r="H881" s="4">
        <v>1</v>
      </c>
      <c r="I881" s="4">
        <v>1</v>
      </c>
      <c r="J881" s="4">
        <v>1</v>
      </c>
      <c r="K881" s="4">
        <f t="shared" si="227"/>
        <v>0</v>
      </c>
      <c r="L881" s="4">
        <f t="shared" si="227"/>
        <v>0</v>
      </c>
      <c r="M881" s="4">
        <f t="shared" si="227"/>
        <v>0</v>
      </c>
      <c r="N881" s="4">
        <f t="shared" si="227"/>
        <v>0</v>
      </c>
      <c r="O881" s="4">
        <f t="shared" si="223"/>
        <v>0</v>
      </c>
      <c r="P881" s="4">
        <f t="shared" si="224"/>
        <v>0</v>
      </c>
      <c r="Q881" s="4">
        <f t="shared" si="225"/>
        <v>0</v>
      </c>
      <c r="R881" s="4">
        <f t="shared" si="226"/>
        <v>0</v>
      </c>
      <c r="S881" s="4">
        <f>IF(AND(VLOOKUP(G881,Dados!$D:$L,2,0)=VLOOKUP(I881,Dados!$S:$V,2,0),VLOOKUP(G881,Dados!$D:$L,3,0)=VLOOKUP(I881,Dados!$S:$V,3,0)),0,1)</f>
        <v>0</v>
      </c>
      <c r="T881" s="4">
        <f>IF(AND(VLOOKUP(G881,Dados!$D:$L,3,0)&lt;=VLOOKUP(H881,Dados!$X:$AB,2,0),VLOOKUP(G881,Dados!$D:$L,4,0)&gt;=VLOOKUP(H881,Dados!$X:$AB,3,0),VLOOKUP(G881,Dados!$D:$L,4,0)&lt;=VLOOKUP(H881,Dados!$X:$AB,4,0)),0,1)</f>
        <v>0</v>
      </c>
      <c r="U881" s="4">
        <f>IF(COUNTIFS(F:F,F881,H:H,H881)&lt;=VLOOKUP(H881,Dados!$X:$AB,5,0),0,1)</f>
        <v>0</v>
      </c>
    </row>
    <row r="882" spans="6:21">
      <c r="F882" s="4">
        <v>483</v>
      </c>
      <c r="G882" s="4">
        <v>4</v>
      </c>
      <c r="H882" s="4">
        <v>1</v>
      </c>
      <c r="I882" s="4">
        <v>1</v>
      </c>
      <c r="J882" s="4">
        <v>1</v>
      </c>
      <c r="K882" s="4">
        <f t="shared" si="227"/>
        <v>0</v>
      </c>
      <c r="L882" s="4">
        <f t="shared" si="227"/>
        <v>0</v>
      </c>
      <c r="M882" s="4">
        <f t="shared" si="227"/>
        <v>0</v>
      </c>
      <c r="N882" s="4">
        <f t="shared" si="227"/>
        <v>0</v>
      </c>
      <c r="O882" s="4">
        <f t="shared" si="223"/>
        <v>0</v>
      </c>
      <c r="P882" s="4">
        <f t="shared" si="224"/>
        <v>0</v>
      </c>
      <c r="Q882" s="4">
        <f t="shared" si="225"/>
        <v>0</v>
      </c>
      <c r="R882" s="4">
        <f t="shared" si="226"/>
        <v>0</v>
      </c>
      <c r="S882" s="4">
        <f>IF(AND(VLOOKUP(G882,Dados!$D:$L,2,0)=VLOOKUP(I882,Dados!$S:$V,2,0),VLOOKUP(G882,Dados!$D:$L,3,0)=VLOOKUP(I882,Dados!$S:$V,3,0)),0,1)</f>
        <v>0</v>
      </c>
      <c r="T882" s="4">
        <f>IF(AND(VLOOKUP(G882,Dados!$D:$L,3,0)&lt;=VLOOKUP(H882,Dados!$X:$AB,2,0),VLOOKUP(G882,Dados!$D:$L,4,0)&gt;=VLOOKUP(H882,Dados!$X:$AB,3,0),VLOOKUP(G882,Dados!$D:$L,4,0)&lt;=VLOOKUP(H882,Dados!$X:$AB,4,0)),0,1)</f>
        <v>0</v>
      </c>
      <c r="U882" s="4">
        <f>IF(COUNTIFS(F:F,F882,H:H,H882)&lt;=VLOOKUP(H882,Dados!$X:$AB,5,0),0,1)</f>
        <v>0</v>
      </c>
    </row>
    <row r="883" spans="6:21">
      <c r="F883" s="4">
        <v>483</v>
      </c>
      <c r="G883" s="4">
        <v>5</v>
      </c>
      <c r="H883" s="4">
        <v>1</v>
      </c>
      <c r="I883" s="4">
        <v>1</v>
      </c>
      <c r="J883" s="4">
        <v>6</v>
      </c>
      <c r="K883" s="4">
        <f t="shared" si="227"/>
        <v>0</v>
      </c>
      <c r="L883" s="4">
        <f t="shared" si="227"/>
        <v>0</v>
      </c>
      <c r="M883" s="4">
        <f t="shared" si="227"/>
        <v>0</v>
      </c>
      <c r="N883" s="4">
        <f t="shared" si="227"/>
        <v>0</v>
      </c>
      <c r="O883" s="4">
        <f t="shared" ref="O883:O946" si="228">$J883*K883</f>
        <v>0</v>
      </c>
      <c r="P883" s="4">
        <f t="shared" ref="P883:P946" si="229">$J883*L883</f>
        <v>0</v>
      </c>
      <c r="Q883" s="4">
        <f t="shared" ref="Q883:Q946" si="230">$J883*M883</f>
        <v>0</v>
      </c>
      <c r="R883" s="4">
        <f t="shared" ref="R883:R946" si="231">$J883*N883</f>
        <v>0</v>
      </c>
      <c r="S883" s="4">
        <f>IF(AND(VLOOKUP(G883,Dados!$D:$L,2,0)=VLOOKUP(I883,Dados!$S:$V,2,0),VLOOKUP(G883,Dados!$D:$L,3,0)=VLOOKUP(I883,Dados!$S:$V,3,0)),0,1)</f>
        <v>0</v>
      </c>
      <c r="T883" s="4">
        <f>IF(AND(VLOOKUP(G883,Dados!$D:$L,3,0)&lt;=VLOOKUP(H883,Dados!$X:$AB,2,0),VLOOKUP(G883,Dados!$D:$L,4,0)&gt;=VLOOKUP(H883,Dados!$X:$AB,3,0),VLOOKUP(G883,Dados!$D:$L,4,0)&lt;=VLOOKUP(H883,Dados!$X:$AB,4,0)),0,1)</f>
        <v>0</v>
      </c>
      <c r="U883" s="4">
        <f>IF(COUNTIFS(F:F,F883,H:H,H883)&lt;=VLOOKUP(H883,Dados!$X:$AB,5,0),0,1)</f>
        <v>0</v>
      </c>
    </row>
    <row r="884" spans="6:21">
      <c r="F884" s="4">
        <v>484</v>
      </c>
      <c r="G884" s="4">
        <v>3</v>
      </c>
      <c r="H884" s="4">
        <v>2</v>
      </c>
      <c r="I884" s="4">
        <v>1</v>
      </c>
      <c r="J884" s="4">
        <v>1</v>
      </c>
      <c r="K884" s="4">
        <f t="shared" si="227"/>
        <v>0</v>
      </c>
      <c r="L884" s="4">
        <f t="shared" si="227"/>
        <v>0</v>
      </c>
      <c r="M884" s="4">
        <f t="shared" si="227"/>
        <v>0</v>
      </c>
      <c r="N884" s="4">
        <f t="shared" si="227"/>
        <v>0</v>
      </c>
      <c r="O884" s="4">
        <f t="shared" si="228"/>
        <v>0</v>
      </c>
      <c r="P884" s="4">
        <f t="shared" si="229"/>
        <v>0</v>
      </c>
      <c r="Q884" s="4">
        <f t="shared" si="230"/>
        <v>0</v>
      </c>
      <c r="R884" s="4">
        <f t="shared" si="231"/>
        <v>0</v>
      </c>
      <c r="S884" s="4">
        <f>IF(AND(VLOOKUP(G884,Dados!$D:$L,2,0)=VLOOKUP(I884,Dados!$S:$V,2,0),VLOOKUP(G884,Dados!$D:$L,3,0)=VLOOKUP(I884,Dados!$S:$V,3,0)),0,1)</f>
        <v>0</v>
      </c>
      <c r="T884" s="4">
        <f>IF(AND(VLOOKUP(G884,Dados!$D:$L,3,0)&lt;=VLOOKUP(H884,Dados!$X:$AB,2,0),VLOOKUP(G884,Dados!$D:$L,4,0)&gt;=VLOOKUP(H884,Dados!$X:$AB,3,0),VLOOKUP(G884,Dados!$D:$L,4,0)&lt;=VLOOKUP(H884,Dados!$X:$AB,4,0)),0,1)</f>
        <v>0</v>
      </c>
      <c r="U884" s="4">
        <f>IF(COUNTIFS(F:F,F884,H:H,H884)&lt;=VLOOKUP(H884,Dados!$X:$AB,5,0),0,1)</f>
        <v>0</v>
      </c>
    </row>
    <row r="885" spans="6:21">
      <c r="F885" s="4">
        <v>484</v>
      </c>
      <c r="G885" s="4">
        <v>4</v>
      </c>
      <c r="H885" s="4">
        <v>2</v>
      </c>
      <c r="I885" s="4">
        <v>1</v>
      </c>
      <c r="J885" s="4">
        <v>1</v>
      </c>
      <c r="K885" s="4">
        <f t="shared" si="227"/>
        <v>0</v>
      </c>
      <c r="L885" s="4">
        <f t="shared" si="227"/>
        <v>0</v>
      </c>
      <c r="M885" s="4">
        <f t="shared" si="227"/>
        <v>0</v>
      </c>
      <c r="N885" s="4">
        <f t="shared" si="227"/>
        <v>0</v>
      </c>
      <c r="O885" s="4">
        <f t="shared" si="228"/>
        <v>0</v>
      </c>
      <c r="P885" s="4">
        <f t="shared" si="229"/>
        <v>0</v>
      </c>
      <c r="Q885" s="4">
        <f t="shared" si="230"/>
        <v>0</v>
      </c>
      <c r="R885" s="4">
        <f t="shared" si="231"/>
        <v>0</v>
      </c>
      <c r="S885" s="4">
        <f>IF(AND(VLOOKUP(G885,Dados!$D:$L,2,0)=VLOOKUP(I885,Dados!$S:$V,2,0),VLOOKUP(G885,Dados!$D:$L,3,0)=VLOOKUP(I885,Dados!$S:$V,3,0)),0,1)</f>
        <v>0</v>
      </c>
      <c r="T885" s="4">
        <f>IF(AND(VLOOKUP(G885,Dados!$D:$L,3,0)&lt;=VLOOKUP(H885,Dados!$X:$AB,2,0),VLOOKUP(G885,Dados!$D:$L,4,0)&gt;=VLOOKUP(H885,Dados!$X:$AB,3,0),VLOOKUP(G885,Dados!$D:$L,4,0)&lt;=VLOOKUP(H885,Dados!$X:$AB,4,0)),0,1)</f>
        <v>0</v>
      </c>
      <c r="U885" s="4">
        <f>IF(COUNTIFS(F:F,F885,H:H,H885)&lt;=VLOOKUP(H885,Dados!$X:$AB,5,0),0,1)</f>
        <v>0</v>
      </c>
    </row>
    <row r="886" spans="6:21">
      <c r="F886" s="4">
        <v>484</v>
      </c>
      <c r="G886" s="4">
        <v>5</v>
      </c>
      <c r="H886" s="4">
        <v>2</v>
      </c>
      <c r="I886" s="4">
        <v>1</v>
      </c>
      <c r="J886" s="4">
        <v>6</v>
      </c>
      <c r="K886" s="4">
        <f t="shared" si="227"/>
        <v>0</v>
      </c>
      <c r="L886" s="4">
        <f t="shared" si="227"/>
        <v>0</v>
      </c>
      <c r="M886" s="4">
        <f t="shared" si="227"/>
        <v>0</v>
      </c>
      <c r="N886" s="4">
        <f t="shared" si="227"/>
        <v>0</v>
      </c>
      <c r="O886" s="4">
        <f t="shared" si="228"/>
        <v>0</v>
      </c>
      <c r="P886" s="4">
        <f t="shared" si="229"/>
        <v>0</v>
      </c>
      <c r="Q886" s="4">
        <f t="shared" si="230"/>
        <v>0</v>
      </c>
      <c r="R886" s="4">
        <f t="shared" si="231"/>
        <v>0</v>
      </c>
      <c r="S886" s="4">
        <f>IF(AND(VLOOKUP(G886,Dados!$D:$L,2,0)=VLOOKUP(I886,Dados!$S:$V,2,0),VLOOKUP(G886,Dados!$D:$L,3,0)=VLOOKUP(I886,Dados!$S:$V,3,0)),0,1)</f>
        <v>0</v>
      </c>
      <c r="T886" s="4">
        <f>IF(AND(VLOOKUP(G886,Dados!$D:$L,3,0)&lt;=VLOOKUP(H886,Dados!$X:$AB,2,0),VLOOKUP(G886,Dados!$D:$L,4,0)&gt;=VLOOKUP(H886,Dados!$X:$AB,3,0),VLOOKUP(G886,Dados!$D:$L,4,0)&lt;=VLOOKUP(H886,Dados!$X:$AB,4,0)),0,1)</f>
        <v>0</v>
      </c>
      <c r="U886" s="4">
        <f>IF(COUNTIFS(F:F,F886,H:H,H886)&lt;=VLOOKUP(H886,Dados!$X:$AB,5,0),0,1)</f>
        <v>0</v>
      </c>
    </row>
    <row r="887" spans="6:21">
      <c r="F887" s="4">
        <v>485</v>
      </c>
      <c r="G887" s="4">
        <v>3</v>
      </c>
      <c r="H887" s="4">
        <v>3</v>
      </c>
      <c r="I887" s="4">
        <v>1</v>
      </c>
      <c r="J887" s="4">
        <v>1</v>
      </c>
      <c r="K887" s="4">
        <f t="shared" si="227"/>
        <v>0</v>
      </c>
      <c r="L887" s="4">
        <f t="shared" si="227"/>
        <v>0</v>
      </c>
      <c r="M887" s="4">
        <f t="shared" si="227"/>
        <v>0</v>
      </c>
      <c r="N887" s="4">
        <f t="shared" si="227"/>
        <v>0</v>
      </c>
      <c r="O887" s="4">
        <f t="shared" si="228"/>
        <v>0</v>
      </c>
      <c r="P887" s="4">
        <f t="shared" si="229"/>
        <v>0</v>
      </c>
      <c r="Q887" s="4">
        <f t="shared" si="230"/>
        <v>0</v>
      </c>
      <c r="R887" s="4">
        <f t="shared" si="231"/>
        <v>0</v>
      </c>
      <c r="S887" s="4">
        <f>IF(AND(VLOOKUP(G887,Dados!$D:$L,2,0)=VLOOKUP(I887,Dados!$S:$V,2,0),VLOOKUP(G887,Dados!$D:$L,3,0)=VLOOKUP(I887,Dados!$S:$V,3,0)),0,1)</f>
        <v>0</v>
      </c>
      <c r="T887" s="4">
        <f>IF(AND(VLOOKUP(G887,Dados!$D:$L,3,0)&lt;=VLOOKUP(H887,Dados!$X:$AB,2,0),VLOOKUP(G887,Dados!$D:$L,4,0)&gt;=VLOOKUP(H887,Dados!$X:$AB,3,0),VLOOKUP(G887,Dados!$D:$L,4,0)&lt;=VLOOKUP(H887,Dados!$X:$AB,4,0)),0,1)</f>
        <v>0</v>
      </c>
      <c r="U887" s="4">
        <f>IF(COUNTIFS(F:F,F887,H:H,H887)&lt;=VLOOKUP(H887,Dados!$X:$AB,5,0),0,1)</f>
        <v>0</v>
      </c>
    </row>
    <row r="888" spans="6:21">
      <c r="F888" s="4">
        <v>485</v>
      </c>
      <c r="G888" s="4">
        <v>4</v>
      </c>
      <c r="H888" s="4">
        <v>3</v>
      </c>
      <c r="I888" s="4">
        <v>1</v>
      </c>
      <c r="J888" s="4">
        <v>1</v>
      </c>
      <c r="K888" s="4">
        <f t="shared" si="227"/>
        <v>0</v>
      </c>
      <c r="L888" s="4">
        <f t="shared" si="227"/>
        <v>0</v>
      </c>
      <c r="M888" s="4">
        <f t="shared" si="227"/>
        <v>0</v>
      </c>
      <c r="N888" s="4">
        <f t="shared" si="227"/>
        <v>0</v>
      </c>
      <c r="O888" s="4">
        <f t="shared" si="228"/>
        <v>0</v>
      </c>
      <c r="P888" s="4">
        <f t="shared" si="229"/>
        <v>0</v>
      </c>
      <c r="Q888" s="4">
        <f t="shared" si="230"/>
        <v>0</v>
      </c>
      <c r="R888" s="4">
        <f t="shared" si="231"/>
        <v>0</v>
      </c>
      <c r="S888" s="4">
        <f>IF(AND(VLOOKUP(G888,Dados!$D:$L,2,0)=VLOOKUP(I888,Dados!$S:$V,2,0),VLOOKUP(G888,Dados!$D:$L,3,0)=VLOOKUP(I888,Dados!$S:$V,3,0)),0,1)</f>
        <v>0</v>
      </c>
      <c r="T888" s="4">
        <f>IF(AND(VLOOKUP(G888,Dados!$D:$L,3,0)&lt;=VLOOKUP(H888,Dados!$X:$AB,2,0),VLOOKUP(G888,Dados!$D:$L,4,0)&gt;=VLOOKUP(H888,Dados!$X:$AB,3,0),VLOOKUP(G888,Dados!$D:$L,4,0)&lt;=VLOOKUP(H888,Dados!$X:$AB,4,0)),0,1)</f>
        <v>0</v>
      </c>
      <c r="U888" s="4">
        <f>IF(COUNTIFS(F:F,F888,H:H,H888)&lt;=VLOOKUP(H888,Dados!$X:$AB,5,0),0,1)</f>
        <v>0</v>
      </c>
    </row>
    <row r="889" spans="6:21">
      <c r="F889" s="4">
        <v>485</v>
      </c>
      <c r="G889" s="4">
        <v>5</v>
      </c>
      <c r="H889" s="4">
        <v>3</v>
      </c>
      <c r="I889" s="4">
        <v>1</v>
      </c>
      <c r="J889" s="4">
        <v>6</v>
      </c>
      <c r="K889" s="4">
        <f t="shared" si="227"/>
        <v>0</v>
      </c>
      <c r="L889" s="4">
        <f t="shared" si="227"/>
        <v>0</v>
      </c>
      <c r="M889" s="4">
        <f t="shared" si="227"/>
        <v>0</v>
      </c>
      <c r="N889" s="4">
        <f t="shared" si="227"/>
        <v>0</v>
      </c>
      <c r="O889" s="4">
        <f t="shared" si="228"/>
        <v>0</v>
      </c>
      <c r="P889" s="4">
        <f t="shared" si="229"/>
        <v>0</v>
      </c>
      <c r="Q889" s="4">
        <f t="shared" si="230"/>
        <v>0</v>
      </c>
      <c r="R889" s="4">
        <f t="shared" si="231"/>
        <v>0</v>
      </c>
      <c r="S889" s="4">
        <f>IF(AND(VLOOKUP(G889,Dados!$D:$L,2,0)=VLOOKUP(I889,Dados!$S:$V,2,0),VLOOKUP(G889,Dados!$D:$L,3,0)=VLOOKUP(I889,Dados!$S:$V,3,0)),0,1)</f>
        <v>0</v>
      </c>
      <c r="T889" s="4">
        <f>IF(AND(VLOOKUP(G889,Dados!$D:$L,3,0)&lt;=VLOOKUP(H889,Dados!$X:$AB,2,0),VLOOKUP(G889,Dados!$D:$L,4,0)&gt;=VLOOKUP(H889,Dados!$X:$AB,3,0),VLOOKUP(G889,Dados!$D:$L,4,0)&lt;=VLOOKUP(H889,Dados!$X:$AB,4,0)),0,1)</f>
        <v>0</v>
      </c>
      <c r="U889" s="4">
        <f>IF(COUNTIFS(F:F,F889,H:H,H889)&lt;=VLOOKUP(H889,Dados!$X:$AB,5,0),0,1)</f>
        <v>0</v>
      </c>
    </row>
    <row r="890" spans="6:21">
      <c r="F890" s="4">
        <v>486</v>
      </c>
      <c r="G890" s="4">
        <v>13</v>
      </c>
      <c r="H890" s="4">
        <v>1</v>
      </c>
      <c r="I890" s="4">
        <v>8</v>
      </c>
      <c r="J890" s="4">
        <v>1</v>
      </c>
      <c r="K890" s="4">
        <f t="shared" si="227"/>
        <v>0</v>
      </c>
      <c r="L890" s="4">
        <f t="shared" si="227"/>
        <v>0</v>
      </c>
      <c r="M890" s="4">
        <f t="shared" si="227"/>
        <v>0</v>
      </c>
      <c r="N890" s="4">
        <f t="shared" si="227"/>
        <v>0</v>
      </c>
      <c r="O890" s="4">
        <f t="shared" si="228"/>
        <v>0</v>
      </c>
      <c r="P890" s="4">
        <f t="shared" si="229"/>
        <v>0</v>
      </c>
      <c r="Q890" s="4">
        <f t="shared" si="230"/>
        <v>0</v>
      </c>
      <c r="R890" s="4">
        <f t="shared" si="231"/>
        <v>0</v>
      </c>
      <c r="S890" s="4">
        <f>IF(AND(VLOOKUP(G890,Dados!$D:$L,2,0)=VLOOKUP(I890,Dados!$S:$V,2,0),VLOOKUP(G890,Dados!$D:$L,3,0)=VLOOKUP(I890,Dados!$S:$V,3,0)),0,1)</f>
        <v>0</v>
      </c>
      <c r="T890" s="4">
        <f>IF(AND(VLOOKUP(G890,Dados!$D:$L,3,0)&lt;=VLOOKUP(H890,Dados!$X:$AB,2,0),VLOOKUP(G890,Dados!$D:$L,4,0)&gt;=VLOOKUP(H890,Dados!$X:$AB,3,0),VLOOKUP(G890,Dados!$D:$L,4,0)&lt;=VLOOKUP(H890,Dados!$X:$AB,4,0)),0,1)</f>
        <v>0</v>
      </c>
      <c r="U890" s="4">
        <f>IF(COUNTIFS(F:F,F890,H:H,H890)&lt;=VLOOKUP(H890,Dados!$X:$AB,5,0),0,1)</f>
        <v>0</v>
      </c>
    </row>
    <row r="891" spans="6:21">
      <c r="F891" s="4">
        <v>486</v>
      </c>
      <c r="G891" s="4">
        <v>14</v>
      </c>
      <c r="H891" s="4">
        <v>1</v>
      </c>
      <c r="I891" s="4">
        <v>8</v>
      </c>
      <c r="J891" s="4">
        <v>8</v>
      </c>
      <c r="K891" s="4">
        <f t="shared" si="227"/>
        <v>0</v>
      </c>
      <c r="L891" s="4">
        <f t="shared" si="227"/>
        <v>0</v>
      </c>
      <c r="M891" s="4">
        <f t="shared" si="227"/>
        <v>0</v>
      </c>
      <c r="N891" s="4">
        <f t="shared" si="227"/>
        <v>0</v>
      </c>
      <c r="O891" s="4">
        <f t="shared" si="228"/>
        <v>0</v>
      </c>
      <c r="P891" s="4">
        <f t="shared" si="229"/>
        <v>0</v>
      </c>
      <c r="Q891" s="4">
        <f t="shared" si="230"/>
        <v>0</v>
      </c>
      <c r="R891" s="4">
        <f t="shared" si="231"/>
        <v>0</v>
      </c>
      <c r="S891" s="4">
        <f>IF(AND(VLOOKUP(G891,Dados!$D:$L,2,0)=VLOOKUP(I891,Dados!$S:$V,2,0),VLOOKUP(G891,Dados!$D:$L,3,0)=VLOOKUP(I891,Dados!$S:$V,3,0)),0,1)</f>
        <v>0</v>
      </c>
      <c r="T891" s="4">
        <f>IF(AND(VLOOKUP(G891,Dados!$D:$L,3,0)&lt;=VLOOKUP(H891,Dados!$X:$AB,2,0),VLOOKUP(G891,Dados!$D:$L,4,0)&gt;=VLOOKUP(H891,Dados!$X:$AB,3,0),VLOOKUP(G891,Dados!$D:$L,4,0)&lt;=VLOOKUP(H891,Dados!$X:$AB,4,0)),0,1)</f>
        <v>0</v>
      </c>
      <c r="U891" s="4">
        <f>IF(COUNTIFS(F:F,F891,H:H,H891)&lt;=VLOOKUP(H891,Dados!$X:$AB,5,0),0,1)</f>
        <v>0</v>
      </c>
    </row>
    <row r="892" spans="6:21">
      <c r="F892" s="4">
        <v>486</v>
      </c>
      <c r="G892" s="4">
        <v>16</v>
      </c>
      <c r="H892" s="4">
        <v>1</v>
      </c>
      <c r="I892" s="4">
        <v>8</v>
      </c>
      <c r="J892" s="4">
        <v>1</v>
      </c>
      <c r="K892" s="4">
        <f t="shared" si="227"/>
        <v>0</v>
      </c>
      <c r="L892" s="4">
        <f t="shared" si="227"/>
        <v>0</v>
      </c>
      <c r="M892" s="4">
        <f t="shared" si="227"/>
        <v>0</v>
      </c>
      <c r="N892" s="4">
        <f t="shared" si="227"/>
        <v>0</v>
      </c>
      <c r="O892" s="4">
        <f t="shared" si="228"/>
        <v>0</v>
      </c>
      <c r="P892" s="4">
        <f t="shared" si="229"/>
        <v>0</v>
      </c>
      <c r="Q892" s="4">
        <f t="shared" si="230"/>
        <v>0</v>
      </c>
      <c r="R892" s="4">
        <f t="shared" si="231"/>
        <v>0</v>
      </c>
      <c r="S892" s="4">
        <f>IF(AND(VLOOKUP(G892,Dados!$D:$L,2,0)=VLOOKUP(I892,Dados!$S:$V,2,0),VLOOKUP(G892,Dados!$D:$L,3,0)=VLOOKUP(I892,Dados!$S:$V,3,0)),0,1)</f>
        <v>0</v>
      </c>
      <c r="T892" s="4">
        <f>IF(AND(VLOOKUP(G892,Dados!$D:$L,3,0)&lt;=VLOOKUP(H892,Dados!$X:$AB,2,0),VLOOKUP(G892,Dados!$D:$L,4,0)&gt;=VLOOKUP(H892,Dados!$X:$AB,3,0),VLOOKUP(G892,Dados!$D:$L,4,0)&lt;=VLOOKUP(H892,Dados!$X:$AB,4,0)),0,1)</f>
        <v>0</v>
      </c>
      <c r="U892" s="4">
        <f>IF(COUNTIFS(F:F,F892,H:H,H892)&lt;=VLOOKUP(H892,Dados!$X:$AB,5,0),0,1)</f>
        <v>0</v>
      </c>
    </row>
    <row r="893" spans="6:21">
      <c r="F893" s="4">
        <v>487</v>
      </c>
      <c r="G893" s="4">
        <v>13</v>
      </c>
      <c r="H893" s="4">
        <v>3</v>
      </c>
      <c r="I893" s="4">
        <v>8</v>
      </c>
      <c r="J893" s="4">
        <v>1</v>
      </c>
      <c r="K893" s="4">
        <f t="shared" si="227"/>
        <v>0</v>
      </c>
      <c r="L893" s="4">
        <f t="shared" si="227"/>
        <v>0</v>
      </c>
      <c r="M893" s="4">
        <f t="shared" si="227"/>
        <v>0</v>
      </c>
      <c r="N893" s="4">
        <f t="shared" si="227"/>
        <v>0</v>
      </c>
      <c r="O893" s="4">
        <f t="shared" si="228"/>
        <v>0</v>
      </c>
      <c r="P893" s="4">
        <f t="shared" si="229"/>
        <v>0</v>
      </c>
      <c r="Q893" s="4">
        <f t="shared" si="230"/>
        <v>0</v>
      </c>
      <c r="R893" s="4">
        <f t="shared" si="231"/>
        <v>0</v>
      </c>
      <c r="S893" s="4">
        <f>IF(AND(VLOOKUP(G893,Dados!$D:$L,2,0)=VLOOKUP(I893,Dados!$S:$V,2,0),VLOOKUP(G893,Dados!$D:$L,3,0)=VLOOKUP(I893,Dados!$S:$V,3,0)),0,1)</f>
        <v>0</v>
      </c>
      <c r="T893" s="4">
        <f>IF(AND(VLOOKUP(G893,Dados!$D:$L,3,0)&lt;=VLOOKUP(H893,Dados!$X:$AB,2,0),VLOOKUP(G893,Dados!$D:$L,4,0)&gt;=VLOOKUP(H893,Dados!$X:$AB,3,0),VLOOKUP(G893,Dados!$D:$L,4,0)&lt;=VLOOKUP(H893,Dados!$X:$AB,4,0)),0,1)</f>
        <v>0</v>
      </c>
      <c r="U893" s="4">
        <f>IF(COUNTIFS(F:F,F893,H:H,H893)&lt;=VLOOKUP(H893,Dados!$X:$AB,5,0),0,1)</f>
        <v>0</v>
      </c>
    </row>
    <row r="894" spans="6:21">
      <c r="F894" s="4">
        <v>487</v>
      </c>
      <c r="G894" s="4">
        <v>14</v>
      </c>
      <c r="H894" s="4">
        <v>3</v>
      </c>
      <c r="I894" s="4">
        <v>8</v>
      </c>
      <c r="J894" s="4">
        <v>8</v>
      </c>
      <c r="K894" s="4">
        <f t="shared" si="227"/>
        <v>0</v>
      </c>
      <c r="L894" s="4">
        <f t="shared" si="227"/>
        <v>0</v>
      </c>
      <c r="M894" s="4">
        <f t="shared" si="227"/>
        <v>0</v>
      </c>
      <c r="N894" s="4">
        <f t="shared" si="227"/>
        <v>0</v>
      </c>
      <c r="O894" s="4">
        <f t="shared" si="228"/>
        <v>0</v>
      </c>
      <c r="P894" s="4">
        <f t="shared" si="229"/>
        <v>0</v>
      </c>
      <c r="Q894" s="4">
        <f t="shared" si="230"/>
        <v>0</v>
      </c>
      <c r="R894" s="4">
        <f t="shared" si="231"/>
        <v>0</v>
      </c>
      <c r="S894" s="4">
        <f>IF(AND(VLOOKUP(G894,Dados!$D:$L,2,0)=VLOOKUP(I894,Dados!$S:$V,2,0),VLOOKUP(G894,Dados!$D:$L,3,0)=VLOOKUP(I894,Dados!$S:$V,3,0)),0,1)</f>
        <v>0</v>
      </c>
      <c r="T894" s="4">
        <f>IF(AND(VLOOKUP(G894,Dados!$D:$L,3,0)&lt;=VLOOKUP(H894,Dados!$X:$AB,2,0),VLOOKUP(G894,Dados!$D:$L,4,0)&gt;=VLOOKUP(H894,Dados!$X:$AB,3,0),VLOOKUP(G894,Dados!$D:$L,4,0)&lt;=VLOOKUP(H894,Dados!$X:$AB,4,0)),0,1)</f>
        <v>0</v>
      </c>
      <c r="U894" s="4">
        <f>IF(COUNTIFS(F:F,F894,H:H,H894)&lt;=VLOOKUP(H894,Dados!$X:$AB,5,0),0,1)</f>
        <v>0</v>
      </c>
    </row>
    <row r="895" spans="6:21">
      <c r="F895" s="4">
        <v>487</v>
      </c>
      <c r="G895" s="4">
        <v>16</v>
      </c>
      <c r="H895" s="4">
        <v>3</v>
      </c>
      <c r="I895" s="4">
        <v>8</v>
      </c>
      <c r="J895" s="4">
        <v>1</v>
      </c>
      <c r="K895" s="4">
        <f t="shared" si="227"/>
        <v>0</v>
      </c>
      <c r="L895" s="4">
        <f t="shared" si="227"/>
        <v>0</v>
      </c>
      <c r="M895" s="4">
        <f t="shared" si="227"/>
        <v>0</v>
      </c>
      <c r="N895" s="4">
        <f t="shared" si="227"/>
        <v>0</v>
      </c>
      <c r="O895" s="4">
        <f t="shared" si="228"/>
        <v>0</v>
      </c>
      <c r="P895" s="4">
        <f t="shared" si="229"/>
        <v>0</v>
      </c>
      <c r="Q895" s="4">
        <f t="shared" si="230"/>
        <v>0</v>
      </c>
      <c r="R895" s="4">
        <f t="shared" si="231"/>
        <v>0</v>
      </c>
      <c r="S895" s="4">
        <f>IF(AND(VLOOKUP(G895,Dados!$D:$L,2,0)=VLOOKUP(I895,Dados!$S:$V,2,0),VLOOKUP(G895,Dados!$D:$L,3,0)=VLOOKUP(I895,Dados!$S:$V,3,0)),0,1)</f>
        <v>0</v>
      </c>
      <c r="T895" s="4">
        <f>IF(AND(VLOOKUP(G895,Dados!$D:$L,3,0)&lt;=VLOOKUP(H895,Dados!$X:$AB,2,0),VLOOKUP(G895,Dados!$D:$L,4,0)&gt;=VLOOKUP(H895,Dados!$X:$AB,3,0),VLOOKUP(G895,Dados!$D:$L,4,0)&lt;=VLOOKUP(H895,Dados!$X:$AB,4,0)),0,1)</f>
        <v>0</v>
      </c>
      <c r="U895" s="4">
        <f>IF(COUNTIFS(F:F,F895,H:H,H895)&lt;=VLOOKUP(H895,Dados!$X:$AB,5,0),0,1)</f>
        <v>0</v>
      </c>
    </row>
    <row r="896" spans="6:21">
      <c r="F896" s="4">
        <v>488</v>
      </c>
      <c r="G896" s="4">
        <v>14</v>
      </c>
      <c r="H896" s="4">
        <v>1</v>
      </c>
      <c r="I896" s="4">
        <v>10</v>
      </c>
      <c r="J896" s="4">
        <v>7</v>
      </c>
      <c r="K896" s="4">
        <f t="shared" si="227"/>
        <v>0</v>
      </c>
      <c r="L896" s="4">
        <f t="shared" si="227"/>
        <v>0</v>
      </c>
      <c r="M896" s="4">
        <f t="shared" si="227"/>
        <v>0</v>
      </c>
      <c r="N896" s="4">
        <f t="shared" si="227"/>
        <v>0</v>
      </c>
      <c r="O896" s="4">
        <f t="shared" si="228"/>
        <v>0</v>
      </c>
      <c r="P896" s="4">
        <f t="shared" si="229"/>
        <v>0</v>
      </c>
      <c r="Q896" s="4">
        <f t="shared" si="230"/>
        <v>0</v>
      </c>
      <c r="R896" s="4">
        <f t="shared" si="231"/>
        <v>0</v>
      </c>
      <c r="S896" s="4">
        <f>IF(AND(VLOOKUP(G896,Dados!$D:$L,2,0)=VLOOKUP(I896,Dados!$S:$V,2,0),VLOOKUP(G896,Dados!$D:$L,3,0)=VLOOKUP(I896,Dados!$S:$V,3,0)),0,1)</f>
        <v>0</v>
      </c>
      <c r="T896" s="4">
        <f>IF(AND(VLOOKUP(G896,Dados!$D:$L,3,0)&lt;=VLOOKUP(H896,Dados!$X:$AB,2,0),VLOOKUP(G896,Dados!$D:$L,4,0)&gt;=VLOOKUP(H896,Dados!$X:$AB,3,0),VLOOKUP(G896,Dados!$D:$L,4,0)&lt;=VLOOKUP(H896,Dados!$X:$AB,4,0)),0,1)</f>
        <v>0</v>
      </c>
      <c r="U896" s="4">
        <f>IF(COUNTIFS(F:F,F896,H:H,H896)&lt;=VLOOKUP(H896,Dados!$X:$AB,5,0),0,1)</f>
        <v>0</v>
      </c>
    </row>
    <row r="897" spans="6:21">
      <c r="F897" s="4">
        <v>488</v>
      </c>
      <c r="G897" s="4">
        <v>15</v>
      </c>
      <c r="H897" s="4">
        <v>1</v>
      </c>
      <c r="I897" s="4">
        <v>10</v>
      </c>
      <c r="J897" s="4">
        <v>1</v>
      </c>
      <c r="K897" s="4">
        <f t="shared" si="227"/>
        <v>0</v>
      </c>
      <c r="L897" s="4">
        <f t="shared" si="227"/>
        <v>0</v>
      </c>
      <c r="M897" s="4">
        <f t="shared" si="227"/>
        <v>0</v>
      </c>
      <c r="N897" s="4">
        <f t="shared" si="227"/>
        <v>0</v>
      </c>
      <c r="O897" s="4">
        <f t="shared" si="228"/>
        <v>0</v>
      </c>
      <c r="P897" s="4">
        <f t="shared" si="229"/>
        <v>0</v>
      </c>
      <c r="Q897" s="4">
        <f t="shared" si="230"/>
        <v>0</v>
      </c>
      <c r="R897" s="4">
        <f t="shared" si="231"/>
        <v>0</v>
      </c>
      <c r="S897" s="4">
        <f>IF(AND(VLOOKUP(G897,Dados!$D:$L,2,0)=VLOOKUP(I897,Dados!$S:$V,2,0),VLOOKUP(G897,Dados!$D:$L,3,0)=VLOOKUP(I897,Dados!$S:$V,3,0)),0,1)</f>
        <v>0</v>
      </c>
      <c r="T897" s="4">
        <f>IF(AND(VLOOKUP(G897,Dados!$D:$L,3,0)&lt;=VLOOKUP(H897,Dados!$X:$AB,2,0),VLOOKUP(G897,Dados!$D:$L,4,0)&gt;=VLOOKUP(H897,Dados!$X:$AB,3,0),VLOOKUP(G897,Dados!$D:$L,4,0)&lt;=VLOOKUP(H897,Dados!$X:$AB,4,0)),0,1)</f>
        <v>0</v>
      </c>
      <c r="U897" s="4">
        <f>IF(COUNTIFS(F:F,F897,H:H,H897)&lt;=VLOOKUP(H897,Dados!$X:$AB,5,0),0,1)</f>
        <v>0</v>
      </c>
    </row>
    <row r="898" spans="6:21">
      <c r="F898" s="4">
        <v>488</v>
      </c>
      <c r="G898" s="4">
        <v>16</v>
      </c>
      <c r="H898" s="4">
        <v>1</v>
      </c>
      <c r="I898" s="4">
        <v>10</v>
      </c>
      <c r="J898" s="4">
        <v>1</v>
      </c>
      <c r="K898" s="4">
        <f t="shared" si="227"/>
        <v>0</v>
      </c>
      <c r="L898" s="4">
        <f t="shared" si="227"/>
        <v>0</v>
      </c>
      <c r="M898" s="4">
        <f t="shared" si="227"/>
        <v>0</v>
      </c>
      <c r="N898" s="4">
        <f t="shared" si="227"/>
        <v>0</v>
      </c>
      <c r="O898" s="4">
        <f t="shared" si="228"/>
        <v>0</v>
      </c>
      <c r="P898" s="4">
        <f t="shared" si="229"/>
        <v>0</v>
      </c>
      <c r="Q898" s="4">
        <f t="shared" si="230"/>
        <v>0</v>
      </c>
      <c r="R898" s="4">
        <f t="shared" si="231"/>
        <v>0</v>
      </c>
      <c r="S898" s="4">
        <f>IF(AND(VLOOKUP(G898,Dados!$D:$L,2,0)=VLOOKUP(I898,Dados!$S:$V,2,0),VLOOKUP(G898,Dados!$D:$L,3,0)=VLOOKUP(I898,Dados!$S:$V,3,0)),0,1)</f>
        <v>0</v>
      </c>
      <c r="T898" s="4">
        <f>IF(AND(VLOOKUP(G898,Dados!$D:$L,3,0)&lt;=VLOOKUP(H898,Dados!$X:$AB,2,0),VLOOKUP(G898,Dados!$D:$L,4,0)&gt;=VLOOKUP(H898,Dados!$X:$AB,3,0),VLOOKUP(G898,Dados!$D:$L,4,0)&lt;=VLOOKUP(H898,Dados!$X:$AB,4,0)),0,1)</f>
        <v>0</v>
      </c>
      <c r="U898" s="4">
        <f>IF(COUNTIFS(F:F,F898,H:H,H898)&lt;=VLOOKUP(H898,Dados!$X:$AB,5,0),0,1)</f>
        <v>0</v>
      </c>
    </row>
    <row r="899" spans="6:21">
      <c r="F899" s="4">
        <v>489</v>
      </c>
      <c r="G899" s="4">
        <v>14</v>
      </c>
      <c r="H899" s="4">
        <v>3</v>
      </c>
      <c r="I899" s="4">
        <v>10</v>
      </c>
      <c r="J899" s="4">
        <v>7</v>
      </c>
      <c r="K899" s="4">
        <f t="shared" si="227"/>
        <v>0</v>
      </c>
      <c r="L899" s="4">
        <f t="shared" si="227"/>
        <v>0</v>
      </c>
      <c r="M899" s="4">
        <f t="shared" si="227"/>
        <v>0</v>
      </c>
      <c r="N899" s="4">
        <f t="shared" si="227"/>
        <v>0</v>
      </c>
      <c r="O899" s="4">
        <f t="shared" si="228"/>
        <v>0</v>
      </c>
      <c r="P899" s="4">
        <f t="shared" si="229"/>
        <v>0</v>
      </c>
      <c r="Q899" s="4">
        <f t="shared" si="230"/>
        <v>0</v>
      </c>
      <c r="R899" s="4">
        <f t="shared" si="231"/>
        <v>0</v>
      </c>
      <c r="S899" s="4">
        <f>IF(AND(VLOOKUP(G899,Dados!$D:$L,2,0)=VLOOKUP(I899,Dados!$S:$V,2,0),VLOOKUP(G899,Dados!$D:$L,3,0)=VLOOKUP(I899,Dados!$S:$V,3,0)),0,1)</f>
        <v>0</v>
      </c>
      <c r="T899" s="4">
        <f>IF(AND(VLOOKUP(G899,Dados!$D:$L,3,0)&lt;=VLOOKUP(H899,Dados!$X:$AB,2,0),VLOOKUP(G899,Dados!$D:$L,4,0)&gt;=VLOOKUP(H899,Dados!$X:$AB,3,0),VLOOKUP(G899,Dados!$D:$L,4,0)&lt;=VLOOKUP(H899,Dados!$X:$AB,4,0)),0,1)</f>
        <v>0</v>
      </c>
      <c r="U899" s="4">
        <f>IF(COUNTIFS(F:F,F899,H:H,H899)&lt;=VLOOKUP(H899,Dados!$X:$AB,5,0),0,1)</f>
        <v>0</v>
      </c>
    </row>
    <row r="900" spans="6:21">
      <c r="F900" s="4">
        <v>489</v>
      </c>
      <c r="G900" s="4">
        <v>15</v>
      </c>
      <c r="H900" s="4">
        <v>3</v>
      </c>
      <c r="I900" s="4">
        <v>10</v>
      </c>
      <c r="J900" s="4">
        <v>1</v>
      </c>
      <c r="K900" s="4">
        <f t="shared" si="227"/>
        <v>0</v>
      </c>
      <c r="L900" s="4">
        <f t="shared" si="227"/>
        <v>0</v>
      </c>
      <c r="M900" s="4">
        <f t="shared" si="227"/>
        <v>0</v>
      </c>
      <c r="N900" s="4">
        <f t="shared" si="227"/>
        <v>0</v>
      </c>
      <c r="O900" s="4">
        <f t="shared" si="228"/>
        <v>0</v>
      </c>
      <c r="P900" s="4">
        <f t="shared" si="229"/>
        <v>0</v>
      </c>
      <c r="Q900" s="4">
        <f t="shared" si="230"/>
        <v>0</v>
      </c>
      <c r="R900" s="4">
        <f t="shared" si="231"/>
        <v>0</v>
      </c>
      <c r="S900" s="4">
        <f>IF(AND(VLOOKUP(G900,Dados!$D:$L,2,0)=VLOOKUP(I900,Dados!$S:$V,2,0),VLOOKUP(G900,Dados!$D:$L,3,0)=VLOOKUP(I900,Dados!$S:$V,3,0)),0,1)</f>
        <v>0</v>
      </c>
      <c r="T900" s="4">
        <f>IF(AND(VLOOKUP(G900,Dados!$D:$L,3,0)&lt;=VLOOKUP(H900,Dados!$X:$AB,2,0),VLOOKUP(G900,Dados!$D:$L,4,0)&gt;=VLOOKUP(H900,Dados!$X:$AB,3,0),VLOOKUP(G900,Dados!$D:$L,4,0)&lt;=VLOOKUP(H900,Dados!$X:$AB,4,0)),0,1)</f>
        <v>0</v>
      </c>
      <c r="U900" s="4">
        <f>IF(COUNTIFS(F:F,F900,H:H,H900)&lt;=VLOOKUP(H900,Dados!$X:$AB,5,0),0,1)</f>
        <v>0</v>
      </c>
    </row>
    <row r="901" spans="6:21">
      <c r="F901" s="4">
        <v>489</v>
      </c>
      <c r="G901" s="4">
        <v>16</v>
      </c>
      <c r="H901" s="4">
        <v>3</v>
      </c>
      <c r="I901" s="4">
        <v>10</v>
      </c>
      <c r="J901" s="4">
        <v>1</v>
      </c>
      <c r="K901" s="4">
        <f t="shared" si="227"/>
        <v>0</v>
      </c>
      <c r="L901" s="4">
        <f t="shared" si="227"/>
        <v>0</v>
      </c>
      <c r="M901" s="4">
        <f t="shared" si="227"/>
        <v>0</v>
      </c>
      <c r="N901" s="4">
        <f t="shared" si="227"/>
        <v>0</v>
      </c>
      <c r="O901" s="4">
        <f t="shared" si="228"/>
        <v>0</v>
      </c>
      <c r="P901" s="4">
        <f t="shared" si="229"/>
        <v>0</v>
      </c>
      <c r="Q901" s="4">
        <f t="shared" si="230"/>
        <v>0</v>
      </c>
      <c r="R901" s="4">
        <f t="shared" si="231"/>
        <v>0</v>
      </c>
      <c r="S901" s="4">
        <f>IF(AND(VLOOKUP(G901,Dados!$D:$L,2,0)=VLOOKUP(I901,Dados!$S:$V,2,0),VLOOKUP(G901,Dados!$D:$L,3,0)=VLOOKUP(I901,Dados!$S:$V,3,0)),0,1)</f>
        <v>0</v>
      </c>
      <c r="T901" s="4">
        <f>IF(AND(VLOOKUP(G901,Dados!$D:$L,3,0)&lt;=VLOOKUP(H901,Dados!$X:$AB,2,0),VLOOKUP(G901,Dados!$D:$L,4,0)&gt;=VLOOKUP(H901,Dados!$X:$AB,3,0),VLOOKUP(G901,Dados!$D:$L,4,0)&lt;=VLOOKUP(H901,Dados!$X:$AB,4,0)),0,1)</f>
        <v>0</v>
      </c>
      <c r="U901" s="4">
        <f>IF(COUNTIFS(F:F,F901,H:H,H901)&lt;=VLOOKUP(H901,Dados!$X:$AB,5,0),0,1)</f>
        <v>0</v>
      </c>
    </row>
    <row r="902" spans="6:21">
      <c r="F902" s="4">
        <v>490</v>
      </c>
      <c r="G902" s="4">
        <v>20</v>
      </c>
      <c r="H902" s="4">
        <v>1</v>
      </c>
      <c r="I902" s="4">
        <v>13</v>
      </c>
      <c r="J902" s="4">
        <v>2</v>
      </c>
      <c r="K902" s="4">
        <f t="shared" si="227"/>
        <v>0</v>
      </c>
      <c r="L902" s="4">
        <f t="shared" si="227"/>
        <v>0</v>
      </c>
      <c r="M902" s="4">
        <f t="shared" si="227"/>
        <v>0</v>
      </c>
      <c r="N902" s="4">
        <f t="shared" si="227"/>
        <v>0</v>
      </c>
      <c r="O902" s="4">
        <f t="shared" si="228"/>
        <v>0</v>
      </c>
      <c r="P902" s="4">
        <f t="shared" si="229"/>
        <v>0</v>
      </c>
      <c r="Q902" s="4">
        <f t="shared" si="230"/>
        <v>0</v>
      </c>
      <c r="R902" s="4">
        <f t="shared" si="231"/>
        <v>0</v>
      </c>
      <c r="S902" s="4">
        <f>IF(AND(VLOOKUP(G902,Dados!$D:$L,2,0)=VLOOKUP(I902,Dados!$S:$V,2,0),VLOOKUP(G902,Dados!$D:$L,3,0)=VLOOKUP(I902,Dados!$S:$V,3,0)),0,1)</f>
        <v>0</v>
      </c>
      <c r="T902" s="4">
        <f>IF(AND(VLOOKUP(G902,Dados!$D:$L,3,0)&lt;=VLOOKUP(H902,Dados!$X:$AB,2,0),VLOOKUP(G902,Dados!$D:$L,4,0)&gt;=VLOOKUP(H902,Dados!$X:$AB,3,0),VLOOKUP(G902,Dados!$D:$L,4,0)&lt;=VLOOKUP(H902,Dados!$X:$AB,4,0)),0,1)</f>
        <v>0</v>
      </c>
      <c r="U902" s="4">
        <f>IF(COUNTIFS(F:F,F902,H:H,H902)&lt;=VLOOKUP(H902,Dados!$X:$AB,5,0),0,1)</f>
        <v>0</v>
      </c>
    </row>
    <row r="903" spans="6:21">
      <c r="F903" s="4">
        <v>490</v>
      </c>
      <c r="G903" s="4">
        <v>21</v>
      </c>
      <c r="H903" s="4">
        <v>1</v>
      </c>
      <c r="I903" s="4">
        <v>13</v>
      </c>
      <c r="J903" s="4">
        <v>7</v>
      </c>
      <c r="K903" s="4">
        <f t="shared" si="227"/>
        <v>0</v>
      </c>
      <c r="L903" s="4">
        <f t="shared" si="227"/>
        <v>0</v>
      </c>
      <c r="M903" s="4">
        <f t="shared" si="227"/>
        <v>0</v>
      </c>
      <c r="N903" s="4">
        <f t="shared" si="227"/>
        <v>0</v>
      </c>
      <c r="O903" s="4">
        <f t="shared" si="228"/>
        <v>0</v>
      </c>
      <c r="P903" s="4">
        <f t="shared" si="229"/>
        <v>0</v>
      </c>
      <c r="Q903" s="4">
        <f t="shared" si="230"/>
        <v>0</v>
      </c>
      <c r="R903" s="4">
        <f t="shared" si="231"/>
        <v>0</v>
      </c>
      <c r="S903" s="4">
        <f>IF(AND(VLOOKUP(G903,Dados!$D:$L,2,0)=VLOOKUP(I903,Dados!$S:$V,2,0),VLOOKUP(G903,Dados!$D:$L,3,0)=VLOOKUP(I903,Dados!$S:$V,3,0)),0,1)</f>
        <v>0</v>
      </c>
      <c r="T903" s="4">
        <f>IF(AND(VLOOKUP(G903,Dados!$D:$L,3,0)&lt;=VLOOKUP(H903,Dados!$X:$AB,2,0),VLOOKUP(G903,Dados!$D:$L,4,0)&gt;=VLOOKUP(H903,Dados!$X:$AB,3,0),VLOOKUP(G903,Dados!$D:$L,4,0)&lt;=VLOOKUP(H903,Dados!$X:$AB,4,0)),0,1)</f>
        <v>0</v>
      </c>
      <c r="U903" s="4">
        <f>IF(COUNTIFS(F:F,F903,H:H,H903)&lt;=VLOOKUP(H903,Dados!$X:$AB,5,0),0,1)</f>
        <v>0</v>
      </c>
    </row>
    <row r="904" spans="6:21">
      <c r="F904" s="4">
        <v>491</v>
      </c>
      <c r="G904" s="4">
        <v>20</v>
      </c>
      <c r="H904" s="4">
        <v>2</v>
      </c>
      <c r="I904" s="4">
        <v>13</v>
      </c>
      <c r="J904" s="4">
        <v>2</v>
      </c>
      <c r="K904" s="4">
        <f t="shared" si="227"/>
        <v>0</v>
      </c>
      <c r="L904" s="4">
        <f t="shared" si="227"/>
        <v>0</v>
      </c>
      <c r="M904" s="4">
        <f t="shared" si="227"/>
        <v>0</v>
      </c>
      <c r="N904" s="4">
        <f t="shared" si="227"/>
        <v>0</v>
      </c>
      <c r="O904" s="4">
        <f t="shared" si="228"/>
        <v>0</v>
      </c>
      <c r="P904" s="4">
        <f t="shared" si="229"/>
        <v>0</v>
      </c>
      <c r="Q904" s="4">
        <f t="shared" si="230"/>
        <v>0</v>
      </c>
      <c r="R904" s="4">
        <f t="shared" si="231"/>
        <v>0</v>
      </c>
      <c r="S904" s="4">
        <f>IF(AND(VLOOKUP(G904,Dados!$D:$L,2,0)=VLOOKUP(I904,Dados!$S:$V,2,0),VLOOKUP(G904,Dados!$D:$L,3,0)=VLOOKUP(I904,Dados!$S:$V,3,0)),0,1)</f>
        <v>0</v>
      </c>
      <c r="T904" s="4">
        <f>IF(AND(VLOOKUP(G904,Dados!$D:$L,3,0)&lt;=VLOOKUP(H904,Dados!$X:$AB,2,0),VLOOKUP(G904,Dados!$D:$L,4,0)&gt;=VLOOKUP(H904,Dados!$X:$AB,3,0),VLOOKUP(G904,Dados!$D:$L,4,0)&lt;=VLOOKUP(H904,Dados!$X:$AB,4,0)),0,1)</f>
        <v>0</v>
      </c>
      <c r="U904" s="4">
        <f>IF(COUNTIFS(F:F,F904,H:H,H904)&lt;=VLOOKUP(H904,Dados!$X:$AB,5,0),0,1)</f>
        <v>0</v>
      </c>
    </row>
    <row r="905" spans="6:21">
      <c r="F905" s="4">
        <v>491</v>
      </c>
      <c r="G905" s="4">
        <v>21</v>
      </c>
      <c r="H905" s="4">
        <v>2</v>
      </c>
      <c r="I905" s="4">
        <v>13</v>
      </c>
      <c r="J905" s="4">
        <v>7</v>
      </c>
      <c r="K905" s="4">
        <f t="shared" si="227"/>
        <v>0</v>
      </c>
      <c r="L905" s="4">
        <f t="shared" si="227"/>
        <v>0</v>
      </c>
      <c r="M905" s="4">
        <f t="shared" si="227"/>
        <v>0</v>
      </c>
      <c r="N905" s="4">
        <f t="shared" si="227"/>
        <v>0</v>
      </c>
      <c r="O905" s="4">
        <f t="shared" si="228"/>
        <v>0</v>
      </c>
      <c r="P905" s="4">
        <f t="shared" si="229"/>
        <v>0</v>
      </c>
      <c r="Q905" s="4">
        <f t="shared" si="230"/>
        <v>0</v>
      </c>
      <c r="R905" s="4">
        <f t="shared" si="231"/>
        <v>0</v>
      </c>
      <c r="S905" s="4">
        <f>IF(AND(VLOOKUP(G905,Dados!$D:$L,2,0)=VLOOKUP(I905,Dados!$S:$V,2,0),VLOOKUP(G905,Dados!$D:$L,3,0)=VLOOKUP(I905,Dados!$S:$V,3,0)),0,1)</f>
        <v>0</v>
      </c>
      <c r="T905" s="4">
        <f>IF(AND(VLOOKUP(G905,Dados!$D:$L,3,0)&lt;=VLOOKUP(H905,Dados!$X:$AB,2,0),VLOOKUP(G905,Dados!$D:$L,4,0)&gt;=VLOOKUP(H905,Dados!$X:$AB,3,0),VLOOKUP(G905,Dados!$D:$L,4,0)&lt;=VLOOKUP(H905,Dados!$X:$AB,4,0)),0,1)</f>
        <v>0</v>
      </c>
      <c r="U905" s="4">
        <f>IF(COUNTIFS(F:F,F905,H:H,H905)&lt;=VLOOKUP(H905,Dados!$X:$AB,5,0),0,1)</f>
        <v>0</v>
      </c>
    </row>
    <row r="906" spans="6:21">
      <c r="F906" s="4">
        <v>492</v>
      </c>
      <c r="G906" s="4">
        <v>20</v>
      </c>
      <c r="H906" s="4">
        <v>3</v>
      </c>
      <c r="I906" s="4">
        <v>13</v>
      </c>
      <c r="J906" s="4">
        <v>2</v>
      </c>
      <c r="K906" s="4">
        <f t="shared" si="227"/>
        <v>3</v>
      </c>
      <c r="L906" s="4">
        <f t="shared" si="227"/>
        <v>0</v>
      </c>
      <c r="M906" s="4">
        <f t="shared" si="227"/>
        <v>0</v>
      </c>
      <c r="N906" s="4">
        <f t="shared" si="227"/>
        <v>0</v>
      </c>
      <c r="O906" s="4">
        <f t="shared" si="228"/>
        <v>6</v>
      </c>
      <c r="P906" s="4">
        <f t="shared" si="229"/>
        <v>0</v>
      </c>
      <c r="Q906" s="4">
        <f t="shared" si="230"/>
        <v>0</v>
      </c>
      <c r="R906" s="4">
        <f t="shared" si="231"/>
        <v>0</v>
      </c>
      <c r="S906" s="4">
        <f>IF(AND(VLOOKUP(G906,Dados!$D:$L,2,0)=VLOOKUP(I906,Dados!$S:$V,2,0),VLOOKUP(G906,Dados!$D:$L,3,0)=VLOOKUP(I906,Dados!$S:$V,3,0)),0,1)</f>
        <v>0</v>
      </c>
      <c r="T906" s="4">
        <f>IF(AND(VLOOKUP(G906,Dados!$D:$L,3,0)&lt;=VLOOKUP(H906,Dados!$X:$AB,2,0),VLOOKUP(G906,Dados!$D:$L,4,0)&gt;=VLOOKUP(H906,Dados!$X:$AB,3,0),VLOOKUP(G906,Dados!$D:$L,4,0)&lt;=VLOOKUP(H906,Dados!$X:$AB,4,0)),0,1)</f>
        <v>0</v>
      </c>
      <c r="U906" s="4">
        <f>IF(COUNTIFS(F:F,F906,H:H,H906)&lt;=VLOOKUP(H906,Dados!$X:$AB,5,0),0,1)</f>
        <v>0</v>
      </c>
    </row>
    <row r="907" spans="6:21">
      <c r="F907" s="4">
        <v>492</v>
      </c>
      <c r="G907" s="4">
        <v>21</v>
      </c>
      <c r="H907" s="4">
        <v>3</v>
      </c>
      <c r="I907" s="4">
        <v>13</v>
      </c>
      <c r="J907" s="4">
        <v>7</v>
      </c>
      <c r="K907" s="4">
        <f t="shared" si="227"/>
        <v>3</v>
      </c>
      <c r="L907" s="4">
        <f t="shared" si="227"/>
        <v>0</v>
      </c>
      <c r="M907" s="4">
        <f t="shared" si="227"/>
        <v>0</v>
      </c>
      <c r="N907" s="4">
        <f t="shared" si="227"/>
        <v>0</v>
      </c>
      <c r="O907" s="4">
        <f t="shared" si="228"/>
        <v>21</v>
      </c>
      <c r="P907" s="4">
        <f t="shared" si="229"/>
        <v>0</v>
      </c>
      <c r="Q907" s="4">
        <f t="shared" si="230"/>
        <v>0</v>
      </c>
      <c r="R907" s="4">
        <f t="shared" si="231"/>
        <v>0</v>
      </c>
      <c r="S907" s="4">
        <f>IF(AND(VLOOKUP(G907,Dados!$D:$L,2,0)=VLOOKUP(I907,Dados!$S:$V,2,0),VLOOKUP(G907,Dados!$D:$L,3,0)=VLOOKUP(I907,Dados!$S:$V,3,0)),0,1)</f>
        <v>0</v>
      </c>
      <c r="T907" s="4">
        <f>IF(AND(VLOOKUP(G907,Dados!$D:$L,3,0)&lt;=VLOOKUP(H907,Dados!$X:$AB,2,0),VLOOKUP(G907,Dados!$D:$L,4,0)&gt;=VLOOKUP(H907,Dados!$X:$AB,3,0),VLOOKUP(G907,Dados!$D:$L,4,0)&lt;=VLOOKUP(H907,Dados!$X:$AB,4,0)),0,1)</f>
        <v>0</v>
      </c>
      <c r="U907" s="4">
        <f>IF(COUNTIFS(F:F,F907,H:H,H907)&lt;=VLOOKUP(H907,Dados!$X:$AB,5,0),0,1)</f>
        <v>0</v>
      </c>
    </row>
    <row r="908" spans="6:21">
      <c r="F908" s="4">
        <v>493</v>
      </c>
      <c r="G908" s="4">
        <v>24</v>
      </c>
      <c r="H908" s="4">
        <v>1</v>
      </c>
      <c r="I908" s="4">
        <v>15</v>
      </c>
      <c r="J908" s="4">
        <v>7</v>
      </c>
      <c r="K908" s="4">
        <f t="shared" si="227"/>
        <v>0</v>
      </c>
      <c r="L908" s="4">
        <f t="shared" si="227"/>
        <v>0</v>
      </c>
      <c r="M908" s="4">
        <f t="shared" si="227"/>
        <v>0</v>
      </c>
      <c r="N908" s="4">
        <f t="shared" si="227"/>
        <v>0</v>
      </c>
      <c r="O908" s="4">
        <f t="shared" si="228"/>
        <v>0</v>
      </c>
      <c r="P908" s="4">
        <f t="shared" si="229"/>
        <v>0</v>
      </c>
      <c r="Q908" s="4">
        <f t="shared" si="230"/>
        <v>0</v>
      </c>
      <c r="R908" s="4">
        <f t="shared" si="231"/>
        <v>0</v>
      </c>
      <c r="S908" s="4">
        <f>IF(AND(VLOOKUP(G908,Dados!$D:$L,2,0)=VLOOKUP(I908,Dados!$S:$V,2,0),VLOOKUP(G908,Dados!$D:$L,3,0)=VLOOKUP(I908,Dados!$S:$V,3,0)),0,1)</f>
        <v>0</v>
      </c>
      <c r="T908" s="4">
        <f>IF(AND(VLOOKUP(G908,Dados!$D:$L,3,0)&lt;=VLOOKUP(H908,Dados!$X:$AB,2,0),VLOOKUP(G908,Dados!$D:$L,4,0)&gt;=VLOOKUP(H908,Dados!$X:$AB,3,0),VLOOKUP(G908,Dados!$D:$L,4,0)&lt;=VLOOKUP(H908,Dados!$X:$AB,4,0)),0,1)</f>
        <v>0</v>
      </c>
      <c r="U908" s="4">
        <f>IF(COUNTIFS(F:F,F908,H:H,H908)&lt;=VLOOKUP(H908,Dados!$X:$AB,5,0),0,1)</f>
        <v>0</v>
      </c>
    </row>
    <row r="909" spans="6:21">
      <c r="F909" s="4">
        <v>493</v>
      </c>
      <c r="G909" s="4">
        <v>28</v>
      </c>
      <c r="H909" s="4">
        <v>1</v>
      </c>
      <c r="I909" s="4">
        <v>15</v>
      </c>
      <c r="J909" s="4">
        <v>1</v>
      </c>
      <c r="K909" s="4">
        <f t="shared" si="227"/>
        <v>0</v>
      </c>
      <c r="L909" s="4">
        <f t="shared" si="227"/>
        <v>0</v>
      </c>
      <c r="M909" s="4">
        <f t="shared" si="227"/>
        <v>0</v>
      </c>
      <c r="N909" s="4">
        <f t="shared" si="227"/>
        <v>0</v>
      </c>
      <c r="O909" s="4">
        <f t="shared" si="228"/>
        <v>0</v>
      </c>
      <c r="P909" s="4">
        <f t="shared" si="229"/>
        <v>0</v>
      </c>
      <c r="Q909" s="4">
        <f t="shared" si="230"/>
        <v>0</v>
      </c>
      <c r="R909" s="4">
        <f t="shared" si="231"/>
        <v>0</v>
      </c>
      <c r="S909" s="4">
        <f>IF(AND(VLOOKUP(G909,Dados!$D:$L,2,0)=VLOOKUP(I909,Dados!$S:$V,2,0),VLOOKUP(G909,Dados!$D:$L,3,0)=VLOOKUP(I909,Dados!$S:$V,3,0)),0,1)</f>
        <v>0</v>
      </c>
      <c r="T909" s="4">
        <f>IF(AND(VLOOKUP(G909,Dados!$D:$L,3,0)&lt;=VLOOKUP(H909,Dados!$X:$AB,2,0),VLOOKUP(G909,Dados!$D:$L,4,0)&gt;=VLOOKUP(H909,Dados!$X:$AB,3,0),VLOOKUP(G909,Dados!$D:$L,4,0)&lt;=VLOOKUP(H909,Dados!$X:$AB,4,0)),0,1)</f>
        <v>0</v>
      </c>
      <c r="U909" s="4">
        <f>IF(COUNTIFS(F:F,F909,H:H,H909)&lt;=VLOOKUP(H909,Dados!$X:$AB,5,0),0,1)</f>
        <v>0</v>
      </c>
    </row>
    <row r="910" spans="6:21">
      <c r="F910" s="4">
        <v>493</v>
      </c>
      <c r="G910" s="4">
        <v>29</v>
      </c>
      <c r="H910" s="4">
        <v>1</v>
      </c>
      <c r="I910" s="4">
        <v>15</v>
      </c>
      <c r="J910" s="4">
        <v>1</v>
      </c>
      <c r="K910" s="4">
        <f t="shared" si="227"/>
        <v>0</v>
      </c>
      <c r="L910" s="4">
        <f t="shared" si="227"/>
        <v>0</v>
      </c>
      <c r="M910" s="4">
        <f t="shared" si="227"/>
        <v>0</v>
      </c>
      <c r="N910" s="4">
        <f t="shared" si="227"/>
        <v>0</v>
      </c>
      <c r="O910" s="4">
        <f t="shared" si="228"/>
        <v>0</v>
      </c>
      <c r="P910" s="4">
        <f t="shared" si="229"/>
        <v>0</v>
      </c>
      <c r="Q910" s="4">
        <f t="shared" si="230"/>
        <v>0</v>
      </c>
      <c r="R910" s="4">
        <f t="shared" si="231"/>
        <v>0</v>
      </c>
      <c r="S910" s="4">
        <f>IF(AND(VLOOKUP(G910,Dados!$D:$L,2,0)=VLOOKUP(I910,Dados!$S:$V,2,0),VLOOKUP(G910,Dados!$D:$L,3,0)=VLOOKUP(I910,Dados!$S:$V,3,0)),0,1)</f>
        <v>0</v>
      </c>
      <c r="T910" s="4">
        <f>IF(AND(VLOOKUP(G910,Dados!$D:$L,3,0)&lt;=VLOOKUP(H910,Dados!$X:$AB,2,0),VLOOKUP(G910,Dados!$D:$L,4,0)&gt;=VLOOKUP(H910,Dados!$X:$AB,3,0),VLOOKUP(G910,Dados!$D:$L,4,0)&lt;=VLOOKUP(H910,Dados!$X:$AB,4,0)),0,1)</f>
        <v>0</v>
      </c>
      <c r="U910" s="4">
        <f>IF(COUNTIFS(F:F,F910,H:H,H910)&lt;=VLOOKUP(H910,Dados!$X:$AB,5,0),0,1)</f>
        <v>0</v>
      </c>
    </row>
    <row r="911" spans="6:21">
      <c r="F911" s="4">
        <v>494</v>
      </c>
      <c r="G911" s="4">
        <v>24</v>
      </c>
      <c r="H911" s="4">
        <v>3</v>
      </c>
      <c r="I911" s="4">
        <v>15</v>
      </c>
      <c r="J911" s="4">
        <v>7</v>
      </c>
      <c r="K911" s="4">
        <f t="shared" si="227"/>
        <v>0</v>
      </c>
      <c r="L911" s="4">
        <f t="shared" si="227"/>
        <v>0</v>
      </c>
      <c r="M911" s="4">
        <f t="shared" si="227"/>
        <v>0</v>
      </c>
      <c r="N911" s="4">
        <f t="shared" si="227"/>
        <v>0</v>
      </c>
      <c r="O911" s="4">
        <f t="shared" si="228"/>
        <v>0</v>
      </c>
      <c r="P911" s="4">
        <f t="shared" si="229"/>
        <v>0</v>
      </c>
      <c r="Q911" s="4">
        <f t="shared" si="230"/>
        <v>0</v>
      </c>
      <c r="R911" s="4">
        <f t="shared" si="231"/>
        <v>0</v>
      </c>
      <c r="S911" s="4">
        <f>IF(AND(VLOOKUP(G911,Dados!$D:$L,2,0)=VLOOKUP(I911,Dados!$S:$V,2,0),VLOOKUP(G911,Dados!$D:$L,3,0)=VLOOKUP(I911,Dados!$S:$V,3,0)),0,1)</f>
        <v>0</v>
      </c>
      <c r="T911" s="4">
        <f>IF(AND(VLOOKUP(G911,Dados!$D:$L,3,0)&lt;=VLOOKUP(H911,Dados!$X:$AB,2,0),VLOOKUP(G911,Dados!$D:$L,4,0)&gt;=VLOOKUP(H911,Dados!$X:$AB,3,0),VLOOKUP(G911,Dados!$D:$L,4,0)&lt;=VLOOKUP(H911,Dados!$X:$AB,4,0)),0,1)</f>
        <v>0</v>
      </c>
      <c r="U911" s="4">
        <f>IF(COUNTIFS(F:F,F911,H:H,H911)&lt;=VLOOKUP(H911,Dados!$X:$AB,5,0),0,1)</f>
        <v>0</v>
      </c>
    </row>
    <row r="912" spans="6:21">
      <c r="F912" s="4">
        <v>494</v>
      </c>
      <c r="G912" s="4">
        <v>28</v>
      </c>
      <c r="H912" s="4">
        <v>3</v>
      </c>
      <c r="I912" s="4">
        <v>15</v>
      </c>
      <c r="J912" s="4">
        <v>1</v>
      </c>
      <c r="K912" s="4">
        <f t="shared" si="227"/>
        <v>0</v>
      </c>
      <c r="L912" s="4">
        <f t="shared" si="227"/>
        <v>0</v>
      </c>
      <c r="M912" s="4">
        <f t="shared" si="227"/>
        <v>0</v>
      </c>
      <c r="N912" s="4">
        <f t="shared" si="227"/>
        <v>0</v>
      </c>
      <c r="O912" s="4">
        <f t="shared" si="228"/>
        <v>0</v>
      </c>
      <c r="P912" s="4">
        <f t="shared" si="229"/>
        <v>0</v>
      </c>
      <c r="Q912" s="4">
        <f t="shared" si="230"/>
        <v>0</v>
      </c>
      <c r="R912" s="4">
        <f t="shared" si="231"/>
        <v>0</v>
      </c>
      <c r="S912" s="4">
        <f>IF(AND(VLOOKUP(G912,Dados!$D:$L,2,0)=VLOOKUP(I912,Dados!$S:$V,2,0),VLOOKUP(G912,Dados!$D:$L,3,0)=VLOOKUP(I912,Dados!$S:$V,3,0)),0,1)</f>
        <v>0</v>
      </c>
      <c r="T912" s="4">
        <f>IF(AND(VLOOKUP(G912,Dados!$D:$L,3,0)&lt;=VLOOKUP(H912,Dados!$X:$AB,2,0),VLOOKUP(G912,Dados!$D:$L,4,0)&gt;=VLOOKUP(H912,Dados!$X:$AB,3,0),VLOOKUP(G912,Dados!$D:$L,4,0)&lt;=VLOOKUP(H912,Dados!$X:$AB,4,0)),0,1)</f>
        <v>0</v>
      </c>
      <c r="U912" s="4">
        <f>IF(COUNTIFS(F:F,F912,H:H,H912)&lt;=VLOOKUP(H912,Dados!$X:$AB,5,0),0,1)</f>
        <v>0</v>
      </c>
    </row>
    <row r="913" spans="6:21">
      <c r="F913" s="4">
        <v>494</v>
      </c>
      <c r="G913" s="4">
        <v>29</v>
      </c>
      <c r="H913" s="4">
        <v>3</v>
      </c>
      <c r="I913" s="4">
        <v>15</v>
      </c>
      <c r="J913" s="4">
        <v>1</v>
      </c>
      <c r="K913" s="4">
        <f t="shared" si="227"/>
        <v>0</v>
      </c>
      <c r="L913" s="4">
        <f t="shared" si="227"/>
        <v>0</v>
      </c>
      <c r="M913" s="4">
        <f t="shared" si="227"/>
        <v>0</v>
      </c>
      <c r="N913" s="4">
        <f t="shared" si="227"/>
        <v>0</v>
      </c>
      <c r="O913" s="4">
        <f t="shared" si="228"/>
        <v>0</v>
      </c>
      <c r="P913" s="4">
        <f t="shared" si="229"/>
        <v>0</v>
      </c>
      <c r="Q913" s="4">
        <f t="shared" si="230"/>
        <v>0</v>
      </c>
      <c r="R913" s="4">
        <f t="shared" si="231"/>
        <v>0</v>
      </c>
      <c r="S913" s="4">
        <f>IF(AND(VLOOKUP(G913,Dados!$D:$L,2,0)=VLOOKUP(I913,Dados!$S:$V,2,0),VLOOKUP(G913,Dados!$D:$L,3,0)=VLOOKUP(I913,Dados!$S:$V,3,0)),0,1)</f>
        <v>0</v>
      </c>
      <c r="T913" s="4">
        <f>IF(AND(VLOOKUP(G913,Dados!$D:$L,3,0)&lt;=VLOOKUP(H913,Dados!$X:$AB,2,0),VLOOKUP(G913,Dados!$D:$L,4,0)&gt;=VLOOKUP(H913,Dados!$X:$AB,3,0),VLOOKUP(G913,Dados!$D:$L,4,0)&lt;=VLOOKUP(H913,Dados!$X:$AB,4,0)),0,1)</f>
        <v>0</v>
      </c>
      <c r="U913" s="4">
        <f>IF(COUNTIFS(F:F,F913,H:H,H913)&lt;=VLOOKUP(H913,Dados!$X:$AB,5,0),0,1)</f>
        <v>0</v>
      </c>
    </row>
    <row r="914" spans="6:21">
      <c r="F914" s="4">
        <v>495</v>
      </c>
      <c r="G914" s="4">
        <v>32</v>
      </c>
      <c r="H914" s="4">
        <v>1</v>
      </c>
      <c r="I914" s="4">
        <v>16</v>
      </c>
      <c r="J914" s="4">
        <v>2</v>
      </c>
      <c r="K914" s="4">
        <f t="shared" si="227"/>
        <v>0</v>
      </c>
      <c r="L914" s="4">
        <f t="shared" si="227"/>
        <v>0</v>
      </c>
      <c r="M914" s="4">
        <f t="shared" si="227"/>
        <v>0</v>
      </c>
      <c r="N914" s="4">
        <f t="shared" si="227"/>
        <v>0</v>
      </c>
      <c r="O914" s="4">
        <f t="shared" si="228"/>
        <v>0</v>
      </c>
      <c r="P914" s="4">
        <f t="shared" si="229"/>
        <v>0</v>
      </c>
      <c r="Q914" s="4">
        <f t="shared" si="230"/>
        <v>0</v>
      </c>
      <c r="R914" s="4">
        <f t="shared" si="231"/>
        <v>0</v>
      </c>
      <c r="S914" s="4">
        <f>IF(AND(VLOOKUP(G914,Dados!$D:$L,2,0)=VLOOKUP(I914,Dados!$S:$V,2,0),VLOOKUP(G914,Dados!$D:$L,3,0)=VLOOKUP(I914,Dados!$S:$V,3,0)),0,1)</f>
        <v>0</v>
      </c>
      <c r="T914" s="4">
        <f>IF(AND(VLOOKUP(G914,Dados!$D:$L,3,0)&lt;=VLOOKUP(H914,Dados!$X:$AB,2,0),VLOOKUP(G914,Dados!$D:$L,4,0)&gt;=VLOOKUP(H914,Dados!$X:$AB,3,0),VLOOKUP(G914,Dados!$D:$L,4,0)&lt;=VLOOKUP(H914,Dados!$X:$AB,4,0)),0,1)</f>
        <v>0</v>
      </c>
      <c r="U914" s="4">
        <f>IF(COUNTIFS(F:F,F914,H:H,H914)&lt;=VLOOKUP(H914,Dados!$X:$AB,5,0),0,1)</f>
        <v>0</v>
      </c>
    </row>
    <row r="915" spans="6:21">
      <c r="F915" s="4">
        <v>495</v>
      </c>
      <c r="G915" s="4">
        <v>33</v>
      </c>
      <c r="H915" s="4">
        <v>1</v>
      </c>
      <c r="I915" s="4">
        <v>16</v>
      </c>
      <c r="J915" s="4">
        <v>4</v>
      </c>
      <c r="K915" s="4">
        <f t="shared" si="227"/>
        <v>0</v>
      </c>
      <c r="L915" s="4">
        <f t="shared" si="227"/>
        <v>0</v>
      </c>
      <c r="M915" s="4">
        <f t="shared" si="227"/>
        <v>0</v>
      </c>
      <c r="N915" s="4">
        <f t="shared" si="227"/>
        <v>0</v>
      </c>
      <c r="O915" s="4">
        <f t="shared" si="228"/>
        <v>0</v>
      </c>
      <c r="P915" s="4">
        <f t="shared" si="229"/>
        <v>0</v>
      </c>
      <c r="Q915" s="4">
        <f t="shared" si="230"/>
        <v>0</v>
      </c>
      <c r="R915" s="4">
        <f t="shared" si="231"/>
        <v>0</v>
      </c>
      <c r="S915" s="4">
        <f>IF(AND(VLOOKUP(G915,Dados!$D:$L,2,0)=VLOOKUP(I915,Dados!$S:$V,2,0),VLOOKUP(G915,Dados!$D:$L,3,0)=VLOOKUP(I915,Dados!$S:$V,3,0)),0,1)</f>
        <v>0</v>
      </c>
      <c r="T915" s="4">
        <f>IF(AND(VLOOKUP(G915,Dados!$D:$L,3,0)&lt;=VLOOKUP(H915,Dados!$X:$AB,2,0),VLOOKUP(G915,Dados!$D:$L,4,0)&gt;=VLOOKUP(H915,Dados!$X:$AB,3,0),VLOOKUP(G915,Dados!$D:$L,4,0)&lt;=VLOOKUP(H915,Dados!$X:$AB,4,0)),0,1)</f>
        <v>0</v>
      </c>
      <c r="U915" s="4">
        <f>IF(COUNTIFS(F:F,F915,H:H,H915)&lt;=VLOOKUP(H915,Dados!$X:$AB,5,0),0,1)</f>
        <v>0</v>
      </c>
    </row>
    <row r="916" spans="6:21">
      <c r="F916" s="4">
        <v>495</v>
      </c>
      <c r="G916" s="4">
        <v>36</v>
      </c>
      <c r="H916" s="4">
        <v>1</v>
      </c>
      <c r="I916" s="4">
        <v>16</v>
      </c>
      <c r="J916" s="4">
        <v>1</v>
      </c>
      <c r="K916" s="4">
        <f t="shared" si="227"/>
        <v>0</v>
      </c>
      <c r="L916" s="4">
        <f t="shared" si="227"/>
        <v>0</v>
      </c>
      <c r="M916" s="4">
        <f t="shared" si="227"/>
        <v>0</v>
      </c>
      <c r="N916" s="4">
        <f t="shared" si="227"/>
        <v>0</v>
      </c>
      <c r="O916" s="4">
        <f t="shared" si="228"/>
        <v>0</v>
      </c>
      <c r="P916" s="4">
        <f t="shared" si="229"/>
        <v>0</v>
      </c>
      <c r="Q916" s="4">
        <f t="shared" si="230"/>
        <v>0</v>
      </c>
      <c r="R916" s="4">
        <f t="shared" si="231"/>
        <v>0</v>
      </c>
      <c r="S916" s="4">
        <f>IF(AND(VLOOKUP(G916,Dados!$D:$L,2,0)=VLOOKUP(I916,Dados!$S:$V,2,0),VLOOKUP(G916,Dados!$D:$L,3,0)=VLOOKUP(I916,Dados!$S:$V,3,0)),0,1)</f>
        <v>0</v>
      </c>
      <c r="T916" s="4">
        <f>IF(AND(VLOOKUP(G916,Dados!$D:$L,3,0)&lt;=VLOOKUP(H916,Dados!$X:$AB,2,0),VLOOKUP(G916,Dados!$D:$L,4,0)&gt;=VLOOKUP(H916,Dados!$X:$AB,3,0),VLOOKUP(G916,Dados!$D:$L,4,0)&lt;=VLOOKUP(H916,Dados!$X:$AB,4,0)),0,1)</f>
        <v>0</v>
      </c>
      <c r="U916" s="4">
        <f>IF(COUNTIFS(F:F,F916,H:H,H916)&lt;=VLOOKUP(H916,Dados!$X:$AB,5,0),0,1)</f>
        <v>0</v>
      </c>
    </row>
    <row r="917" spans="6:21">
      <c r="F917" s="4">
        <v>496</v>
      </c>
      <c r="G917" s="4">
        <v>32</v>
      </c>
      <c r="H917" s="4">
        <v>2</v>
      </c>
      <c r="I917" s="4">
        <v>16</v>
      </c>
      <c r="J917" s="4">
        <v>2</v>
      </c>
      <c r="K917" s="4">
        <f t="shared" si="227"/>
        <v>0</v>
      </c>
      <c r="L917" s="4">
        <f t="shared" si="227"/>
        <v>13</v>
      </c>
      <c r="M917" s="4">
        <f t="shared" si="227"/>
        <v>0</v>
      </c>
      <c r="N917" s="4">
        <f t="shared" si="227"/>
        <v>0</v>
      </c>
      <c r="O917" s="4">
        <f t="shared" si="228"/>
        <v>0</v>
      </c>
      <c r="P917" s="4">
        <f t="shared" si="229"/>
        <v>26</v>
      </c>
      <c r="Q917" s="4">
        <f t="shared" si="230"/>
        <v>0</v>
      </c>
      <c r="R917" s="4">
        <f t="shared" si="231"/>
        <v>0</v>
      </c>
      <c r="S917" s="4">
        <f>IF(AND(VLOOKUP(G917,Dados!$D:$L,2,0)=VLOOKUP(I917,Dados!$S:$V,2,0),VLOOKUP(G917,Dados!$D:$L,3,0)=VLOOKUP(I917,Dados!$S:$V,3,0)),0,1)</f>
        <v>0</v>
      </c>
      <c r="T917" s="4">
        <f>IF(AND(VLOOKUP(G917,Dados!$D:$L,3,0)&lt;=VLOOKUP(H917,Dados!$X:$AB,2,0),VLOOKUP(G917,Dados!$D:$L,4,0)&gt;=VLOOKUP(H917,Dados!$X:$AB,3,0),VLOOKUP(G917,Dados!$D:$L,4,0)&lt;=VLOOKUP(H917,Dados!$X:$AB,4,0)),0,1)</f>
        <v>0</v>
      </c>
      <c r="U917" s="4">
        <f>IF(COUNTIFS(F:F,F917,H:H,H917)&lt;=VLOOKUP(H917,Dados!$X:$AB,5,0),0,1)</f>
        <v>0</v>
      </c>
    </row>
    <row r="918" spans="6:21">
      <c r="F918" s="4">
        <v>496</v>
      </c>
      <c r="G918" s="4">
        <v>33</v>
      </c>
      <c r="H918" s="4">
        <v>2</v>
      </c>
      <c r="I918" s="4">
        <v>16</v>
      </c>
      <c r="J918" s="4">
        <v>4</v>
      </c>
      <c r="K918" s="4">
        <f t="shared" si="227"/>
        <v>0</v>
      </c>
      <c r="L918" s="4">
        <f t="shared" si="227"/>
        <v>13</v>
      </c>
      <c r="M918" s="4">
        <f t="shared" si="227"/>
        <v>0</v>
      </c>
      <c r="N918" s="4">
        <f t="shared" si="227"/>
        <v>0</v>
      </c>
      <c r="O918" s="4">
        <f t="shared" si="228"/>
        <v>0</v>
      </c>
      <c r="P918" s="4">
        <f t="shared" si="229"/>
        <v>52</v>
      </c>
      <c r="Q918" s="4">
        <f t="shared" si="230"/>
        <v>0</v>
      </c>
      <c r="R918" s="4">
        <f t="shared" si="231"/>
        <v>0</v>
      </c>
      <c r="S918" s="4">
        <f>IF(AND(VLOOKUP(G918,Dados!$D:$L,2,0)=VLOOKUP(I918,Dados!$S:$V,2,0),VLOOKUP(G918,Dados!$D:$L,3,0)=VLOOKUP(I918,Dados!$S:$V,3,0)),0,1)</f>
        <v>0</v>
      </c>
      <c r="T918" s="4">
        <f>IF(AND(VLOOKUP(G918,Dados!$D:$L,3,0)&lt;=VLOOKUP(H918,Dados!$X:$AB,2,0),VLOOKUP(G918,Dados!$D:$L,4,0)&gt;=VLOOKUP(H918,Dados!$X:$AB,3,0),VLOOKUP(G918,Dados!$D:$L,4,0)&lt;=VLOOKUP(H918,Dados!$X:$AB,4,0)),0,1)</f>
        <v>0</v>
      </c>
      <c r="U918" s="4">
        <f>IF(COUNTIFS(F:F,F918,H:H,H918)&lt;=VLOOKUP(H918,Dados!$X:$AB,5,0),0,1)</f>
        <v>0</v>
      </c>
    </row>
    <row r="919" spans="6:21">
      <c r="F919" s="4">
        <v>496</v>
      </c>
      <c r="G919" s="4">
        <v>36</v>
      </c>
      <c r="H919" s="4">
        <v>2</v>
      </c>
      <c r="I919" s="4">
        <v>16</v>
      </c>
      <c r="J919" s="4">
        <v>1</v>
      </c>
      <c r="K919" s="4">
        <f t="shared" si="227"/>
        <v>0</v>
      </c>
      <c r="L919" s="4">
        <f t="shared" si="227"/>
        <v>13</v>
      </c>
      <c r="M919" s="4">
        <f t="shared" si="227"/>
        <v>0</v>
      </c>
      <c r="N919" s="4">
        <f t="shared" si="227"/>
        <v>0</v>
      </c>
      <c r="O919" s="4">
        <f t="shared" si="228"/>
        <v>0</v>
      </c>
      <c r="P919" s="4">
        <f t="shared" si="229"/>
        <v>13</v>
      </c>
      <c r="Q919" s="4">
        <f t="shared" si="230"/>
        <v>0</v>
      </c>
      <c r="R919" s="4">
        <f t="shared" si="231"/>
        <v>0</v>
      </c>
      <c r="S919" s="4">
        <f>IF(AND(VLOOKUP(G919,Dados!$D:$L,2,0)=VLOOKUP(I919,Dados!$S:$V,2,0),VLOOKUP(G919,Dados!$D:$L,3,0)=VLOOKUP(I919,Dados!$S:$V,3,0)),0,1)</f>
        <v>0</v>
      </c>
      <c r="T919" s="4">
        <f>IF(AND(VLOOKUP(G919,Dados!$D:$L,3,0)&lt;=VLOOKUP(H919,Dados!$X:$AB,2,0),VLOOKUP(G919,Dados!$D:$L,4,0)&gt;=VLOOKUP(H919,Dados!$X:$AB,3,0),VLOOKUP(G919,Dados!$D:$L,4,0)&lt;=VLOOKUP(H919,Dados!$X:$AB,4,0)),0,1)</f>
        <v>0</v>
      </c>
      <c r="U919" s="4">
        <f>IF(COUNTIFS(F:F,F919,H:H,H919)&lt;=VLOOKUP(H919,Dados!$X:$AB,5,0),0,1)</f>
        <v>0</v>
      </c>
    </row>
    <row r="920" spans="6:21">
      <c r="F920" s="4">
        <v>497</v>
      </c>
      <c r="G920" s="4">
        <v>32</v>
      </c>
      <c r="H920" s="4">
        <v>3</v>
      </c>
      <c r="I920" s="4">
        <v>16</v>
      </c>
      <c r="J920" s="4">
        <v>2</v>
      </c>
      <c r="K920" s="4">
        <f t="shared" si="227"/>
        <v>0</v>
      </c>
      <c r="L920" s="4">
        <f t="shared" si="227"/>
        <v>0</v>
      </c>
      <c r="M920" s="4">
        <f t="shared" si="227"/>
        <v>0</v>
      </c>
      <c r="N920" s="4">
        <f t="shared" si="227"/>
        <v>0</v>
      </c>
      <c r="O920" s="4">
        <f t="shared" si="228"/>
        <v>0</v>
      </c>
      <c r="P920" s="4">
        <f t="shared" si="229"/>
        <v>0</v>
      </c>
      <c r="Q920" s="4">
        <f t="shared" si="230"/>
        <v>0</v>
      </c>
      <c r="R920" s="4">
        <f t="shared" si="231"/>
        <v>0</v>
      </c>
      <c r="S920" s="4">
        <f>IF(AND(VLOOKUP(G920,Dados!$D:$L,2,0)=VLOOKUP(I920,Dados!$S:$V,2,0),VLOOKUP(G920,Dados!$D:$L,3,0)=VLOOKUP(I920,Dados!$S:$V,3,0)),0,1)</f>
        <v>0</v>
      </c>
      <c r="T920" s="4">
        <f>IF(AND(VLOOKUP(G920,Dados!$D:$L,3,0)&lt;=VLOOKUP(H920,Dados!$X:$AB,2,0),VLOOKUP(G920,Dados!$D:$L,4,0)&gt;=VLOOKUP(H920,Dados!$X:$AB,3,0),VLOOKUP(G920,Dados!$D:$L,4,0)&lt;=VLOOKUP(H920,Dados!$X:$AB,4,0)),0,1)</f>
        <v>0</v>
      </c>
      <c r="U920" s="4">
        <f>IF(COUNTIFS(F:F,F920,H:H,H920)&lt;=VLOOKUP(H920,Dados!$X:$AB,5,0),0,1)</f>
        <v>0</v>
      </c>
    </row>
    <row r="921" spans="6:21">
      <c r="F921" s="4">
        <v>497</v>
      </c>
      <c r="G921" s="4">
        <v>33</v>
      </c>
      <c r="H921" s="4">
        <v>3</v>
      </c>
      <c r="I921" s="4">
        <v>16</v>
      </c>
      <c r="J921" s="4">
        <v>4</v>
      </c>
      <c r="K921" s="4">
        <f t="shared" si="227"/>
        <v>0</v>
      </c>
      <c r="L921" s="4">
        <f t="shared" si="227"/>
        <v>0</v>
      </c>
      <c r="M921" s="4">
        <f t="shared" si="227"/>
        <v>0</v>
      </c>
      <c r="N921" s="4">
        <f t="shared" si="227"/>
        <v>0</v>
      </c>
      <c r="O921" s="4">
        <f t="shared" si="228"/>
        <v>0</v>
      </c>
      <c r="P921" s="4">
        <f t="shared" si="229"/>
        <v>0</v>
      </c>
      <c r="Q921" s="4">
        <f t="shared" si="230"/>
        <v>0</v>
      </c>
      <c r="R921" s="4">
        <f t="shared" si="231"/>
        <v>0</v>
      </c>
      <c r="S921" s="4">
        <f>IF(AND(VLOOKUP(G921,Dados!$D:$L,2,0)=VLOOKUP(I921,Dados!$S:$V,2,0),VLOOKUP(G921,Dados!$D:$L,3,0)=VLOOKUP(I921,Dados!$S:$V,3,0)),0,1)</f>
        <v>0</v>
      </c>
      <c r="T921" s="4">
        <f>IF(AND(VLOOKUP(G921,Dados!$D:$L,3,0)&lt;=VLOOKUP(H921,Dados!$X:$AB,2,0),VLOOKUP(G921,Dados!$D:$L,4,0)&gt;=VLOOKUP(H921,Dados!$X:$AB,3,0),VLOOKUP(G921,Dados!$D:$L,4,0)&lt;=VLOOKUP(H921,Dados!$X:$AB,4,0)),0,1)</f>
        <v>0</v>
      </c>
      <c r="U921" s="4">
        <f>IF(COUNTIFS(F:F,F921,H:H,H921)&lt;=VLOOKUP(H921,Dados!$X:$AB,5,0),0,1)</f>
        <v>0</v>
      </c>
    </row>
    <row r="922" spans="6:21">
      <c r="F922" s="4">
        <v>497</v>
      </c>
      <c r="G922" s="4">
        <v>36</v>
      </c>
      <c r="H922" s="4">
        <v>3</v>
      </c>
      <c r="I922" s="4">
        <v>16</v>
      </c>
      <c r="J922" s="4">
        <v>1</v>
      </c>
      <c r="K922" s="4">
        <f t="shared" si="227"/>
        <v>0</v>
      </c>
      <c r="L922" s="4">
        <f t="shared" si="227"/>
        <v>0</v>
      </c>
      <c r="M922" s="4">
        <f t="shared" si="227"/>
        <v>0</v>
      </c>
      <c r="N922" s="4">
        <f t="shared" si="227"/>
        <v>0</v>
      </c>
      <c r="O922" s="4">
        <f t="shared" si="228"/>
        <v>0</v>
      </c>
      <c r="P922" s="4">
        <f t="shared" si="229"/>
        <v>0</v>
      </c>
      <c r="Q922" s="4">
        <f t="shared" si="230"/>
        <v>0</v>
      </c>
      <c r="R922" s="4">
        <f t="shared" si="231"/>
        <v>0</v>
      </c>
      <c r="S922" s="4">
        <f>IF(AND(VLOOKUP(G922,Dados!$D:$L,2,0)=VLOOKUP(I922,Dados!$S:$V,2,0),VLOOKUP(G922,Dados!$D:$L,3,0)=VLOOKUP(I922,Dados!$S:$V,3,0)),0,1)</f>
        <v>0</v>
      </c>
      <c r="T922" s="4">
        <f>IF(AND(VLOOKUP(G922,Dados!$D:$L,3,0)&lt;=VLOOKUP(H922,Dados!$X:$AB,2,0),VLOOKUP(G922,Dados!$D:$L,4,0)&gt;=VLOOKUP(H922,Dados!$X:$AB,3,0),VLOOKUP(G922,Dados!$D:$L,4,0)&lt;=VLOOKUP(H922,Dados!$X:$AB,4,0)),0,1)</f>
        <v>0</v>
      </c>
      <c r="U922" s="4">
        <f>IF(COUNTIFS(F:F,F922,H:H,H922)&lt;=VLOOKUP(H922,Dados!$X:$AB,5,0),0,1)</f>
        <v>0</v>
      </c>
    </row>
    <row r="923" spans="6:21">
      <c r="F923" s="4">
        <v>498</v>
      </c>
      <c r="G923" s="4">
        <v>39</v>
      </c>
      <c r="H923" s="4">
        <v>1</v>
      </c>
      <c r="I923" s="4">
        <v>17</v>
      </c>
      <c r="J923" s="4">
        <v>1</v>
      </c>
      <c r="K923" s="4">
        <f t="shared" si="227"/>
        <v>0</v>
      </c>
      <c r="L923" s="4">
        <f t="shared" si="227"/>
        <v>0</v>
      </c>
      <c r="M923" s="4">
        <f t="shared" si="227"/>
        <v>0</v>
      </c>
      <c r="N923" s="4">
        <f t="shared" si="227"/>
        <v>0</v>
      </c>
      <c r="O923" s="4">
        <f t="shared" si="228"/>
        <v>0</v>
      </c>
      <c r="P923" s="4">
        <f t="shared" si="229"/>
        <v>0</v>
      </c>
      <c r="Q923" s="4">
        <f t="shared" si="230"/>
        <v>0</v>
      </c>
      <c r="R923" s="4">
        <f t="shared" si="231"/>
        <v>0</v>
      </c>
      <c r="S923" s="4">
        <f>IF(AND(VLOOKUP(G923,Dados!$D:$L,2,0)=VLOOKUP(I923,Dados!$S:$V,2,0),VLOOKUP(G923,Dados!$D:$L,3,0)=VLOOKUP(I923,Dados!$S:$V,3,0)),0,1)</f>
        <v>0</v>
      </c>
      <c r="T923" s="4">
        <f>IF(AND(VLOOKUP(G923,Dados!$D:$L,3,0)&lt;=VLOOKUP(H923,Dados!$X:$AB,2,0),VLOOKUP(G923,Dados!$D:$L,4,0)&gt;=VLOOKUP(H923,Dados!$X:$AB,3,0),VLOOKUP(G923,Dados!$D:$L,4,0)&lt;=VLOOKUP(H923,Dados!$X:$AB,4,0)),0,1)</f>
        <v>0</v>
      </c>
      <c r="U923" s="4">
        <f>IF(COUNTIFS(F:F,F923,H:H,H923)&lt;=VLOOKUP(H923,Dados!$X:$AB,5,0),0,1)</f>
        <v>0</v>
      </c>
    </row>
    <row r="924" spans="6:21">
      <c r="F924" s="4">
        <v>498</v>
      </c>
      <c r="G924" s="4">
        <v>40</v>
      </c>
      <c r="H924" s="4">
        <v>1</v>
      </c>
      <c r="I924" s="4">
        <v>17</v>
      </c>
      <c r="J924" s="4">
        <v>4</v>
      </c>
      <c r="K924" s="4">
        <f t="shared" si="227"/>
        <v>0</v>
      </c>
      <c r="L924" s="4">
        <f t="shared" si="227"/>
        <v>0</v>
      </c>
      <c r="M924" s="4">
        <f t="shared" si="227"/>
        <v>0</v>
      </c>
      <c r="N924" s="4">
        <f t="shared" si="227"/>
        <v>0</v>
      </c>
      <c r="O924" s="4">
        <f t="shared" si="228"/>
        <v>0</v>
      </c>
      <c r="P924" s="4">
        <f t="shared" si="229"/>
        <v>0</v>
      </c>
      <c r="Q924" s="4">
        <f t="shared" si="230"/>
        <v>0</v>
      </c>
      <c r="R924" s="4">
        <f t="shared" si="231"/>
        <v>0</v>
      </c>
      <c r="S924" s="4">
        <f>IF(AND(VLOOKUP(G924,Dados!$D:$L,2,0)=VLOOKUP(I924,Dados!$S:$V,2,0),VLOOKUP(G924,Dados!$D:$L,3,0)=VLOOKUP(I924,Dados!$S:$V,3,0)),0,1)</f>
        <v>0</v>
      </c>
      <c r="T924" s="4">
        <f>IF(AND(VLOOKUP(G924,Dados!$D:$L,3,0)&lt;=VLOOKUP(H924,Dados!$X:$AB,2,0),VLOOKUP(G924,Dados!$D:$L,4,0)&gt;=VLOOKUP(H924,Dados!$X:$AB,3,0),VLOOKUP(G924,Dados!$D:$L,4,0)&lt;=VLOOKUP(H924,Dados!$X:$AB,4,0)),0,1)</f>
        <v>0</v>
      </c>
      <c r="U924" s="4">
        <f>IF(COUNTIFS(F:F,F924,H:H,H924)&lt;=VLOOKUP(H924,Dados!$X:$AB,5,0),0,1)</f>
        <v>0</v>
      </c>
    </row>
    <row r="925" spans="6:21">
      <c r="F925" s="4">
        <v>498</v>
      </c>
      <c r="G925" s="4">
        <v>43</v>
      </c>
      <c r="H925" s="4">
        <v>1</v>
      </c>
      <c r="I925" s="4">
        <v>17</v>
      </c>
      <c r="J925" s="4">
        <v>2</v>
      </c>
      <c r="K925" s="4">
        <f t="shared" si="227"/>
        <v>0</v>
      </c>
      <c r="L925" s="4">
        <f t="shared" si="227"/>
        <v>0</v>
      </c>
      <c r="M925" s="4">
        <f t="shared" si="227"/>
        <v>0</v>
      </c>
      <c r="N925" s="4">
        <f t="shared" si="227"/>
        <v>0</v>
      </c>
      <c r="O925" s="4">
        <f t="shared" si="228"/>
        <v>0</v>
      </c>
      <c r="P925" s="4">
        <f t="shared" si="229"/>
        <v>0</v>
      </c>
      <c r="Q925" s="4">
        <f t="shared" si="230"/>
        <v>0</v>
      </c>
      <c r="R925" s="4">
        <f t="shared" si="231"/>
        <v>0</v>
      </c>
      <c r="S925" s="4">
        <f>IF(AND(VLOOKUP(G925,Dados!$D:$L,2,0)=VLOOKUP(I925,Dados!$S:$V,2,0),VLOOKUP(G925,Dados!$D:$L,3,0)=VLOOKUP(I925,Dados!$S:$V,3,0)),0,1)</f>
        <v>0</v>
      </c>
      <c r="T925" s="4">
        <f>IF(AND(VLOOKUP(G925,Dados!$D:$L,3,0)&lt;=VLOOKUP(H925,Dados!$X:$AB,2,0),VLOOKUP(G925,Dados!$D:$L,4,0)&gt;=VLOOKUP(H925,Dados!$X:$AB,3,0),VLOOKUP(G925,Dados!$D:$L,4,0)&lt;=VLOOKUP(H925,Dados!$X:$AB,4,0)),0,1)</f>
        <v>0</v>
      </c>
      <c r="U925" s="4">
        <f>IF(COUNTIFS(F:F,F925,H:H,H925)&lt;=VLOOKUP(H925,Dados!$X:$AB,5,0),0,1)</f>
        <v>0</v>
      </c>
    </row>
    <row r="926" spans="6:21">
      <c r="F926" s="4">
        <v>499</v>
      </c>
      <c r="G926" s="4">
        <v>39</v>
      </c>
      <c r="H926" s="4">
        <v>2</v>
      </c>
      <c r="I926" s="4">
        <v>17</v>
      </c>
      <c r="J926" s="4">
        <v>1</v>
      </c>
      <c r="K926" s="4">
        <f t="shared" si="227"/>
        <v>0</v>
      </c>
      <c r="L926" s="4">
        <f t="shared" si="227"/>
        <v>0</v>
      </c>
      <c r="M926" s="4">
        <f t="shared" si="227"/>
        <v>0</v>
      </c>
      <c r="N926" s="4">
        <f t="shared" si="227"/>
        <v>0</v>
      </c>
      <c r="O926" s="4">
        <f t="shared" si="228"/>
        <v>0</v>
      </c>
      <c r="P926" s="4">
        <f t="shared" si="229"/>
        <v>0</v>
      </c>
      <c r="Q926" s="4">
        <f t="shared" si="230"/>
        <v>0</v>
      </c>
      <c r="R926" s="4">
        <f t="shared" si="231"/>
        <v>0</v>
      </c>
      <c r="S926" s="4">
        <f>IF(AND(VLOOKUP(G926,Dados!$D:$L,2,0)=VLOOKUP(I926,Dados!$S:$V,2,0),VLOOKUP(G926,Dados!$D:$L,3,0)=VLOOKUP(I926,Dados!$S:$V,3,0)),0,1)</f>
        <v>0</v>
      </c>
      <c r="T926" s="4">
        <f>IF(AND(VLOOKUP(G926,Dados!$D:$L,3,0)&lt;=VLOOKUP(H926,Dados!$X:$AB,2,0),VLOOKUP(G926,Dados!$D:$L,4,0)&gt;=VLOOKUP(H926,Dados!$X:$AB,3,0),VLOOKUP(G926,Dados!$D:$L,4,0)&lt;=VLOOKUP(H926,Dados!$X:$AB,4,0)),0,1)</f>
        <v>0</v>
      </c>
      <c r="U926" s="4">
        <f>IF(COUNTIFS(F:F,F926,H:H,H926)&lt;=VLOOKUP(H926,Dados!$X:$AB,5,0),0,1)</f>
        <v>0</v>
      </c>
    </row>
    <row r="927" spans="6:21">
      <c r="F927" s="4">
        <v>499</v>
      </c>
      <c r="G927" s="4">
        <v>40</v>
      </c>
      <c r="H927" s="4">
        <v>2</v>
      </c>
      <c r="I927" s="4">
        <v>17</v>
      </c>
      <c r="J927" s="4">
        <v>4</v>
      </c>
      <c r="K927" s="4">
        <f t="shared" si="227"/>
        <v>0</v>
      </c>
      <c r="L927" s="4">
        <f t="shared" si="227"/>
        <v>0</v>
      </c>
      <c r="M927" s="4">
        <f t="shared" si="227"/>
        <v>0</v>
      </c>
      <c r="N927" s="4">
        <f t="shared" si="227"/>
        <v>0</v>
      </c>
      <c r="O927" s="4">
        <f t="shared" si="228"/>
        <v>0</v>
      </c>
      <c r="P927" s="4">
        <f t="shared" si="229"/>
        <v>0</v>
      </c>
      <c r="Q927" s="4">
        <f t="shared" si="230"/>
        <v>0</v>
      </c>
      <c r="R927" s="4">
        <f t="shared" si="231"/>
        <v>0</v>
      </c>
      <c r="S927" s="4">
        <f>IF(AND(VLOOKUP(G927,Dados!$D:$L,2,0)=VLOOKUP(I927,Dados!$S:$V,2,0),VLOOKUP(G927,Dados!$D:$L,3,0)=VLOOKUP(I927,Dados!$S:$V,3,0)),0,1)</f>
        <v>0</v>
      </c>
      <c r="T927" s="4">
        <f>IF(AND(VLOOKUP(G927,Dados!$D:$L,3,0)&lt;=VLOOKUP(H927,Dados!$X:$AB,2,0),VLOOKUP(G927,Dados!$D:$L,4,0)&gt;=VLOOKUP(H927,Dados!$X:$AB,3,0),VLOOKUP(G927,Dados!$D:$L,4,0)&lt;=VLOOKUP(H927,Dados!$X:$AB,4,0)),0,1)</f>
        <v>0</v>
      </c>
      <c r="U927" s="4">
        <f>IF(COUNTIFS(F:F,F927,H:H,H927)&lt;=VLOOKUP(H927,Dados!$X:$AB,5,0),0,1)</f>
        <v>0</v>
      </c>
    </row>
    <row r="928" spans="6:21">
      <c r="F928" s="4">
        <v>499</v>
      </c>
      <c r="G928" s="4">
        <v>43</v>
      </c>
      <c r="H928" s="4">
        <v>2</v>
      </c>
      <c r="I928" s="4">
        <v>17</v>
      </c>
      <c r="J928" s="4">
        <v>2</v>
      </c>
      <c r="K928" s="4">
        <f t="shared" si="227"/>
        <v>0</v>
      </c>
      <c r="L928" s="4">
        <f t="shared" si="227"/>
        <v>0</v>
      </c>
      <c r="M928" s="4">
        <f t="shared" si="227"/>
        <v>0</v>
      </c>
      <c r="N928" s="4">
        <f t="shared" si="227"/>
        <v>0</v>
      </c>
      <c r="O928" s="4">
        <f t="shared" si="228"/>
        <v>0</v>
      </c>
      <c r="P928" s="4">
        <f t="shared" si="229"/>
        <v>0</v>
      </c>
      <c r="Q928" s="4">
        <f t="shared" si="230"/>
        <v>0</v>
      </c>
      <c r="R928" s="4">
        <f t="shared" si="231"/>
        <v>0</v>
      </c>
      <c r="S928" s="4">
        <f>IF(AND(VLOOKUP(G928,Dados!$D:$L,2,0)=VLOOKUP(I928,Dados!$S:$V,2,0),VLOOKUP(G928,Dados!$D:$L,3,0)=VLOOKUP(I928,Dados!$S:$V,3,0)),0,1)</f>
        <v>0</v>
      </c>
      <c r="T928" s="4">
        <f>IF(AND(VLOOKUP(G928,Dados!$D:$L,3,0)&lt;=VLOOKUP(H928,Dados!$X:$AB,2,0),VLOOKUP(G928,Dados!$D:$L,4,0)&gt;=VLOOKUP(H928,Dados!$X:$AB,3,0),VLOOKUP(G928,Dados!$D:$L,4,0)&lt;=VLOOKUP(H928,Dados!$X:$AB,4,0)),0,1)</f>
        <v>0</v>
      </c>
      <c r="U928" s="4">
        <f>IF(COUNTIFS(F:F,F928,H:H,H928)&lt;=VLOOKUP(H928,Dados!$X:$AB,5,0),0,1)</f>
        <v>0</v>
      </c>
    </row>
    <row r="929" spans="6:21">
      <c r="F929" s="4">
        <v>500</v>
      </c>
      <c r="G929" s="4">
        <v>39</v>
      </c>
      <c r="H929" s="4">
        <v>3</v>
      </c>
      <c r="I929" s="4">
        <v>17</v>
      </c>
      <c r="J929" s="4">
        <v>1</v>
      </c>
      <c r="K929" s="4">
        <f t="shared" si="227"/>
        <v>0</v>
      </c>
      <c r="L929" s="4">
        <f t="shared" si="227"/>
        <v>0</v>
      </c>
      <c r="M929" s="4">
        <f t="shared" si="227"/>
        <v>0</v>
      </c>
      <c r="N929" s="4">
        <f t="shared" si="227"/>
        <v>0</v>
      </c>
      <c r="O929" s="4">
        <f t="shared" si="228"/>
        <v>0</v>
      </c>
      <c r="P929" s="4">
        <f t="shared" si="229"/>
        <v>0</v>
      </c>
      <c r="Q929" s="4">
        <f t="shared" si="230"/>
        <v>0</v>
      </c>
      <c r="R929" s="4">
        <f t="shared" si="231"/>
        <v>0</v>
      </c>
      <c r="S929" s="4">
        <f>IF(AND(VLOOKUP(G929,Dados!$D:$L,2,0)=VLOOKUP(I929,Dados!$S:$V,2,0),VLOOKUP(G929,Dados!$D:$L,3,0)=VLOOKUP(I929,Dados!$S:$V,3,0)),0,1)</f>
        <v>0</v>
      </c>
      <c r="T929" s="4">
        <f>IF(AND(VLOOKUP(G929,Dados!$D:$L,3,0)&lt;=VLOOKUP(H929,Dados!$X:$AB,2,0),VLOOKUP(G929,Dados!$D:$L,4,0)&gt;=VLOOKUP(H929,Dados!$X:$AB,3,0),VLOOKUP(G929,Dados!$D:$L,4,0)&lt;=VLOOKUP(H929,Dados!$X:$AB,4,0)),0,1)</f>
        <v>0</v>
      </c>
      <c r="U929" s="4">
        <f>IF(COUNTIFS(F:F,F929,H:H,H929)&lt;=VLOOKUP(H929,Dados!$X:$AB,5,0),0,1)</f>
        <v>0</v>
      </c>
    </row>
    <row r="930" spans="6:21">
      <c r="F930" s="4">
        <v>500</v>
      </c>
      <c r="G930" s="4">
        <v>40</v>
      </c>
      <c r="H930" s="4">
        <v>3</v>
      </c>
      <c r="I930" s="4">
        <v>17</v>
      </c>
      <c r="J930" s="4">
        <v>4</v>
      </c>
      <c r="K930" s="4">
        <f t="shared" si="227"/>
        <v>0</v>
      </c>
      <c r="L930" s="4">
        <f t="shared" si="227"/>
        <v>0</v>
      </c>
      <c r="M930" s="4">
        <f t="shared" si="227"/>
        <v>0</v>
      </c>
      <c r="N930" s="4">
        <f t="shared" si="227"/>
        <v>0</v>
      </c>
      <c r="O930" s="4">
        <f t="shared" si="228"/>
        <v>0</v>
      </c>
      <c r="P930" s="4">
        <f t="shared" si="229"/>
        <v>0</v>
      </c>
      <c r="Q930" s="4">
        <f t="shared" si="230"/>
        <v>0</v>
      </c>
      <c r="R930" s="4">
        <f t="shared" si="231"/>
        <v>0</v>
      </c>
      <c r="S930" s="4">
        <f>IF(AND(VLOOKUP(G930,Dados!$D:$L,2,0)=VLOOKUP(I930,Dados!$S:$V,2,0),VLOOKUP(G930,Dados!$D:$L,3,0)=VLOOKUP(I930,Dados!$S:$V,3,0)),0,1)</f>
        <v>0</v>
      </c>
      <c r="T930" s="4">
        <f>IF(AND(VLOOKUP(G930,Dados!$D:$L,3,0)&lt;=VLOOKUP(H930,Dados!$X:$AB,2,0),VLOOKUP(G930,Dados!$D:$L,4,0)&gt;=VLOOKUP(H930,Dados!$X:$AB,3,0),VLOOKUP(G930,Dados!$D:$L,4,0)&lt;=VLOOKUP(H930,Dados!$X:$AB,4,0)),0,1)</f>
        <v>0</v>
      </c>
      <c r="U930" s="4">
        <f>IF(COUNTIFS(F:F,F930,H:H,H930)&lt;=VLOOKUP(H930,Dados!$X:$AB,5,0),0,1)</f>
        <v>0</v>
      </c>
    </row>
    <row r="931" spans="6:21">
      <c r="F931" s="4">
        <v>500</v>
      </c>
      <c r="G931" s="4">
        <v>43</v>
      </c>
      <c r="H931" s="4">
        <v>3</v>
      </c>
      <c r="I931" s="4">
        <v>17</v>
      </c>
      <c r="J931" s="4">
        <v>1</v>
      </c>
      <c r="K931" s="4">
        <f t="shared" si="227"/>
        <v>0</v>
      </c>
      <c r="L931" s="4">
        <f t="shared" si="227"/>
        <v>0</v>
      </c>
      <c r="M931" s="4">
        <f t="shared" si="227"/>
        <v>0</v>
      </c>
      <c r="N931" s="4">
        <f t="shared" si="227"/>
        <v>0</v>
      </c>
      <c r="O931" s="4">
        <f t="shared" si="228"/>
        <v>0</v>
      </c>
      <c r="P931" s="4">
        <f t="shared" si="229"/>
        <v>0</v>
      </c>
      <c r="Q931" s="4">
        <f t="shared" si="230"/>
        <v>0</v>
      </c>
      <c r="R931" s="4">
        <f t="shared" si="231"/>
        <v>0</v>
      </c>
      <c r="S931" s="4">
        <f>IF(AND(VLOOKUP(G931,Dados!$D:$L,2,0)=VLOOKUP(I931,Dados!$S:$V,2,0),VLOOKUP(G931,Dados!$D:$L,3,0)=VLOOKUP(I931,Dados!$S:$V,3,0)),0,1)</f>
        <v>0</v>
      </c>
      <c r="T931" s="4">
        <f>IF(AND(VLOOKUP(G931,Dados!$D:$L,3,0)&lt;=VLOOKUP(H931,Dados!$X:$AB,2,0),VLOOKUP(G931,Dados!$D:$L,4,0)&gt;=VLOOKUP(H931,Dados!$X:$AB,3,0),VLOOKUP(G931,Dados!$D:$L,4,0)&lt;=VLOOKUP(H931,Dados!$X:$AB,4,0)),0,1)</f>
        <v>0</v>
      </c>
      <c r="U931" s="4">
        <f>IF(COUNTIFS(F:F,F931,H:H,H931)&lt;=VLOOKUP(H931,Dados!$X:$AB,5,0),0,1)</f>
        <v>0</v>
      </c>
    </row>
    <row r="932" spans="6:21">
      <c r="F932" s="4">
        <v>500</v>
      </c>
      <c r="G932" s="4">
        <v>45</v>
      </c>
      <c r="H932" s="4">
        <v>3</v>
      </c>
      <c r="I932" s="4">
        <v>17</v>
      </c>
      <c r="J932" s="4">
        <v>1</v>
      </c>
      <c r="K932" s="4">
        <f t="shared" si="227"/>
        <v>0</v>
      </c>
      <c r="L932" s="4">
        <f t="shared" si="227"/>
        <v>0</v>
      </c>
      <c r="M932" s="4">
        <f t="shared" si="227"/>
        <v>0</v>
      </c>
      <c r="N932" s="4">
        <f t="shared" si="227"/>
        <v>0</v>
      </c>
      <c r="O932" s="4">
        <f t="shared" si="228"/>
        <v>0</v>
      </c>
      <c r="P932" s="4">
        <f t="shared" si="229"/>
        <v>0</v>
      </c>
      <c r="Q932" s="4">
        <f t="shared" si="230"/>
        <v>0</v>
      </c>
      <c r="R932" s="4">
        <f t="shared" si="231"/>
        <v>0</v>
      </c>
      <c r="S932" s="4">
        <f>IF(AND(VLOOKUP(G932,Dados!$D:$L,2,0)=VLOOKUP(I932,Dados!$S:$V,2,0),VLOOKUP(G932,Dados!$D:$L,3,0)=VLOOKUP(I932,Dados!$S:$V,3,0)),0,1)</f>
        <v>0</v>
      </c>
      <c r="T932" s="4">
        <f>IF(AND(VLOOKUP(G932,Dados!$D:$L,3,0)&lt;=VLOOKUP(H932,Dados!$X:$AB,2,0),VLOOKUP(G932,Dados!$D:$L,4,0)&gt;=VLOOKUP(H932,Dados!$X:$AB,3,0),VLOOKUP(G932,Dados!$D:$L,4,0)&lt;=VLOOKUP(H932,Dados!$X:$AB,4,0)),0,1)</f>
        <v>0</v>
      </c>
      <c r="U932" s="4">
        <f>IF(COUNTIFS(F:F,F932,H:H,H932)&lt;=VLOOKUP(H932,Dados!$X:$AB,5,0),0,1)</f>
        <v>0</v>
      </c>
    </row>
    <row r="933" spans="6:21">
      <c r="F933" s="4">
        <v>501</v>
      </c>
      <c r="G933" s="4">
        <v>46</v>
      </c>
      <c r="H933" s="4">
        <v>1</v>
      </c>
      <c r="I933" s="4">
        <v>18</v>
      </c>
      <c r="J933" s="4">
        <v>4</v>
      </c>
      <c r="K933" s="4">
        <f t="shared" si="227"/>
        <v>0</v>
      </c>
      <c r="L933" s="4">
        <f t="shared" si="227"/>
        <v>0</v>
      </c>
      <c r="M933" s="4">
        <f t="shared" si="227"/>
        <v>0</v>
      </c>
      <c r="N933" s="4">
        <f t="shared" si="227"/>
        <v>0</v>
      </c>
      <c r="O933" s="4">
        <f t="shared" si="228"/>
        <v>0</v>
      </c>
      <c r="P933" s="4">
        <f t="shared" si="229"/>
        <v>0</v>
      </c>
      <c r="Q933" s="4">
        <f t="shared" si="230"/>
        <v>0</v>
      </c>
      <c r="R933" s="4">
        <f t="shared" si="231"/>
        <v>0</v>
      </c>
      <c r="S933" s="4">
        <f>IF(AND(VLOOKUP(G933,Dados!$D:$L,2,0)=VLOOKUP(I933,Dados!$S:$V,2,0),VLOOKUP(G933,Dados!$D:$L,3,0)=VLOOKUP(I933,Dados!$S:$V,3,0)),0,1)</f>
        <v>0</v>
      </c>
      <c r="T933" s="4">
        <f>IF(AND(VLOOKUP(G933,Dados!$D:$L,3,0)&lt;=VLOOKUP(H933,Dados!$X:$AB,2,0),VLOOKUP(G933,Dados!$D:$L,4,0)&gt;=VLOOKUP(H933,Dados!$X:$AB,3,0),VLOOKUP(G933,Dados!$D:$L,4,0)&lt;=VLOOKUP(H933,Dados!$X:$AB,4,0)),0,1)</f>
        <v>0</v>
      </c>
      <c r="U933" s="4">
        <f>IF(COUNTIFS(F:F,F933,H:H,H933)&lt;=VLOOKUP(H933,Dados!$X:$AB,5,0),0,1)</f>
        <v>0</v>
      </c>
    </row>
    <row r="934" spans="6:21">
      <c r="F934" s="4">
        <v>501</v>
      </c>
      <c r="G934" s="4">
        <v>47</v>
      </c>
      <c r="H934" s="4">
        <v>1</v>
      </c>
      <c r="I934" s="4">
        <v>18</v>
      </c>
      <c r="J934" s="4">
        <v>1</v>
      </c>
      <c r="K934" s="4">
        <f t="shared" si="227"/>
        <v>0</v>
      </c>
      <c r="L934" s="4">
        <f t="shared" si="227"/>
        <v>0</v>
      </c>
      <c r="M934" s="4">
        <f t="shared" si="227"/>
        <v>0</v>
      </c>
      <c r="N934" s="4">
        <f t="shared" si="227"/>
        <v>0</v>
      </c>
      <c r="O934" s="4">
        <f t="shared" si="228"/>
        <v>0</v>
      </c>
      <c r="P934" s="4">
        <f t="shared" si="229"/>
        <v>0</v>
      </c>
      <c r="Q934" s="4">
        <f t="shared" si="230"/>
        <v>0</v>
      </c>
      <c r="R934" s="4">
        <f t="shared" si="231"/>
        <v>0</v>
      </c>
      <c r="S934" s="4">
        <f>IF(AND(VLOOKUP(G934,Dados!$D:$L,2,0)=VLOOKUP(I934,Dados!$S:$V,2,0),VLOOKUP(G934,Dados!$D:$L,3,0)=VLOOKUP(I934,Dados!$S:$V,3,0)),0,1)</f>
        <v>0</v>
      </c>
      <c r="T934" s="4">
        <f>IF(AND(VLOOKUP(G934,Dados!$D:$L,3,0)&lt;=VLOOKUP(H934,Dados!$X:$AB,2,0),VLOOKUP(G934,Dados!$D:$L,4,0)&gt;=VLOOKUP(H934,Dados!$X:$AB,3,0),VLOOKUP(G934,Dados!$D:$L,4,0)&lt;=VLOOKUP(H934,Dados!$X:$AB,4,0)),0,1)</f>
        <v>0</v>
      </c>
      <c r="U934" s="4">
        <f>IF(COUNTIFS(F:F,F934,H:H,H934)&lt;=VLOOKUP(H934,Dados!$X:$AB,5,0),0,1)</f>
        <v>0</v>
      </c>
    </row>
    <row r="935" spans="6:21">
      <c r="F935" s="4">
        <v>501</v>
      </c>
      <c r="G935" s="4">
        <v>48</v>
      </c>
      <c r="H935" s="4">
        <v>1</v>
      </c>
      <c r="I935" s="4">
        <v>18</v>
      </c>
      <c r="J935" s="4">
        <v>1</v>
      </c>
      <c r="K935" s="4">
        <f t="shared" si="227"/>
        <v>0</v>
      </c>
      <c r="L935" s="4">
        <f t="shared" si="227"/>
        <v>0</v>
      </c>
      <c r="M935" s="4">
        <f t="shared" si="227"/>
        <v>0</v>
      </c>
      <c r="N935" s="4">
        <f t="shared" si="227"/>
        <v>0</v>
      </c>
      <c r="O935" s="4">
        <f t="shared" si="228"/>
        <v>0</v>
      </c>
      <c r="P935" s="4">
        <f t="shared" si="229"/>
        <v>0</v>
      </c>
      <c r="Q935" s="4">
        <f t="shared" si="230"/>
        <v>0</v>
      </c>
      <c r="R935" s="4">
        <f t="shared" si="231"/>
        <v>0</v>
      </c>
      <c r="S935" s="4">
        <f>IF(AND(VLOOKUP(G935,Dados!$D:$L,2,0)=VLOOKUP(I935,Dados!$S:$V,2,0),VLOOKUP(G935,Dados!$D:$L,3,0)=VLOOKUP(I935,Dados!$S:$V,3,0)),0,1)</f>
        <v>0</v>
      </c>
      <c r="T935" s="4">
        <f>IF(AND(VLOOKUP(G935,Dados!$D:$L,3,0)&lt;=VLOOKUP(H935,Dados!$X:$AB,2,0),VLOOKUP(G935,Dados!$D:$L,4,0)&gt;=VLOOKUP(H935,Dados!$X:$AB,3,0),VLOOKUP(G935,Dados!$D:$L,4,0)&lt;=VLOOKUP(H935,Dados!$X:$AB,4,0)),0,1)</f>
        <v>0</v>
      </c>
      <c r="U935" s="4">
        <f>IF(COUNTIFS(F:F,F935,H:H,H935)&lt;=VLOOKUP(H935,Dados!$X:$AB,5,0),0,1)</f>
        <v>0</v>
      </c>
    </row>
    <row r="936" spans="6:21">
      <c r="F936" s="4">
        <v>502</v>
      </c>
      <c r="G936" s="4">
        <v>46</v>
      </c>
      <c r="H936" s="4">
        <v>3</v>
      </c>
      <c r="I936" s="4">
        <v>18</v>
      </c>
      <c r="J936" s="4">
        <v>3</v>
      </c>
      <c r="K936" s="4">
        <f t="shared" si="227"/>
        <v>0</v>
      </c>
      <c r="L936" s="4">
        <f t="shared" si="227"/>
        <v>0</v>
      </c>
      <c r="M936" s="4">
        <f t="shared" si="227"/>
        <v>0</v>
      </c>
      <c r="N936" s="4">
        <f t="shared" si="227"/>
        <v>0</v>
      </c>
      <c r="O936" s="4">
        <f t="shared" si="228"/>
        <v>0</v>
      </c>
      <c r="P936" s="4">
        <f t="shared" si="229"/>
        <v>0</v>
      </c>
      <c r="Q936" s="4">
        <f t="shared" si="230"/>
        <v>0</v>
      </c>
      <c r="R936" s="4">
        <f t="shared" si="231"/>
        <v>0</v>
      </c>
      <c r="S936" s="4">
        <f>IF(AND(VLOOKUP(G936,Dados!$D:$L,2,0)=VLOOKUP(I936,Dados!$S:$V,2,0),VLOOKUP(G936,Dados!$D:$L,3,0)=VLOOKUP(I936,Dados!$S:$V,3,0)),0,1)</f>
        <v>0</v>
      </c>
      <c r="T936" s="4">
        <f>IF(AND(VLOOKUP(G936,Dados!$D:$L,3,0)&lt;=VLOOKUP(H936,Dados!$X:$AB,2,0),VLOOKUP(G936,Dados!$D:$L,4,0)&gt;=VLOOKUP(H936,Dados!$X:$AB,3,0),VLOOKUP(G936,Dados!$D:$L,4,0)&lt;=VLOOKUP(H936,Dados!$X:$AB,4,0)),0,1)</f>
        <v>0</v>
      </c>
      <c r="U936" s="4">
        <f>IF(COUNTIFS(F:F,F936,H:H,H936)&lt;=VLOOKUP(H936,Dados!$X:$AB,5,0),0,1)</f>
        <v>0</v>
      </c>
    </row>
    <row r="937" spans="6:21">
      <c r="F937" s="4">
        <v>502</v>
      </c>
      <c r="G937" s="4">
        <v>47</v>
      </c>
      <c r="H937" s="4">
        <v>3</v>
      </c>
      <c r="I937" s="4">
        <v>18</v>
      </c>
      <c r="J937" s="4">
        <v>1</v>
      </c>
      <c r="K937" s="4">
        <f t="shared" si="227"/>
        <v>0</v>
      </c>
      <c r="L937" s="4">
        <f t="shared" si="227"/>
        <v>0</v>
      </c>
      <c r="M937" s="4">
        <f t="shared" si="227"/>
        <v>0</v>
      </c>
      <c r="N937" s="4">
        <f t="shared" si="227"/>
        <v>0</v>
      </c>
      <c r="O937" s="4">
        <f t="shared" si="228"/>
        <v>0</v>
      </c>
      <c r="P937" s="4">
        <f t="shared" si="229"/>
        <v>0</v>
      </c>
      <c r="Q937" s="4">
        <f t="shared" si="230"/>
        <v>0</v>
      </c>
      <c r="R937" s="4">
        <f t="shared" si="231"/>
        <v>0</v>
      </c>
      <c r="S937" s="4">
        <f>IF(AND(VLOOKUP(G937,Dados!$D:$L,2,0)=VLOOKUP(I937,Dados!$S:$V,2,0),VLOOKUP(G937,Dados!$D:$L,3,0)=VLOOKUP(I937,Dados!$S:$V,3,0)),0,1)</f>
        <v>0</v>
      </c>
      <c r="T937" s="4">
        <f>IF(AND(VLOOKUP(G937,Dados!$D:$L,3,0)&lt;=VLOOKUP(H937,Dados!$X:$AB,2,0),VLOOKUP(G937,Dados!$D:$L,4,0)&gt;=VLOOKUP(H937,Dados!$X:$AB,3,0),VLOOKUP(G937,Dados!$D:$L,4,0)&lt;=VLOOKUP(H937,Dados!$X:$AB,4,0)),0,1)</f>
        <v>0</v>
      </c>
      <c r="U937" s="4">
        <f>IF(COUNTIFS(F:F,F937,H:H,H937)&lt;=VLOOKUP(H937,Dados!$X:$AB,5,0),0,1)</f>
        <v>0</v>
      </c>
    </row>
    <row r="938" spans="6:21">
      <c r="F938" s="4">
        <v>502</v>
      </c>
      <c r="G938" s="4">
        <v>48</v>
      </c>
      <c r="H938" s="4">
        <v>3</v>
      </c>
      <c r="I938" s="4">
        <v>18</v>
      </c>
      <c r="J938" s="4">
        <v>1</v>
      </c>
      <c r="K938" s="4">
        <f t="shared" si="227"/>
        <v>0</v>
      </c>
      <c r="L938" s="4">
        <f t="shared" si="227"/>
        <v>0</v>
      </c>
      <c r="M938" s="4">
        <f t="shared" si="227"/>
        <v>0</v>
      </c>
      <c r="N938" s="4">
        <f t="shared" si="227"/>
        <v>0</v>
      </c>
      <c r="O938" s="4">
        <f t="shared" si="228"/>
        <v>0</v>
      </c>
      <c r="P938" s="4">
        <f t="shared" si="229"/>
        <v>0</v>
      </c>
      <c r="Q938" s="4">
        <f t="shared" si="230"/>
        <v>0</v>
      </c>
      <c r="R938" s="4">
        <f t="shared" si="231"/>
        <v>0</v>
      </c>
      <c r="S938" s="4">
        <f>IF(AND(VLOOKUP(G938,Dados!$D:$L,2,0)=VLOOKUP(I938,Dados!$S:$V,2,0),VLOOKUP(G938,Dados!$D:$L,3,0)=VLOOKUP(I938,Dados!$S:$V,3,0)),0,1)</f>
        <v>0</v>
      </c>
      <c r="T938" s="4">
        <f>IF(AND(VLOOKUP(G938,Dados!$D:$L,3,0)&lt;=VLOOKUP(H938,Dados!$X:$AB,2,0),VLOOKUP(G938,Dados!$D:$L,4,0)&gt;=VLOOKUP(H938,Dados!$X:$AB,3,0),VLOOKUP(G938,Dados!$D:$L,4,0)&lt;=VLOOKUP(H938,Dados!$X:$AB,4,0)),0,1)</f>
        <v>0</v>
      </c>
      <c r="U938" s="4">
        <f>IF(COUNTIFS(F:F,F938,H:H,H938)&lt;=VLOOKUP(H938,Dados!$X:$AB,5,0),0,1)</f>
        <v>0</v>
      </c>
    </row>
    <row r="939" spans="6:21">
      <c r="F939" s="4">
        <v>502</v>
      </c>
      <c r="G939" s="4">
        <v>49</v>
      </c>
      <c r="H939" s="4">
        <v>3</v>
      </c>
      <c r="I939" s="4">
        <v>18</v>
      </c>
      <c r="J939" s="4">
        <v>2</v>
      </c>
      <c r="K939" s="4">
        <f t="shared" si="227"/>
        <v>0</v>
      </c>
      <c r="L939" s="4">
        <f t="shared" si="227"/>
        <v>0</v>
      </c>
      <c r="M939" s="4">
        <f t="shared" si="227"/>
        <v>0</v>
      </c>
      <c r="N939" s="4">
        <f t="shared" si="227"/>
        <v>0</v>
      </c>
      <c r="O939" s="4">
        <f t="shared" si="228"/>
        <v>0</v>
      </c>
      <c r="P939" s="4">
        <f t="shared" si="229"/>
        <v>0</v>
      </c>
      <c r="Q939" s="4">
        <f t="shared" si="230"/>
        <v>0</v>
      </c>
      <c r="R939" s="4">
        <f t="shared" si="231"/>
        <v>0</v>
      </c>
      <c r="S939" s="4">
        <f>IF(AND(VLOOKUP(G939,Dados!$D:$L,2,0)=VLOOKUP(I939,Dados!$S:$V,2,0),VLOOKUP(G939,Dados!$D:$L,3,0)=VLOOKUP(I939,Dados!$S:$V,3,0)),0,1)</f>
        <v>0</v>
      </c>
      <c r="T939" s="4">
        <f>IF(AND(VLOOKUP(G939,Dados!$D:$L,3,0)&lt;=VLOOKUP(H939,Dados!$X:$AB,2,0),VLOOKUP(G939,Dados!$D:$L,4,0)&gt;=VLOOKUP(H939,Dados!$X:$AB,3,0),VLOOKUP(G939,Dados!$D:$L,4,0)&lt;=VLOOKUP(H939,Dados!$X:$AB,4,0)),0,1)</f>
        <v>0</v>
      </c>
      <c r="U939" s="4">
        <f>IF(COUNTIFS(F:F,F939,H:H,H939)&lt;=VLOOKUP(H939,Dados!$X:$AB,5,0),0,1)</f>
        <v>0</v>
      </c>
    </row>
    <row r="940" spans="6:21">
      <c r="F940" s="4">
        <v>503</v>
      </c>
      <c r="G940" s="4">
        <v>46</v>
      </c>
      <c r="H940" s="4">
        <v>1</v>
      </c>
      <c r="I940" s="4">
        <v>19</v>
      </c>
      <c r="J940" s="4">
        <v>4</v>
      </c>
      <c r="K940" s="4">
        <f t="shared" si="227"/>
        <v>0</v>
      </c>
      <c r="L940" s="4">
        <f t="shared" si="227"/>
        <v>0</v>
      </c>
      <c r="M940" s="4">
        <f t="shared" si="227"/>
        <v>0</v>
      </c>
      <c r="N940" s="4">
        <f t="shared" si="227"/>
        <v>0</v>
      </c>
      <c r="O940" s="4">
        <f t="shared" si="228"/>
        <v>0</v>
      </c>
      <c r="P940" s="4">
        <f t="shared" si="229"/>
        <v>0</v>
      </c>
      <c r="Q940" s="4">
        <f t="shared" si="230"/>
        <v>0</v>
      </c>
      <c r="R940" s="4">
        <f t="shared" si="231"/>
        <v>0</v>
      </c>
      <c r="S940" s="4">
        <f>IF(AND(VLOOKUP(G940,Dados!$D:$L,2,0)=VLOOKUP(I940,Dados!$S:$V,2,0),VLOOKUP(G940,Dados!$D:$L,3,0)=VLOOKUP(I940,Dados!$S:$V,3,0)),0,1)</f>
        <v>0</v>
      </c>
      <c r="T940" s="4">
        <f>IF(AND(VLOOKUP(G940,Dados!$D:$L,3,0)&lt;=VLOOKUP(H940,Dados!$X:$AB,2,0),VLOOKUP(G940,Dados!$D:$L,4,0)&gt;=VLOOKUP(H940,Dados!$X:$AB,3,0),VLOOKUP(G940,Dados!$D:$L,4,0)&lt;=VLOOKUP(H940,Dados!$X:$AB,4,0)),0,1)</f>
        <v>0</v>
      </c>
      <c r="U940" s="4">
        <f>IF(COUNTIFS(F:F,F940,H:H,H940)&lt;=VLOOKUP(H940,Dados!$X:$AB,5,0),0,1)</f>
        <v>0</v>
      </c>
    </row>
    <row r="941" spans="6:21">
      <c r="F941" s="4">
        <v>503</v>
      </c>
      <c r="G941" s="4">
        <v>48</v>
      </c>
      <c r="H941" s="4">
        <v>1</v>
      </c>
      <c r="I941" s="4">
        <v>19</v>
      </c>
      <c r="J941" s="4">
        <v>2</v>
      </c>
      <c r="K941" s="4">
        <f t="shared" si="227"/>
        <v>0</v>
      </c>
      <c r="L941" s="4">
        <f t="shared" si="227"/>
        <v>0</v>
      </c>
      <c r="M941" s="4">
        <f t="shared" si="227"/>
        <v>0</v>
      </c>
      <c r="N941" s="4">
        <f t="shared" si="227"/>
        <v>0</v>
      </c>
      <c r="O941" s="4">
        <f t="shared" si="228"/>
        <v>0</v>
      </c>
      <c r="P941" s="4">
        <f t="shared" si="229"/>
        <v>0</v>
      </c>
      <c r="Q941" s="4">
        <f t="shared" si="230"/>
        <v>0</v>
      </c>
      <c r="R941" s="4">
        <f t="shared" si="231"/>
        <v>0</v>
      </c>
      <c r="S941" s="4">
        <f>IF(AND(VLOOKUP(G941,Dados!$D:$L,2,0)=VLOOKUP(I941,Dados!$S:$V,2,0),VLOOKUP(G941,Dados!$D:$L,3,0)=VLOOKUP(I941,Dados!$S:$V,3,0)),0,1)</f>
        <v>0</v>
      </c>
      <c r="T941" s="4">
        <f>IF(AND(VLOOKUP(G941,Dados!$D:$L,3,0)&lt;=VLOOKUP(H941,Dados!$X:$AB,2,0),VLOOKUP(G941,Dados!$D:$L,4,0)&gt;=VLOOKUP(H941,Dados!$X:$AB,3,0),VLOOKUP(G941,Dados!$D:$L,4,0)&lt;=VLOOKUP(H941,Dados!$X:$AB,4,0)),0,1)</f>
        <v>0</v>
      </c>
      <c r="U941" s="4">
        <f>IF(COUNTIFS(F:F,F941,H:H,H941)&lt;=VLOOKUP(H941,Dados!$X:$AB,5,0),0,1)</f>
        <v>0</v>
      </c>
    </row>
    <row r="942" spans="6:21">
      <c r="F942" s="4">
        <v>503</v>
      </c>
      <c r="G942" s="4">
        <v>49</v>
      </c>
      <c r="H942" s="4">
        <v>1</v>
      </c>
      <c r="I942" s="4">
        <v>19</v>
      </c>
      <c r="J942" s="4">
        <v>1</v>
      </c>
      <c r="K942" s="4">
        <f t="shared" si="227"/>
        <v>0</v>
      </c>
      <c r="L942" s="4">
        <f t="shared" si="227"/>
        <v>0</v>
      </c>
      <c r="M942" s="4">
        <f t="shared" si="227"/>
        <v>0</v>
      </c>
      <c r="N942" s="4">
        <f t="shared" si="227"/>
        <v>0</v>
      </c>
      <c r="O942" s="4">
        <f t="shared" si="228"/>
        <v>0</v>
      </c>
      <c r="P942" s="4">
        <f t="shared" si="229"/>
        <v>0</v>
      </c>
      <c r="Q942" s="4">
        <f t="shared" si="230"/>
        <v>0</v>
      </c>
      <c r="R942" s="4">
        <f t="shared" si="231"/>
        <v>0</v>
      </c>
      <c r="S942" s="4">
        <f>IF(AND(VLOOKUP(G942,Dados!$D:$L,2,0)=VLOOKUP(I942,Dados!$S:$V,2,0),VLOOKUP(G942,Dados!$D:$L,3,0)=VLOOKUP(I942,Dados!$S:$V,3,0)),0,1)</f>
        <v>0</v>
      </c>
      <c r="T942" s="4">
        <f>IF(AND(VLOOKUP(G942,Dados!$D:$L,3,0)&lt;=VLOOKUP(H942,Dados!$X:$AB,2,0),VLOOKUP(G942,Dados!$D:$L,4,0)&gt;=VLOOKUP(H942,Dados!$X:$AB,3,0),VLOOKUP(G942,Dados!$D:$L,4,0)&lt;=VLOOKUP(H942,Dados!$X:$AB,4,0)),0,1)</f>
        <v>0</v>
      </c>
      <c r="U942" s="4">
        <f>IF(COUNTIFS(F:F,F942,H:H,H942)&lt;=VLOOKUP(H942,Dados!$X:$AB,5,0),0,1)</f>
        <v>0</v>
      </c>
    </row>
    <row r="943" spans="6:21">
      <c r="F943" s="4">
        <v>504</v>
      </c>
      <c r="G943" s="4">
        <v>53</v>
      </c>
      <c r="H943" s="4">
        <v>1</v>
      </c>
      <c r="I943" s="4">
        <v>20</v>
      </c>
      <c r="J943" s="4">
        <v>1</v>
      </c>
      <c r="K943" s="4">
        <f t="shared" si="227"/>
        <v>0</v>
      </c>
      <c r="L943" s="4">
        <f t="shared" si="227"/>
        <v>0</v>
      </c>
      <c r="M943" s="4">
        <f t="shared" si="227"/>
        <v>0</v>
      </c>
      <c r="N943" s="4">
        <f t="shared" si="227"/>
        <v>0</v>
      </c>
      <c r="O943" s="4">
        <f t="shared" si="228"/>
        <v>0</v>
      </c>
      <c r="P943" s="4">
        <f t="shared" si="229"/>
        <v>0</v>
      </c>
      <c r="Q943" s="4">
        <f t="shared" si="230"/>
        <v>0</v>
      </c>
      <c r="R943" s="4">
        <f t="shared" si="231"/>
        <v>0</v>
      </c>
      <c r="S943" s="4">
        <f>IF(AND(VLOOKUP(G943,Dados!$D:$L,2,0)=VLOOKUP(I943,Dados!$S:$V,2,0),VLOOKUP(G943,Dados!$D:$L,3,0)=VLOOKUP(I943,Dados!$S:$V,3,0)),0,1)</f>
        <v>0</v>
      </c>
      <c r="T943" s="4">
        <f>IF(AND(VLOOKUP(G943,Dados!$D:$L,3,0)&lt;=VLOOKUP(H943,Dados!$X:$AB,2,0),VLOOKUP(G943,Dados!$D:$L,4,0)&gt;=VLOOKUP(H943,Dados!$X:$AB,3,0),VLOOKUP(G943,Dados!$D:$L,4,0)&lt;=VLOOKUP(H943,Dados!$X:$AB,4,0)),0,1)</f>
        <v>0</v>
      </c>
      <c r="U943" s="4">
        <f>IF(COUNTIFS(F:F,F943,H:H,H943)&lt;=VLOOKUP(H943,Dados!$X:$AB,5,0),0,1)</f>
        <v>0</v>
      </c>
    </row>
    <row r="944" spans="6:21">
      <c r="F944" s="4">
        <v>504</v>
      </c>
      <c r="G944" s="4">
        <v>57</v>
      </c>
      <c r="H944" s="4">
        <v>1</v>
      </c>
      <c r="I944" s="4">
        <v>20</v>
      </c>
      <c r="J944" s="4">
        <v>7</v>
      </c>
      <c r="K944" s="4">
        <f t="shared" ref="K944:N999" si="232">SUMIFS($X:$X,$W:$W,$F944,$Z:$Z,$I944,$AA:$AA,$H944,$AB:$AB,K$2)</f>
        <v>0</v>
      </c>
      <c r="L944" s="4">
        <f t="shared" si="232"/>
        <v>0</v>
      </c>
      <c r="M944" s="4">
        <f t="shared" si="232"/>
        <v>0</v>
      </c>
      <c r="N944" s="4">
        <f t="shared" si="232"/>
        <v>0</v>
      </c>
      <c r="O944" s="4">
        <f t="shared" si="228"/>
        <v>0</v>
      </c>
      <c r="P944" s="4">
        <f t="shared" si="229"/>
        <v>0</v>
      </c>
      <c r="Q944" s="4">
        <f t="shared" si="230"/>
        <v>0</v>
      </c>
      <c r="R944" s="4">
        <f t="shared" si="231"/>
        <v>0</v>
      </c>
      <c r="S944" s="4">
        <f>IF(AND(VLOOKUP(G944,Dados!$D:$L,2,0)=VLOOKUP(I944,Dados!$S:$V,2,0),VLOOKUP(G944,Dados!$D:$L,3,0)=VLOOKUP(I944,Dados!$S:$V,3,0)),0,1)</f>
        <v>0</v>
      </c>
      <c r="T944" s="4">
        <f>IF(AND(VLOOKUP(G944,Dados!$D:$L,3,0)&lt;=VLOOKUP(H944,Dados!$X:$AB,2,0),VLOOKUP(G944,Dados!$D:$L,4,0)&gt;=VLOOKUP(H944,Dados!$X:$AB,3,0),VLOOKUP(G944,Dados!$D:$L,4,0)&lt;=VLOOKUP(H944,Dados!$X:$AB,4,0)),0,1)</f>
        <v>0</v>
      </c>
      <c r="U944" s="4">
        <f>IF(COUNTIFS(F:F,F944,H:H,H944)&lt;=VLOOKUP(H944,Dados!$X:$AB,5,0),0,1)</f>
        <v>0</v>
      </c>
    </row>
    <row r="945" spans="6:21">
      <c r="F945" s="4">
        <v>504</v>
      </c>
      <c r="G945" s="4">
        <v>58</v>
      </c>
      <c r="H945" s="4">
        <v>1</v>
      </c>
      <c r="I945" s="4">
        <v>20</v>
      </c>
      <c r="J945" s="4">
        <v>1</v>
      </c>
      <c r="K945" s="4">
        <f t="shared" si="232"/>
        <v>0</v>
      </c>
      <c r="L945" s="4">
        <f t="shared" si="232"/>
        <v>0</v>
      </c>
      <c r="M945" s="4">
        <f t="shared" si="232"/>
        <v>0</v>
      </c>
      <c r="N945" s="4">
        <f t="shared" si="232"/>
        <v>0</v>
      </c>
      <c r="O945" s="4">
        <f t="shared" si="228"/>
        <v>0</v>
      </c>
      <c r="P945" s="4">
        <f t="shared" si="229"/>
        <v>0</v>
      </c>
      <c r="Q945" s="4">
        <f t="shared" si="230"/>
        <v>0</v>
      </c>
      <c r="R945" s="4">
        <f t="shared" si="231"/>
        <v>0</v>
      </c>
      <c r="S945" s="4">
        <f>IF(AND(VLOOKUP(G945,Dados!$D:$L,2,0)=VLOOKUP(I945,Dados!$S:$V,2,0),VLOOKUP(G945,Dados!$D:$L,3,0)=VLOOKUP(I945,Dados!$S:$V,3,0)),0,1)</f>
        <v>0</v>
      </c>
      <c r="T945" s="4">
        <f>IF(AND(VLOOKUP(G945,Dados!$D:$L,3,0)&lt;=VLOOKUP(H945,Dados!$X:$AB,2,0),VLOOKUP(G945,Dados!$D:$L,4,0)&gt;=VLOOKUP(H945,Dados!$X:$AB,3,0),VLOOKUP(G945,Dados!$D:$L,4,0)&lt;=VLOOKUP(H945,Dados!$X:$AB,4,0)),0,1)</f>
        <v>0</v>
      </c>
      <c r="U945" s="4">
        <f>IF(COUNTIFS(F:F,F945,H:H,H945)&lt;=VLOOKUP(H945,Dados!$X:$AB,5,0),0,1)</f>
        <v>0</v>
      </c>
    </row>
    <row r="946" spans="6:21">
      <c r="F946" s="4">
        <v>505</v>
      </c>
      <c r="G946" s="4">
        <v>53</v>
      </c>
      <c r="H946" s="4">
        <v>3</v>
      </c>
      <c r="I946" s="4">
        <v>20</v>
      </c>
      <c r="J946" s="4">
        <v>1</v>
      </c>
      <c r="K946" s="4">
        <f t="shared" si="232"/>
        <v>0</v>
      </c>
      <c r="L946" s="4">
        <f t="shared" si="232"/>
        <v>1</v>
      </c>
      <c r="M946" s="4">
        <f t="shared" si="232"/>
        <v>0</v>
      </c>
      <c r="N946" s="4">
        <f t="shared" si="232"/>
        <v>0</v>
      </c>
      <c r="O946" s="4">
        <f t="shared" si="228"/>
        <v>0</v>
      </c>
      <c r="P946" s="4">
        <f t="shared" si="229"/>
        <v>1</v>
      </c>
      <c r="Q946" s="4">
        <f t="shared" si="230"/>
        <v>0</v>
      </c>
      <c r="R946" s="4">
        <f t="shared" si="231"/>
        <v>0</v>
      </c>
      <c r="S946" s="4">
        <f>IF(AND(VLOOKUP(G946,Dados!$D:$L,2,0)=VLOOKUP(I946,Dados!$S:$V,2,0),VLOOKUP(G946,Dados!$D:$L,3,0)=VLOOKUP(I946,Dados!$S:$V,3,0)),0,1)</f>
        <v>0</v>
      </c>
      <c r="T946" s="4">
        <f>IF(AND(VLOOKUP(G946,Dados!$D:$L,3,0)&lt;=VLOOKUP(H946,Dados!$X:$AB,2,0),VLOOKUP(G946,Dados!$D:$L,4,0)&gt;=VLOOKUP(H946,Dados!$X:$AB,3,0),VLOOKUP(G946,Dados!$D:$L,4,0)&lt;=VLOOKUP(H946,Dados!$X:$AB,4,0)),0,1)</f>
        <v>0</v>
      </c>
      <c r="U946" s="4">
        <f>IF(COUNTIFS(F:F,F946,H:H,H946)&lt;=VLOOKUP(H946,Dados!$X:$AB,5,0),0,1)</f>
        <v>0</v>
      </c>
    </row>
    <row r="947" spans="6:21">
      <c r="F947" s="4">
        <v>505</v>
      </c>
      <c r="G947" s="4">
        <v>57</v>
      </c>
      <c r="H947" s="4">
        <v>3</v>
      </c>
      <c r="I947" s="4">
        <v>20</v>
      </c>
      <c r="J947" s="4">
        <v>7</v>
      </c>
      <c r="K947" s="4">
        <f t="shared" si="232"/>
        <v>0</v>
      </c>
      <c r="L947" s="4">
        <f t="shared" si="232"/>
        <v>1</v>
      </c>
      <c r="M947" s="4">
        <f t="shared" si="232"/>
        <v>0</v>
      </c>
      <c r="N947" s="4">
        <f t="shared" si="232"/>
        <v>0</v>
      </c>
      <c r="O947" s="4">
        <f t="shared" ref="O947:O998" si="233">$J947*K947</f>
        <v>0</v>
      </c>
      <c r="P947" s="4">
        <f t="shared" ref="P947:P998" si="234">$J947*L947</f>
        <v>7</v>
      </c>
      <c r="Q947" s="4">
        <f t="shared" ref="Q947:Q998" si="235">$J947*M947</f>
        <v>0</v>
      </c>
      <c r="R947" s="4">
        <f t="shared" ref="R947:R998" si="236">$J947*N947</f>
        <v>0</v>
      </c>
      <c r="S947" s="4">
        <f>IF(AND(VLOOKUP(G947,Dados!$D:$L,2,0)=VLOOKUP(I947,Dados!$S:$V,2,0),VLOOKUP(G947,Dados!$D:$L,3,0)=VLOOKUP(I947,Dados!$S:$V,3,0)),0,1)</f>
        <v>0</v>
      </c>
      <c r="T947" s="4">
        <f>IF(AND(VLOOKUP(G947,Dados!$D:$L,3,0)&lt;=VLOOKUP(H947,Dados!$X:$AB,2,0),VLOOKUP(G947,Dados!$D:$L,4,0)&gt;=VLOOKUP(H947,Dados!$X:$AB,3,0),VLOOKUP(G947,Dados!$D:$L,4,0)&lt;=VLOOKUP(H947,Dados!$X:$AB,4,0)),0,1)</f>
        <v>0</v>
      </c>
      <c r="U947" s="4">
        <f>IF(COUNTIFS(F:F,F947,H:H,H947)&lt;=VLOOKUP(H947,Dados!$X:$AB,5,0),0,1)</f>
        <v>0</v>
      </c>
    </row>
    <row r="948" spans="6:21">
      <c r="F948" s="4">
        <v>505</v>
      </c>
      <c r="G948" s="4">
        <v>58</v>
      </c>
      <c r="H948" s="4">
        <v>3</v>
      </c>
      <c r="I948" s="4">
        <v>20</v>
      </c>
      <c r="J948" s="4">
        <v>1</v>
      </c>
      <c r="K948" s="4">
        <f t="shared" si="232"/>
        <v>0</v>
      </c>
      <c r="L948" s="4">
        <f t="shared" si="232"/>
        <v>1</v>
      </c>
      <c r="M948" s="4">
        <f t="shared" si="232"/>
        <v>0</v>
      </c>
      <c r="N948" s="4">
        <f t="shared" si="232"/>
        <v>0</v>
      </c>
      <c r="O948" s="4">
        <f t="shared" si="233"/>
        <v>0</v>
      </c>
      <c r="P948" s="4">
        <f t="shared" si="234"/>
        <v>1</v>
      </c>
      <c r="Q948" s="4">
        <f t="shared" si="235"/>
        <v>0</v>
      </c>
      <c r="R948" s="4">
        <f t="shared" si="236"/>
        <v>0</v>
      </c>
      <c r="S948" s="4">
        <f>IF(AND(VLOOKUP(G948,Dados!$D:$L,2,0)=VLOOKUP(I948,Dados!$S:$V,2,0),VLOOKUP(G948,Dados!$D:$L,3,0)=VLOOKUP(I948,Dados!$S:$V,3,0)),0,1)</f>
        <v>0</v>
      </c>
      <c r="T948" s="4">
        <f>IF(AND(VLOOKUP(G948,Dados!$D:$L,3,0)&lt;=VLOOKUP(H948,Dados!$X:$AB,2,0),VLOOKUP(G948,Dados!$D:$L,4,0)&gt;=VLOOKUP(H948,Dados!$X:$AB,3,0),VLOOKUP(G948,Dados!$D:$L,4,0)&lt;=VLOOKUP(H948,Dados!$X:$AB,4,0)),0,1)</f>
        <v>0</v>
      </c>
      <c r="U948" s="4">
        <f>IF(COUNTIFS(F:F,F948,H:H,H948)&lt;=VLOOKUP(H948,Dados!$X:$AB,5,0),0,1)</f>
        <v>0</v>
      </c>
    </row>
    <row r="949" spans="6:21">
      <c r="F949" s="4">
        <v>506</v>
      </c>
      <c r="G949" s="4">
        <v>1</v>
      </c>
      <c r="H949" s="4">
        <v>1</v>
      </c>
      <c r="I949" s="4">
        <v>1</v>
      </c>
      <c r="J949" s="4">
        <v>4</v>
      </c>
      <c r="K949" s="4">
        <f t="shared" si="232"/>
        <v>0</v>
      </c>
      <c r="L949" s="4">
        <f t="shared" si="232"/>
        <v>0</v>
      </c>
      <c r="M949" s="4">
        <f t="shared" si="232"/>
        <v>0</v>
      </c>
      <c r="N949" s="4">
        <f t="shared" si="232"/>
        <v>7</v>
      </c>
      <c r="O949" s="4">
        <f t="shared" si="233"/>
        <v>0</v>
      </c>
      <c r="P949" s="4">
        <f t="shared" si="234"/>
        <v>0</v>
      </c>
      <c r="Q949" s="4">
        <f t="shared" si="235"/>
        <v>0</v>
      </c>
      <c r="R949" s="4">
        <f t="shared" si="236"/>
        <v>28</v>
      </c>
      <c r="S949" s="4">
        <f>IF(AND(VLOOKUP(G949,Dados!$D:$L,2,0)=VLOOKUP(I949,Dados!$S:$V,2,0),VLOOKUP(G949,Dados!$D:$L,3,0)=VLOOKUP(I949,Dados!$S:$V,3,0)),0,1)</f>
        <v>0</v>
      </c>
      <c r="T949" s="4">
        <f>IF(AND(VLOOKUP(G949,Dados!$D:$L,3,0)&lt;=VLOOKUP(H949,Dados!$X:$AB,2,0),VLOOKUP(G949,Dados!$D:$L,4,0)&gt;=VLOOKUP(H949,Dados!$X:$AB,3,0),VLOOKUP(G949,Dados!$D:$L,4,0)&lt;=VLOOKUP(H949,Dados!$X:$AB,4,0)),0,1)</f>
        <v>0</v>
      </c>
      <c r="U949" s="4">
        <f>IF(COUNTIFS(F:F,F949,H:H,H949)&lt;=VLOOKUP(H949,Dados!$X:$AB,5,0),0,1)</f>
        <v>0</v>
      </c>
    </row>
    <row r="950" spans="6:21">
      <c r="F950" s="4">
        <v>506</v>
      </c>
      <c r="G950" s="4">
        <v>2</v>
      </c>
      <c r="H950" s="4">
        <v>1</v>
      </c>
      <c r="I950" s="4">
        <v>1</v>
      </c>
      <c r="J950" s="4">
        <v>2</v>
      </c>
      <c r="K950" s="4">
        <f t="shared" si="232"/>
        <v>0</v>
      </c>
      <c r="L950" s="4">
        <f t="shared" si="232"/>
        <v>0</v>
      </c>
      <c r="M950" s="4">
        <f t="shared" si="232"/>
        <v>0</v>
      </c>
      <c r="N950" s="4">
        <f t="shared" si="232"/>
        <v>7</v>
      </c>
      <c r="O950" s="4">
        <f t="shared" si="233"/>
        <v>0</v>
      </c>
      <c r="P950" s="4">
        <f t="shared" si="234"/>
        <v>0</v>
      </c>
      <c r="Q950" s="4">
        <f t="shared" si="235"/>
        <v>0</v>
      </c>
      <c r="R950" s="4">
        <f t="shared" si="236"/>
        <v>14</v>
      </c>
      <c r="S950" s="4">
        <f>IF(AND(VLOOKUP(G950,Dados!$D:$L,2,0)=VLOOKUP(I950,Dados!$S:$V,2,0),VLOOKUP(G950,Dados!$D:$L,3,0)=VLOOKUP(I950,Dados!$S:$V,3,0)),0,1)</f>
        <v>0</v>
      </c>
      <c r="T950" s="4">
        <f>IF(AND(VLOOKUP(G950,Dados!$D:$L,3,0)&lt;=VLOOKUP(H950,Dados!$X:$AB,2,0),VLOOKUP(G950,Dados!$D:$L,4,0)&gt;=VLOOKUP(H950,Dados!$X:$AB,3,0),VLOOKUP(G950,Dados!$D:$L,4,0)&lt;=VLOOKUP(H950,Dados!$X:$AB,4,0)),0,1)</f>
        <v>0</v>
      </c>
      <c r="U950" s="4">
        <f>IF(COUNTIFS(F:F,F950,H:H,H950)&lt;=VLOOKUP(H950,Dados!$X:$AB,5,0),0,1)</f>
        <v>0</v>
      </c>
    </row>
    <row r="951" spans="6:21">
      <c r="F951" s="4">
        <v>507</v>
      </c>
      <c r="G951" s="4">
        <v>1</v>
      </c>
      <c r="H951" s="4">
        <v>2</v>
      </c>
      <c r="I951" s="4">
        <v>1</v>
      </c>
      <c r="J951" s="4">
        <v>4</v>
      </c>
      <c r="K951" s="4">
        <f t="shared" si="232"/>
        <v>0</v>
      </c>
      <c r="L951" s="4">
        <f t="shared" si="232"/>
        <v>0</v>
      </c>
      <c r="M951" s="4">
        <f t="shared" si="232"/>
        <v>0</v>
      </c>
      <c r="N951" s="4">
        <f t="shared" si="232"/>
        <v>0</v>
      </c>
      <c r="O951" s="4">
        <f t="shared" si="233"/>
        <v>0</v>
      </c>
      <c r="P951" s="4">
        <f t="shared" si="234"/>
        <v>0</v>
      </c>
      <c r="Q951" s="4">
        <f t="shared" si="235"/>
        <v>0</v>
      </c>
      <c r="R951" s="4">
        <f t="shared" si="236"/>
        <v>0</v>
      </c>
      <c r="S951" s="4">
        <f>IF(AND(VLOOKUP(G951,Dados!$D:$L,2,0)=VLOOKUP(I951,Dados!$S:$V,2,0),VLOOKUP(G951,Dados!$D:$L,3,0)=VLOOKUP(I951,Dados!$S:$V,3,0)),0,1)</f>
        <v>0</v>
      </c>
      <c r="T951" s="4">
        <f>IF(AND(VLOOKUP(G951,Dados!$D:$L,3,0)&lt;=VLOOKUP(H951,Dados!$X:$AB,2,0),VLOOKUP(G951,Dados!$D:$L,4,0)&gt;=VLOOKUP(H951,Dados!$X:$AB,3,0),VLOOKUP(G951,Dados!$D:$L,4,0)&lt;=VLOOKUP(H951,Dados!$X:$AB,4,0)),0,1)</f>
        <v>0</v>
      </c>
      <c r="U951" s="4">
        <f>IF(COUNTIFS(F:F,F951,H:H,H951)&lt;=VLOOKUP(H951,Dados!$X:$AB,5,0),0,1)</f>
        <v>0</v>
      </c>
    </row>
    <row r="952" spans="6:21">
      <c r="F952" s="4">
        <v>507</v>
      </c>
      <c r="G952" s="4">
        <v>2</v>
      </c>
      <c r="H952" s="4">
        <v>2</v>
      </c>
      <c r="I952" s="4">
        <v>1</v>
      </c>
      <c r="J952" s="4">
        <v>2</v>
      </c>
      <c r="K952" s="4">
        <f t="shared" si="232"/>
        <v>0</v>
      </c>
      <c r="L952" s="4">
        <f t="shared" si="232"/>
        <v>0</v>
      </c>
      <c r="M952" s="4">
        <f t="shared" si="232"/>
        <v>0</v>
      </c>
      <c r="N952" s="4">
        <f t="shared" si="232"/>
        <v>0</v>
      </c>
      <c r="O952" s="4">
        <f t="shared" si="233"/>
        <v>0</v>
      </c>
      <c r="P952" s="4">
        <f t="shared" si="234"/>
        <v>0</v>
      </c>
      <c r="Q952" s="4">
        <f t="shared" si="235"/>
        <v>0</v>
      </c>
      <c r="R952" s="4">
        <f t="shared" si="236"/>
        <v>0</v>
      </c>
      <c r="S952" s="4">
        <f>IF(AND(VLOOKUP(G952,Dados!$D:$L,2,0)=VLOOKUP(I952,Dados!$S:$V,2,0),VLOOKUP(G952,Dados!$D:$L,3,0)=VLOOKUP(I952,Dados!$S:$V,3,0)),0,1)</f>
        <v>0</v>
      </c>
      <c r="T952" s="4">
        <f>IF(AND(VLOOKUP(G952,Dados!$D:$L,3,0)&lt;=VLOOKUP(H952,Dados!$X:$AB,2,0),VLOOKUP(G952,Dados!$D:$L,4,0)&gt;=VLOOKUP(H952,Dados!$X:$AB,3,0),VLOOKUP(G952,Dados!$D:$L,4,0)&lt;=VLOOKUP(H952,Dados!$X:$AB,4,0)),0,1)</f>
        <v>0</v>
      </c>
      <c r="U952" s="4">
        <f>IF(COUNTIFS(F:F,F952,H:H,H952)&lt;=VLOOKUP(H952,Dados!$X:$AB,5,0),0,1)</f>
        <v>0</v>
      </c>
    </row>
    <row r="953" spans="6:21">
      <c r="F953" s="4">
        <v>508</v>
      </c>
      <c r="G953" s="4">
        <v>1</v>
      </c>
      <c r="H953" s="4">
        <v>3</v>
      </c>
      <c r="I953" s="4">
        <v>1</v>
      </c>
      <c r="J953" s="4">
        <v>4</v>
      </c>
      <c r="K953" s="4">
        <f t="shared" si="232"/>
        <v>0</v>
      </c>
      <c r="L953" s="4">
        <f t="shared" si="232"/>
        <v>0</v>
      </c>
      <c r="M953" s="4">
        <f t="shared" si="232"/>
        <v>0</v>
      </c>
      <c r="N953" s="4">
        <f t="shared" si="232"/>
        <v>0</v>
      </c>
      <c r="O953" s="4">
        <f t="shared" si="233"/>
        <v>0</v>
      </c>
      <c r="P953" s="4">
        <f t="shared" si="234"/>
        <v>0</v>
      </c>
      <c r="Q953" s="4">
        <f t="shared" si="235"/>
        <v>0</v>
      </c>
      <c r="R953" s="4">
        <f t="shared" si="236"/>
        <v>0</v>
      </c>
      <c r="S953" s="4">
        <f>IF(AND(VLOOKUP(G953,Dados!$D:$L,2,0)=VLOOKUP(I953,Dados!$S:$V,2,0),VLOOKUP(G953,Dados!$D:$L,3,0)=VLOOKUP(I953,Dados!$S:$V,3,0)),0,1)</f>
        <v>0</v>
      </c>
      <c r="T953" s="4">
        <f>IF(AND(VLOOKUP(G953,Dados!$D:$L,3,0)&lt;=VLOOKUP(H953,Dados!$X:$AB,2,0),VLOOKUP(G953,Dados!$D:$L,4,0)&gt;=VLOOKUP(H953,Dados!$X:$AB,3,0),VLOOKUP(G953,Dados!$D:$L,4,0)&lt;=VLOOKUP(H953,Dados!$X:$AB,4,0)),0,1)</f>
        <v>0</v>
      </c>
      <c r="U953" s="4">
        <f>IF(COUNTIFS(F:F,F953,H:H,H953)&lt;=VLOOKUP(H953,Dados!$X:$AB,5,0),0,1)</f>
        <v>0</v>
      </c>
    </row>
    <row r="954" spans="6:21">
      <c r="F954" s="4">
        <v>508</v>
      </c>
      <c r="G954" s="4">
        <v>2</v>
      </c>
      <c r="H954" s="4">
        <v>3</v>
      </c>
      <c r="I954" s="4">
        <v>1</v>
      </c>
      <c r="J954" s="4">
        <v>2</v>
      </c>
      <c r="K954" s="4">
        <f t="shared" si="232"/>
        <v>0</v>
      </c>
      <c r="L954" s="4">
        <f t="shared" si="232"/>
        <v>0</v>
      </c>
      <c r="M954" s="4">
        <f t="shared" si="232"/>
        <v>0</v>
      </c>
      <c r="N954" s="4">
        <f t="shared" si="232"/>
        <v>0</v>
      </c>
      <c r="O954" s="4">
        <f t="shared" si="233"/>
        <v>0</v>
      </c>
      <c r="P954" s="4">
        <f t="shared" si="234"/>
        <v>0</v>
      </c>
      <c r="Q954" s="4">
        <f t="shared" si="235"/>
        <v>0</v>
      </c>
      <c r="R954" s="4">
        <f t="shared" si="236"/>
        <v>0</v>
      </c>
      <c r="S954" s="4">
        <f>IF(AND(VLOOKUP(G954,Dados!$D:$L,2,0)=VLOOKUP(I954,Dados!$S:$V,2,0),VLOOKUP(G954,Dados!$D:$L,3,0)=VLOOKUP(I954,Dados!$S:$V,3,0)),0,1)</f>
        <v>0</v>
      </c>
      <c r="T954" s="4">
        <f>IF(AND(VLOOKUP(G954,Dados!$D:$L,3,0)&lt;=VLOOKUP(H954,Dados!$X:$AB,2,0),VLOOKUP(G954,Dados!$D:$L,4,0)&gt;=VLOOKUP(H954,Dados!$X:$AB,3,0),VLOOKUP(G954,Dados!$D:$L,4,0)&lt;=VLOOKUP(H954,Dados!$X:$AB,4,0)),0,1)</f>
        <v>0</v>
      </c>
      <c r="U954" s="4">
        <f>IF(COUNTIFS(F:F,F954,H:H,H954)&lt;=VLOOKUP(H954,Dados!$X:$AB,5,0),0,1)</f>
        <v>0</v>
      </c>
    </row>
    <row r="955" spans="6:21">
      <c r="F955" s="4">
        <v>509</v>
      </c>
      <c r="G955" s="4">
        <v>7</v>
      </c>
      <c r="H955" s="4">
        <v>1</v>
      </c>
      <c r="I955" s="4">
        <v>2</v>
      </c>
      <c r="J955" s="4">
        <v>2</v>
      </c>
      <c r="K955" s="4">
        <f t="shared" si="232"/>
        <v>0</v>
      </c>
      <c r="L955" s="4">
        <f t="shared" si="232"/>
        <v>0</v>
      </c>
      <c r="M955" s="4">
        <f t="shared" si="232"/>
        <v>10</v>
      </c>
      <c r="N955" s="4">
        <f t="shared" si="232"/>
        <v>0</v>
      </c>
      <c r="O955" s="4">
        <f t="shared" si="233"/>
        <v>0</v>
      </c>
      <c r="P955" s="4">
        <f t="shared" si="234"/>
        <v>0</v>
      </c>
      <c r="Q955" s="4">
        <f t="shared" si="235"/>
        <v>20</v>
      </c>
      <c r="R955" s="4">
        <f t="shared" si="236"/>
        <v>0</v>
      </c>
      <c r="S955" s="4">
        <f>IF(AND(VLOOKUP(G955,Dados!$D:$L,2,0)=VLOOKUP(I955,Dados!$S:$V,2,0),VLOOKUP(G955,Dados!$D:$L,3,0)=VLOOKUP(I955,Dados!$S:$V,3,0)),0,1)</f>
        <v>0</v>
      </c>
      <c r="T955" s="4">
        <f>IF(AND(VLOOKUP(G955,Dados!$D:$L,3,0)&lt;=VLOOKUP(H955,Dados!$X:$AB,2,0),VLOOKUP(G955,Dados!$D:$L,4,0)&gt;=VLOOKUP(H955,Dados!$X:$AB,3,0),VLOOKUP(G955,Dados!$D:$L,4,0)&lt;=VLOOKUP(H955,Dados!$X:$AB,4,0)),0,1)</f>
        <v>0</v>
      </c>
      <c r="U955" s="4">
        <f>IF(COUNTIFS(F:F,F955,H:H,H955)&lt;=VLOOKUP(H955,Dados!$X:$AB,5,0),0,1)</f>
        <v>0</v>
      </c>
    </row>
    <row r="956" spans="6:21">
      <c r="F956" s="4">
        <v>509</v>
      </c>
      <c r="G956" s="4">
        <v>9</v>
      </c>
      <c r="H956" s="4">
        <v>1</v>
      </c>
      <c r="I956" s="4">
        <v>2</v>
      </c>
      <c r="J956" s="4">
        <v>6</v>
      </c>
      <c r="K956" s="4">
        <f t="shared" si="232"/>
        <v>0</v>
      </c>
      <c r="L956" s="4">
        <f t="shared" si="232"/>
        <v>0</v>
      </c>
      <c r="M956" s="4">
        <f t="shared" si="232"/>
        <v>10</v>
      </c>
      <c r="N956" s="4">
        <f t="shared" si="232"/>
        <v>0</v>
      </c>
      <c r="O956" s="4">
        <f t="shared" si="233"/>
        <v>0</v>
      </c>
      <c r="P956" s="4">
        <f t="shared" si="234"/>
        <v>0</v>
      </c>
      <c r="Q956" s="4">
        <f t="shared" si="235"/>
        <v>60</v>
      </c>
      <c r="R956" s="4">
        <f t="shared" si="236"/>
        <v>0</v>
      </c>
      <c r="S956" s="4">
        <f>IF(AND(VLOOKUP(G956,Dados!$D:$L,2,0)=VLOOKUP(I956,Dados!$S:$V,2,0),VLOOKUP(G956,Dados!$D:$L,3,0)=VLOOKUP(I956,Dados!$S:$V,3,0)),0,1)</f>
        <v>0</v>
      </c>
      <c r="T956" s="4">
        <f>IF(AND(VLOOKUP(G956,Dados!$D:$L,3,0)&lt;=VLOOKUP(H956,Dados!$X:$AB,2,0),VLOOKUP(G956,Dados!$D:$L,4,0)&gt;=VLOOKUP(H956,Dados!$X:$AB,3,0),VLOOKUP(G956,Dados!$D:$L,4,0)&lt;=VLOOKUP(H956,Dados!$X:$AB,4,0)),0,1)</f>
        <v>0</v>
      </c>
      <c r="U956" s="4">
        <f>IF(COUNTIFS(F:F,F956,H:H,H956)&lt;=VLOOKUP(H956,Dados!$X:$AB,5,0),0,1)</f>
        <v>0</v>
      </c>
    </row>
    <row r="957" spans="6:21">
      <c r="F957" s="4">
        <v>510</v>
      </c>
      <c r="G957" s="4">
        <v>12</v>
      </c>
      <c r="H957" s="4">
        <v>1</v>
      </c>
      <c r="I957" s="4">
        <v>8</v>
      </c>
      <c r="J957" s="4">
        <v>3</v>
      </c>
      <c r="K957" s="4">
        <f t="shared" si="232"/>
        <v>0</v>
      </c>
      <c r="L957" s="4">
        <f t="shared" si="232"/>
        <v>0</v>
      </c>
      <c r="M957" s="4">
        <f t="shared" si="232"/>
        <v>0</v>
      </c>
      <c r="N957" s="4">
        <f t="shared" si="232"/>
        <v>0</v>
      </c>
      <c r="O957" s="4">
        <f t="shared" si="233"/>
        <v>0</v>
      </c>
      <c r="P957" s="4">
        <f t="shared" si="234"/>
        <v>0</v>
      </c>
      <c r="Q957" s="4">
        <f t="shared" si="235"/>
        <v>0</v>
      </c>
      <c r="R957" s="4">
        <f t="shared" si="236"/>
        <v>0</v>
      </c>
      <c r="S957" s="4">
        <f>IF(AND(VLOOKUP(G957,Dados!$D:$L,2,0)=VLOOKUP(I957,Dados!$S:$V,2,0),VLOOKUP(G957,Dados!$D:$L,3,0)=VLOOKUP(I957,Dados!$S:$V,3,0)),0,1)</f>
        <v>0</v>
      </c>
      <c r="T957" s="4">
        <f>IF(AND(VLOOKUP(G957,Dados!$D:$L,3,0)&lt;=VLOOKUP(H957,Dados!$X:$AB,2,0),VLOOKUP(G957,Dados!$D:$L,4,0)&gt;=VLOOKUP(H957,Dados!$X:$AB,3,0),VLOOKUP(G957,Dados!$D:$L,4,0)&lt;=VLOOKUP(H957,Dados!$X:$AB,4,0)),0,1)</f>
        <v>0</v>
      </c>
      <c r="U957" s="4">
        <f>IF(COUNTIFS(F:F,F957,H:H,H957)&lt;=VLOOKUP(H957,Dados!$X:$AB,5,0),0,1)</f>
        <v>0</v>
      </c>
    </row>
    <row r="958" spans="6:21">
      <c r="F958" s="4">
        <v>510</v>
      </c>
      <c r="G958" s="4">
        <v>14</v>
      </c>
      <c r="H958" s="4">
        <v>1</v>
      </c>
      <c r="I958" s="4">
        <v>8</v>
      </c>
      <c r="J958" s="4">
        <v>8</v>
      </c>
      <c r="K958" s="4">
        <f t="shared" si="232"/>
        <v>0</v>
      </c>
      <c r="L958" s="4">
        <f t="shared" si="232"/>
        <v>0</v>
      </c>
      <c r="M958" s="4">
        <f t="shared" si="232"/>
        <v>0</v>
      </c>
      <c r="N958" s="4">
        <f t="shared" si="232"/>
        <v>0</v>
      </c>
      <c r="O958" s="4">
        <f t="shared" si="233"/>
        <v>0</v>
      </c>
      <c r="P958" s="4">
        <f t="shared" si="234"/>
        <v>0</v>
      </c>
      <c r="Q958" s="4">
        <f t="shared" si="235"/>
        <v>0</v>
      </c>
      <c r="R958" s="4">
        <f t="shared" si="236"/>
        <v>0</v>
      </c>
      <c r="S958" s="4">
        <f>IF(AND(VLOOKUP(G958,Dados!$D:$L,2,0)=VLOOKUP(I958,Dados!$S:$V,2,0),VLOOKUP(G958,Dados!$D:$L,3,0)=VLOOKUP(I958,Dados!$S:$V,3,0)),0,1)</f>
        <v>0</v>
      </c>
      <c r="T958" s="4">
        <f>IF(AND(VLOOKUP(G958,Dados!$D:$L,3,0)&lt;=VLOOKUP(H958,Dados!$X:$AB,2,0),VLOOKUP(G958,Dados!$D:$L,4,0)&gt;=VLOOKUP(H958,Dados!$X:$AB,3,0),VLOOKUP(G958,Dados!$D:$L,4,0)&lt;=VLOOKUP(H958,Dados!$X:$AB,4,0)),0,1)</f>
        <v>0</v>
      </c>
      <c r="U958" s="4">
        <f>IF(COUNTIFS(F:F,F958,H:H,H958)&lt;=VLOOKUP(H958,Dados!$X:$AB,5,0),0,1)</f>
        <v>0</v>
      </c>
    </row>
    <row r="959" spans="6:21">
      <c r="F959" s="4">
        <v>511</v>
      </c>
      <c r="G959" s="4">
        <v>12</v>
      </c>
      <c r="H959" s="4">
        <v>3</v>
      </c>
      <c r="I959" s="4">
        <v>8</v>
      </c>
      <c r="J959" s="4">
        <v>3</v>
      </c>
      <c r="K959" s="4">
        <f t="shared" si="232"/>
        <v>0</v>
      </c>
      <c r="L959" s="4">
        <f t="shared" si="232"/>
        <v>0</v>
      </c>
      <c r="M959" s="4">
        <f t="shared" si="232"/>
        <v>0</v>
      </c>
      <c r="N959" s="4">
        <f t="shared" si="232"/>
        <v>0</v>
      </c>
      <c r="O959" s="4">
        <f t="shared" si="233"/>
        <v>0</v>
      </c>
      <c r="P959" s="4">
        <f t="shared" si="234"/>
        <v>0</v>
      </c>
      <c r="Q959" s="4">
        <f t="shared" si="235"/>
        <v>0</v>
      </c>
      <c r="R959" s="4">
        <f t="shared" si="236"/>
        <v>0</v>
      </c>
      <c r="S959" s="4">
        <f>IF(AND(VLOOKUP(G959,Dados!$D:$L,2,0)=VLOOKUP(I959,Dados!$S:$V,2,0),VLOOKUP(G959,Dados!$D:$L,3,0)=VLOOKUP(I959,Dados!$S:$V,3,0)),0,1)</f>
        <v>0</v>
      </c>
      <c r="T959" s="4">
        <f>IF(AND(VLOOKUP(G959,Dados!$D:$L,3,0)&lt;=VLOOKUP(H959,Dados!$X:$AB,2,0),VLOOKUP(G959,Dados!$D:$L,4,0)&gt;=VLOOKUP(H959,Dados!$X:$AB,3,0),VLOOKUP(G959,Dados!$D:$L,4,0)&lt;=VLOOKUP(H959,Dados!$X:$AB,4,0)),0,1)</f>
        <v>0</v>
      </c>
      <c r="U959" s="4">
        <f>IF(COUNTIFS(F:F,F959,H:H,H959)&lt;=VLOOKUP(H959,Dados!$X:$AB,5,0),0,1)</f>
        <v>0</v>
      </c>
    </row>
    <row r="960" spans="6:21">
      <c r="F960" s="4">
        <v>511</v>
      </c>
      <c r="G960" s="4">
        <v>14</v>
      </c>
      <c r="H960" s="4">
        <v>3</v>
      </c>
      <c r="I960" s="4">
        <v>8</v>
      </c>
      <c r="J960" s="4">
        <v>8</v>
      </c>
      <c r="K960" s="4">
        <f t="shared" si="232"/>
        <v>0</v>
      </c>
      <c r="L960" s="4">
        <f t="shared" si="232"/>
        <v>0</v>
      </c>
      <c r="M960" s="4">
        <f t="shared" si="232"/>
        <v>0</v>
      </c>
      <c r="N960" s="4">
        <f t="shared" si="232"/>
        <v>0</v>
      </c>
      <c r="O960" s="4">
        <f t="shared" si="233"/>
        <v>0</v>
      </c>
      <c r="P960" s="4">
        <f t="shared" si="234"/>
        <v>0</v>
      </c>
      <c r="Q960" s="4">
        <f t="shared" si="235"/>
        <v>0</v>
      </c>
      <c r="R960" s="4">
        <f t="shared" si="236"/>
        <v>0</v>
      </c>
      <c r="S960" s="4">
        <f>IF(AND(VLOOKUP(G960,Dados!$D:$L,2,0)=VLOOKUP(I960,Dados!$S:$V,2,0),VLOOKUP(G960,Dados!$D:$L,3,0)=VLOOKUP(I960,Dados!$S:$V,3,0)),0,1)</f>
        <v>0</v>
      </c>
      <c r="T960" s="4">
        <f>IF(AND(VLOOKUP(G960,Dados!$D:$L,3,0)&lt;=VLOOKUP(H960,Dados!$X:$AB,2,0),VLOOKUP(G960,Dados!$D:$L,4,0)&gt;=VLOOKUP(H960,Dados!$X:$AB,3,0),VLOOKUP(G960,Dados!$D:$L,4,0)&lt;=VLOOKUP(H960,Dados!$X:$AB,4,0)),0,1)</f>
        <v>0</v>
      </c>
      <c r="U960" s="4">
        <f>IF(COUNTIFS(F:F,F960,H:H,H960)&lt;=VLOOKUP(H960,Dados!$X:$AB,5,0),0,1)</f>
        <v>0</v>
      </c>
    </row>
    <row r="961" spans="6:21">
      <c r="F961" s="4">
        <v>512</v>
      </c>
      <c r="G961" s="4">
        <v>12</v>
      </c>
      <c r="H961" s="4">
        <v>1</v>
      </c>
      <c r="I961" s="4">
        <v>9</v>
      </c>
      <c r="J961" s="4">
        <v>1</v>
      </c>
      <c r="K961" s="4">
        <f t="shared" si="232"/>
        <v>0</v>
      </c>
      <c r="L961" s="4">
        <f t="shared" si="232"/>
        <v>0</v>
      </c>
      <c r="M961" s="4">
        <f t="shared" si="232"/>
        <v>0</v>
      </c>
      <c r="N961" s="4">
        <f t="shared" si="232"/>
        <v>0</v>
      </c>
      <c r="O961" s="4">
        <f t="shared" si="233"/>
        <v>0</v>
      </c>
      <c r="P961" s="4">
        <f t="shared" si="234"/>
        <v>0</v>
      </c>
      <c r="Q961" s="4">
        <f t="shared" si="235"/>
        <v>0</v>
      </c>
      <c r="R961" s="4">
        <f t="shared" si="236"/>
        <v>0</v>
      </c>
      <c r="S961" s="4">
        <f>IF(AND(VLOOKUP(G961,Dados!$D:$L,2,0)=VLOOKUP(I961,Dados!$S:$V,2,0),VLOOKUP(G961,Dados!$D:$L,3,0)=VLOOKUP(I961,Dados!$S:$V,3,0)),0,1)</f>
        <v>0</v>
      </c>
      <c r="T961" s="4">
        <f>IF(AND(VLOOKUP(G961,Dados!$D:$L,3,0)&lt;=VLOOKUP(H961,Dados!$X:$AB,2,0),VLOOKUP(G961,Dados!$D:$L,4,0)&gt;=VLOOKUP(H961,Dados!$X:$AB,3,0),VLOOKUP(G961,Dados!$D:$L,4,0)&lt;=VLOOKUP(H961,Dados!$X:$AB,4,0)),0,1)</f>
        <v>0</v>
      </c>
      <c r="U961" s="4">
        <f>IF(COUNTIFS(F:F,F961,H:H,H961)&lt;=VLOOKUP(H961,Dados!$X:$AB,5,0),0,1)</f>
        <v>0</v>
      </c>
    </row>
    <row r="962" spans="6:21">
      <c r="F962" s="4">
        <v>512</v>
      </c>
      <c r="G962" s="4">
        <v>14</v>
      </c>
      <c r="H962" s="4">
        <v>1</v>
      </c>
      <c r="I962" s="4">
        <v>9</v>
      </c>
      <c r="J962" s="4">
        <v>8</v>
      </c>
      <c r="K962" s="4">
        <f t="shared" si="232"/>
        <v>0</v>
      </c>
      <c r="L962" s="4">
        <f t="shared" si="232"/>
        <v>0</v>
      </c>
      <c r="M962" s="4">
        <f t="shared" si="232"/>
        <v>0</v>
      </c>
      <c r="N962" s="4">
        <f t="shared" si="232"/>
        <v>0</v>
      </c>
      <c r="O962" s="4">
        <f t="shared" si="233"/>
        <v>0</v>
      </c>
      <c r="P962" s="4">
        <f t="shared" si="234"/>
        <v>0</v>
      </c>
      <c r="Q962" s="4">
        <f t="shared" si="235"/>
        <v>0</v>
      </c>
      <c r="R962" s="4">
        <f t="shared" si="236"/>
        <v>0</v>
      </c>
      <c r="S962" s="4">
        <f>IF(AND(VLOOKUP(G962,Dados!$D:$L,2,0)=VLOOKUP(I962,Dados!$S:$V,2,0),VLOOKUP(G962,Dados!$D:$L,3,0)=VLOOKUP(I962,Dados!$S:$V,3,0)),0,1)</f>
        <v>0</v>
      </c>
      <c r="T962" s="4">
        <f>IF(AND(VLOOKUP(G962,Dados!$D:$L,3,0)&lt;=VLOOKUP(H962,Dados!$X:$AB,2,0),VLOOKUP(G962,Dados!$D:$L,4,0)&gt;=VLOOKUP(H962,Dados!$X:$AB,3,0),VLOOKUP(G962,Dados!$D:$L,4,0)&lt;=VLOOKUP(H962,Dados!$X:$AB,4,0)),0,1)</f>
        <v>0</v>
      </c>
      <c r="U962" s="4">
        <f>IF(COUNTIFS(F:F,F962,H:H,H962)&lt;=VLOOKUP(H962,Dados!$X:$AB,5,0),0,1)</f>
        <v>0</v>
      </c>
    </row>
    <row r="963" spans="6:21">
      <c r="F963" s="4">
        <v>512</v>
      </c>
      <c r="G963" s="4">
        <v>16</v>
      </c>
      <c r="H963" s="4">
        <v>1</v>
      </c>
      <c r="I963" s="4">
        <v>9</v>
      </c>
      <c r="J963" s="4">
        <v>1</v>
      </c>
      <c r="K963" s="4">
        <f t="shared" si="232"/>
        <v>0</v>
      </c>
      <c r="L963" s="4">
        <f t="shared" si="232"/>
        <v>0</v>
      </c>
      <c r="M963" s="4">
        <f t="shared" si="232"/>
        <v>0</v>
      </c>
      <c r="N963" s="4">
        <f t="shared" si="232"/>
        <v>0</v>
      </c>
      <c r="O963" s="4">
        <f t="shared" si="233"/>
        <v>0</v>
      </c>
      <c r="P963" s="4">
        <f t="shared" si="234"/>
        <v>0</v>
      </c>
      <c r="Q963" s="4">
        <f t="shared" si="235"/>
        <v>0</v>
      </c>
      <c r="R963" s="4">
        <f t="shared" si="236"/>
        <v>0</v>
      </c>
      <c r="S963" s="4">
        <f>IF(AND(VLOOKUP(G963,Dados!$D:$L,2,0)=VLOOKUP(I963,Dados!$S:$V,2,0),VLOOKUP(G963,Dados!$D:$L,3,0)=VLOOKUP(I963,Dados!$S:$V,3,0)),0,1)</f>
        <v>0</v>
      </c>
      <c r="T963" s="4">
        <f>IF(AND(VLOOKUP(G963,Dados!$D:$L,3,0)&lt;=VLOOKUP(H963,Dados!$X:$AB,2,0),VLOOKUP(G963,Dados!$D:$L,4,0)&gt;=VLOOKUP(H963,Dados!$X:$AB,3,0),VLOOKUP(G963,Dados!$D:$L,4,0)&lt;=VLOOKUP(H963,Dados!$X:$AB,4,0)),0,1)</f>
        <v>0</v>
      </c>
      <c r="U963" s="4">
        <f>IF(COUNTIFS(F:F,F963,H:H,H963)&lt;=VLOOKUP(H963,Dados!$X:$AB,5,0),0,1)</f>
        <v>0</v>
      </c>
    </row>
    <row r="964" spans="6:21">
      <c r="F964" s="4">
        <v>513</v>
      </c>
      <c r="G964" s="4">
        <v>12</v>
      </c>
      <c r="H964" s="4">
        <v>3</v>
      </c>
      <c r="I964" s="4">
        <v>9</v>
      </c>
      <c r="J964" s="4">
        <v>1</v>
      </c>
      <c r="K964" s="4">
        <f t="shared" si="232"/>
        <v>0</v>
      </c>
      <c r="L964" s="4">
        <f t="shared" si="232"/>
        <v>0</v>
      </c>
      <c r="M964" s="4">
        <f t="shared" si="232"/>
        <v>0</v>
      </c>
      <c r="N964" s="4">
        <f t="shared" si="232"/>
        <v>0</v>
      </c>
      <c r="O964" s="4">
        <f t="shared" si="233"/>
        <v>0</v>
      </c>
      <c r="P964" s="4">
        <f t="shared" si="234"/>
        <v>0</v>
      </c>
      <c r="Q964" s="4">
        <f t="shared" si="235"/>
        <v>0</v>
      </c>
      <c r="R964" s="4">
        <f t="shared" si="236"/>
        <v>0</v>
      </c>
      <c r="S964" s="4">
        <f>IF(AND(VLOOKUP(G964,Dados!$D:$L,2,0)=VLOOKUP(I964,Dados!$S:$V,2,0),VLOOKUP(G964,Dados!$D:$L,3,0)=VLOOKUP(I964,Dados!$S:$V,3,0)),0,1)</f>
        <v>0</v>
      </c>
      <c r="T964" s="4">
        <f>IF(AND(VLOOKUP(G964,Dados!$D:$L,3,0)&lt;=VLOOKUP(H964,Dados!$X:$AB,2,0),VLOOKUP(G964,Dados!$D:$L,4,0)&gt;=VLOOKUP(H964,Dados!$X:$AB,3,0),VLOOKUP(G964,Dados!$D:$L,4,0)&lt;=VLOOKUP(H964,Dados!$X:$AB,4,0)),0,1)</f>
        <v>0</v>
      </c>
      <c r="U964" s="4">
        <f>IF(COUNTIFS(F:F,F964,H:H,H964)&lt;=VLOOKUP(H964,Dados!$X:$AB,5,0),0,1)</f>
        <v>0</v>
      </c>
    </row>
    <row r="965" spans="6:21">
      <c r="F965" s="4">
        <v>513</v>
      </c>
      <c r="G965" s="4">
        <v>14</v>
      </c>
      <c r="H965" s="4">
        <v>3</v>
      </c>
      <c r="I965" s="4">
        <v>9</v>
      </c>
      <c r="J965" s="4">
        <v>8</v>
      </c>
      <c r="K965" s="4">
        <f t="shared" si="232"/>
        <v>0</v>
      </c>
      <c r="L965" s="4">
        <f t="shared" si="232"/>
        <v>0</v>
      </c>
      <c r="M965" s="4">
        <f t="shared" si="232"/>
        <v>0</v>
      </c>
      <c r="N965" s="4">
        <f t="shared" si="232"/>
        <v>0</v>
      </c>
      <c r="O965" s="4">
        <f t="shared" si="233"/>
        <v>0</v>
      </c>
      <c r="P965" s="4">
        <f t="shared" si="234"/>
        <v>0</v>
      </c>
      <c r="Q965" s="4">
        <f t="shared" si="235"/>
        <v>0</v>
      </c>
      <c r="R965" s="4">
        <f t="shared" si="236"/>
        <v>0</v>
      </c>
      <c r="S965" s="4">
        <f>IF(AND(VLOOKUP(G965,Dados!$D:$L,2,0)=VLOOKUP(I965,Dados!$S:$V,2,0),VLOOKUP(G965,Dados!$D:$L,3,0)=VLOOKUP(I965,Dados!$S:$V,3,0)),0,1)</f>
        <v>0</v>
      </c>
      <c r="T965" s="4">
        <f>IF(AND(VLOOKUP(G965,Dados!$D:$L,3,0)&lt;=VLOOKUP(H965,Dados!$X:$AB,2,0),VLOOKUP(G965,Dados!$D:$L,4,0)&gt;=VLOOKUP(H965,Dados!$X:$AB,3,0),VLOOKUP(G965,Dados!$D:$L,4,0)&lt;=VLOOKUP(H965,Dados!$X:$AB,4,0)),0,1)</f>
        <v>0</v>
      </c>
      <c r="U965" s="4">
        <f>IF(COUNTIFS(F:F,F965,H:H,H965)&lt;=VLOOKUP(H965,Dados!$X:$AB,5,0),0,1)</f>
        <v>0</v>
      </c>
    </row>
    <row r="966" spans="6:21">
      <c r="F966" s="4">
        <v>513</v>
      </c>
      <c r="G966" s="4">
        <v>16</v>
      </c>
      <c r="H966" s="4">
        <v>3</v>
      </c>
      <c r="I966" s="4">
        <v>9</v>
      </c>
      <c r="J966" s="4">
        <v>1</v>
      </c>
      <c r="K966" s="4">
        <f t="shared" si="232"/>
        <v>0</v>
      </c>
      <c r="L966" s="4">
        <f t="shared" si="232"/>
        <v>0</v>
      </c>
      <c r="M966" s="4">
        <f t="shared" si="232"/>
        <v>0</v>
      </c>
      <c r="N966" s="4">
        <f t="shared" si="232"/>
        <v>0</v>
      </c>
      <c r="O966" s="4">
        <f t="shared" si="233"/>
        <v>0</v>
      </c>
      <c r="P966" s="4">
        <f t="shared" si="234"/>
        <v>0</v>
      </c>
      <c r="Q966" s="4">
        <f t="shared" si="235"/>
        <v>0</v>
      </c>
      <c r="R966" s="4">
        <f t="shared" si="236"/>
        <v>0</v>
      </c>
      <c r="S966" s="4">
        <f>IF(AND(VLOOKUP(G966,Dados!$D:$L,2,0)=VLOOKUP(I966,Dados!$S:$V,2,0),VLOOKUP(G966,Dados!$D:$L,3,0)=VLOOKUP(I966,Dados!$S:$V,3,0)),0,1)</f>
        <v>0</v>
      </c>
      <c r="T966" s="4">
        <f>IF(AND(VLOOKUP(G966,Dados!$D:$L,3,0)&lt;=VLOOKUP(H966,Dados!$X:$AB,2,0),VLOOKUP(G966,Dados!$D:$L,4,0)&gt;=VLOOKUP(H966,Dados!$X:$AB,3,0),VLOOKUP(G966,Dados!$D:$L,4,0)&lt;=VLOOKUP(H966,Dados!$X:$AB,4,0)),0,1)</f>
        <v>0</v>
      </c>
      <c r="U966" s="4">
        <f>IF(COUNTIFS(F:F,F966,H:H,H966)&lt;=VLOOKUP(H966,Dados!$X:$AB,5,0),0,1)</f>
        <v>0</v>
      </c>
    </row>
    <row r="967" spans="6:21">
      <c r="F967" s="4">
        <v>514</v>
      </c>
      <c r="G967" s="4">
        <v>12</v>
      </c>
      <c r="H967" s="4">
        <v>1</v>
      </c>
      <c r="I967" s="4">
        <v>10</v>
      </c>
      <c r="J967" s="4">
        <v>2</v>
      </c>
      <c r="K967" s="4">
        <f t="shared" si="232"/>
        <v>0</v>
      </c>
      <c r="L967" s="4">
        <f t="shared" si="232"/>
        <v>0</v>
      </c>
      <c r="M967" s="4">
        <f t="shared" si="232"/>
        <v>0</v>
      </c>
      <c r="N967" s="4">
        <f t="shared" si="232"/>
        <v>0</v>
      </c>
      <c r="O967" s="4">
        <f t="shared" si="233"/>
        <v>0</v>
      </c>
      <c r="P967" s="4">
        <f t="shared" si="234"/>
        <v>0</v>
      </c>
      <c r="Q967" s="4">
        <f t="shared" si="235"/>
        <v>0</v>
      </c>
      <c r="R967" s="4">
        <f t="shared" si="236"/>
        <v>0</v>
      </c>
      <c r="S967" s="4">
        <f>IF(AND(VLOOKUP(G967,Dados!$D:$L,2,0)=VLOOKUP(I967,Dados!$S:$V,2,0),VLOOKUP(G967,Dados!$D:$L,3,0)=VLOOKUP(I967,Dados!$S:$V,3,0)),0,1)</f>
        <v>0</v>
      </c>
      <c r="T967" s="4">
        <f>IF(AND(VLOOKUP(G967,Dados!$D:$L,3,0)&lt;=VLOOKUP(H967,Dados!$X:$AB,2,0),VLOOKUP(G967,Dados!$D:$L,4,0)&gt;=VLOOKUP(H967,Dados!$X:$AB,3,0),VLOOKUP(G967,Dados!$D:$L,4,0)&lt;=VLOOKUP(H967,Dados!$X:$AB,4,0)),0,1)</f>
        <v>0</v>
      </c>
      <c r="U967" s="4">
        <f>IF(COUNTIFS(F:F,F967,H:H,H967)&lt;=VLOOKUP(H967,Dados!$X:$AB,5,0),0,1)</f>
        <v>0</v>
      </c>
    </row>
    <row r="968" spans="6:21">
      <c r="F968" s="4">
        <v>514</v>
      </c>
      <c r="G968" s="4">
        <v>14</v>
      </c>
      <c r="H968" s="4">
        <v>1</v>
      </c>
      <c r="I968" s="4">
        <v>10</v>
      </c>
      <c r="J968" s="4">
        <v>8</v>
      </c>
      <c r="K968" s="4">
        <f t="shared" si="232"/>
        <v>0</v>
      </c>
      <c r="L968" s="4">
        <f t="shared" si="232"/>
        <v>0</v>
      </c>
      <c r="M968" s="4">
        <f t="shared" si="232"/>
        <v>0</v>
      </c>
      <c r="N968" s="4">
        <f t="shared" si="232"/>
        <v>0</v>
      </c>
      <c r="O968" s="4">
        <f t="shared" si="233"/>
        <v>0</v>
      </c>
      <c r="P968" s="4">
        <f t="shared" si="234"/>
        <v>0</v>
      </c>
      <c r="Q968" s="4">
        <f t="shared" si="235"/>
        <v>0</v>
      </c>
      <c r="R968" s="4">
        <f t="shared" si="236"/>
        <v>0</v>
      </c>
      <c r="S968" s="4">
        <f>IF(AND(VLOOKUP(G968,Dados!$D:$L,2,0)=VLOOKUP(I968,Dados!$S:$V,2,0),VLOOKUP(G968,Dados!$D:$L,3,0)=VLOOKUP(I968,Dados!$S:$V,3,0)),0,1)</f>
        <v>0</v>
      </c>
      <c r="T968" s="4">
        <f>IF(AND(VLOOKUP(G968,Dados!$D:$L,3,0)&lt;=VLOOKUP(H968,Dados!$X:$AB,2,0),VLOOKUP(G968,Dados!$D:$L,4,0)&gt;=VLOOKUP(H968,Dados!$X:$AB,3,0),VLOOKUP(G968,Dados!$D:$L,4,0)&lt;=VLOOKUP(H968,Dados!$X:$AB,4,0)),0,1)</f>
        <v>0</v>
      </c>
      <c r="U968" s="4">
        <f>IF(COUNTIFS(F:F,F968,H:H,H968)&lt;=VLOOKUP(H968,Dados!$X:$AB,5,0),0,1)</f>
        <v>0</v>
      </c>
    </row>
    <row r="969" spans="6:21">
      <c r="F969" s="4">
        <v>515</v>
      </c>
      <c r="G969" s="4">
        <v>12</v>
      </c>
      <c r="H969" s="4">
        <v>3</v>
      </c>
      <c r="I969" s="4">
        <v>10</v>
      </c>
      <c r="J969" s="4">
        <v>2</v>
      </c>
      <c r="K969" s="4">
        <f t="shared" si="232"/>
        <v>0</v>
      </c>
      <c r="L969" s="4">
        <f t="shared" si="232"/>
        <v>0</v>
      </c>
      <c r="M969" s="4">
        <f t="shared" si="232"/>
        <v>2</v>
      </c>
      <c r="N969" s="4">
        <f t="shared" si="232"/>
        <v>0</v>
      </c>
      <c r="O969" s="4">
        <f t="shared" si="233"/>
        <v>0</v>
      </c>
      <c r="P969" s="4">
        <f t="shared" si="234"/>
        <v>0</v>
      </c>
      <c r="Q969" s="4">
        <f t="shared" si="235"/>
        <v>4</v>
      </c>
      <c r="R969" s="4">
        <f t="shared" si="236"/>
        <v>0</v>
      </c>
      <c r="S969" s="4">
        <f>IF(AND(VLOOKUP(G969,Dados!$D:$L,2,0)=VLOOKUP(I969,Dados!$S:$V,2,0),VLOOKUP(G969,Dados!$D:$L,3,0)=VLOOKUP(I969,Dados!$S:$V,3,0)),0,1)</f>
        <v>0</v>
      </c>
      <c r="T969" s="4">
        <f>IF(AND(VLOOKUP(G969,Dados!$D:$L,3,0)&lt;=VLOOKUP(H969,Dados!$X:$AB,2,0),VLOOKUP(G969,Dados!$D:$L,4,0)&gt;=VLOOKUP(H969,Dados!$X:$AB,3,0),VLOOKUP(G969,Dados!$D:$L,4,0)&lt;=VLOOKUP(H969,Dados!$X:$AB,4,0)),0,1)</f>
        <v>0</v>
      </c>
      <c r="U969" s="4">
        <f>IF(COUNTIFS(F:F,F969,H:H,H969)&lt;=VLOOKUP(H969,Dados!$X:$AB,5,0),0,1)</f>
        <v>0</v>
      </c>
    </row>
    <row r="970" spans="6:21">
      <c r="F970" s="4">
        <v>515</v>
      </c>
      <c r="G970" s="4">
        <v>14</v>
      </c>
      <c r="H970" s="4">
        <v>3</v>
      </c>
      <c r="I970" s="4">
        <v>10</v>
      </c>
      <c r="J970" s="4">
        <v>8</v>
      </c>
      <c r="K970" s="4">
        <f t="shared" si="232"/>
        <v>0</v>
      </c>
      <c r="L970" s="4">
        <f t="shared" si="232"/>
        <v>0</v>
      </c>
      <c r="M970" s="4">
        <f t="shared" si="232"/>
        <v>2</v>
      </c>
      <c r="N970" s="4">
        <f t="shared" si="232"/>
        <v>0</v>
      </c>
      <c r="O970" s="4">
        <f t="shared" si="233"/>
        <v>0</v>
      </c>
      <c r="P970" s="4">
        <f t="shared" si="234"/>
        <v>0</v>
      </c>
      <c r="Q970" s="4">
        <f t="shared" si="235"/>
        <v>16</v>
      </c>
      <c r="R970" s="4">
        <f t="shared" si="236"/>
        <v>0</v>
      </c>
      <c r="S970" s="4">
        <f>IF(AND(VLOOKUP(G970,Dados!$D:$L,2,0)=VLOOKUP(I970,Dados!$S:$V,2,0),VLOOKUP(G970,Dados!$D:$L,3,0)=VLOOKUP(I970,Dados!$S:$V,3,0)),0,1)</f>
        <v>0</v>
      </c>
      <c r="T970" s="4">
        <f>IF(AND(VLOOKUP(G970,Dados!$D:$L,3,0)&lt;=VLOOKUP(H970,Dados!$X:$AB,2,0),VLOOKUP(G970,Dados!$D:$L,4,0)&gt;=VLOOKUP(H970,Dados!$X:$AB,3,0),VLOOKUP(G970,Dados!$D:$L,4,0)&lt;=VLOOKUP(H970,Dados!$X:$AB,4,0)),0,1)</f>
        <v>0</v>
      </c>
      <c r="U970" s="4">
        <f>IF(COUNTIFS(F:F,F970,H:H,H970)&lt;=VLOOKUP(H970,Dados!$X:$AB,5,0),0,1)</f>
        <v>0</v>
      </c>
    </row>
    <row r="971" spans="6:21">
      <c r="F971" s="4">
        <v>516</v>
      </c>
      <c r="G971" s="4">
        <v>12</v>
      </c>
      <c r="H971" s="4">
        <v>1</v>
      </c>
      <c r="I971" s="4">
        <v>11</v>
      </c>
      <c r="J971" s="4">
        <v>1</v>
      </c>
      <c r="K971" s="4">
        <f t="shared" si="232"/>
        <v>0</v>
      </c>
      <c r="L971" s="4">
        <f t="shared" si="232"/>
        <v>0</v>
      </c>
      <c r="M971" s="4">
        <f t="shared" si="232"/>
        <v>0</v>
      </c>
      <c r="N971" s="4">
        <f t="shared" si="232"/>
        <v>0</v>
      </c>
      <c r="O971" s="4">
        <f t="shared" si="233"/>
        <v>0</v>
      </c>
      <c r="P971" s="4">
        <f t="shared" si="234"/>
        <v>0</v>
      </c>
      <c r="Q971" s="4">
        <f t="shared" si="235"/>
        <v>0</v>
      </c>
      <c r="R971" s="4">
        <f t="shared" si="236"/>
        <v>0</v>
      </c>
      <c r="S971" s="4">
        <f>IF(AND(VLOOKUP(G971,Dados!$D:$L,2,0)=VLOOKUP(I971,Dados!$S:$V,2,0),VLOOKUP(G971,Dados!$D:$L,3,0)=VLOOKUP(I971,Dados!$S:$V,3,0)),0,1)</f>
        <v>0</v>
      </c>
      <c r="T971" s="4">
        <f>IF(AND(VLOOKUP(G971,Dados!$D:$L,3,0)&lt;=VLOOKUP(H971,Dados!$X:$AB,2,0),VLOOKUP(G971,Dados!$D:$L,4,0)&gt;=VLOOKUP(H971,Dados!$X:$AB,3,0),VLOOKUP(G971,Dados!$D:$L,4,0)&lt;=VLOOKUP(H971,Dados!$X:$AB,4,0)),0,1)</f>
        <v>0</v>
      </c>
      <c r="U971" s="4">
        <f>IF(COUNTIFS(F:F,F971,H:H,H971)&lt;=VLOOKUP(H971,Dados!$X:$AB,5,0),0,1)</f>
        <v>0</v>
      </c>
    </row>
    <row r="972" spans="6:21">
      <c r="F972" s="4">
        <v>516</v>
      </c>
      <c r="G972" s="4">
        <v>14</v>
      </c>
      <c r="H972" s="4">
        <v>1</v>
      </c>
      <c r="I972" s="4">
        <v>11</v>
      </c>
      <c r="J972" s="4">
        <v>7</v>
      </c>
      <c r="K972" s="4">
        <f t="shared" si="232"/>
        <v>0</v>
      </c>
      <c r="L972" s="4">
        <f t="shared" si="232"/>
        <v>0</v>
      </c>
      <c r="M972" s="4">
        <f t="shared" si="232"/>
        <v>0</v>
      </c>
      <c r="N972" s="4">
        <f t="shared" si="232"/>
        <v>0</v>
      </c>
      <c r="O972" s="4">
        <f t="shared" si="233"/>
        <v>0</v>
      </c>
      <c r="P972" s="4">
        <f t="shared" si="234"/>
        <v>0</v>
      </c>
      <c r="Q972" s="4">
        <f t="shared" si="235"/>
        <v>0</v>
      </c>
      <c r="R972" s="4">
        <f t="shared" si="236"/>
        <v>0</v>
      </c>
      <c r="S972" s="4">
        <f>IF(AND(VLOOKUP(G972,Dados!$D:$L,2,0)=VLOOKUP(I972,Dados!$S:$V,2,0),VLOOKUP(G972,Dados!$D:$L,3,0)=VLOOKUP(I972,Dados!$S:$V,3,0)),0,1)</f>
        <v>0</v>
      </c>
      <c r="T972" s="4">
        <f>IF(AND(VLOOKUP(G972,Dados!$D:$L,3,0)&lt;=VLOOKUP(H972,Dados!$X:$AB,2,0),VLOOKUP(G972,Dados!$D:$L,4,0)&gt;=VLOOKUP(H972,Dados!$X:$AB,3,0),VLOOKUP(G972,Dados!$D:$L,4,0)&lt;=VLOOKUP(H972,Dados!$X:$AB,4,0)),0,1)</f>
        <v>0</v>
      </c>
      <c r="U972" s="4">
        <f>IF(COUNTIFS(F:F,F972,H:H,H972)&lt;=VLOOKUP(H972,Dados!$X:$AB,5,0),0,1)</f>
        <v>0</v>
      </c>
    </row>
    <row r="973" spans="6:21">
      <c r="F973" s="4">
        <v>516</v>
      </c>
      <c r="G973" s="4">
        <v>16</v>
      </c>
      <c r="H973" s="4">
        <v>1</v>
      </c>
      <c r="I973" s="4">
        <v>11</v>
      </c>
      <c r="J973" s="4">
        <v>1</v>
      </c>
      <c r="K973" s="4">
        <f t="shared" si="232"/>
        <v>0</v>
      </c>
      <c r="L973" s="4">
        <f t="shared" si="232"/>
        <v>0</v>
      </c>
      <c r="M973" s="4">
        <f t="shared" si="232"/>
        <v>0</v>
      </c>
      <c r="N973" s="4">
        <f t="shared" si="232"/>
        <v>0</v>
      </c>
      <c r="O973" s="4">
        <f t="shared" si="233"/>
        <v>0</v>
      </c>
      <c r="P973" s="4">
        <f t="shared" si="234"/>
        <v>0</v>
      </c>
      <c r="Q973" s="4">
        <f t="shared" si="235"/>
        <v>0</v>
      </c>
      <c r="R973" s="4">
        <f t="shared" si="236"/>
        <v>0</v>
      </c>
      <c r="S973" s="4">
        <f>IF(AND(VLOOKUP(G973,Dados!$D:$L,2,0)=VLOOKUP(I973,Dados!$S:$V,2,0),VLOOKUP(G973,Dados!$D:$L,3,0)=VLOOKUP(I973,Dados!$S:$V,3,0)),0,1)</f>
        <v>0</v>
      </c>
      <c r="T973" s="4">
        <f>IF(AND(VLOOKUP(G973,Dados!$D:$L,3,0)&lt;=VLOOKUP(H973,Dados!$X:$AB,2,0),VLOOKUP(G973,Dados!$D:$L,4,0)&gt;=VLOOKUP(H973,Dados!$X:$AB,3,0),VLOOKUP(G973,Dados!$D:$L,4,0)&lt;=VLOOKUP(H973,Dados!$X:$AB,4,0)),0,1)</f>
        <v>0</v>
      </c>
      <c r="U973" s="4">
        <f>IF(COUNTIFS(F:F,F973,H:H,H973)&lt;=VLOOKUP(H973,Dados!$X:$AB,5,0),0,1)</f>
        <v>0</v>
      </c>
    </row>
    <row r="974" spans="6:21">
      <c r="F974" s="4">
        <v>517</v>
      </c>
      <c r="G974" s="4">
        <v>12</v>
      </c>
      <c r="H974" s="4">
        <v>3</v>
      </c>
      <c r="I974" s="4">
        <v>11</v>
      </c>
      <c r="J974" s="4">
        <v>1</v>
      </c>
      <c r="K974" s="4">
        <f t="shared" si="232"/>
        <v>1</v>
      </c>
      <c r="L974" s="4">
        <f t="shared" si="232"/>
        <v>0</v>
      </c>
      <c r="M974" s="4">
        <f t="shared" si="232"/>
        <v>0</v>
      </c>
      <c r="N974" s="4">
        <f t="shared" si="232"/>
        <v>0</v>
      </c>
      <c r="O974" s="4">
        <f t="shared" si="233"/>
        <v>1</v>
      </c>
      <c r="P974" s="4">
        <f t="shared" si="234"/>
        <v>0</v>
      </c>
      <c r="Q974" s="4">
        <f t="shared" si="235"/>
        <v>0</v>
      </c>
      <c r="R974" s="4">
        <f t="shared" si="236"/>
        <v>0</v>
      </c>
      <c r="S974" s="4">
        <f>IF(AND(VLOOKUP(G974,Dados!$D:$L,2,0)=VLOOKUP(I974,Dados!$S:$V,2,0),VLOOKUP(G974,Dados!$D:$L,3,0)=VLOOKUP(I974,Dados!$S:$V,3,0)),0,1)</f>
        <v>0</v>
      </c>
      <c r="T974" s="4">
        <f>IF(AND(VLOOKUP(G974,Dados!$D:$L,3,0)&lt;=VLOOKUP(H974,Dados!$X:$AB,2,0),VLOOKUP(G974,Dados!$D:$L,4,0)&gt;=VLOOKUP(H974,Dados!$X:$AB,3,0),VLOOKUP(G974,Dados!$D:$L,4,0)&lt;=VLOOKUP(H974,Dados!$X:$AB,4,0)),0,1)</f>
        <v>0</v>
      </c>
      <c r="U974" s="4">
        <f>IF(COUNTIFS(F:F,F974,H:H,H974)&lt;=VLOOKUP(H974,Dados!$X:$AB,5,0),0,1)</f>
        <v>0</v>
      </c>
    </row>
    <row r="975" spans="6:21">
      <c r="F975" s="4">
        <v>517</v>
      </c>
      <c r="G975" s="4">
        <v>14</v>
      </c>
      <c r="H975" s="4">
        <v>3</v>
      </c>
      <c r="I975" s="4">
        <v>11</v>
      </c>
      <c r="J975" s="4">
        <v>7</v>
      </c>
      <c r="K975" s="4">
        <f t="shared" si="232"/>
        <v>1</v>
      </c>
      <c r="L975" s="4">
        <f t="shared" si="232"/>
        <v>0</v>
      </c>
      <c r="M975" s="4">
        <f t="shared" si="232"/>
        <v>0</v>
      </c>
      <c r="N975" s="4">
        <f t="shared" si="232"/>
        <v>0</v>
      </c>
      <c r="O975" s="4">
        <f t="shared" si="233"/>
        <v>7</v>
      </c>
      <c r="P975" s="4">
        <f t="shared" si="234"/>
        <v>0</v>
      </c>
      <c r="Q975" s="4">
        <f t="shared" si="235"/>
        <v>0</v>
      </c>
      <c r="R975" s="4">
        <f t="shared" si="236"/>
        <v>0</v>
      </c>
      <c r="S975" s="4">
        <f>IF(AND(VLOOKUP(G975,Dados!$D:$L,2,0)=VLOOKUP(I975,Dados!$S:$V,2,0),VLOOKUP(G975,Dados!$D:$L,3,0)=VLOOKUP(I975,Dados!$S:$V,3,0)),0,1)</f>
        <v>0</v>
      </c>
      <c r="T975" s="4">
        <f>IF(AND(VLOOKUP(G975,Dados!$D:$L,3,0)&lt;=VLOOKUP(H975,Dados!$X:$AB,2,0),VLOOKUP(G975,Dados!$D:$L,4,0)&gt;=VLOOKUP(H975,Dados!$X:$AB,3,0),VLOOKUP(G975,Dados!$D:$L,4,0)&lt;=VLOOKUP(H975,Dados!$X:$AB,4,0)),0,1)</f>
        <v>0</v>
      </c>
      <c r="U975" s="4">
        <f>IF(COUNTIFS(F:F,F975,H:H,H975)&lt;=VLOOKUP(H975,Dados!$X:$AB,5,0),0,1)</f>
        <v>0</v>
      </c>
    </row>
    <row r="976" spans="6:21">
      <c r="F976" s="4">
        <v>517</v>
      </c>
      <c r="G976" s="4">
        <v>16</v>
      </c>
      <c r="H976" s="4">
        <v>3</v>
      </c>
      <c r="I976" s="4">
        <v>11</v>
      </c>
      <c r="J976" s="4">
        <v>1</v>
      </c>
      <c r="K976" s="4">
        <f t="shared" si="232"/>
        <v>1</v>
      </c>
      <c r="L976" s="4">
        <f t="shared" si="232"/>
        <v>0</v>
      </c>
      <c r="M976" s="4">
        <f t="shared" si="232"/>
        <v>0</v>
      </c>
      <c r="N976" s="4">
        <f t="shared" si="232"/>
        <v>0</v>
      </c>
      <c r="O976" s="4">
        <f t="shared" si="233"/>
        <v>1</v>
      </c>
      <c r="P976" s="4">
        <f t="shared" si="234"/>
        <v>0</v>
      </c>
      <c r="Q976" s="4">
        <f t="shared" si="235"/>
        <v>0</v>
      </c>
      <c r="R976" s="4">
        <f t="shared" si="236"/>
        <v>0</v>
      </c>
      <c r="S976" s="4">
        <f>IF(AND(VLOOKUP(G976,Dados!$D:$L,2,0)=VLOOKUP(I976,Dados!$S:$V,2,0),VLOOKUP(G976,Dados!$D:$L,3,0)=VLOOKUP(I976,Dados!$S:$V,3,0)),0,1)</f>
        <v>0</v>
      </c>
      <c r="T976" s="4">
        <f>IF(AND(VLOOKUP(G976,Dados!$D:$L,3,0)&lt;=VLOOKUP(H976,Dados!$X:$AB,2,0),VLOOKUP(G976,Dados!$D:$L,4,0)&gt;=VLOOKUP(H976,Dados!$X:$AB,3,0),VLOOKUP(G976,Dados!$D:$L,4,0)&lt;=VLOOKUP(H976,Dados!$X:$AB,4,0)),0,1)</f>
        <v>0</v>
      </c>
      <c r="U976" s="4">
        <f>IF(COUNTIFS(F:F,F976,H:H,H976)&lt;=VLOOKUP(H976,Dados!$X:$AB,5,0),0,1)</f>
        <v>0</v>
      </c>
    </row>
    <row r="977" spans="6:21">
      <c r="F977" s="4">
        <v>518</v>
      </c>
      <c r="G977" s="4">
        <v>25</v>
      </c>
      <c r="H977" s="4">
        <v>1</v>
      </c>
      <c r="I977" s="4">
        <v>15</v>
      </c>
      <c r="J977" s="4">
        <v>4</v>
      </c>
      <c r="K977" s="4">
        <f t="shared" si="232"/>
        <v>0</v>
      </c>
      <c r="L977" s="4">
        <f t="shared" si="232"/>
        <v>0</v>
      </c>
      <c r="M977" s="4">
        <f t="shared" si="232"/>
        <v>0</v>
      </c>
      <c r="N977" s="4">
        <f t="shared" si="232"/>
        <v>0</v>
      </c>
      <c r="O977" s="4">
        <f t="shared" si="233"/>
        <v>0</v>
      </c>
      <c r="P977" s="4">
        <f t="shared" si="234"/>
        <v>0</v>
      </c>
      <c r="Q977" s="4">
        <f t="shared" si="235"/>
        <v>0</v>
      </c>
      <c r="R977" s="4">
        <f t="shared" si="236"/>
        <v>0</v>
      </c>
      <c r="S977" s="4">
        <f>IF(AND(VLOOKUP(G977,Dados!$D:$L,2,0)=VLOOKUP(I977,Dados!$S:$V,2,0),VLOOKUP(G977,Dados!$D:$L,3,0)=VLOOKUP(I977,Dados!$S:$V,3,0)),0,1)</f>
        <v>0</v>
      </c>
      <c r="T977" s="4">
        <f>IF(AND(VLOOKUP(G977,Dados!$D:$L,3,0)&lt;=VLOOKUP(H977,Dados!$X:$AB,2,0),VLOOKUP(G977,Dados!$D:$L,4,0)&gt;=VLOOKUP(H977,Dados!$X:$AB,3,0),VLOOKUP(G977,Dados!$D:$L,4,0)&lt;=VLOOKUP(H977,Dados!$X:$AB,4,0)),0,1)</f>
        <v>0</v>
      </c>
      <c r="U977" s="4">
        <f>IF(COUNTIFS(F:F,F977,H:H,H977)&lt;=VLOOKUP(H977,Dados!$X:$AB,5,0),0,1)</f>
        <v>0</v>
      </c>
    </row>
    <row r="978" spans="6:21">
      <c r="F978" s="4">
        <v>518</v>
      </c>
      <c r="G978" s="4">
        <v>29</v>
      </c>
      <c r="H978" s="4">
        <v>1</v>
      </c>
      <c r="I978" s="4">
        <v>15</v>
      </c>
      <c r="J978" s="4">
        <v>2</v>
      </c>
      <c r="K978" s="4">
        <f t="shared" si="232"/>
        <v>0</v>
      </c>
      <c r="L978" s="4">
        <f t="shared" si="232"/>
        <v>0</v>
      </c>
      <c r="M978" s="4">
        <f t="shared" si="232"/>
        <v>0</v>
      </c>
      <c r="N978" s="4">
        <f t="shared" si="232"/>
        <v>0</v>
      </c>
      <c r="O978" s="4">
        <f t="shared" si="233"/>
        <v>0</v>
      </c>
      <c r="P978" s="4">
        <f t="shared" si="234"/>
        <v>0</v>
      </c>
      <c r="Q978" s="4">
        <f t="shared" si="235"/>
        <v>0</v>
      </c>
      <c r="R978" s="4">
        <f t="shared" si="236"/>
        <v>0</v>
      </c>
      <c r="S978" s="4">
        <f>IF(AND(VLOOKUP(G978,Dados!$D:$L,2,0)=VLOOKUP(I978,Dados!$S:$V,2,0),VLOOKUP(G978,Dados!$D:$L,3,0)=VLOOKUP(I978,Dados!$S:$V,3,0)),0,1)</f>
        <v>0</v>
      </c>
      <c r="T978" s="4">
        <f>IF(AND(VLOOKUP(G978,Dados!$D:$L,3,0)&lt;=VLOOKUP(H978,Dados!$X:$AB,2,0),VLOOKUP(G978,Dados!$D:$L,4,0)&gt;=VLOOKUP(H978,Dados!$X:$AB,3,0),VLOOKUP(G978,Dados!$D:$L,4,0)&lt;=VLOOKUP(H978,Dados!$X:$AB,4,0)),0,1)</f>
        <v>0</v>
      </c>
      <c r="U978" s="4">
        <f>IF(COUNTIFS(F:F,F978,H:H,H978)&lt;=VLOOKUP(H978,Dados!$X:$AB,5,0),0,1)</f>
        <v>0</v>
      </c>
    </row>
    <row r="979" spans="6:21">
      <c r="F979" s="4">
        <v>519</v>
      </c>
      <c r="G979" s="4">
        <v>25</v>
      </c>
      <c r="H979" s="4">
        <v>3</v>
      </c>
      <c r="I979" s="4">
        <v>15</v>
      </c>
      <c r="J979" s="4">
        <v>3</v>
      </c>
      <c r="K979" s="4">
        <f t="shared" si="232"/>
        <v>0</v>
      </c>
      <c r="L979" s="4">
        <f t="shared" si="232"/>
        <v>0</v>
      </c>
      <c r="M979" s="4">
        <f t="shared" si="232"/>
        <v>0</v>
      </c>
      <c r="N979" s="4">
        <f t="shared" si="232"/>
        <v>0</v>
      </c>
      <c r="O979" s="4">
        <f t="shared" si="233"/>
        <v>0</v>
      </c>
      <c r="P979" s="4">
        <f t="shared" si="234"/>
        <v>0</v>
      </c>
      <c r="Q979" s="4">
        <f t="shared" si="235"/>
        <v>0</v>
      </c>
      <c r="R979" s="4">
        <f t="shared" si="236"/>
        <v>0</v>
      </c>
      <c r="S979" s="4">
        <f>IF(AND(VLOOKUP(G979,Dados!$D:$L,2,0)=VLOOKUP(I979,Dados!$S:$V,2,0),VLOOKUP(G979,Dados!$D:$L,3,0)=VLOOKUP(I979,Dados!$S:$V,3,0)),0,1)</f>
        <v>0</v>
      </c>
      <c r="T979" s="4">
        <f>IF(AND(VLOOKUP(G979,Dados!$D:$L,3,0)&lt;=VLOOKUP(H979,Dados!$X:$AB,2,0),VLOOKUP(G979,Dados!$D:$L,4,0)&gt;=VLOOKUP(H979,Dados!$X:$AB,3,0),VLOOKUP(G979,Dados!$D:$L,4,0)&lt;=VLOOKUP(H979,Dados!$X:$AB,4,0)),0,1)</f>
        <v>0</v>
      </c>
      <c r="U979" s="4">
        <f>IF(COUNTIFS(F:F,F979,H:H,H979)&lt;=VLOOKUP(H979,Dados!$X:$AB,5,0),0,1)</f>
        <v>0</v>
      </c>
    </row>
    <row r="980" spans="6:21">
      <c r="F980" s="4">
        <v>519</v>
      </c>
      <c r="G980" s="4">
        <v>26</v>
      </c>
      <c r="H980" s="4">
        <v>3</v>
      </c>
      <c r="I980" s="4">
        <v>15</v>
      </c>
      <c r="J980" s="4">
        <v>1</v>
      </c>
      <c r="K980" s="4">
        <f t="shared" si="232"/>
        <v>0</v>
      </c>
      <c r="L980" s="4">
        <f t="shared" si="232"/>
        <v>0</v>
      </c>
      <c r="M980" s="4">
        <f t="shared" si="232"/>
        <v>0</v>
      </c>
      <c r="N980" s="4">
        <f t="shared" si="232"/>
        <v>0</v>
      </c>
      <c r="O980" s="4">
        <f t="shared" si="233"/>
        <v>0</v>
      </c>
      <c r="P980" s="4">
        <f t="shared" si="234"/>
        <v>0</v>
      </c>
      <c r="Q980" s="4">
        <f t="shared" si="235"/>
        <v>0</v>
      </c>
      <c r="R980" s="4">
        <f t="shared" si="236"/>
        <v>0</v>
      </c>
      <c r="S980" s="4">
        <f>IF(AND(VLOOKUP(G980,Dados!$D:$L,2,0)=VLOOKUP(I980,Dados!$S:$V,2,0),VLOOKUP(G980,Dados!$D:$L,3,0)=VLOOKUP(I980,Dados!$S:$V,3,0)),0,1)</f>
        <v>0</v>
      </c>
      <c r="T980" s="4">
        <f>IF(AND(VLOOKUP(G980,Dados!$D:$L,3,0)&lt;=VLOOKUP(H980,Dados!$X:$AB,2,0),VLOOKUP(G980,Dados!$D:$L,4,0)&gt;=VLOOKUP(H980,Dados!$X:$AB,3,0),VLOOKUP(G980,Dados!$D:$L,4,0)&lt;=VLOOKUP(H980,Dados!$X:$AB,4,0)),0,1)</f>
        <v>0</v>
      </c>
      <c r="U980" s="4">
        <f>IF(COUNTIFS(F:F,F980,H:H,H980)&lt;=VLOOKUP(H980,Dados!$X:$AB,5,0),0,1)</f>
        <v>0</v>
      </c>
    </row>
    <row r="981" spans="6:21">
      <c r="F981" s="4">
        <v>519</v>
      </c>
      <c r="G981" s="4">
        <v>28</v>
      </c>
      <c r="H981" s="4">
        <v>3</v>
      </c>
      <c r="I981" s="4">
        <v>15</v>
      </c>
      <c r="J981" s="4">
        <v>2</v>
      </c>
      <c r="K981" s="4">
        <f t="shared" si="232"/>
        <v>0</v>
      </c>
      <c r="L981" s="4">
        <f t="shared" si="232"/>
        <v>0</v>
      </c>
      <c r="M981" s="4">
        <f t="shared" si="232"/>
        <v>0</v>
      </c>
      <c r="N981" s="4">
        <f t="shared" si="232"/>
        <v>0</v>
      </c>
      <c r="O981" s="4">
        <f t="shared" si="233"/>
        <v>0</v>
      </c>
      <c r="P981" s="4">
        <f t="shared" si="234"/>
        <v>0</v>
      </c>
      <c r="Q981" s="4">
        <f t="shared" si="235"/>
        <v>0</v>
      </c>
      <c r="R981" s="4">
        <f t="shared" si="236"/>
        <v>0</v>
      </c>
      <c r="S981" s="4">
        <f>IF(AND(VLOOKUP(G981,Dados!$D:$L,2,0)=VLOOKUP(I981,Dados!$S:$V,2,0),VLOOKUP(G981,Dados!$D:$L,3,0)=VLOOKUP(I981,Dados!$S:$V,3,0)),0,1)</f>
        <v>0</v>
      </c>
      <c r="T981" s="4">
        <f>IF(AND(VLOOKUP(G981,Dados!$D:$L,3,0)&lt;=VLOOKUP(H981,Dados!$X:$AB,2,0),VLOOKUP(G981,Dados!$D:$L,4,0)&gt;=VLOOKUP(H981,Dados!$X:$AB,3,0),VLOOKUP(G981,Dados!$D:$L,4,0)&lt;=VLOOKUP(H981,Dados!$X:$AB,4,0)),0,1)</f>
        <v>0</v>
      </c>
      <c r="U981" s="4">
        <f>IF(COUNTIFS(F:F,F981,H:H,H981)&lt;=VLOOKUP(H981,Dados!$X:$AB,5,0),0,1)</f>
        <v>0</v>
      </c>
    </row>
    <row r="982" spans="6:21">
      <c r="F982" s="4">
        <v>519</v>
      </c>
      <c r="G982" s="4">
        <v>29</v>
      </c>
      <c r="H982" s="4">
        <v>3</v>
      </c>
      <c r="I982" s="4">
        <v>15</v>
      </c>
      <c r="J982" s="4">
        <v>1</v>
      </c>
      <c r="K982" s="4">
        <f t="shared" si="232"/>
        <v>0</v>
      </c>
      <c r="L982" s="4">
        <f t="shared" si="232"/>
        <v>0</v>
      </c>
      <c r="M982" s="4">
        <f t="shared" si="232"/>
        <v>0</v>
      </c>
      <c r="N982" s="4">
        <f t="shared" si="232"/>
        <v>0</v>
      </c>
      <c r="O982" s="4">
        <f t="shared" si="233"/>
        <v>0</v>
      </c>
      <c r="P982" s="4">
        <f t="shared" si="234"/>
        <v>0</v>
      </c>
      <c r="Q982" s="4">
        <f t="shared" si="235"/>
        <v>0</v>
      </c>
      <c r="R982" s="4">
        <f t="shared" si="236"/>
        <v>0</v>
      </c>
      <c r="S982" s="4">
        <f>IF(AND(VLOOKUP(G982,Dados!$D:$L,2,0)=VLOOKUP(I982,Dados!$S:$V,2,0),VLOOKUP(G982,Dados!$D:$L,3,0)=VLOOKUP(I982,Dados!$S:$V,3,0)),0,1)</f>
        <v>0</v>
      </c>
      <c r="T982" s="4">
        <f>IF(AND(VLOOKUP(G982,Dados!$D:$L,3,0)&lt;=VLOOKUP(H982,Dados!$X:$AB,2,0),VLOOKUP(G982,Dados!$D:$L,4,0)&gt;=VLOOKUP(H982,Dados!$X:$AB,3,0),VLOOKUP(G982,Dados!$D:$L,4,0)&lt;=VLOOKUP(H982,Dados!$X:$AB,4,0)),0,1)</f>
        <v>0</v>
      </c>
      <c r="U982" s="4">
        <f>IF(COUNTIFS(F:F,F982,H:H,H982)&lt;=VLOOKUP(H982,Dados!$X:$AB,5,0),0,1)</f>
        <v>0</v>
      </c>
    </row>
    <row r="983" spans="6:21">
      <c r="F983" s="4">
        <v>520</v>
      </c>
      <c r="G983" s="4">
        <v>35</v>
      </c>
      <c r="H983" s="4">
        <v>1</v>
      </c>
      <c r="I983" s="4">
        <v>16</v>
      </c>
      <c r="J983" s="4">
        <v>5</v>
      </c>
      <c r="K983" s="4">
        <f t="shared" si="232"/>
        <v>0</v>
      </c>
      <c r="L983" s="4">
        <f t="shared" si="232"/>
        <v>0</v>
      </c>
      <c r="M983" s="4">
        <f t="shared" si="232"/>
        <v>0</v>
      </c>
      <c r="N983" s="4">
        <f t="shared" si="232"/>
        <v>0</v>
      </c>
      <c r="O983" s="4">
        <f t="shared" si="233"/>
        <v>0</v>
      </c>
      <c r="P983" s="4">
        <f t="shared" si="234"/>
        <v>0</v>
      </c>
      <c r="Q983" s="4">
        <f t="shared" si="235"/>
        <v>0</v>
      </c>
      <c r="R983" s="4">
        <f t="shared" si="236"/>
        <v>0</v>
      </c>
      <c r="S983" s="4">
        <f>IF(AND(VLOOKUP(G983,Dados!$D:$L,2,0)=VLOOKUP(I983,Dados!$S:$V,2,0),VLOOKUP(G983,Dados!$D:$L,3,0)=VLOOKUP(I983,Dados!$S:$V,3,0)),0,1)</f>
        <v>0</v>
      </c>
      <c r="T983" s="4">
        <f>IF(AND(VLOOKUP(G983,Dados!$D:$L,3,0)&lt;=VLOOKUP(H983,Dados!$X:$AB,2,0),VLOOKUP(G983,Dados!$D:$L,4,0)&gt;=VLOOKUP(H983,Dados!$X:$AB,3,0),VLOOKUP(G983,Dados!$D:$L,4,0)&lt;=VLOOKUP(H983,Dados!$X:$AB,4,0)),0,1)</f>
        <v>0</v>
      </c>
      <c r="U983" s="4">
        <f>IF(COUNTIFS(F:F,F983,H:H,H983)&lt;=VLOOKUP(H983,Dados!$X:$AB,5,0),0,1)</f>
        <v>0</v>
      </c>
    </row>
    <row r="984" spans="6:21">
      <c r="F984" s="4">
        <v>520</v>
      </c>
      <c r="G984" s="4">
        <v>36</v>
      </c>
      <c r="H984" s="4">
        <v>1</v>
      </c>
      <c r="I984" s="4">
        <v>16</v>
      </c>
      <c r="J984" s="4">
        <v>2</v>
      </c>
      <c r="K984" s="4">
        <f t="shared" si="232"/>
        <v>0</v>
      </c>
      <c r="L984" s="4">
        <f t="shared" si="232"/>
        <v>0</v>
      </c>
      <c r="M984" s="4">
        <f t="shared" si="232"/>
        <v>0</v>
      </c>
      <c r="N984" s="4">
        <f t="shared" si="232"/>
        <v>0</v>
      </c>
      <c r="O984" s="4">
        <f t="shared" si="233"/>
        <v>0</v>
      </c>
      <c r="P984" s="4">
        <f t="shared" si="234"/>
        <v>0</v>
      </c>
      <c r="Q984" s="4">
        <f t="shared" si="235"/>
        <v>0</v>
      </c>
      <c r="R984" s="4">
        <f t="shared" si="236"/>
        <v>0</v>
      </c>
      <c r="S984" s="4">
        <f>IF(AND(VLOOKUP(G984,Dados!$D:$L,2,0)=VLOOKUP(I984,Dados!$S:$V,2,0),VLOOKUP(G984,Dados!$D:$L,3,0)=VLOOKUP(I984,Dados!$S:$V,3,0)),0,1)</f>
        <v>0</v>
      </c>
      <c r="T984" s="4">
        <f>IF(AND(VLOOKUP(G984,Dados!$D:$L,3,0)&lt;=VLOOKUP(H984,Dados!$X:$AB,2,0),VLOOKUP(G984,Dados!$D:$L,4,0)&gt;=VLOOKUP(H984,Dados!$X:$AB,3,0),VLOOKUP(G984,Dados!$D:$L,4,0)&lt;=VLOOKUP(H984,Dados!$X:$AB,4,0)),0,1)</f>
        <v>0</v>
      </c>
      <c r="U984" s="4">
        <f>IF(COUNTIFS(F:F,F984,H:H,H984)&lt;=VLOOKUP(H984,Dados!$X:$AB,5,0),0,1)</f>
        <v>0</v>
      </c>
    </row>
    <row r="985" spans="6:21">
      <c r="F985" s="4">
        <v>521</v>
      </c>
      <c r="G985" s="4">
        <v>35</v>
      </c>
      <c r="H985" s="4">
        <v>2</v>
      </c>
      <c r="I985" s="4">
        <v>16</v>
      </c>
      <c r="J985" s="4">
        <v>5</v>
      </c>
      <c r="K985" s="4">
        <f t="shared" si="232"/>
        <v>0</v>
      </c>
      <c r="L985" s="4">
        <f t="shared" si="232"/>
        <v>0</v>
      </c>
      <c r="M985" s="4">
        <f t="shared" si="232"/>
        <v>9</v>
      </c>
      <c r="N985" s="4">
        <f t="shared" si="232"/>
        <v>0</v>
      </c>
      <c r="O985" s="4">
        <f t="shared" si="233"/>
        <v>0</v>
      </c>
      <c r="P985" s="4">
        <f t="shared" si="234"/>
        <v>0</v>
      </c>
      <c r="Q985" s="4">
        <f t="shared" si="235"/>
        <v>45</v>
      </c>
      <c r="R985" s="4">
        <f t="shared" si="236"/>
        <v>0</v>
      </c>
      <c r="S985" s="4">
        <f>IF(AND(VLOOKUP(G985,Dados!$D:$L,2,0)=VLOOKUP(I985,Dados!$S:$V,2,0),VLOOKUP(G985,Dados!$D:$L,3,0)=VLOOKUP(I985,Dados!$S:$V,3,0)),0,1)</f>
        <v>0</v>
      </c>
      <c r="T985" s="4">
        <f>IF(AND(VLOOKUP(G985,Dados!$D:$L,3,0)&lt;=VLOOKUP(H985,Dados!$X:$AB,2,0),VLOOKUP(G985,Dados!$D:$L,4,0)&gt;=VLOOKUP(H985,Dados!$X:$AB,3,0),VLOOKUP(G985,Dados!$D:$L,4,0)&lt;=VLOOKUP(H985,Dados!$X:$AB,4,0)),0,1)</f>
        <v>0</v>
      </c>
      <c r="U985" s="4">
        <f>IF(COUNTIFS(F:F,F985,H:H,H985)&lt;=VLOOKUP(H985,Dados!$X:$AB,5,0),0,1)</f>
        <v>0</v>
      </c>
    </row>
    <row r="986" spans="6:21">
      <c r="F986" s="4">
        <v>521</v>
      </c>
      <c r="G986" s="4">
        <v>36</v>
      </c>
      <c r="H986" s="4">
        <v>2</v>
      </c>
      <c r="I986" s="4">
        <v>16</v>
      </c>
      <c r="J986" s="4">
        <v>2</v>
      </c>
      <c r="K986" s="4">
        <f t="shared" si="232"/>
        <v>0</v>
      </c>
      <c r="L986" s="4">
        <f t="shared" si="232"/>
        <v>0</v>
      </c>
      <c r="M986" s="4">
        <f t="shared" si="232"/>
        <v>9</v>
      </c>
      <c r="N986" s="4">
        <f t="shared" si="232"/>
        <v>0</v>
      </c>
      <c r="O986" s="4">
        <f t="shared" si="233"/>
        <v>0</v>
      </c>
      <c r="P986" s="4">
        <f t="shared" si="234"/>
        <v>0</v>
      </c>
      <c r="Q986" s="4">
        <f t="shared" si="235"/>
        <v>18</v>
      </c>
      <c r="R986" s="4">
        <f t="shared" si="236"/>
        <v>0</v>
      </c>
      <c r="S986" s="4">
        <f>IF(AND(VLOOKUP(G986,Dados!$D:$L,2,0)=VLOOKUP(I986,Dados!$S:$V,2,0),VLOOKUP(G986,Dados!$D:$L,3,0)=VLOOKUP(I986,Dados!$S:$V,3,0)),0,1)</f>
        <v>0</v>
      </c>
      <c r="T986" s="4">
        <f>IF(AND(VLOOKUP(G986,Dados!$D:$L,3,0)&lt;=VLOOKUP(H986,Dados!$X:$AB,2,0),VLOOKUP(G986,Dados!$D:$L,4,0)&gt;=VLOOKUP(H986,Dados!$X:$AB,3,0),VLOOKUP(G986,Dados!$D:$L,4,0)&lt;=VLOOKUP(H986,Dados!$X:$AB,4,0)),0,1)</f>
        <v>0</v>
      </c>
      <c r="U986" s="4">
        <f>IF(COUNTIFS(F:F,F986,H:H,H986)&lt;=VLOOKUP(H986,Dados!$X:$AB,5,0),0,1)</f>
        <v>0</v>
      </c>
    </row>
    <row r="987" spans="6:21">
      <c r="F987" s="4">
        <v>522</v>
      </c>
      <c r="G987" s="4">
        <v>35</v>
      </c>
      <c r="H987" s="4">
        <v>3</v>
      </c>
      <c r="I987" s="4">
        <v>16</v>
      </c>
      <c r="J987" s="4">
        <v>5</v>
      </c>
      <c r="K987" s="4">
        <f t="shared" si="232"/>
        <v>0</v>
      </c>
      <c r="L987" s="4">
        <f t="shared" si="232"/>
        <v>0</v>
      </c>
      <c r="M987" s="4">
        <f t="shared" si="232"/>
        <v>0</v>
      </c>
      <c r="N987" s="4">
        <f t="shared" si="232"/>
        <v>0</v>
      </c>
      <c r="O987" s="4">
        <f t="shared" si="233"/>
        <v>0</v>
      </c>
      <c r="P987" s="4">
        <f t="shared" si="234"/>
        <v>0</v>
      </c>
      <c r="Q987" s="4">
        <f t="shared" si="235"/>
        <v>0</v>
      </c>
      <c r="R987" s="4">
        <f t="shared" si="236"/>
        <v>0</v>
      </c>
      <c r="S987" s="4">
        <f>IF(AND(VLOOKUP(G987,Dados!$D:$L,2,0)=VLOOKUP(I987,Dados!$S:$V,2,0),VLOOKUP(G987,Dados!$D:$L,3,0)=VLOOKUP(I987,Dados!$S:$V,3,0)),0,1)</f>
        <v>0</v>
      </c>
      <c r="T987" s="4">
        <f>IF(AND(VLOOKUP(G987,Dados!$D:$L,3,0)&lt;=VLOOKUP(H987,Dados!$X:$AB,2,0),VLOOKUP(G987,Dados!$D:$L,4,0)&gt;=VLOOKUP(H987,Dados!$X:$AB,3,0),VLOOKUP(G987,Dados!$D:$L,4,0)&lt;=VLOOKUP(H987,Dados!$X:$AB,4,0)),0,1)</f>
        <v>0</v>
      </c>
      <c r="U987" s="4">
        <f>IF(COUNTIFS(F:F,F987,H:H,H987)&lt;=VLOOKUP(H987,Dados!$X:$AB,5,0),0,1)</f>
        <v>0</v>
      </c>
    </row>
    <row r="988" spans="6:21">
      <c r="F988" s="4">
        <v>522</v>
      </c>
      <c r="G988" s="4">
        <v>36</v>
      </c>
      <c r="H988" s="4">
        <v>3</v>
      </c>
      <c r="I988" s="4">
        <v>16</v>
      </c>
      <c r="J988" s="4">
        <v>2</v>
      </c>
      <c r="K988" s="4">
        <f t="shared" si="232"/>
        <v>0</v>
      </c>
      <c r="L988" s="4">
        <f t="shared" si="232"/>
        <v>0</v>
      </c>
      <c r="M988" s="4">
        <f t="shared" si="232"/>
        <v>0</v>
      </c>
      <c r="N988" s="4">
        <f t="shared" si="232"/>
        <v>0</v>
      </c>
      <c r="O988" s="4">
        <f t="shared" si="233"/>
        <v>0</v>
      </c>
      <c r="P988" s="4">
        <f t="shared" si="234"/>
        <v>0</v>
      </c>
      <c r="Q988" s="4">
        <f t="shared" si="235"/>
        <v>0</v>
      </c>
      <c r="R988" s="4">
        <f t="shared" si="236"/>
        <v>0</v>
      </c>
      <c r="S988" s="4">
        <f>IF(AND(VLOOKUP(G988,Dados!$D:$L,2,0)=VLOOKUP(I988,Dados!$S:$V,2,0),VLOOKUP(G988,Dados!$D:$L,3,0)=VLOOKUP(I988,Dados!$S:$V,3,0)),0,1)</f>
        <v>0</v>
      </c>
      <c r="T988" s="4">
        <f>IF(AND(VLOOKUP(G988,Dados!$D:$L,3,0)&lt;=VLOOKUP(H988,Dados!$X:$AB,2,0),VLOOKUP(G988,Dados!$D:$L,4,0)&gt;=VLOOKUP(H988,Dados!$X:$AB,3,0),VLOOKUP(G988,Dados!$D:$L,4,0)&lt;=VLOOKUP(H988,Dados!$X:$AB,4,0)),0,1)</f>
        <v>0</v>
      </c>
      <c r="U988" s="4">
        <f>IF(COUNTIFS(F:F,F988,H:H,H988)&lt;=VLOOKUP(H988,Dados!$X:$AB,5,0),0,1)</f>
        <v>0</v>
      </c>
    </row>
    <row r="989" spans="6:21">
      <c r="F989" s="4">
        <v>523</v>
      </c>
      <c r="G989" s="4">
        <v>40</v>
      </c>
      <c r="H989" s="4">
        <v>1</v>
      </c>
      <c r="I989" s="4">
        <v>17</v>
      </c>
      <c r="J989" s="4">
        <v>5</v>
      </c>
      <c r="K989" s="4">
        <f t="shared" si="232"/>
        <v>0</v>
      </c>
      <c r="L989" s="4">
        <f t="shared" si="232"/>
        <v>0</v>
      </c>
      <c r="M989" s="4">
        <f t="shared" si="232"/>
        <v>0</v>
      </c>
      <c r="N989" s="4">
        <f t="shared" si="232"/>
        <v>0</v>
      </c>
      <c r="O989" s="4">
        <f t="shared" si="233"/>
        <v>0</v>
      </c>
      <c r="P989" s="4">
        <f t="shared" si="234"/>
        <v>0</v>
      </c>
      <c r="Q989" s="4">
        <f t="shared" si="235"/>
        <v>0</v>
      </c>
      <c r="R989" s="4">
        <f t="shared" si="236"/>
        <v>0</v>
      </c>
      <c r="S989" s="4">
        <f>IF(AND(VLOOKUP(G989,Dados!$D:$L,2,0)=VLOOKUP(I989,Dados!$S:$V,2,0),VLOOKUP(G989,Dados!$D:$L,3,0)=VLOOKUP(I989,Dados!$S:$V,3,0)),0,1)</f>
        <v>0</v>
      </c>
      <c r="T989" s="4">
        <f>IF(AND(VLOOKUP(G989,Dados!$D:$L,3,0)&lt;=VLOOKUP(H989,Dados!$X:$AB,2,0),VLOOKUP(G989,Dados!$D:$L,4,0)&gt;=VLOOKUP(H989,Dados!$X:$AB,3,0),VLOOKUP(G989,Dados!$D:$L,4,0)&lt;=VLOOKUP(H989,Dados!$X:$AB,4,0)),0,1)</f>
        <v>0</v>
      </c>
      <c r="U989" s="4">
        <f>IF(COUNTIFS(F:F,F989,H:H,H989)&lt;=VLOOKUP(H989,Dados!$X:$AB,5,0),0,1)</f>
        <v>0</v>
      </c>
    </row>
    <row r="990" spans="6:21">
      <c r="F990" s="4">
        <v>523</v>
      </c>
      <c r="G990" s="4">
        <v>45</v>
      </c>
      <c r="H990" s="4">
        <v>1</v>
      </c>
      <c r="I990" s="4">
        <v>17</v>
      </c>
      <c r="J990" s="4">
        <v>2</v>
      </c>
      <c r="K990" s="4">
        <f t="shared" si="232"/>
        <v>0</v>
      </c>
      <c r="L990" s="4">
        <f t="shared" si="232"/>
        <v>0</v>
      </c>
      <c r="M990" s="4">
        <f t="shared" si="232"/>
        <v>0</v>
      </c>
      <c r="N990" s="4">
        <f t="shared" si="232"/>
        <v>0</v>
      </c>
      <c r="O990" s="4">
        <f t="shared" si="233"/>
        <v>0</v>
      </c>
      <c r="P990" s="4">
        <f t="shared" si="234"/>
        <v>0</v>
      </c>
      <c r="Q990" s="4">
        <f t="shared" si="235"/>
        <v>0</v>
      </c>
      <c r="R990" s="4">
        <f t="shared" si="236"/>
        <v>0</v>
      </c>
      <c r="S990" s="4">
        <f>IF(AND(VLOOKUP(G990,Dados!$D:$L,2,0)=VLOOKUP(I990,Dados!$S:$V,2,0),VLOOKUP(G990,Dados!$D:$L,3,0)=VLOOKUP(I990,Dados!$S:$V,3,0)),0,1)</f>
        <v>0</v>
      </c>
      <c r="T990" s="4">
        <f>IF(AND(VLOOKUP(G990,Dados!$D:$L,3,0)&lt;=VLOOKUP(H990,Dados!$X:$AB,2,0),VLOOKUP(G990,Dados!$D:$L,4,0)&gt;=VLOOKUP(H990,Dados!$X:$AB,3,0),VLOOKUP(G990,Dados!$D:$L,4,0)&lt;=VLOOKUP(H990,Dados!$X:$AB,4,0)),0,1)</f>
        <v>0</v>
      </c>
      <c r="U990" s="4">
        <f>IF(COUNTIFS(F:F,F990,H:H,H990)&lt;=VLOOKUP(H990,Dados!$X:$AB,5,0),0,1)</f>
        <v>0</v>
      </c>
    </row>
    <row r="991" spans="6:21">
      <c r="F991" s="4">
        <v>524</v>
      </c>
      <c r="G991" s="4">
        <v>40</v>
      </c>
      <c r="H991" s="4">
        <v>2</v>
      </c>
      <c r="I991" s="4">
        <v>17</v>
      </c>
      <c r="J991" s="4">
        <v>5</v>
      </c>
      <c r="K991" s="4">
        <f t="shared" si="232"/>
        <v>0</v>
      </c>
      <c r="L991" s="4">
        <f t="shared" si="232"/>
        <v>0</v>
      </c>
      <c r="M991" s="4">
        <f t="shared" si="232"/>
        <v>18</v>
      </c>
      <c r="N991" s="4">
        <f t="shared" si="232"/>
        <v>0</v>
      </c>
      <c r="O991" s="4">
        <f t="shared" si="233"/>
        <v>0</v>
      </c>
      <c r="P991" s="4">
        <f t="shared" si="234"/>
        <v>0</v>
      </c>
      <c r="Q991" s="4">
        <f t="shared" si="235"/>
        <v>90</v>
      </c>
      <c r="R991" s="4">
        <f t="shared" si="236"/>
        <v>0</v>
      </c>
      <c r="S991" s="4">
        <f>IF(AND(VLOOKUP(G991,Dados!$D:$L,2,0)=VLOOKUP(I991,Dados!$S:$V,2,0),VLOOKUP(G991,Dados!$D:$L,3,0)=VLOOKUP(I991,Dados!$S:$V,3,0)),0,1)</f>
        <v>0</v>
      </c>
      <c r="T991" s="4">
        <f>IF(AND(VLOOKUP(G991,Dados!$D:$L,3,0)&lt;=VLOOKUP(H991,Dados!$X:$AB,2,0),VLOOKUP(G991,Dados!$D:$L,4,0)&gt;=VLOOKUP(H991,Dados!$X:$AB,3,0),VLOOKUP(G991,Dados!$D:$L,4,0)&lt;=VLOOKUP(H991,Dados!$X:$AB,4,0)),0,1)</f>
        <v>0</v>
      </c>
      <c r="U991" s="4">
        <f>IF(COUNTIFS(F:F,F991,H:H,H991)&lt;=VLOOKUP(H991,Dados!$X:$AB,5,0),0,1)</f>
        <v>0</v>
      </c>
    </row>
    <row r="992" spans="6:21">
      <c r="F992" s="4">
        <v>524</v>
      </c>
      <c r="G992" s="4">
        <v>45</v>
      </c>
      <c r="H992" s="4">
        <v>2</v>
      </c>
      <c r="I992" s="4">
        <v>17</v>
      </c>
      <c r="J992" s="4">
        <v>2</v>
      </c>
      <c r="K992" s="4">
        <f t="shared" si="232"/>
        <v>0</v>
      </c>
      <c r="L992" s="4">
        <f t="shared" si="232"/>
        <v>0</v>
      </c>
      <c r="M992" s="4">
        <f t="shared" si="232"/>
        <v>18</v>
      </c>
      <c r="N992" s="4">
        <f t="shared" si="232"/>
        <v>0</v>
      </c>
      <c r="O992" s="4">
        <f t="shared" si="233"/>
        <v>0</v>
      </c>
      <c r="P992" s="4">
        <f t="shared" si="234"/>
        <v>0</v>
      </c>
      <c r="Q992" s="4">
        <f t="shared" si="235"/>
        <v>36</v>
      </c>
      <c r="R992" s="4">
        <f t="shared" si="236"/>
        <v>0</v>
      </c>
      <c r="S992" s="4">
        <f>IF(AND(VLOOKUP(G992,Dados!$D:$L,2,0)=VLOOKUP(I992,Dados!$S:$V,2,0),VLOOKUP(G992,Dados!$D:$L,3,0)=VLOOKUP(I992,Dados!$S:$V,3,0)),0,1)</f>
        <v>0</v>
      </c>
      <c r="T992" s="4">
        <f>IF(AND(VLOOKUP(G992,Dados!$D:$L,3,0)&lt;=VLOOKUP(H992,Dados!$X:$AB,2,0),VLOOKUP(G992,Dados!$D:$L,4,0)&gt;=VLOOKUP(H992,Dados!$X:$AB,3,0),VLOOKUP(G992,Dados!$D:$L,4,0)&lt;=VLOOKUP(H992,Dados!$X:$AB,4,0)),0,1)</f>
        <v>0</v>
      </c>
      <c r="U992" s="4">
        <f>IF(COUNTIFS(F:F,F992,H:H,H992)&lt;=VLOOKUP(H992,Dados!$X:$AB,5,0),0,1)</f>
        <v>0</v>
      </c>
    </row>
    <row r="993" spans="6:21">
      <c r="F993" s="4">
        <v>525</v>
      </c>
      <c r="G993" s="4">
        <v>40</v>
      </c>
      <c r="H993" s="4">
        <v>3</v>
      </c>
      <c r="I993" s="4">
        <v>17</v>
      </c>
      <c r="J993" s="4">
        <v>5</v>
      </c>
      <c r="K993" s="4">
        <f t="shared" si="232"/>
        <v>0</v>
      </c>
      <c r="L993" s="4">
        <f t="shared" si="232"/>
        <v>0</v>
      </c>
      <c r="M993" s="4">
        <f t="shared" si="232"/>
        <v>0</v>
      </c>
      <c r="N993" s="4">
        <f t="shared" si="232"/>
        <v>0</v>
      </c>
      <c r="O993" s="4">
        <f t="shared" si="233"/>
        <v>0</v>
      </c>
      <c r="P993" s="4">
        <f t="shared" si="234"/>
        <v>0</v>
      </c>
      <c r="Q993" s="4">
        <f t="shared" si="235"/>
        <v>0</v>
      </c>
      <c r="R993" s="4">
        <f t="shared" si="236"/>
        <v>0</v>
      </c>
      <c r="S993" s="4">
        <f>IF(AND(VLOOKUP(G993,Dados!$D:$L,2,0)=VLOOKUP(I993,Dados!$S:$V,2,0),VLOOKUP(G993,Dados!$D:$L,3,0)=VLOOKUP(I993,Dados!$S:$V,3,0)),0,1)</f>
        <v>0</v>
      </c>
      <c r="T993" s="4">
        <f>IF(AND(VLOOKUP(G993,Dados!$D:$L,3,0)&lt;=VLOOKUP(H993,Dados!$X:$AB,2,0),VLOOKUP(G993,Dados!$D:$L,4,0)&gt;=VLOOKUP(H993,Dados!$X:$AB,3,0),VLOOKUP(G993,Dados!$D:$L,4,0)&lt;=VLOOKUP(H993,Dados!$X:$AB,4,0)),0,1)</f>
        <v>0</v>
      </c>
      <c r="U993" s="4">
        <f>IF(COUNTIFS(F:F,F993,H:H,H993)&lt;=VLOOKUP(H993,Dados!$X:$AB,5,0),0,1)</f>
        <v>0</v>
      </c>
    </row>
    <row r="994" spans="6:21">
      <c r="F994" s="4">
        <v>525</v>
      </c>
      <c r="G994" s="4">
        <v>45</v>
      </c>
      <c r="H994" s="4">
        <v>3</v>
      </c>
      <c r="I994" s="4">
        <v>17</v>
      </c>
      <c r="J994" s="4">
        <v>2</v>
      </c>
      <c r="K994" s="4">
        <f t="shared" si="232"/>
        <v>0</v>
      </c>
      <c r="L994" s="4">
        <f t="shared" si="232"/>
        <v>0</v>
      </c>
      <c r="M994" s="4">
        <f t="shared" si="232"/>
        <v>0</v>
      </c>
      <c r="N994" s="4">
        <f t="shared" si="232"/>
        <v>0</v>
      </c>
      <c r="O994" s="4">
        <f t="shared" si="233"/>
        <v>0</v>
      </c>
      <c r="P994" s="4">
        <f t="shared" si="234"/>
        <v>0</v>
      </c>
      <c r="Q994" s="4">
        <f t="shared" si="235"/>
        <v>0</v>
      </c>
      <c r="R994" s="4">
        <f t="shared" si="236"/>
        <v>0</v>
      </c>
      <c r="S994" s="4">
        <f>IF(AND(VLOOKUP(G994,Dados!$D:$L,2,0)=VLOOKUP(I994,Dados!$S:$V,2,0),VLOOKUP(G994,Dados!$D:$L,3,0)=VLOOKUP(I994,Dados!$S:$V,3,0)),0,1)</f>
        <v>0</v>
      </c>
      <c r="T994" s="4">
        <f>IF(AND(VLOOKUP(G994,Dados!$D:$L,3,0)&lt;=VLOOKUP(H994,Dados!$X:$AB,2,0),VLOOKUP(G994,Dados!$D:$L,4,0)&gt;=VLOOKUP(H994,Dados!$X:$AB,3,0),VLOOKUP(G994,Dados!$D:$L,4,0)&lt;=VLOOKUP(H994,Dados!$X:$AB,4,0)),0,1)</f>
        <v>0</v>
      </c>
      <c r="U994" s="4">
        <f>IF(COUNTIFS(F:F,F994,H:H,H994)&lt;=VLOOKUP(H994,Dados!$X:$AB,5,0),0,1)</f>
        <v>0</v>
      </c>
    </row>
    <row r="995" spans="6:21">
      <c r="F995" s="4">
        <v>526</v>
      </c>
      <c r="G995" s="4">
        <v>46</v>
      </c>
      <c r="H995" s="4">
        <v>1</v>
      </c>
      <c r="I995" s="4">
        <v>18</v>
      </c>
      <c r="J995" s="4">
        <v>1</v>
      </c>
      <c r="K995" s="4">
        <f t="shared" si="232"/>
        <v>0</v>
      </c>
      <c r="L995" s="4">
        <f t="shared" si="232"/>
        <v>0</v>
      </c>
      <c r="M995" s="4">
        <f t="shared" si="232"/>
        <v>0</v>
      </c>
      <c r="N995" s="4">
        <f t="shared" si="232"/>
        <v>0</v>
      </c>
      <c r="O995" s="4">
        <f t="shared" si="233"/>
        <v>0</v>
      </c>
      <c r="P995" s="4">
        <f t="shared" si="234"/>
        <v>0</v>
      </c>
      <c r="Q995" s="4">
        <f t="shared" si="235"/>
        <v>0</v>
      </c>
      <c r="R995" s="4">
        <f t="shared" si="236"/>
        <v>0</v>
      </c>
      <c r="S995" s="4">
        <f>IF(AND(VLOOKUP(G995,Dados!$D:$L,2,0)=VLOOKUP(I995,Dados!$S:$V,2,0),VLOOKUP(G995,Dados!$D:$L,3,0)=VLOOKUP(I995,Dados!$S:$V,3,0)),0,1)</f>
        <v>0</v>
      </c>
      <c r="T995" s="4">
        <f>IF(AND(VLOOKUP(G995,Dados!$D:$L,3,0)&lt;=VLOOKUP(H995,Dados!$X:$AB,2,0),VLOOKUP(G995,Dados!$D:$L,4,0)&gt;=VLOOKUP(H995,Dados!$X:$AB,3,0),VLOOKUP(G995,Dados!$D:$L,4,0)&lt;=VLOOKUP(H995,Dados!$X:$AB,4,0)),0,1)</f>
        <v>0</v>
      </c>
      <c r="U995" s="4">
        <f>IF(COUNTIFS(F:F,F995,H:H,H995)&lt;=VLOOKUP(H995,Dados!$X:$AB,5,0),0,1)</f>
        <v>0</v>
      </c>
    </row>
    <row r="996" spans="6:21">
      <c r="F996" s="4">
        <v>526</v>
      </c>
      <c r="G996" s="4">
        <v>47</v>
      </c>
      <c r="H996" s="4">
        <v>1</v>
      </c>
      <c r="I996" s="4">
        <v>18</v>
      </c>
      <c r="J996" s="4">
        <v>2</v>
      </c>
      <c r="K996" s="4">
        <f t="shared" si="232"/>
        <v>0</v>
      </c>
      <c r="L996" s="4">
        <f t="shared" si="232"/>
        <v>0</v>
      </c>
      <c r="M996" s="4">
        <f t="shared" si="232"/>
        <v>0</v>
      </c>
      <c r="N996" s="4">
        <f t="shared" si="232"/>
        <v>0</v>
      </c>
      <c r="O996" s="4">
        <f t="shared" si="233"/>
        <v>0</v>
      </c>
      <c r="P996" s="4">
        <f t="shared" si="234"/>
        <v>0</v>
      </c>
      <c r="Q996" s="4">
        <f t="shared" si="235"/>
        <v>0</v>
      </c>
      <c r="R996" s="4">
        <f t="shared" si="236"/>
        <v>0</v>
      </c>
      <c r="S996" s="4">
        <f>IF(AND(VLOOKUP(G996,Dados!$D:$L,2,0)=VLOOKUP(I996,Dados!$S:$V,2,0),VLOOKUP(G996,Dados!$D:$L,3,0)=VLOOKUP(I996,Dados!$S:$V,3,0)),0,1)</f>
        <v>0</v>
      </c>
      <c r="T996" s="4">
        <f>IF(AND(VLOOKUP(G996,Dados!$D:$L,3,0)&lt;=VLOOKUP(H996,Dados!$X:$AB,2,0),VLOOKUP(G996,Dados!$D:$L,4,0)&gt;=VLOOKUP(H996,Dados!$X:$AB,3,0),VLOOKUP(G996,Dados!$D:$L,4,0)&lt;=VLOOKUP(H996,Dados!$X:$AB,4,0)),0,1)</f>
        <v>0</v>
      </c>
      <c r="U996" s="4">
        <f>IF(COUNTIFS(F:F,F996,H:H,H996)&lt;=VLOOKUP(H996,Dados!$X:$AB,5,0),0,1)</f>
        <v>0</v>
      </c>
    </row>
    <row r="997" spans="6:21">
      <c r="F997" s="4">
        <v>526</v>
      </c>
      <c r="G997" s="4">
        <v>52</v>
      </c>
      <c r="H997" s="4">
        <v>1</v>
      </c>
      <c r="I997" s="4">
        <v>18</v>
      </c>
      <c r="J997" s="4">
        <v>6</v>
      </c>
      <c r="K997" s="4">
        <f t="shared" si="232"/>
        <v>0</v>
      </c>
      <c r="L997" s="4">
        <f t="shared" si="232"/>
        <v>0</v>
      </c>
      <c r="M997" s="4">
        <f t="shared" si="232"/>
        <v>0</v>
      </c>
      <c r="N997" s="4">
        <f t="shared" si="232"/>
        <v>0</v>
      </c>
      <c r="O997" s="4">
        <f t="shared" si="233"/>
        <v>0</v>
      </c>
      <c r="P997" s="4">
        <f t="shared" si="234"/>
        <v>0</v>
      </c>
      <c r="Q997" s="4">
        <f t="shared" si="235"/>
        <v>0</v>
      </c>
      <c r="R997" s="4">
        <f t="shared" si="236"/>
        <v>0</v>
      </c>
      <c r="S997" s="4">
        <f>IF(AND(VLOOKUP(G997,Dados!$D:$L,2,0)=VLOOKUP(I997,Dados!$S:$V,2,0),VLOOKUP(G997,Dados!$D:$L,3,0)=VLOOKUP(I997,Dados!$S:$V,3,0)),0,1)</f>
        <v>0</v>
      </c>
      <c r="T997" s="4">
        <f>IF(AND(VLOOKUP(G997,Dados!$D:$L,3,0)&lt;=VLOOKUP(H997,Dados!$X:$AB,2,0),VLOOKUP(G997,Dados!$D:$L,4,0)&gt;=VLOOKUP(H997,Dados!$X:$AB,3,0),VLOOKUP(G997,Dados!$D:$L,4,0)&lt;=VLOOKUP(H997,Dados!$X:$AB,4,0)),0,1)</f>
        <v>0</v>
      </c>
      <c r="U997" s="4">
        <f>IF(COUNTIFS(F:F,F997,H:H,H997)&lt;=VLOOKUP(H997,Dados!$X:$AB,5,0),0,1)</f>
        <v>0</v>
      </c>
    </row>
    <row r="998" spans="6:21">
      <c r="F998" s="4">
        <v>527</v>
      </c>
      <c r="G998" s="4">
        <v>46</v>
      </c>
      <c r="H998" s="4">
        <v>3</v>
      </c>
      <c r="I998" s="4">
        <v>18</v>
      </c>
      <c r="J998" s="4">
        <v>1</v>
      </c>
      <c r="K998" s="4">
        <f t="shared" si="232"/>
        <v>0</v>
      </c>
      <c r="L998" s="4">
        <f t="shared" si="232"/>
        <v>0</v>
      </c>
      <c r="M998" s="4">
        <f t="shared" si="232"/>
        <v>0</v>
      </c>
      <c r="N998" s="4">
        <f t="shared" si="232"/>
        <v>0</v>
      </c>
      <c r="O998" s="4">
        <f t="shared" si="233"/>
        <v>0</v>
      </c>
      <c r="P998" s="4">
        <f t="shared" si="234"/>
        <v>0</v>
      </c>
      <c r="Q998" s="4">
        <f t="shared" si="235"/>
        <v>0</v>
      </c>
      <c r="R998" s="4">
        <f t="shared" si="236"/>
        <v>0</v>
      </c>
      <c r="S998" s="4">
        <f>IF(AND(VLOOKUP(G998,Dados!$D:$L,2,0)=VLOOKUP(I998,Dados!$S:$V,2,0),VLOOKUP(G998,Dados!$D:$L,3,0)=VLOOKUP(I998,Dados!$S:$V,3,0)),0,1)</f>
        <v>0</v>
      </c>
      <c r="T998" s="4">
        <f>IF(AND(VLOOKUP(G998,Dados!$D:$L,3,0)&lt;=VLOOKUP(H998,Dados!$X:$AB,2,0),VLOOKUP(G998,Dados!$D:$L,4,0)&gt;=VLOOKUP(H998,Dados!$X:$AB,3,0),VLOOKUP(G998,Dados!$D:$L,4,0)&lt;=VLOOKUP(H998,Dados!$X:$AB,4,0)),0,1)</f>
        <v>0</v>
      </c>
      <c r="U998" s="4">
        <f>IF(COUNTIFS(F:F,F998,H:H,H998)&lt;=VLOOKUP(H998,Dados!$X:$AB,5,0),0,1)</f>
        <v>0</v>
      </c>
    </row>
    <row r="999" spans="6:21">
      <c r="F999" s="4">
        <v>527</v>
      </c>
      <c r="G999" s="4">
        <v>47</v>
      </c>
      <c r="H999" s="4">
        <v>3</v>
      </c>
      <c r="I999" s="4">
        <v>18</v>
      </c>
      <c r="J999" s="4">
        <v>2</v>
      </c>
      <c r="K999" s="4">
        <f t="shared" si="232"/>
        <v>0</v>
      </c>
      <c r="L999" s="4">
        <f t="shared" si="232"/>
        <v>0</v>
      </c>
      <c r="M999" s="4">
        <f t="shared" si="232"/>
        <v>0</v>
      </c>
      <c r="N999" s="4">
        <f t="shared" si="232"/>
        <v>0</v>
      </c>
      <c r="O999" s="4">
        <f t="shared" ref="O999:O1062" si="237">$J999*K999</f>
        <v>0</v>
      </c>
      <c r="P999" s="4">
        <f t="shared" ref="P999:P1062" si="238">$J999*L999</f>
        <v>0</v>
      </c>
      <c r="Q999" s="4">
        <f t="shared" ref="Q999:Q1062" si="239">$J999*M999</f>
        <v>0</v>
      </c>
      <c r="R999" s="4">
        <f t="shared" ref="R999:R1062" si="240">$J999*N999</f>
        <v>0</v>
      </c>
      <c r="S999" s="4">
        <f>IF(AND(VLOOKUP(G999,Dados!$D:$L,2,0)=VLOOKUP(I999,Dados!$S:$V,2,0),VLOOKUP(G999,Dados!$D:$L,3,0)=VLOOKUP(I999,Dados!$S:$V,3,0)),0,1)</f>
        <v>0</v>
      </c>
      <c r="T999" s="4">
        <f>IF(AND(VLOOKUP(G999,Dados!$D:$L,3,0)&lt;=VLOOKUP(H999,Dados!$X:$AB,2,0),VLOOKUP(G999,Dados!$D:$L,4,0)&gt;=VLOOKUP(H999,Dados!$X:$AB,3,0),VLOOKUP(G999,Dados!$D:$L,4,0)&lt;=VLOOKUP(H999,Dados!$X:$AB,4,0)),0,1)</f>
        <v>0</v>
      </c>
      <c r="U999" s="4">
        <f>IF(COUNTIFS(F:F,F999,H:H,H999)&lt;=VLOOKUP(H999,Dados!$X:$AB,5,0),0,1)</f>
        <v>0</v>
      </c>
    </row>
    <row r="1000" spans="6:21">
      <c r="F1000" s="4">
        <v>527</v>
      </c>
      <c r="G1000" s="4">
        <v>52</v>
      </c>
      <c r="H1000" s="4">
        <v>3</v>
      </c>
      <c r="I1000" s="4">
        <v>18</v>
      </c>
      <c r="J1000" s="4">
        <v>6</v>
      </c>
      <c r="K1000" s="4">
        <f t="shared" ref="K1000:N1063" si="241">SUMIFS($X:$X,$W:$W,$F1000,$Z:$Z,$I1000,$AA:$AA,$H1000,$AB:$AB,K$2)</f>
        <v>0</v>
      </c>
      <c r="L1000" s="4">
        <f t="shared" si="241"/>
        <v>0</v>
      </c>
      <c r="M1000" s="4">
        <f t="shared" si="241"/>
        <v>0</v>
      </c>
      <c r="N1000" s="4">
        <f t="shared" si="241"/>
        <v>0</v>
      </c>
      <c r="O1000" s="4">
        <f t="shared" si="237"/>
        <v>0</v>
      </c>
      <c r="P1000" s="4">
        <f t="shared" si="238"/>
        <v>0</v>
      </c>
      <c r="Q1000" s="4">
        <f t="shared" si="239"/>
        <v>0</v>
      </c>
      <c r="R1000" s="4">
        <f t="shared" si="240"/>
        <v>0</v>
      </c>
      <c r="S1000" s="4">
        <f>IF(AND(VLOOKUP(G1000,Dados!$D:$L,2,0)=VLOOKUP(I1000,Dados!$S:$V,2,0),VLOOKUP(G1000,Dados!$D:$L,3,0)=VLOOKUP(I1000,Dados!$S:$V,3,0)),0,1)</f>
        <v>0</v>
      </c>
      <c r="T1000" s="4">
        <f>IF(AND(VLOOKUP(G1000,Dados!$D:$L,3,0)&lt;=VLOOKUP(H1000,Dados!$X:$AB,2,0),VLOOKUP(G1000,Dados!$D:$L,4,0)&gt;=VLOOKUP(H1000,Dados!$X:$AB,3,0),VLOOKUP(G1000,Dados!$D:$L,4,0)&lt;=VLOOKUP(H1000,Dados!$X:$AB,4,0)),0,1)</f>
        <v>0</v>
      </c>
      <c r="U1000" s="4">
        <f>IF(COUNTIFS(F:F,F1000,H:H,H1000)&lt;=VLOOKUP(H1000,Dados!$X:$AB,5,0),0,1)</f>
        <v>0</v>
      </c>
    </row>
    <row r="1001" spans="6:21">
      <c r="F1001" s="4">
        <v>528</v>
      </c>
      <c r="G1001" s="4">
        <v>46</v>
      </c>
      <c r="H1001" s="4">
        <v>3</v>
      </c>
      <c r="I1001" s="4">
        <v>19</v>
      </c>
      <c r="J1001" s="4">
        <v>1</v>
      </c>
      <c r="K1001" s="4">
        <f t="shared" si="241"/>
        <v>0</v>
      </c>
      <c r="L1001" s="4">
        <f t="shared" si="241"/>
        <v>0</v>
      </c>
      <c r="M1001" s="4">
        <f t="shared" si="241"/>
        <v>0</v>
      </c>
      <c r="N1001" s="4">
        <f t="shared" si="241"/>
        <v>0</v>
      </c>
      <c r="O1001" s="4">
        <f t="shared" si="237"/>
        <v>0</v>
      </c>
      <c r="P1001" s="4">
        <f t="shared" si="238"/>
        <v>0</v>
      </c>
      <c r="Q1001" s="4">
        <f t="shared" si="239"/>
        <v>0</v>
      </c>
      <c r="R1001" s="4">
        <f t="shared" si="240"/>
        <v>0</v>
      </c>
      <c r="S1001" s="4">
        <f>IF(AND(VLOOKUP(G1001,Dados!$D:$L,2,0)=VLOOKUP(I1001,Dados!$S:$V,2,0),VLOOKUP(G1001,Dados!$D:$L,3,0)=VLOOKUP(I1001,Dados!$S:$V,3,0)),0,1)</f>
        <v>0</v>
      </c>
      <c r="T1001" s="4">
        <f>IF(AND(VLOOKUP(G1001,Dados!$D:$L,3,0)&lt;=VLOOKUP(H1001,Dados!$X:$AB,2,0),VLOOKUP(G1001,Dados!$D:$L,4,0)&gt;=VLOOKUP(H1001,Dados!$X:$AB,3,0),VLOOKUP(G1001,Dados!$D:$L,4,0)&lt;=VLOOKUP(H1001,Dados!$X:$AB,4,0)),0,1)</f>
        <v>0</v>
      </c>
      <c r="U1001" s="4">
        <f>IF(COUNTIFS(F:F,F1001,H:H,H1001)&lt;=VLOOKUP(H1001,Dados!$X:$AB,5,0),0,1)</f>
        <v>0</v>
      </c>
    </row>
    <row r="1002" spans="6:21">
      <c r="F1002" s="4">
        <v>528</v>
      </c>
      <c r="G1002" s="4">
        <v>48</v>
      </c>
      <c r="H1002" s="4">
        <v>3</v>
      </c>
      <c r="I1002" s="4">
        <v>19</v>
      </c>
      <c r="J1002" s="4">
        <v>1</v>
      </c>
      <c r="K1002" s="4">
        <f t="shared" si="241"/>
        <v>0</v>
      </c>
      <c r="L1002" s="4">
        <f t="shared" si="241"/>
        <v>0</v>
      </c>
      <c r="M1002" s="4">
        <f t="shared" si="241"/>
        <v>0</v>
      </c>
      <c r="N1002" s="4">
        <f t="shared" si="241"/>
        <v>0</v>
      </c>
      <c r="O1002" s="4">
        <f t="shared" si="237"/>
        <v>0</v>
      </c>
      <c r="P1002" s="4">
        <f t="shared" si="238"/>
        <v>0</v>
      </c>
      <c r="Q1002" s="4">
        <f t="shared" si="239"/>
        <v>0</v>
      </c>
      <c r="R1002" s="4">
        <f t="shared" si="240"/>
        <v>0</v>
      </c>
      <c r="S1002" s="4">
        <f>IF(AND(VLOOKUP(G1002,Dados!$D:$L,2,0)=VLOOKUP(I1002,Dados!$S:$V,2,0),VLOOKUP(G1002,Dados!$D:$L,3,0)=VLOOKUP(I1002,Dados!$S:$V,3,0)),0,1)</f>
        <v>0</v>
      </c>
      <c r="T1002" s="4">
        <f>IF(AND(VLOOKUP(G1002,Dados!$D:$L,3,0)&lt;=VLOOKUP(H1002,Dados!$X:$AB,2,0),VLOOKUP(G1002,Dados!$D:$L,4,0)&gt;=VLOOKUP(H1002,Dados!$X:$AB,3,0),VLOOKUP(G1002,Dados!$D:$L,4,0)&lt;=VLOOKUP(H1002,Dados!$X:$AB,4,0)),0,1)</f>
        <v>0</v>
      </c>
      <c r="U1002" s="4">
        <f>IF(COUNTIFS(F:F,F1002,H:H,H1002)&lt;=VLOOKUP(H1002,Dados!$X:$AB,5,0),0,1)</f>
        <v>0</v>
      </c>
    </row>
    <row r="1003" spans="6:21">
      <c r="F1003" s="4">
        <v>528</v>
      </c>
      <c r="G1003" s="4">
        <v>49</v>
      </c>
      <c r="H1003" s="4">
        <v>3</v>
      </c>
      <c r="I1003" s="4">
        <v>19</v>
      </c>
      <c r="J1003" s="4">
        <v>2</v>
      </c>
      <c r="K1003" s="4">
        <f t="shared" si="241"/>
        <v>0</v>
      </c>
      <c r="L1003" s="4">
        <f t="shared" si="241"/>
        <v>0</v>
      </c>
      <c r="M1003" s="4">
        <f t="shared" si="241"/>
        <v>0</v>
      </c>
      <c r="N1003" s="4">
        <f t="shared" si="241"/>
        <v>0</v>
      </c>
      <c r="O1003" s="4">
        <f t="shared" si="237"/>
        <v>0</v>
      </c>
      <c r="P1003" s="4">
        <f t="shared" si="238"/>
        <v>0</v>
      </c>
      <c r="Q1003" s="4">
        <f t="shared" si="239"/>
        <v>0</v>
      </c>
      <c r="R1003" s="4">
        <f t="shared" si="240"/>
        <v>0</v>
      </c>
      <c r="S1003" s="4">
        <f>IF(AND(VLOOKUP(G1003,Dados!$D:$L,2,0)=VLOOKUP(I1003,Dados!$S:$V,2,0),VLOOKUP(G1003,Dados!$D:$L,3,0)=VLOOKUP(I1003,Dados!$S:$V,3,0)),0,1)</f>
        <v>0</v>
      </c>
      <c r="T1003" s="4">
        <f>IF(AND(VLOOKUP(G1003,Dados!$D:$L,3,0)&lt;=VLOOKUP(H1003,Dados!$X:$AB,2,0),VLOOKUP(G1003,Dados!$D:$L,4,0)&gt;=VLOOKUP(H1003,Dados!$X:$AB,3,0),VLOOKUP(G1003,Dados!$D:$L,4,0)&lt;=VLOOKUP(H1003,Dados!$X:$AB,4,0)),0,1)</f>
        <v>0</v>
      </c>
      <c r="U1003" s="4">
        <f>IF(COUNTIFS(F:F,F1003,H:H,H1003)&lt;=VLOOKUP(H1003,Dados!$X:$AB,5,0),0,1)</f>
        <v>0</v>
      </c>
    </row>
    <row r="1004" spans="6:21">
      <c r="F1004" s="4">
        <v>528</v>
      </c>
      <c r="G1004" s="4">
        <v>52</v>
      </c>
      <c r="H1004" s="4">
        <v>3</v>
      </c>
      <c r="I1004" s="4">
        <v>19</v>
      </c>
      <c r="J1004" s="4">
        <v>6</v>
      </c>
      <c r="K1004" s="4">
        <f t="shared" si="241"/>
        <v>0</v>
      </c>
      <c r="L1004" s="4">
        <f t="shared" si="241"/>
        <v>0</v>
      </c>
      <c r="M1004" s="4">
        <f t="shared" si="241"/>
        <v>0</v>
      </c>
      <c r="N1004" s="4">
        <f t="shared" si="241"/>
        <v>0</v>
      </c>
      <c r="O1004" s="4">
        <f t="shared" si="237"/>
        <v>0</v>
      </c>
      <c r="P1004" s="4">
        <f t="shared" si="238"/>
        <v>0</v>
      </c>
      <c r="Q1004" s="4">
        <f t="shared" si="239"/>
        <v>0</v>
      </c>
      <c r="R1004" s="4">
        <f t="shared" si="240"/>
        <v>0</v>
      </c>
      <c r="S1004" s="4">
        <f>IF(AND(VLOOKUP(G1004,Dados!$D:$L,2,0)=VLOOKUP(I1004,Dados!$S:$V,2,0),VLOOKUP(G1004,Dados!$D:$L,3,0)=VLOOKUP(I1004,Dados!$S:$V,3,0)),0,1)</f>
        <v>0</v>
      </c>
      <c r="T1004" s="4">
        <f>IF(AND(VLOOKUP(G1004,Dados!$D:$L,3,0)&lt;=VLOOKUP(H1004,Dados!$X:$AB,2,0),VLOOKUP(G1004,Dados!$D:$L,4,0)&gt;=VLOOKUP(H1004,Dados!$X:$AB,3,0),VLOOKUP(G1004,Dados!$D:$L,4,0)&lt;=VLOOKUP(H1004,Dados!$X:$AB,4,0)),0,1)</f>
        <v>0</v>
      </c>
      <c r="U1004" s="4">
        <f>IF(COUNTIFS(F:F,F1004,H:H,H1004)&lt;=VLOOKUP(H1004,Dados!$X:$AB,5,0),0,1)</f>
        <v>0</v>
      </c>
    </row>
    <row r="1005" spans="6:21">
      <c r="F1005" s="4">
        <v>529</v>
      </c>
      <c r="G1005" s="4">
        <v>54</v>
      </c>
      <c r="H1005" s="4">
        <v>1</v>
      </c>
      <c r="I1005" s="4">
        <v>20</v>
      </c>
      <c r="J1005" s="4">
        <v>1</v>
      </c>
      <c r="K1005" s="4">
        <f t="shared" si="241"/>
        <v>0</v>
      </c>
      <c r="L1005" s="4">
        <f t="shared" si="241"/>
        <v>0</v>
      </c>
      <c r="M1005" s="4">
        <f t="shared" si="241"/>
        <v>0</v>
      </c>
      <c r="N1005" s="4">
        <f t="shared" si="241"/>
        <v>0</v>
      </c>
      <c r="O1005" s="4">
        <f t="shared" si="237"/>
        <v>0</v>
      </c>
      <c r="P1005" s="4">
        <f t="shared" si="238"/>
        <v>0</v>
      </c>
      <c r="Q1005" s="4">
        <f t="shared" si="239"/>
        <v>0</v>
      </c>
      <c r="R1005" s="4">
        <f t="shared" si="240"/>
        <v>0</v>
      </c>
      <c r="S1005" s="4">
        <f>IF(AND(VLOOKUP(G1005,Dados!$D:$L,2,0)=VLOOKUP(I1005,Dados!$S:$V,2,0),VLOOKUP(G1005,Dados!$D:$L,3,0)=VLOOKUP(I1005,Dados!$S:$V,3,0)),0,1)</f>
        <v>0</v>
      </c>
      <c r="T1005" s="4">
        <f>IF(AND(VLOOKUP(G1005,Dados!$D:$L,3,0)&lt;=VLOOKUP(H1005,Dados!$X:$AB,2,0),VLOOKUP(G1005,Dados!$D:$L,4,0)&gt;=VLOOKUP(H1005,Dados!$X:$AB,3,0),VLOOKUP(G1005,Dados!$D:$L,4,0)&lt;=VLOOKUP(H1005,Dados!$X:$AB,4,0)),0,1)</f>
        <v>0</v>
      </c>
      <c r="U1005" s="4">
        <f>IF(COUNTIFS(F:F,F1005,H:H,H1005)&lt;=VLOOKUP(H1005,Dados!$X:$AB,5,0),0,1)</f>
        <v>0</v>
      </c>
    </row>
    <row r="1006" spans="6:21">
      <c r="F1006" s="4">
        <v>529</v>
      </c>
      <c r="G1006" s="4">
        <v>55</v>
      </c>
      <c r="H1006" s="4">
        <v>1</v>
      </c>
      <c r="I1006" s="4">
        <v>20</v>
      </c>
      <c r="J1006" s="4">
        <v>7</v>
      </c>
      <c r="K1006" s="4">
        <f t="shared" si="241"/>
        <v>0</v>
      </c>
      <c r="L1006" s="4">
        <f t="shared" si="241"/>
        <v>0</v>
      </c>
      <c r="M1006" s="4">
        <f t="shared" si="241"/>
        <v>0</v>
      </c>
      <c r="N1006" s="4">
        <f t="shared" si="241"/>
        <v>0</v>
      </c>
      <c r="O1006" s="4">
        <f t="shared" si="237"/>
        <v>0</v>
      </c>
      <c r="P1006" s="4">
        <f t="shared" si="238"/>
        <v>0</v>
      </c>
      <c r="Q1006" s="4">
        <f t="shared" si="239"/>
        <v>0</v>
      </c>
      <c r="R1006" s="4">
        <f t="shared" si="240"/>
        <v>0</v>
      </c>
      <c r="S1006" s="4">
        <f>IF(AND(VLOOKUP(G1006,Dados!$D:$L,2,0)=VLOOKUP(I1006,Dados!$S:$V,2,0),VLOOKUP(G1006,Dados!$D:$L,3,0)=VLOOKUP(I1006,Dados!$S:$V,3,0)),0,1)</f>
        <v>0</v>
      </c>
      <c r="T1006" s="4">
        <f>IF(AND(VLOOKUP(G1006,Dados!$D:$L,3,0)&lt;=VLOOKUP(H1006,Dados!$X:$AB,2,0),VLOOKUP(G1006,Dados!$D:$L,4,0)&gt;=VLOOKUP(H1006,Dados!$X:$AB,3,0),VLOOKUP(G1006,Dados!$D:$L,4,0)&lt;=VLOOKUP(H1006,Dados!$X:$AB,4,0)),0,1)</f>
        <v>0</v>
      </c>
      <c r="U1006" s="4">
        <f>IF(COUNTIFS(F:F,F1006,H:H,H1006)&lt;=VLOOKUP(H1006,Dados!$X:$AB,5,0),0,1)</f>
        <v>0</v>
      </c>
    </row>
    <row r="1007" spans="6:21">
      <c r="F1007" s="4">
        <v>529</v>
      </c>
      <c r="G1007" s="4">
        <v>56</v>
      </c>
      <c r="H1007" s="4">
        <v>1</v>
      </c>
      <c r="I1007" s="4">
        <v>20</v>
      </c>
      <c r="J1007" s="4">
        <v>1</v>
      </c>
      <c r="K1007" s="4">
        <f t="shared" si="241"/>
        <v>0</v>
      </c>
      <c r="L1007" s="4">
        <f t="shared" si="241"/>
        <v>0</v>
      </c>
      <c r="M1007" s="4">
        <f t="shared" si="241"/>
        <v>0</v>
      </c>
      <c r="N1007" s="4">
        <f t="shared" si="241"/>
        <v>0</v>
      </c>
      <c r="O1007" s="4">
        <f t="shared" si="237"/>
        <v>0</v>
      </c>
      <c r="P1007" s="4">
        <f t="shared" si="238"/>
        <v>0</v>
      </c>
      <c r="Q1007" s="4">
        <f t="shared" si="239"/>
        <v>0</v>
      </c>
      <c r="R1007" s="4">
        <f t="shared" si="240"/>
        <v>0</v>
      </c>
      <c r="S1007" s="4">
        <f>IF(AND(VLOOKUP(G1007,Dados!$D:$L,2,0)=VLOOKUP(I1007,Dados!$S:$V,2,0),VLOOKUP(G1007,Dados!$D:$L,3,0)=VLOOKUP(I1007,Dados!$S:$V,3,0)),0,1)</f>
        <v>0</v>
      </c>
      <c r="T1007" s="4">
        <f>IF(AND(VLOOKUP(G1007,Dados!$D:$L,3,0)&lt;=VLOOKUP(H1007,Dados!$X:$AB,2,0),VLOOKUP(G1007,Dados!$D:$L,4,0)&gt;=VLOOKUP(H1007,Dados!$X:$AB,3,0),VLOOKUP(G1007,Dados!$D:$L,4,0)&lt;=VLOOKUP(H1007,Dados!$X:$AB,4,0)),0,1)</f>
        <v>0</v>
      </c>
      <c r="U1007" s="4">
        <f>IF(COUNTIFS(F:F,F1007,H:H,H1007)&lt;=VLOOKUP(H1007,Dados!$X:$AB,5,0),0,1)</f>
        <v>0</v>
      </c>
    </row>
    <row r="1008" spans="6:21">
      <c r="F1008" s="4">
        <v>530</v>
      </c>
      <c r="G1008" s="4">
        <v>54</v>
      </c>
      <c r="H1008" s="4">
        <v>3</v>
      </c>
      <c r="I1008" s="4">
        <v>20</v>
      </c>
      <c r="J1008" s="4">
        <v>1</v>
      </c>
      <c r="K1008" s="4">
        <f t="shared" si="241"/>
        <v>0</v>
      </c>
      <c r="L1008" s="4">
        <f t="shared" si="241"/>
        <v>0</v>
      </c>
      <c r="M1008" s="4">
        <f t="shared" si="241"/>
        <v>13</v>
      </c>
      <c r="N1008" s="4">
        <f t="shared" si="241"/>
        <v>0</v>
      </c>
      <c r="O1008" s="4">
        <f t="shared" si="237"/>
        <v>0</v>
      </c>
      <c r="P1008" s="4">
        <f t="shared" si="238"/>
        <v>0</v>
      </c>
      <c r="Q1008" s="4">
        <f t="shared" si="239"/>
        <v>13</v>
      </c>
      <c r="R1008" s="4">
        <f t="shared" si="240"/>
        <v>0</v>
      </c>
      <c r="S1008" s="4">
        <f>IF(AND(VLOOKUP(G1008,Dados!$D:$L,2,0)=VLOOKUP(I1008,Dados!$S:$V,2,0),VLOOKUP(G1008,Dados!$D:$L,3,0)=VLOOKUP(I1008,Dados!$S:$V,3,0)),0,1)</f>
        <v>0</v>
      </c>
      <c r="T1008" s="4">
        <f>IF(AND(VLOOKUP(G1008,Dados!$D:$L,3,0)&lt;=VLOOKUP(H1008,Dados!$X:$AB,2,0),VLOOKUP(G1008,Dados!$D:$L,4,0)&gt;=VLOOKUP(H1008,Dados!$X:$AB,3,0),VLOOKUP(G1008,Dados!$D:$L,4,0)&lt;=VLOOKUP(H1008,Dados!$X:$AB,4,0)),0,1)</f>
        <v>0</v>
      </c>
      <c r="U1008" s="4">
        <f>IF(COUNTIFS(F:F,F1008,H:H,H1008)&lt;=VLOOKUP(H1008,Dados!$X:$AB,5,0),0,1)</f>
        <v>0</v>
      </c>
    </row>
    <row r="1009" spans="6:21">
      <c r="F1009" s="4">
        <v>530</v>
      </c>
      <c r="G1009" s="4">
        <v>55</v>
      </c>
      <c r="H1009" s="4">
        <v>3</v>
      </c>
      <c r="I1009" s="4">
        <v>20</v>
      </c>
      <c r="J1009" s="4">
        <v>7</v>
      </c>
      <c r="K1009" s="4">
        <f t="shared" si="241"/>
        <v>0</v>
      </c>
      <c r="L1009" s="4">
        <f t="shared" si="241"/>
        <v>0</v>
      </c>
      <c r="M1009" s="4">
        <f t="shared" si="241"/>
        <v>13</v>
      </c>
      <c r="N1009" s="4">
        <f t="shared" si="241"/>
        <v>0</v>
      </c>
      <c r="O1009" s="4">
        <f t="shared" si="237"/>
        <v>0</v>
      </c>
      <c r="P1009" s="4">
        <f t="shared" si="238"/>
        <v>0</v>
      </c>
      <c r="Q1009" s="4">
        <f t="shared" si="239"/>
        <v>91</v>
      </c>
      <c r="R1009" s="4">
        <f t="shared" si="240"/>
        <v>0</v>
      </c>
      <c r="S1009" s="4">
        <f>IF(AND(VLOOKUP(G1009,Dados!$D:$L,2,0)=VLOOKUP(I1009,Dados!$S:$V,2,0),VLOOKUP(G1009,Dados!$D:$L,3,0)=VLOOKUP(I1009,Dados!$S:$V,3,0)),0,1)</f>
        <v>0</v>
      </c>
      <c r="T1009" s="4">
        <f>IF(AND(VLOOKUP(G1009,Dados!$D:$L,3,0)&lt;=VLOOKUP(H1009,Dados!$X:$AB,2,0),VLOOKUP(G1009,Dados!$D:$L,4,0)&gt;=VLOOKUP(H1009,Dados!$X:$AB,3,0),VLOOKUP(G1009,Dados!$D:$L,4,0)&lt;=VLOOKUP(H1009,Dados!$X:$AB,4,0)),0,1)</f>
        <v>0</v>
      </c>
      <c r="U1009" s="4">
        <f>IF(COUNTIFS(F:F,F1009,H:H,H1009)&lt;=VLOOKUP(H1009,Dados!$X:$AB,5,0),0,1)</f>
        <v>0</v>
      </c>
    </row>
    <row r="1010" spans="6:21">
      <c r="F1010" s="4">
        <v>530</v>
      </c>
      <c r="G1010" s="4">
        <v>56</v>
      </c>
      <c r="H1010" s="4">
        <v>3</v>
      </c>
      <c r="I1010" s="4">
        <v>20</v>
      </c>
      <c r="J1010" s="4">
        <v>1</v>
      </c>
      <c r="K1010" s="4">
        <f t="shared" si="241"/>
        <v>0</v>
      </c>
      <c r="L1010" s="4">
        <f t="shared" si="241"/>
        <v>0</v>
      </c>
      <c r="M1010" s="4">
        <f t="shared" si="241"/>
        <v>13</v>
      </c>
      <c r="N1010" s="4">
        <f t="shared" si="241"/>
        <v>0</v>
      </c>
      <c r="O1010" s="4">
        <f t="shared" si="237"/>
        <v>0</v>
      </c>
      <c r="P1010" s="4">
        <f t="shared" si="238"/>
        <v>0</v>
      </c>
      <c r="Q1010" s="4">
        <f t="shared" si="239"/>
        <v>13</v>
      </c>
      <c r="R1010" s="4">
        <f t="shared" si="240"/>
        <v>0</v>
      </c>
      <c r="S1010" s="4">
        <f>IF(AND(VLOOKUP(G1010,Dados!$D:$L,2,0)=VLOOKUP(I1010,Dados!$S:$V,2,0),VLOOKUP(G1010,Dados!$D:$L,3,0)=VLOOKUP(I1010,Dados!$S:$V,3,0)),0,1)</f>
        <v>0</v>
      </c>
      <c r="T1010" s="4">
        <f>IF(AND(VLOOKUP(G1010,Dados!$D:$L,3,0)&lt;=VLOOKUP(H1010,Dados!$X:$AB,2,0),VLOOKUP(G1010,Dados!$D:$L,4,0)&gt;=VLOOKUP(H1010,Dados!$X:$AB,3,0),VLOOKUP(G1010,Dados!$D:$L,4,0)&lt;=VLOOKUP(H1010,Dados!$X:$AB,4,0)),0,1)</f>
        <v>0</v>
      </c>
      <c r="U1010" s="4">
        <f>IF(COUNTIFS(F:F,F1010,H:H,H1010)&lt;=VLOOKUP(H1010,Dados!$X:$AB,5,0),0,1)</f>
        <v>0</v>
      </c>
    </row>
    <row r="1011" spans="6:21">
      <c r="F1011" s="4">
        <v>531</v>
      </c>
      <c r="G1011" s="4">
        <v>59</v>
      </c>
      <c r="H1011" s="4">
        <v>1</v>
      </c>
      <c r="I1011" s="4">
        <v>21</v>
      </c>
      <c r="J1011" s="4">
        <v>11</v>
      </c>
      <c r="K1011" s="4">
        <f t="shared" si="241"/>
        <v>0</v>
      </c>
      <c r="L1011" s="4">
        <f t="shared" si="241"/>
        <v>0</v>
      </c>
      <c r="M1011" s="4">
        <f t="shared" si="241"/>
        <v>0</v>
      </c>
      <c r="N1011" s="4">
        <f t="shared" si="241"/>
        <v>0</v>
      </c>
      <c r="O1011" s="4">
        <f t="shared" si="237"/>
        <v>0</v>
      </c>
      <c r="P1011" s="4">
        <f t="shared" si="238"/>
        <v>0</v>
      </c>
      <c r="Q1011" s="4">
        <f t="shared" si="239"/>
        <v>0</v>
      </c>
      <c r="R1011" s="4">
        <f t="shared" si="240"/>
        <v>0</v>
      </c>
      <c r="S1011" s="4">
        <f>IF(AND(VLOOKUP(G1011,Dados!$D:$L,2,0)=VLOOKUP(I1011,Dados!$S:$V,2,0),VLOOKUP(G1011,Dados!$D:$L,3,0)=VLOOKUP(I1011,Dados!$S:$V,3,0)),0,1)</f>
        <v>0</v>
      </c>
      <c r="T1011" s="4">
        <f>IF(AND(VLOOKUP(G1011,Dados!$D:$L,3,0)&lt;=VLOOKUP(H1011,Dados!$X:$AB,2,0),VLOOKUP(G1011,Dados!$D:$L,4,0)&gt;=VLOOKUP(H1011,Dados!$X:$AB,3,0),VLOOKUP(G1011,Dados!$D:$L,4,0)&lt;=VLOOKUP(H1011,Dados!$X:$AB,4,0)),0,1)</f>
        <v>0</v>
      </c>
      <c r="U1011" s="4">
        <f>IF(COUNTIFS(F:F,F1011,H:H,H1011)&lt;=VLOOKUP(H1011,Dados!$X:$AB,5,0),0,1)</f>
        <v>0</v>
      </c>
    </row>
    <row r="1012" spans="6:21">
      <c r="F1012" s="4">
        <v>531</v>
      </c>
      <c r="G1012" s="4">
        <v>63</v>
      </c>
      <c r="H1012" s="4">
        <v>1</v>
      </c>
      <c r="I1012" s="4">
        <v>21</v>
      </c>
      <c r="J1012" s="4">
        <v>1</v>
      </c>
      <c r="K1012" s="4">
        <f t="shared" si="241"/>
        <v>0</v>
      </c>
      <c r="L1012" s="4">
        <f t="shared" si="241"/>
        <v>0</v>
      </c>
      <c r="M1012" s="4">
        <f t="shared" si="241"/>
        <v>0</v>
      </c>
      <c r="N1012" s="4">
        <f t="shared" si="241"/>
        <v>0</v>
      </c>
      <c r="O1012" s="4">
        <f t="shared" si="237"/>
        <v>0</v>
      </c>
      <c r="P1012" s="4">
        <f t="shared" si="238"/>
        <v>0</v>
      </c>
      <c r="Q1012" s="4">
        <f t="shared" si="239"/>
        <v>0</v>
      </c>
      <c r="R1012" s="4">
        <f t="shared" si="240"/>
        <v>0</v>
      </c>
      <c r="S1012" s="4">
        <f>IF(AND(VLOOKUP(G1012,Dados!$D:$L,2,0)=VLOOKUP(I1012,Dados!$S:$V,2,0),VLOOKUP(G1012,Dados!$D:$L,3,0)=VLOOKUP(I1012,Dados!$S:$V,3,0)),0,1)</f>
        <v>0</v>
      </c>
      <c r="T1012" s="4">
        <f>IF(AND(VLOOKUP(G1012,Dados!$D:$L,3,0)&lt;=VLOOKUP(H1012,Dados!$X:$AB,2,0),VLOOKUP(G1012,Dados!$D:$L,4,0)&gt;=VLOOKUP(H1012,Dados!$X:$AB,3,0),VLOOKUP(G1012,Dados!$D:$L,4,0)&lt;=VLOOKUP(H1012,Dados!$X:$AB,4,0)),0,1)</f>
        <v>0</v>
      </c>
      <c r="U1012" s="4">
        <f>IF(COUNTIFS(F:F,F1012,H:H,H1012)&lt;=VLOOKUP(H1012,Dados!$X:$AB,5,0),0,1)</f>
        <v>0</v>
      </c>
    </row>
    <row r="1013" spans="6:21">
      <c r="F1013" s="4">
        <v>532</v>
      </c>
      <c r="G1013" s="4">
        <v>59</v>
      </c>
      <c r="H1013" s="4">
        <v>2</v>
      </c>
      <c r="I1013" s="4">
        <v>21</v>
      </c>
      <c r="J1013" s="4">
        <v>11</v>
      </c>
      <c r="K1013" s="4">
        <f t="shared" si="241"/>
        <v>0</v>
      </c>
      <c r="L1013" s="4">
        <f t="shared" si="241"/>
        <v>0</v>
      </c>
      <c r="M1013" s="4">
        <f t="shared" si="241"/>
        <v>0</v>
      </c>
      <c r="N1013" s="4">
        <f t="shared" si="241"/>
        <v>0</v>
      </c>
      <c r="O1013" s="4">
        <f t="shared" si="237"/>
        <v>0</v>
      </c>
      <c r="P1013" s="4">
        <f t="shared" si="238"/>
        <v>0</v>
      </c>
      <c r="Q1013" s="4">
        <f t="shared" si="239"/>
        <v>0</v>
      </c>
      <c r="R1013" s="4">
        <f t="shared" si="240"/>
        <v>0</v>
      </c>
      <c r="S1013" s="4">
        <f>IF(AND(VLOOKUP(G1013,Dados!$D:$L,2,0)=VLOOKUP(I1013,Dados!$S:$V,2,0),VLOOKUP(G1013,Dados!$D:$L,3,0)=VLOOKUP(I1013,Dados!$S:$V,3,0)),0,1)</f>
        <v>0</v>
      </c>
      <c r="T1013" s="4">
        <f>IF(AND(VLOOKUP(G1013,Dados!$D:$L,3,0)&lt;=VLOOKUP(H1013,Dados!$X:$AB,2,0),VLOOKUP(G1013,Dados!$D:$L,4,0)&gt;=VLOOKUP(H1013,Dados!$X:$AB,3,0),VLOOKUP(G1013,Dados!$D:$L,4,0)&lt;=VLOOKUP(H1013,Dados!$X:$AB,4,0)),0,1)</f>
        <v>0</v>
      </c>
      <c r="U1013" s="4">
        <f>IF(COUNTIFS(F:F,F1013,H:H,H1013)&lt;=VLOOKUP(H1013,Dados!$X:$AB,5,0),0,1)</f>
        <v>0</v>
      </c>
    </row>
    <row r="1014" spans="6:21">
      <c r="F1014" s="4">
        <v>532</v>
      </c>
      <c r="G1014" s="4">
        <v>63</v>
      </c>
      <c r="H1014" s="4">
        <v>2</v>
      </c>
      <c r="I1014" s="4">
        <v>21</v>
      </c>
      <c r="J1014" s="4">
        <v>1</v>
      </c>
      <c r="K1014" s="4">
        <f t="shared" si="241"/>
        <v>0</v>
      </c>
      <c r="L1014" s="4">
        <f t="shared" si="241"/>
        <v>0</v>
      </c>
      <c r="M1014" s="4">
        <f t="shared" si="241"/>
        <v>0</v>
      </c>
      <c r="N1014" s="4">
        <f t="shared" si="241"/>
        <v>0</v>
      </c>
      <c r="O1014" s="4">
        <f t="shared" si="237"/>
        <v>0</v>
      </c>
      <c r="P1014" s="4">
        <f t="shared" si="238"/>
        <v>0</v>
      </c>
      <c r="Q1014" s="4">
        <f t="shared" si="239"/>
        <v>0</v>
      </c>
      <c r="R1014" s="4">
        <f t="shared" si="240"/>
        <v>0</v>
      </c>
      <c r="S1014" s="4">
        <f>IF(AND(VLOOKUP(G1014,Dados!$D:$L,2,0)=VLOOKUP(I1014,Dados!$S:$V,2,0),VLOOKUP(G1014,Dados!$D:$L,3,0)=VLOOKUP(I1014,Dados!$S:$V,3,0)),0,1)</f>
        <v>0</v>
      </c>
      <c r="T1014" s="4">
        <f>IF(AND(VLOOKUP(G1014,Dados!$D:$L,3,0)&lt;=VLOOKUP(H1014,Dados!$X:$AB,2,0),VLOOKUP(G1014,Dados!$D:$L,4,0)&gt;=VLOOKUP(H1014,Dados!$X:$AB,3,0),VLOOKUP(G1014,Dados!$D:$L,4,0)&lt;=VLOOKUP(H1014,Dados!$X:$AB,4,0)),0,1)</f>
        <v>0</v>
      </c>
      <c r="U1014" s="4">
        <f>IF(COUNTIFS(F:F,F1014,H:H,H1014)&lt;=VLOOKUP(H1014,Dados!$X:$AB,5,0),0,1)</f>
        <v>0</v>
      </c>
    </row>
    <row r="1015" spans="6:21">
      <c r="F1015" s="4">
        <v>533</v>
      </c>
      <c r="G1015" s="4">
        <v>59</v>
      </c>
      <c r="H1015" s="4">
        <v>3</v>
      </c>
      <c r="I1015" s="4">
        <v>21</v>
      </c>
      <c r="J1015" s="4">
        <v>11</v>
      </c>
      <c r="K1015" s="4">
        <f t="shared" si="241"/>
        <v>0</v>
      </c>
      <c r="L1015" s="4">
        <f t="shared" si="241"/>
        <v>0</v>
      </c>
      <c r="M1015" s="4">
        <f t="shared" si="241"/>
        <v>0</v>
      </c>
      <c r="N1015" s="4">
        <f t="shared" si="241"/>
        <v>0</v>
      </c>
      <c r="O1015" s="4">
        <f t="shared" si="237"/>
        <v>0</v>
      </c>
      <c r="P1015" s="4">
        <f t="shared" si="238"/>
        <v>0</v>
      </c>
      <c r="Q1015" s="4">
        <f t="shared" si="239"/>
        <v>0</v>
      </c>
      <c r="R1015" s="4">
        <f t="shared" si="240"/>
        <v>0</v>
      </c>
      <c r="S1015" s="4">
        <f>IF(AND(VLOOKUP(G1015,Dados!$D:$L,2,0)=VLOOKUP(I1015,Dados!$S:$V,2,0),VLOOKUP(G1015,Dados!$D:$L,3,0)=VLOOKUP(I1015,Dados!$S:$V,3,0)),0,1)</f>
        <v>0</v>
      </c>
      <c r="T1015" s="4">
        <f>IF(AND(VLOOKUP(G1015,Dados!$D:$L,3,0)&lt;=VLOOKUP(H1015,Dados!$X:$AB,2,0),VLOOKUP(G1015,Dados!$D:$L,4,0)&gt;=VLOOKUP(H1015,Dados!$X:$AB,3,0),VLOOKUP(G1015,Dados!$D:$L,4,0)&lt;=VLOOKUP(H1015,Dados!$X:$AB,4,0)),0,1)</f>
        <v>0</v>
      </c>
      <c r="U1015" s="4">
        <f>IF(COUNTIFS(F:F,F1015,H:H,H1015)&lt;=VLOOKUP(H1015,Dados!$X:$AB,5,0),0,1)</f>
        <v>0</v>
      </c>
    </row>
    <row r="1016" spans="6:21">
      <c r="F1016" s="4">
        <v>533</v>
      </c>
      <c r="G1016" s="4">
        <v>63</v>
      </c>
      <c r="H1016" s="4">
        <v>3</v>
      </c>
      <c r="I1016" s="4">
        <v>21</v>
      </c>
      <c r="J1016" s="4">
        <v>1</v>
      </c>
      <c r="K1016" s="4">
        <f t="shared" si="241"/>
        <v>0</v>
      </c>
      <c r="L1016" s="4">
        <f t="shared" si="241"/>
        <v>0</v>
      </c>
      <c r="M1016" s="4">
        <f t="shared" si="241"/>
        <v>0</v>
      </c>
      <c r="N1016" s="4">
        <f t="shared" si="241"/>
        <v>0</v>
      </c>
      <c r="O1016" s="4">
        <f t="shared" si="237"/>
        <v>0</v>
      </c>
      <c r="P1016" s="4">
        <f t="shared" si="238"/>
        <v>0</v>
      </c>
      <c r="Q1016" s="4">
        <f t="shared" si="239"/>
        <v>0</v>
      </c>
      <c r="R1016" s="4">
        <f t="shared" si="240"/>
        <v>0</v>
      </c>
      <c r="S1016" s="4">
        <f>IF(AND(VLOOKUP(G1016,Dados!$D:$L,2,0)=VLOOKUP(I1016,Dados!$S:$V,2,0),VLOOKUP(G1016,Dados!$D:$L,3,0)=VLOOKUP(I1016,Dados!$S:$V,3,0)),0,1)</f>
        <v>0</v>
      </c>
      <c r="T1016" s="4">
        <f>IF(AND(VLOOKUP(G1016,Dados!$D:$L,3,0)&lt;=VLOOKUP(H1016,Dados!$X:$AB,2,0),VLOOKUP(G1016,Dados!$D:$L,4,0)&gt;=VLOOKUP(H1016,Dados!$X:$AB,3,0),VLOOKUP(G1016,Dados!$D:$L,4,0)&lt;=VLOOKUP(H1016,Dados!$X:$AB,4,0)),0,1)</f>
        <v>0</v>
      </c>
      <c r="U1016" s="4">
        <f>IF(COUNTIFS(F:F,F1016,H:H,H1016)&lt;=VLOOKUP(H1016,Dados!$X:$AB,5,0),0,1)</f>
        <v>0</v>
      </c>
    </row>
    <row r="1017" spans="6:21">
      <c r="F1017" s="4">
        <v>534</v>
      </c>
      <c r="G1017" s="4">
        <v>59</v>
      </c>
      <c r="H1017" s="4">
        <v>1</v>
      </c>
      <c r="I1017" s="4">
        <v>22</v>
      </c>
      <c r="J1017" s="4">
        <v>4</v>
      </c>
      <c r="K1017" s="4">
        <f t="shared" si="241"/>
        <v>0</v>
      </c>
      <c r="L1017" s="4">
        <f t="shared" si="241"/>
        <v>0</v>
      </c>
      <c r="M1017" s="4">
        <f t="shared" si="241"/>
        <v>0</v>
      </c>
      <c r="N1017" s="4">
        <f t="shared" si="241"/>
        <v>0</v>
      </c>
      <c r="O1017" s="4">
        <f t="shared" si="237"/>
        <v>0</v>
      </c>
      <c r="P1017" s="4">
        <f t="shared" si="238"/>
        <v>0</v>
      </c>
      <c r="Q1017" s="4">
        <f t="shared" si="239"/>
        <v>0</v>
      </c>
      <c r="R1017" s="4">
        <f t="shared" si="240"/>
        <v>0</v>
      </c>
      <c r="S1017" s="4">
        <f>IF(AND(VLOOKUP(G1017,Dados!$D:$L,2,0)=VLOOKUP(I1017,Dados!$S:$V,2,0),VLOOKUP(G1017,Dados!$D:$L,3,0)=VLOOKUP(I1017,Dados!$S:$V,3,0)),0,1)</f>
        <v>0</v>
      </c>
      <c r="T1017" s="4">
        <f>IF(AND(VLOOKUP(G1017,Dados!$D:$L,3,0)&lt;=VLOOKUP(H1017,Dados!$X:$AB,2,0),VLOOKUP(G1017,Dados!$D:$L,4,0)&gt;=VLOOKUP(H1017,Dados!$X:$AB,3,0),VLOOKUP(G1017,Dados!$D:$L,4,0)&lt;=VLOOKUP(H1017,Dados!$X:$AB,4,0)),0,1)</f>
        <v>0</v>
      </c>
      <c r="U1017" s="4">
        <f>IF(COUNTIFS(F:F,F1017,H:H,H1017)&lt;=VLOOKUP(H1017,Dados!$X:$AB,5,0),0,1)</f>
        <v>0</v>
      </c>
    </row>
    <row r="1018" spans="6:21">
      <c r="F1018" s="4">
        <v>534</v>
      </c>
      <c r="G1018" s="4">
        <v>63</v>
      </c>
      <c r="H1018" s="4">
        <v>1</v>
      </c>
      <c r="I1018" s="4">
        <v>22</v>
      </c>
      <c r="J1018" s="4">
        <v>1</v>
      </c>
      <c r="K1018" s="4">
        <f t="shared" si="241"/>
        <v>0</v>
      </c>
      <c r="L1018" s="4">
        <f t="shared" si="241"/>
        <v>0</v>
      </c>
      <c r="M1018" s="4">
        <f t="shared" si="241"/>
        <v>0</v>
      </c>
      <c r="N1018" s="4">
        <f t="shared" si="241"/>
        <v>0</v>
      </c>
      <c r="O1018" s="4">
        <f t="shared" si="237"/>
        <v>0</v>
      </c>
      <c r="P1018" s="4">
        <f t="shared" si="238"/>
        <v>0</v>
      </c>
      <c r="Q1018" s="4">
        <f t="shared" si="239"/>
        <v>0</v>
      </c>
      <c r="R1018" s="4">
        <f t="shared" si="240"/>
        <v>0</v>
      </c>
      <c r="S1018" s="4">
        <f>IF(AND(VLOOKUP(G1018,Dados!$D:$L,2,0)=VLOOKUP(I1018,Dados!$S:$V,2,0),VLOOKUP(G1018,Dados!$D:$L,3,0)=VLOOKUP(I1018,Dados!$S:$V,3,0)),0,1)</f>
        <v>0</v>
      </c>
      <c r="T1018" s="4">
        <f>IF(AND(VLOOKUP(G1018,Dados!$D:$L,3,0)&lt;=VLOOKUP(H1018,Dados!$X:$AB,2,0),VLOOKUP(G1018,Dados!$D:$L,4,0)&gt;=VLOOKUP(H1018,Dados!$X:$AB,3,0),VLOOKUP(G1018,Dados!$D:$L,4,0)&lt;=VLOOKUP(H1018,Dados!$X:$AB,4,0)),0,1)</f>
        <v>0</v>
      </c>
      <c r="U1018" s="4">
        <f>IF(COUNTIFS(F:F,F1018,H:H,H1018)&lt;=VLOOKUP(H1018,Dados!$X:$AB,5,0),0,1)</f>
        <v>0</v>
      </c>
    </row>
    <row r="1019" spans="6:21">
      <c r="F1019" s="4">
        <v>534</v>
      </c>
      <c r="G1019" s="4">
        <v>66</v>
      </c>
      <c r="H1019" s="4">
        <v>1</v>
      </c>
      <c r="I1019" s="4">
        <v>22</v>
      </c>
      <c r="J1019" s="4">
        <v>3</v>
      </c>
      <c r="K1019" s="4">
        <f t="shared" si="241"/>
        <v>0</v>
      </c>
      <c r="L1019" s="4">
        <f t="shared" si="241"/>
        <v>0</v>
      </c>
      <c r="M1019" s="4">
        <f t="shared" si="241"/>
        <v>0</v>
      </c>
      <c r="N1019" s="4">
        <f t="shared" si="241"/>
        <v>0</v>
      </c>
      <c r="O1019" s="4">
        <f t="shared" si="237"/>
        <v>0</v>
      </c>
      <c r="P1019" s="4">
        <f t="shared" si="238"/>
        <v>0</v>
      </c>
      <c r="Q1019" s="4">
        <f t="shared" si="239"/>
        <v>0</v>
      </c>
      <c r="R1019" s="4">
        <f t="shared" si="240"/>
        <v>0</v>
      </c>
      <c r="S1019" s="4">
        <f>IF(AND(VLOOKUP(G1019,Dados!$D:$L,2,0)=VLOOKUP(I1019,Dados!$S:$V,2,0),VLOOKUP(G1019,Dados!$D:$L,3,0)=VLOOKUP(I1019,Dados!$S:$V,3,0)),0,1)</f>
        <v>0</v>
      </c>
      <c r="T1019" s="4">
        <f>IF(AND(VLOOKUP(G1019,Dados!$D:$L,3,0)&lt;=VLOOKUP(H1019,Dados!$X:$AB,2,0),VLOOKUP(G1019,Dados!$D:$L,4,0)&gt;=VLOOKUP(H1019,Dados!$X:$AB,3,0),VLOOKUP(G1019,Dados!$D:$L,4,0)&lt;=VLOOKUP(H1019,Dados!$X:$AB,4,0)),0,1)</f>
        <v>0</v>
      </c>
      <c r="U1019" s="4">
        <f>IF(COUNTIFS(F:F,F1019,H:H,H1019)&lt;=VLOOKUP(H1019,Dados!$X:$AB,5,0),0,1)</f>
        <v>0</v>
      </c>
    </row>
    <row r="1020" spans="6:21">
      <c r="F1020" s="4">
        <v>535</v>
      </c>
      <c r="G1020" s="4">
        <v>59</v>
      </c>
      <c r="H1020" s="4">
        <v>2</v>
      </c>
      <c r="I1020" s="4">
        <v>22</v>
      </c>
      <c r="J1020" s="4">
        <v>4</v>
      </c>
      <c r="K1020" s="4">
        <f t="shared" si="241"/>
        <v>0</v>
      </c>
      <c r="L1020" s="4">
        <f t="shared" si="241"/>
        <v>0</v>
      </c>
      <c r="M1020" s="4">
        <f t="shared" si="241"/>
        <v>0</v>
      </c>
      <c r="N1020" s="4">
        <f t="shared" si="241"/>
        <v>0</v>
      </c>
      <c r="O1020" s="4">
        <f t="shared" si="237"/>
        <v>0</v>
      </c>
      <c r="P1020" s="4">
        <f t="shared" si="238"/>
        <v>0</v>
      </c>
      <c r="Q1020" s="4">
        <f t="shared" si="239"/>
        <v>0</v>
      </c>
      <c r="R1020" s="4">
        <f t="shared" si="240"/>
        <v>0</v>
      </c>
      <c r="S1020" s="4">
        <f>IF(AND(VLOOKUP(G1020,Dados!$D:$L,2,0)=VLOOKUP(I1020,Dados!$S:$V,2,0),VLOOKUP(G1020,Dados!$D:$L,3,0)=VLOOKUP(I1020,Dados!$S:$V,3,0)),0,1)</f>
        <v>0</v>
      </c>
      <c r="T1020" s="4">
        <f>IF(AND(VLOOKUP(G1020,Dados!$D:$L,3,0)&lt;=VLOOKUP(H1020,Dados!$X:$AB,2,0),VLOOKUP(G1020,Dados!$D:$L,4,0)&gt;=VLOOKUP(H1020,Dados!$X:$AB,3,0),VLOOKUP(G1020,Dados!$D:$L,4,0)&lt;=VLOOKUP(H1020,Dados!$X:$AB,4,0)),0,1)</f>
        <v>0</v>
      </c>
      <c r="U1020" s="4">
        <f>IF(COUNTIFS(F:F,F1020,H:H,H1020)&lt;=VLOOKUP(H1020,Dados!$X:$AB,5,0),0,1)</f>
        <v>0</v>
      </c>
    </row>
    <row r="1021" spans="6:21">
      <c r="F1021" s="4">
        <v>535</v>
      </c>
      <c r="G1021" s="4">
        <v>63</v>
      </c>
      <c r="H1021" s="4">
        <v>2</v>
      </c>
      <c r="I1021" s="4">
        <v>22</v>
      </c>
      <c r="J1021" s="4">
        <v>1</v>
      </c>
      <c r="K1021" s="4">
        <f t="shared" si="241"/>
        <v>0</v>
      </c>
      <c r="L1021" s="4">
        <f t="shared" si="241"/>
        <v>0</v>
      </c>
      <c r="M1021" s="4">
        <f t="shared" si="241"/>
        <v>0</v>
      </c>
      <c r="N1021" s="4">
        <f t="shared" si="241"/>
        <v>0</v>
      </c>
      <c r="O1021" s="4">
        <f t="shared" si="237"/>
        <v>0</v>
      </c>
      <c r="P1021" s="4">
        <f t="shared" si="238"/>
        <v>0</v>
      </c>
      <c r="Q1021" s="4">
        <f t="shared" si="239"/>
        <v>0</v>
      </c>
      <c r="R1021" s="4">
        <f t="shared" si="240"/>
        <v>0</v>
      </c>
      <c r="S1021" s="4">
        <f>IF(AND(VLOOKUP(G1021,Dados!$D:$L,2,0)=VLOOKUP(I1021,Dados!$S:$V,2,0),VLOOKUP(G1021,Dados!$D:$L,3,0)=VLOOKUP(I1021,Dados!$S:$V,3,0)),0,1)</f>
        <v>0</v>
      </c>
      <c r="T1021" s="4">
        <f>IF(AND(VLOOKUP(G1021,Dados!$D:$L,3,0)&lt;=VLOOKUP(H1021,Dados!$X:$AB,2,0),VLOOKUP(G1021,Dados!$D:$L,4,0)&gt;=VLOOKUP(H1021,Dados!$X:$AB,3,0),VLOOKUP(G1021,Dados!$D:$L,4,0)&lt;=VLOOKUP(H1021,Dados!$X:$AB,4,0)),0,1)</f>
        <v>0</v>
      </c>
      <c r="U1021" s="4">
        <f>IF(COUNTIFS(F:F,F1021,H:H,H1021)&lt;=VLOOKUP(H1021,Dados!$X:$AB,5,0),0,1)</f>
        <v>0</v>
      </c>
    </row>
    <row r="1022" spans="6:21">
      <c r="F1022" s="4">
        <v>535</v>
      </c>
      <c r="G1022" s="4">
        <v>66</v>
      </c>
      <c r="H1022" s="4">
        <v>2</v>
      </c>
      <c r="I1022" s="4">
        <v>22</v>
      </c>
      <c r="J1022" s="4">
        <v>3</v>
      </c>
      <c r="K1022" s="4">
        <f t="shared" si="241"/>
        <v>0</v>
      </c>
      <c r="L1022" s="4">
        <f t="shared" si="241"/>
        <v>0</v>
      </c>
      <c r="M1022" s="4">
        <f t="shared" si="241"/>
        <v>0</v>
      </c>
      <c r="N1022" s="4">
        <f t="shared" si="241"/>
        <v>0</v>
      </c>
      <c r="O1022" s="4">
        <f t="shared" si="237"/>
        <v>0</v>
      </c>
      <c r="P1022" s="4">
        <f t="shared" si="238"/>
        <v>0</v>
      </c>
      <c r="Q1022" s="4">
        <f t="shared" si="239"/>
        <v>0</v>
      </c>
      <c r="R1022" s="4">
        <f t="shared" si="240"/>
        <v>0</v>
      </c>
      <c r="S1022" s="4">
        <f>IF(AND(VLOOKUP(G1022,Dados!$D:$L,2,0)=VLOOKUP(I1022,Dados!$S:$V,2,0),VLOOKUP(G1022,Dados!$D:$L,3,0)=VLOOKUP(I1022,Dados!$S:$V,3,0)),0,1)</f>
        <v>0</v>
      </c>
      <c r="T1022" s="4">
        <f>IF(AND(VLOOKUP(G1022,Dados!$D:$L,3,0)&lt;=VLOOKUP(H1022,Dados!$X:$AB,2,0),VLOOKUP(G1022,Dados!$D:$L,4,0)&gt;=VLOOKUP(H1022,Dados!$X:$AB,3,0),VLOOKUP(G1022,Dados!$D:$L,4,0)&lt;=VLOOKUP(H1022,Dados!$X:$AB,4,0)),0,1)</f>
        <v>0</v>
      </c>
      <c r="U1022" s="4">
        <f>IF(COUNTIFS(F:F,F1022,H:H,H1022)&lt;=VLOOKUP(H1022,Dados!$X:$AB,5,0),0,1)</f>
        <v>0</v>
      </c>
    </row>
    <row r="1023" spans="6:21">
      <c r="F1023" s="4">
        <v>536</v>
      </c>
      <c r="G1023" s="4">
        <v>59</v>
      </c>
      <c r="H1023" s="4">
        <v>3</v>
      </c>
      <c r="I1023" s="4">
        <v>22</v>
      </c>
      <c r="J1023" s="4">
        <v>4</v>
      </c>
      <c r="K1023" s="4">
        <f t="shared" si="241"/>
        <v>0</v>
      </c>
      <c r="L1023" s="4">
        <f t="shared" si="241"/>
        <v>0</v>
      </c>
      <c r="M1023" s="4">
        <f t="shared" si="241"/>
        <v>0</v>
      </c>
      <c r="N1023" s="4">
        <f t="shared" si="241"/>
        <v>0</v>
      </c>
      <c r="O1023" s="4">
        <f t="shared" si="237"/>
        <v>0</v>
      </c>
      <c r="P1023" s="4">
        <f t="shared" si="238"/>
        <v>0</v>
      </c>
      <c r="Q1023" s="4">
        <f t="shared" si="239"/>
        <v>0</v>
      </c>
      <c r="R1023" s="4">
        <f t="shared" si="240"/>
        <v>0</v>
      </c>
      <c r="S1023" s="4">
        <f>IF(AND(VLOOKUP(G1023,Dados!$D:$L,2,0)=VLOOKUP(I1023,Dados!$S:$V,2,0),VLOOKUP(G1023,Dados!$D:$L,3,0)=VLOOKUP(I1023,Dados!$S:$V,3,0)),0,1)</f>
        <v>0</v>
      </c>
      <c r="T1023" s="4">
        <f>IF(AND(VLOOKUP(G1023,Dados!$D:$L,3,0)&lt;=VLOOKUP(H1023,Dados!$X:$AB,2,0),VLOOKUP(G1023,Dados!$D:$L,4,0)&gt;=VLOOKUP(H1023,Dados!$X:$AB,3,0),VLOOKUP(G1023,Dados!$D:$L,4,0)&lt;=VLOOKUP(H1023,Dados!$X:$AB,4,0)),0,1)</f>
        <v>0</v>
      </c>
      <c r="U1023" s="4">
        <f>IF(COUNTIFS(F:F,F1023,H:H,H1023)&lt;=VLOOKUP(H1023,Dados!$X:$AB,5,0),0,1)</f>
        <v>0</v>
      </c>
    </row>
    <row r="1024" spans="6:21">
      <c r="F1024" s="4">
        <v>536</v>
      </c>
      <c r="G1024" s="4">
        <v>63</v>
      </c>
      <c r="H1024" s="4">
        <v>3</v>
      </c>
      <c r="I1024" s="4">
        <v>22</v>
      </c>
      <c r="J1024" s="4">
        <v>1</v>
      </c>
      <c r="K1024" s="4">
        <f t="shared" si="241"/>
        <v>0</v>
      </c>
      <c r="L1024" s="4">
        <f t="shared" si="241"/>
        <v>0</v>
      </c>
      <c r="M1024" s="4">
        <f t="shared" si="241"/>
        <v>0</v>
      </c>
      <c r="N1024" s="4">
        <f t="shared" si="241"/>
        <v>0</v>
      </c>
      <c r="O1024" s="4">
        <f t="shared" si="237"/>
        <v>0</v>
      </c>
      <c r="P1024" s="4">
        <f t="shared" si="238"/>
        <v>0</v>
      </c>
      <c r="Q1024" s="4">
        <f t="shared" si="239"/>
        <v>0</v>
      </c>
      <c r="R1024" s="4">
        <f t="shared" si="240"/>
        <v>0</v>
      </c>
      <c r="S1024" s="4">
        <f>IF(AND(VLOOKUP(G1024,Dados!$D:$L,2,0)=VLOOKUP(I1024,Dados!$S:$V,2,0),VLOOKUP(G1024,Dados!$D:$L,3,0)=VLOOKUP(I1024,Dados!$S:$V,3,0)),0,1)</f>
        <v>0</v>
      </c>
      <c r="T1024" s="4">
        <f>IF(AND(VLOOKUP(G1024,Dados!$D:$L,3,0)&lt;=VLOOKUP(H1024,Dados!$X:$AB,2,0),VLOOKUP(G1024,Dados!$D:$L,4,0)&gt;=VLOOKUP(H1024,Dados!$X:$AB,3,0),VLOOKUP(G1024,Dados!$D:$L,4,0)&lt;=VLOOKUP(H1024,Dados!$X:$AB,4,0)),0,1)</f>
        <v>0</v>
      </c>
      <c r="U1024" s="4">
        <f>IF(COUNTIFS(F:F,F1024,H:H,H1024)&lt;=VLOOKUP(H1024,Dados!$X:$AB,5,0),0,1)</f>
        <v>0</v>
      </c>
    </row>
    <row r="1025" spans="6:21">
      <c r="F1025" s="4">
        <v>536</v>
      </c>
      <c r="G1025" s="4">
        <v>66</v>
      </c>
      <c r="H1025" s="4">
        <v>3</v>
      </c>
      <c r="I1025" s="4">
        <v>22</v>
      </c>
      <c r="J1025" s="4">
        <v>3</v>
      </c>
      <c r="K1025" s="4">
        <f t="shared" si="241"/>
        <v>0</v>
      </c>
      <c r="L1025" s="4">
        <f t="shared" si="241"/>
        <v>0</v>
      </c>
      <c r="M1025" s="4">
        <f t="shared" si="241"/>
        <v>0</v>
      </c>
      <c r="N1025" s="4">
        <f t="shared" si="241"/>
        <v>0</v>
      </c>
      <c r="O1025" s="4">
        <f t="shared" si="237"/>
        <v>0</v>
      </c>
      <c r="P1025" s="4">
        <f t="shared" si="238"/>
        <v>0</v>
      </c>
      <c r="Q1025" s="4">
        <f t="shared" si="239"/>
        <v>0</v>
      </c>
      <c r="R1025" s="4">
        <f t="shared" si="240"/>
        <v>0</v>
      </c>
      <c r="S1025" s="4">
        <f>IF(AND(VLOOKUP(G1025,Dados!$D:$L,2,0)=VLOOKUP(I1025,Dados!$S:$V,2,0),VLOOKUP(G1025,Dados!$D:$L,3,0)=VLOOKUP(I1025,Dados!$S:$V,3,0)),0,1)</f>
        <v>0</v>
      </c>
      <c r="T1025" s="4">
        <f>IF(AND(VLOOKUP(G1025,Dados!$D:$L,3,0)&lt;=VLOOKUP(H1025,Dados!$X:$AB,2,0),VLOOKUP(G1025,Dados!$D:$L,4,0)&gt;=VLOOKUP(H1025,Dados!$X:$AB,3,0),VLOOKUP(G1025,Dados!$D:$L,4,0)&lt;=VLOOKUP(H1025,Dados!$X:$AB,4,0)),0,1)</f>
        <v>0</v>
      </c>
      <c r="U1025" s="4">
        <f>IF(COUNTIFS(F:F,F1025,H:H,H1025)&lt;=VLOOKUP(H1025,Dados!$X:$AB,5,0),0,1)</f>
        <v>0</v>
      </c>
    </row>
    <row r="1026" spans="6:21">
      <c r="F1026" s="4">
        <v>537</v>
      </c>
      <c r="G1026" s="4">
        <v>59</v>
      </c>
      <c r="H1026" s="4">
        <v>1</v>
      </c>
      <c r="I1026" s="4">
        <v>23</v>
      </c>
      <c r="J1026" s="4">
        <v>9</v>
      </c>
      <c r="K1026" s="4">
        <f t="shared" si="241"/>
        <v>0</v>
      </c>
      <c r="L1026" s="4">
        <f t="shared" si="241"/>
        <v>0</v>
      </c>
      <c r="M1026" s="4">
        <f t="shared" si="241"/>
        <v>0</v>
      </c>
      <c r="N1026" s="4">
        <f t="shared" si="241"/>
        <v>0</v>
      </c>
      <c r="O1026" s="4">
        <f t="shared" si="237"/>
        <v>0</v>
      </c>
      <c r="P1026" s="4">
        <f t="shared" si="238"/>
        <v>0</v>
      </c>
      <c r="Q1026" s="4">
        <f t="shared" si="239"/>
        <v>0</v>
      </c>
      <c r="R1026" s="4">
        <f t="shared" si="240"/>
        <v>0</v>
      </c>
      <c r="S1026" s="4">
        <f>IF(AND(VLOOKUP(G1026,Dados!$D:$L,2,0)=VLOOKUP(I1026,Dados!$S:$V,2,0),VLOOKUP(G1026,Dados!$D:$L,3,0)=VLOOKUP(I1026,Dados!$S:$V,3,0)),0,1)</f>
        <v>0</v>
      </c>
      <c r="T1026" s="4">
        <f>IF(AND(VLOOKUP(G1026,Dados!$D:$L,3,0)&lt;=VLOOKUP(H1026,Dados!$X:$AB,2,0),VLOOKUP(G1026,Dados!$D:$L,4,0)&gt;=VLOOKUP(H1026,Dados!$X:$AB,3,0),VLOOKUP(G1026,Dados!$D:$L,4,0)&lt;=VLOOKUP(H1026,Dados!$X:$AB,4,0)),0,1)</f>
        <v>0</v>
      </c>
      <c r="U1026" s="4">
        <f>IF(COUNTIFS(F:F,F1026,H:H,H1026)&lt;=VLOOKUP(H1026,Dados!$X:$AB,5,0),0,1)</f>
        <v>0</v>
      </c>
    </row>
    <row r="1027" spans="6:21">
      <c r="F1027" s="4">
        <v>537</v>
      </c>
      <c r="G1027" s="4">
        <v>60</v>
      </c>
      <c r="H1027" s="4">
        <v>1</v>
      </c>
      <c r="I1027" s="4">
        <v>23</v>
      </c>
      <c r="J1027" s="4">
        <v>1</v>
      </c>
      <c r="K1027" s="4">
        <f t="shared" si="241"/>
        <v>0</v>
      </c>
      <c r="L1027" s="4">
        <f t="shared" si="241"/>
        <v>0</v>
      </c>
      <c r="M1027" s="4">
        <f t="shared" si="241"/>
        <v>0</v>
      </c>
      <c r="N1027" s="4">
        <f t="shared" si="241"/>
        <v>0</v>
      </c>
      <c r="O1027" s="4">
        <f t="shared" si="237"/>
        <v>0</v>
      </c>
      <c r="P1027" s="4">
        <f t="shared" si="238"/>
        <v>0</v>
      </c>
      <c r="Q1027" s="4">
        <f t="shared" si="239"/>
        <v>0</v>
      </c>
      <c r="R1027" s="4">
        <f t="shared" si="240"/>
        <v>0</v>
      </c>
      <c r="S1027" s="4">
        <f>IF(AND(VLOOKUP(G1027,Dados!$D:$L,2,0)=VLOOKUP(I1027,Dados!$S:$V,2,0),VLOOKUP(G1027,Dados!$D:$L,3,0)=VLOOKUP(I1027,Dados!$S:$V,3,0)),0,1)</f>
        <v>0</v>
      </c>
      <c r="T1027" s="4">
        <f>IF(AND(VLOOKUP(G1027,Dados!$D:$L,3,0)&lt;=VLOOKUP(H1027,Dados!$X:$AB,2,0),VLOOKUP(G1027,Dados!$D:$L,4,0)&gt;=VLOOKUP(H1027,Dados!$X:$AB,3,0),VLOOKUP(G1027,Dados!$D:$L,4,0)&lt;=VLOOKUP(H1027,Dados!$X:$AB,4,0)),0,1)</f>
        <v>0</v>
      </c>
      <c r="U1027" s="4">
        <f>IF(COUNTIFS(F:F,F1027,H:H,H1027)&lt;=VLOOKUP(H1027,Dados!$X:$AB,5,0),0,1)</f>
        <v>0</v>
      </c>
    </row>
    <row r="1028" spans="6:21">
      <c r="F1028" s="4">
        <v>538</v>
      </c>
      <c r="G1028" s="4">
        <v>59</v>
      </c>
      <c r="H1028" s="4">
        <v>2</v>
      </c>
      <c r="I1028" s="4">
        <v>23</v>
      </c>
      <c r="J1028" s="4">
        <v>9</v>
      </c>
      <c r="K1028" s="4">
        <f t="shared" si="241"/>
        <v>0</v>
      </c>
      <c r="L1028" s="4">
        <f t="shared" si="241"/>
        <v>0</v>
      </c>
      <c r="M1028" s="4">
        <f t="shared" si="241"/>
        <v>0</v>
      </c>
      <c r="N1028" s="4">
        <f t="shared" si="241"/>
        <v>0</v>
      </c>
      <c r="O1028" s="4">
        <f t="shared" si="237"/>
        <v>0</v>
      </c>
      <c r="P1028" s="4">
        <f t="shared" si="238"/>
        <v>0</v>
      </c>
      <c r="Q1028" s="4">
        <f t="shared" si="239"/>
        <v>0</v>
      </c>
      <c r="R1028" s="4">
        <f t="shared" si="240"/>
        <v>0</v>
      </c>
      <c r="S1028" s="4">
        <f>IF(AND(VLOOKUP(G1028,Dados!$D:$L,2,0)=VLOOKUP(I1028,Dados!$S:$V,2,0),VLOOKUP(G1028,Dados!$D:$L,3,0)=VLOOKUP(I1028,Dados!$S:$V,3,0)),0,1)</f>
        <v>0</v>
      </c>
      <c r="T1028" s="4">
        <f>IF(AND(VLOOKUP(G1028,Dados!$D:$L,3,0)&lt;=VLOOKUP(H1028,Dados!$X:$AB,2,0),VLOOKUP(G1028,Dados!$D:$L,4,0)&gt;=VLOOKUP(H1028,Dados!$X:$AB,3,0),VLOOKUP(G1028,Dados!$D:$L,4,0)&lt;=VLOOKUP(H1028,Dados!$X:$AB,4,0)),0,1)</f>
        <v>0</v>
      </c>
      <c r="U1028" s="4">
        <f>IF(COUNTIFS(F:F,F1028,H:H,H1028)&lt;=VLOOKUP(H1028,Dados!$X:$AB,5,0),0,1)</f>
        <v>0</v>
      </c>
    </row>
    <row r="1029" spans="6:21">
      <c r="F1029" s="4">
        <v>538</v>
      </c>
      <c r="G1029" s="4">
        <v>60</v>
      </c>
      <c r="H1029" s="4">
        <v>2</v>
      </c>
      <c r="I1029" s="4">
        <v>23</v>
      </c>
      <c r="J1029" s="4">
        <v>1</v>
      </c>
      <c r="K1029" s="4">
        <f t="shared" si="241"/>
        <v>0</v>
      </c>
      <c r="L1029" s="4">
        <f t="shared" si="241"/>
        <v>0</v>
      </c>
      <c r="M1029" s="4">
        <f t="shared" si="241"/>
        <v>0</v>
      </c>
      <c r="N1029" s="4">
        <f t="shared" si="241"/>
        <v>0</v>
      </c>
      <c r="O1029" s="4">
        <f t="shared" si="237"/>
        <v>0</v>
      </c>
      <c r="P1029" s="4">
        <f t="shared" si="238"/>
        <v>0</v>
      </c>
      <c r="Q1029" s="4">
        <f t="shared" si="239"/>
        <v>0</v>
      </c>
      <c r="R1029" s="4">
        <f t="shared" si="240"/>
        <v>0</v>
      </c>
      <c r="S1029" s="4">
        <f>IF(AND(VLOOKUP(G1029,Dados!$D:$L,2,0)=VLOOKUP(I1029,Dados!$S:$V,2,0),VLOOKUP(G1029,Dados!$D:$L,3,0)=VLOOKUP(I1029,Dados!$S:$V,3,0)),0,1)</f>
        <v>0</v>
      </c>
      <c r="T1029" s="4">
        <f>IF(AND(VLOOKUP(G1029,Dados!$D:$L,3,0)&lt;=VLOOKUP(H1029,Dados!$X:$AB,2,0),VLOOKUP(G1029,Dados!$D:$L,4,0)&gt;=VLOOKUP(H1029,Dados!$X:$AB,3,0),VLOOKUP(G1029,Dados!$D:$L,4,0)&lt;=VLOOKUP(H1029,Dados!$X:$AB,4,0)),0,1)</f>
        <v>0</v>
      </c>
      <c r="U1029" s="4">
        <f>IF(COUNTIFS(F:F,F1029,H:H,H1029)&lt;=VLOOKUP(H1029,Dados!$X:$AB,5,0),0,1)</f>
        <v>0</v>
      </c>
    </row>
    <row r="1030" spans="6:21">
      <c r="F1030" s="4">
        <v>539</v>
      </c>
      <c r="G1030" s="4">
        <v>59</v>
      </c>
      <c r="H1030" s="4">
        <v>3</v>
      </c>
      <c r="I1030" s="4">
        <v>23</v>
      </c>
      <c r="J1030" s="4">
        <v>9</v>
      </c>
      <c r="K1030" s="4">
        <f t="shared" si="241"/>
        <v>0</v>
      </c>
      <c r="L1030" s="4">
        <f t="shared" si="241"/>
        <v>0</v>
      </c>
      <c r="M1030" s="4">
        <f t="shared" si="241"/>
        <v>0</v>
      </c>
      <c r="N1030" s="4">
        <f t="shared" si="241"/>
        <v>0</v>
      </c>
      <c r="O1030" s="4">
        <f t="shared" si="237"/>
        <v>0</v>
      </c>
      <c r="P1030" s="4">
        <f t="shared" si="238"/>
        <v>0</v>
      </c>
      <c r="Q1030" s="4">
        <f t="shared" si="239"/>
        <v>0</v>
      </c>
      <c r="R1030" s="4">
        <f t="shared" si="240"/>
        <v>0</v>
      </c>
      <c r="S1030" s="4">
        <f>IF(AND(VLOOKUP(G1030,Dados!$D:$L,2,0)=VLOOKUP(I1030,Dados!$S:$V,2,0),VLOOKUP(G1030,Dados!$D:$L,3,0)=VLOOKUP(I1030,Dados!$S:$V,3,0)),0,1)</f>
        <v>0</v>
      </c>
      <c r="T1030" s="4">
        <f>IF(AND(VLOOKUP(G1030,Dados!$D:$L,3,0)&lt;=VLOOKUP(H1030,Dados!$X:$AB,2,0),VLOOKUP(G1030,Dados!$D:$L,4,0)&gt;=VLOOKUP(H1030,Dados!$X:$AB,3,0),VLOOKUP(G1030,Dados!$D:$L,4,0)&lt;=VLOOKUP(H1030,Dados!$X:$AB,4,0)),0,1)</f>
        <v>0</v>
      </c>
      <c r="U1030" s="4">
        <f>IF(COUNTIFS(F:F,F1030,H:H,H1030)&lt;=VLOOKUP(H1030,Dados!$X:$AB,5,0),0,1)</f>
        <v>0</v>
      </c>
    </row>
    <row r="1031" spans="6:21">
      <c r="F1031" s="4">
        <v>539</v>
      </c>
      <c r="G1031" s="4">
        <v>60</v>
      </c>
      <c r="H1031" s="4">
        <v>3</v>
      </c>
      <c r="I1031" s="4">
        <v>23</v>
      </c>
      <c r="J1031" s="4">
        <v>1</v>
      </c>
      <c r="K1031" s="4">
        <f t="shared" si="241"/>
        <v>0</v>
      </c>
      <c r="L1031" s="4">
        <f t="shared" si="241"/>
        <v>0</v>
      </c>
      <c r="M1031" s="4">
        <f t="shared" si="241"/>
        <v>0</v>
      </c>
      <c r="N1031" s="4">
        <f t="shared" si="241"/>
        <v>0</v>
      </c>
      <c r="O1031" s="4">
        <f t="shared" si="237"/>
        <v>0</v>
      </c>
      <c r="P1031" s="4">
        <f t="shared" si="238"/>
        <v>0</v>
      </c>
      <c r="Q1031" s="4">
        <f t="shared" si="239"/>
        <v>0</v>
      </c>
      <c r="R1031" s="4">
        <f t="shared" si="240"/>
        <v>0</v>
      </c>
      <c r="S1031" s="4">
        <f>IF(AND(VLOOKUP(G1031,Dados!$D:$L,2,0)=VLOOKUP(I1031,Dados!$S:$V,2,0),VLOOKUP(G1031,Dados!$D:$L,3,0)=VLOOKUP(I1031,Dados!$S:$V,3,0)),0,1)</f>
        <v>0</v>
      </c>
      <c r="T1031" s="4">
        <f>IF(AND(VLOOKUP(G1031,Dados!$D:$L,3,0)&lt;=VLOOKUP(H1031,Dados!$X:$AB,2,0),VLOOKUP(G1031,Dados!$D:$L,4,0)&gt;=VLOOKUP(H1031,Dados!$X:$AB,3,0),VLOOKUP(G1031,Dados!$D:$L,4,0)&lt;=VLOOKUP(H1031,Dados!$X:$AB,4,0)),0,1)</f>
        <v>0</v>
      </c>
      <c r="U1031" s="4">
        <f>IF(COUNTIFS(F:F,F1031,H:H,H1031)&lt;=VLOOKUP(H1031,Dados!$X:$AB,5,0),0,1)</f>
        <v>0</v>
      </c>
    </row>
    <row r="1032" spans="6:21">
      <c r="F1032" s="4">
        <v>540</v>
      </c>
      <c r="G1032" s="4">
        <v>59</v>
      </c>
      <c r="H1032" s="4">
        <v>1</v>
      </c>
      <c r="I1032" s="4">
        <v>24</v>
      </c>
      <c r="J1032" s="4">
        <v>8</v>
      </c>
      <c r="K1032" s="4">
        <f t="shared" si="241"/>
        <v>0</v>
      </c>
      <c r="L1032" s="4">
        <f t="shared" si="241"/>
        <v>0</v>
      </c>
      <c r="M1032" s="4">
        <f t="shared" si="241"/>
        <v>0</v>
      </c>
      <c r="N1032" s="4">
        <f t="shared" si="241"/>
        <v>0</v>
      </c>
      <c r="O1032" s="4">
        <f t="shared" si="237"/>
        <v>0</v>
      </c>
      <c r="P1032" s="4">
        <f t="shared" si="238"/>
        <v>0</v>
      </c>
      <c r="Q1032" s="4">
        <f t="shared" si="239"/>
        <v>0</v>
      </c>
      <c r="R1032" s="4">
        <f t="shared" si="240"/>
        <v>0</v>
      </c>
      <c r="S1032" s="4">
        <f>IF(AND(VLOOKUP(G1032,Dados!$D:$L,2,0)=VLOOKUP(I1032,Dados!$S:$V,2,0),VLOOKUP(G1032,Dados!$D:$L,3,0)=VLOOKUP(I1032,Dados!$S:$V,3,0)),0,1)</f>
        <v>0</v>
      </c>
      <c r="T1032" s="4">
        <f>IF(AND(VLOOKUP(G1032,Dados!$D:$L,3,0)&lt;=VLOOKUP(H1032,Dados!$X:$AB,2,0),VLOOKUP(G1032,Dados!$D:$L,4,0)&gt;=VLOOKUP(H1032,Dados!$X:$AB,3,0),VLOOKUP(G1032,Dados!$D:$L,4,0)&lt;=VLOOKUP(H1032,Dados!$X:$AB,4,0)),0,1)</f>
        <v>0</v>
      </c>
      <c r="U1032" s="4">
        <f>IF(COUNTIFS(F:F,F1032,H:H,H1032)&lt;=VLOOKUP(H1032,Dados!$X:$AB,5,0),0,1)</f>
        <v>0</v>
      </c>
    </row>
    <row r="1033" spans="6:21">
      <c r="F1033" s="4">
        <v>540</v>
      </c>
      <c r="G1033" s="4">
        <v>66</v>
      </c>
      <c r="H1033" s="4">
        <v>1</v>
      </c>
      <c r="I1033" s="4">
        <v>24</v>
      </c>
      <c r="J1033" s="4">
        <v>1</v>
      </c>
      <c r="K1033" s="4">
        <f t="shared" si="241"/>
        <v>0</v>
      </c>
      <c r="L1033" s="4">
        <f t="shared" si="241"/>
        <v>0</v>
      </c>
      <c r="M1033" s="4">
        <f t="shared" si="241"/>
        <v>0</v>
      </c>
      <c r="N1033" s="4">
        <f t="shared" si="241"/>
        <v>0</v>
      </c>
      <c r="O1033" s="4">
        <f t="shared" si="237"/>
        <v>0</v>
      </c>
      <c r="P1033" s="4">
        <f t="shared" si="238"/>
        <v>0</v>
      </c>
      <c r="Q1033" s="4">
        <f t="shared" si="239"/>
        <v>0</v>
      </c>
      <c r="R1033" s="4">
        <f t="shared" si="240"/>
        <v>0</v>
      </c>
      <c r="S1033" s="4">
        <f>IF(AND(VLOOKUP(G1033,Dados!$D:$L,2,0)=VLOOKUP(I1033,Dados!$S:$V,2,0),VLOOKUP(G1033,Dados!$D:$L,3,0)=VLOOKUP(I1033,Dados!$S:$V,3,0)),0,1)</f>
        <v>0</v>
      </c>
      <c r="T1033" s="4">
        <f>IF(AND(VLOOKUP(G1033,Dados!$D:$L,3,0)&lt;=VLOOKUP(H1033,Dados!$X:$AB,2,0),VLOOKUP(G1033,Dados!$D:$L,4,0)&gt;=VLOOKUP(H1033,Dados!$X:$AB,3,0),VLOOKUP(G1033,Dados!$D:$L,4,0)&lt;=VLOOKUP(H1033,Dados!$X:$AB,4,0)),0,1)</f>
        <v>0</v>
      </c>
      <c r="U1033" s="4">
        <f>IF(COUNTIFS(F:F,F1033,H:H,H1033)&lt;=VLOOKUP(H1033,Dados!$X:$AB,5,0),0,1)</f>
        <v>0</v>
      </c>
    </row>
    <row r="1034" spans="6:21">
      <c r="F1034" s="4">
        <v>541</v>
      </c>
      <c r="G1034" s="4">
        <v>59</v>
      </c>
      <c r="H1034" s="4">
        <v>2</v>
      </c>
      <c r="I1034" s="4">
        <v>24</v>
      </c>
      <c r="J1034" s="4">
        <v>8</v>
      </c>
      <c r="K1034" s="4">
        <f t="shared" si="241"/>
        <v>0</v>
      </c>
      <c r="L1034" s="4">
        <f t="shared" si="241"/>
        <v>0</v>
      </c>
      <c r="M1034" s="4">
        <f t="shared" si="241"/>
        <v>0</v>
      </c>
      <c r="N1034" s="4">
        <f t="shared" si="241"/>
        <v>0</v>
      </c>
      <c r="O1034" s="4">
        <f t="shared" si="237"/>
        <v>0</v>
      </c>
      <c r="P1034" s="4">
        <f t="shared" si="238"/>
        <v>0</v>
      </c>
      <c r="Q1034" s="4">
        <f t="shared" si="239"/>
        <v>0</v>
      </c>
      <c r="R1034" s="4">
        <f t="shared" si="240"/>
        <v>0</v>
      </c>
      <c r="S1034" s="4">
        <f>IF(AND(VLOOKUP(G1034,Dados!$D:$L,2,0)=VLOOKUP(I1034,Dados!$S:$V,2,0),VLOOKUP(G1034,Dados!$D:$L,3,0)=VLOOKUP(I1034,Dados!$S:$V,3,0)),0,1)</f>
        <v>0</v>
      </c>
      <c r="T1034" s="4">
        <f>IF(AND(VLOOKUP(G1034,Dados!$D:$L,3,0)&lt;=VLOOKUP(H1034,Dados!$X:$AB,2,0),VLOOKUP(G1034,Dados!$D:$L,4,0)&gt;=VLOOKUP(H1034,Dados!$X:$AB,3,0),VLOOKUP(G1034,Dados!$D:$L,4,0)&lt;=VLOOKUP(H1034,Dados!$X:$AB,4,0)),0,1)</f>
        <v>0</v>
      </c>
      <c r="U1034" s="4">
        <f>IF(COUNTIFS(F:F,F1034,H:H,H1034)&lt;=VLOOKUP(H1034,Dados!$X:$AB,5,0),0,1)</f>
        <v>0</v>
      </c>
    </row>
    <row r="1035" spans="6:21">
      <c r="F1035" s="4">
        <v>541</v>
      </c>
      <c r="G1035" s="4">
        <v>66</v>
      </c>
      <c r="H1035" s="4">
        <v>2</v>
      </c>
      <c r="I1035" s="4">
        <v>24</v>
      </c>
      <c r="J1035" s="4">
        <v>1</v>
      </c>
      <c r="K1035" s="4">
        <f t="shared" si="241"/>
        <v>0</v>
      </c>
      <c r="L1035" s="4">
        <f t="shared" si="241"/>
        <v>0</v>
      </c>
      <c r="M1035" s="4">
        <f t="shared" si="241"/>
        <v>0</v>
      </c>
      <c r="N1035" s="4">
        <f t="shared" si="241"/>
        <v>0</v>
      </c>
      <c r="O1035" s="4">
        <f t="shared" si="237"/>
        <v>0</v>
      </c>
      <c r="P1035" s="4">
        <f t="shared" si="238"/>
        <v>0</v>
      </c>
      <c r="Q1035" s="4">
        <f t="shared" si="239"/>
        <v>0</v>
      </c>
      <c r="R1035" s="4">
        <f t="shared" si="240"/>
        <v>0</v>
      </c>
      <c r="S1035" s="4">
        <f>IF(AND(VLOOKUP(G1035,Dados!$D:$L,2,0)=VLOOKUP(I1035,Dados!$S:$V,2,0),VLOOKUP(G1035,Dados!$D:$L,3,0)=VLOOKUP(I1035,Dados!$S:$V,3,0)),0,1)</f>
        <v>0</v>
      </c>
      <c r="T1035" s="4">
        <f>IF(AND(VLOOKUP(G1035,Dados!$D:$L,3,0)&lt;=VLOOKUP(H1035,Dados!$X:$AB,2,0),VLOOKUP(G1035,Dados!$D:$L,4,0)&gt;=VLOOKUP(H1035,Dados!$X:$AB,3,0),VLOOKUP(G1035,Dados!$D:$L,4,0)&lt;=VLOOKUP(H1035,Dados!$X:$AB,4,0)),0,1)</f>
        <v>0</v>
      </c>
      <c r="U1035" s="4">
        <f>IF(COUNTIFS(F:F,F1035,H:H,H1035)&lt;=VLOOKUP(H1035,Dados!$X:$AB,5,0),0,1)</f>
        <v>0</v>
      </c>
    </row>
    <row r="1036" spans="6:21">
      <c r="F1036" s="4">
        <v>542</v>
      </c>
      <c r="G1036" s="4">
        <v>59</v>
      </c>
      <c r="H1036" s="4">
        <v>3</v>
      </c>
      <c r="I1036" s="4">
        <v>24</v>
      </c>
      <c r="J1036" s="4">
        <v>8</v>
      </c>
      <c r="K1036" s="4">
        <f t="shared" si="241"/>
        <v>0</v>
      </c>
      <c r="L1036" s="4">
        <f t="shared" si="241"/>
        <v>0</v>
      </c>
      <c r="M1036" s="4">
        <f t="shared" si="241"/>
        <v>0</v>
      </c>
      <c r="N1036" s="4">
        <f t="shared" si="241"/>
        <v>0</v>
      </c>
      <c r="O1036" s="4">
        <f t="shared" si="237"/>
        <v>0</v>
      </c>
      <c r="P1036" s="4">
        <f t="shared" si="238"/>
        <v>0</v>
      </c>
      <c r="Q1036" s="4">
        <f t="shared" si="239"/>
        <v>0</v>
      </c>
      <c r="R1036" s="4">
        <f t="shared" si="240"/>
        <v>0</v>
      </c>
      <c r="S1036" s="4">
        <f>IF(AND(VLOOKUP(G1036,Dados!$D:$L,2,0)=VLOOKUP(I1036,Dados!$S:$V,2,0),VLOOKUP(G1036,Dados!$D:$L,3,0)=VLOOKUP(I1036,Dados!$S:$V,3,0)),0,1)</f>
        <v>0</v>
      </c>
      <c r="T1036" s="4">
        <f>IF(AND(VLOOKUP(G1036,Dados!$D:$L,3,0)&lt;=VLOOKUP(H1036,Dados!$X:$AB,2,0),VLOOKUP(G1036,Dados!$D:$L,4,0)&gt;=VLOOKUP(H1036,Dados!$X:$AB,3,0),VLOOKUP(G1036,Dados!$D:$L,4,0)&lt;=VLOOKUP(H1036,Dados!$X:$AB,4,0)),0,1)</f>
        <v>0</v>
      </c>
      <c r="U1036" s="4">
        <f>IF(COUNTIFS(F:F,F1036,H:H,H1036)&lt;=VLOOKUP(H1036,Dados!$X:$AB,5,0),0,1)</f>
        <v>0</v>
      </c>
    </row>
    <row r="1037" spans="6:21">
      <c r="F1037" s="4">
        <v>542</v>
      </c>
      <c r="G1037" s="4">
        <v>66</v>
      </c>
      <c r="H1037" s="4">
        <v>3</v>
      </c>
      <c r="I1037" s="4">
        <v>24</v>
      </c>
      <c r="J1037" s="4">
        <v>1</v>
      </c>
      <c r="K1037" s="4">
        <f t="shared" si="241"/>
        <v>0</v>
      </c>
      <c r="L1037" s="4">
        <f t="shared" si="241"/>
        <v>0</v>
      </c>
      <c r="M1037" s="4">
        <f t="shared" si="241"/>
        <v>0</v>
      </c>
      <c r="N1037" s="4">
        <f t="shared" si="241"/>
        <v>0</v>
      </c>
      <c r="O1037" s="4">
        <f t="shared" si="237"/>
        <v>0</v>
      </c>
      <c r="P1037" s="4">
        <f t="shared" si="238"/>
        <v>0</v>
      </c>
      <c r="Q1037" s="4">
        <f t="shared" si="239"/>
        <v>0</v>
      </c>
      <c r="R1037" s="4">
        <f t="shared" si="240"/>
        <v>0</v>
      </c>
      <c r="S1037" s="4">
        <f>IF(AND(VLOOKUP(G1037,Dados!$D:$L,2,0)=VLOOKUP(I1037,Dados!$S:$V,2,0),VLOOKUP(G1037,Dados!$D:$L,3,0)=VLOOKUP(I1037,Dados!$S:$V,3,0)),0,1)</f>
        <v>0</v>
      </c>
      <c r="T1037" s="4">
        <f>IF(AND(VLOOKUP(G1037,Dados!$D:$L,3,0)&lt;=VLOOKUP(H1037,Dados!$X:$AB,2,0),VLOOKUP(G1037,Dados!$D:$L,4,0)&gt;=VLOOKUP(H1037,Dados!$X:$AB,3,0),VLOOKUP(G1037,Dados!$D:$L,4,0)&lt;=VLOOKUP(H1037,Dados!$X:$AB,4,0)),0,1)</f>
        <v>0</v>
      </c>
      <c r="U1037" s="4">
        <f>IF(COUNTIFS(F:F,F1037,H:H,H1037)&lt;=VLOOKUP(H1037,Dados!$X:$AB,5,0),0,1)</f>
        <v>0</v>
      </c>
    </row>
    <row r="1038" spans="6:21">
      <c r="F1038" s="4">
        <v>543</v>
      </c>
      <c r="G1038" s="4">
        <v>59</v>
      </c>
      <c r="H1038" s="4">
        <v>1</v>
      </c>
      <c r="I1038" s="4">
        <v>25</v>
      </c>
      <c r="J1038" s="4">
        <v>10</v>
      </c>
      <c r="K1038" s="4">
        <f t="shared" si="241"/>
        <v>0</v>
      </c>
      <c r="L1038" s="4">
        <f t="shared" si="241"/>
        <v>0</v>
      </c>
      <c r="M1038" s="4">
        <f t="shared" si="241"/>
        <v>0</v>
      </c>
      <c r="N1038" s="4">
        <f t="shared" si="241"/>
        <v>0</v>
      </c>
      <c r="O1038" s="4">
        <f t="shared" si="237"/>
        <v>0</v>
      </c>
      <c r="P1038" s="4">
        <f t="shared" si="238"/>
        <v>0</v>
      </c>
      <c r="Q1038" s="4">
        <f t="shared" si="239"/>
        <v>0</v>
      </c>
      <c r="R1038" s="4">
        <f t="shared" si="240"/>
        <v>0</v>
      </c>
      <c r="S1038" s="4">
        <f>IF(AND(VLOOKUP(G1038,Dados!$D:$L,2,0)=VLOOKUP(I1038,Dados!$S:$V,2,0),VLOOKUP(G1038,Dados!$D:$L,3,0)=VLOOKUP(I1038,Dados!$S:$V,3,0)),0,1)</f>
        <v>0</v>
      </c>
      <c r="T1038" s="4">
        <f>IF(AND(VLOOKUP(G1038,Dados!$D:$L,3,0)&lt;=VLOOKUP(H1038,Dados!$X:$AB,2,0),VLOOKUP(G1038,Dados!$D:$L,4,0)&gt;=VLOOKUP(H1038,Dados!$X:$AB,3,0),VLOOKUP(G1038,Dados!$D:$L,4,0)&lt;=VLOOKUP(H1038,Dados!$X:$AB,4,0)),0,1)</f>
        <v>0</v>
      </c>
      <c r="U1038" s="4">
        <f>IF(COUNTIFS(F:F,F1038,H:H,H1038)&lt;=VLOOKUP(H1038,Dados!$X:$AB,5,0),0,1)</f>
        <v>0</v>
      </c>
    </row>
    <row r="1039" spans="6:21">
      <c r="F1039" s="4">
        <v>543</v>
      </c>
      <c r="G1039" s="4">
        <v>60</v>
      </c>
      <c r="H1039" s="4">
        <v>1</v>
      </c>
      <c r="I1039" s="4">
        <v>25</v>
      </c>
      <c r="J1039" s="4">
        <v>1</v>
      </c>
      <c r="K1039" s="4">
        <f t="shared" si="241"/>
        <v>0</v>
      </c>
      <c r="L1039" s="4">
        <f t="shared" si="241"/>
        <v>0</v>
      </c>
      <c r="M1039" s="4">
        <f t="shared" si="241"/>
        <v>0</v>
      </c>
      <c r="N1039" s="4">
        <f t="shared" si="241"/>
        <v>0</v>
      </c>
      <c r="O1039" s="4">
        <f t="shared" si="237"/>
        <v>0</v>
      </c>
      <c r="P1039" s="4">
        <f t="shared" si="238"/>
        <v>0</v>
      </c>
      <c r="Q1039" s="4">
        <f t="shared" si="239"/>
        <v>0</v>
      </c>
      <c r="R1039" s="4">
        <f t="shared" si="240"/>
        <v>0</v>
      </c>
      <c r="S1039" s="4">
        <f>IF(AND(VLOOKUP(G1039,Dados!$D:$L,2,0)=VLOOKUP(I1039,Dados!$S:$V,2,0),VLOOKUP(G1039,Dados!$D:$L,3,0)=VLOOKUP(I1039,Dados!$S:$V,3,0)),0,1)</f>
        <v>0</v>
      </c>
      <c r="T1039" s="4">
        <f>IF(AND(VLOOKUP(G1039,Dados!$D:$L,3,0)&lt;=VLOOKUP(H1039,Dados!$X:$AB,2,0),VLOOKUP(G1039,Dados!$D:$L,4,0)&gt;=VLOOKUP(H1039,Dados!$X:$AB,3,0),VLOOKUP(G1039,Dados!$D:$L,4,0)&lt;=VLOOKUP(H1039,Dados!$X:$AB,4,0)),0,1)</f>
        <v>0</v>
      </c>
      <c r="U1039" s="4">
        <f>IF(COUNTIFS(F:F,F1039,H:H,H1039)&lt;=VLOOKUP(H1039,Dados!$X:$AB,5,0),0,1)</f>
        <v>0</v>
      </c>
    </row>
    <row r="1040" spans="6:21">
      <c r="F1040" s="4">
        <v>544</v>
      </c>
      <c r="G1040" s="4">
        <v>59</v>
      </c>
      <c r="H1040" s="4">
        <v>2</v>
      </c>
      <c r="I1040" s="4">
        <v>25</v>
      </c>
      <c r="J1040" s="4">
        <v>10</v>
      </c>
      <c r="K1040" s="4">
        <f t="shared" si="241"/>
        <v>0</v>
      </c>
      <c r="L1040" s="4">
        <f t="shared" si="241"/>
        <v>0</v>
      </c>
      <c r="M1040" s="4">
        <f t="shared" si="241"/>
        <v>0</v>
      </c>
      <c r="N1040" s="4">
        <f t="shared" si="241"/>
        <v>0</v>
      </c>
      <c r="O1040" s="4">
        <f t="shared" si="237"/>
        <v>0</v>
      </c>
      <c r="P1040" s="4">
        <f t="shared" si="238"/>
        <v>0</v>
      </c>
      <c r="Q1040" s="4">
        <f t="shared" si="239"/>
        <v>0</v>
      </c>
      <c r="R1040" s="4">
        <f t="shared" si="240"/>
        <v>0</v>
      </c>
      <c r="S1040" s="4">
        <f>IF(AND(VLOOKUP(G1040,Dados!$D:$L,2,0)=VLOOKUP(I1040,Dados!$S:$V,2,0),VLOOKUP(G1040,Dados!$D:$L,3,0)=VLOOKUP(I1040,Dados!$S:$V,3,0)),0,1)</f>
        <v>0</v>
      </c>
      <c r="T1040" s="4">
        <f>IF(AND(VLOOKUP(G1040,Dados!$D:$L,3,0)&lt;=VLOOKUP(H1040,Dados!$X:$AB,2,0),VLOOKUP(G1040,Dados!$D:$L,4,0)&gt;=VLOOKUP(H1040,Dados!$X:$AB,3,0),VLOOKUP(G1040,Dados!$D:$L,4,0)&lt;=VLOOKUP(H1040,Dados!$X:$AB,4,0)),0,1)</f>
        <v>0</v>
      </c>
      <c r="U1040" s="4">
        <f>IF(COUNTIFS(F:F,F1040,H:H,H1040)&lt;=VLOOKUP(H1040,Dados!$X:$AB,5,0),0,1)</f>
        <v>0</v>
      </c>
    </row>
    <row r="1041" spans="6:21">
      <c r="F1041" s="4">
        <v>544</v>
      </c>
      <c r="G1041" s="4">
        <v>60</v>
      </c>
      <c r="H1041" s="4">
        <v>2</v>
      </c>
      <c r="I1041" s="4">
        <v>25</v>
      </c>
      <c r="J1041" s="4">
        <v>1</v>
      </c>
      <c r="K1041" s="4">
        <f t="shared" si="241"/>
        <v>0</v>
      </c>
      <c r="L1041" s="4">
        <f t="shared" si="241"/>
        <v>0</v>
      </c>
      <c r="M1041" s="4">
        <f t="shared" si="241"/>
        <v>0</v>
      </c>
      <c r="N1041" s="4">
        <f t="shared" si="241"/>
        <v>0</v>
      </c>
      <c r="O1041" s="4">
        <f t="shared" si="237"/>
        <v>0</v>
      </c>
      <c r="P1041" s="4">
        <f t="shared" si="238"/>
        <v>0</v>
      </c>
      <c r="Q1041" s="4">
        <f t="shared" si="239"/>
        <v>0</v>
      </c>
      <c r="R1041" s="4">
        <f t="shared" si="240"/>
        <v>0</v>
      </c>
      <c r="S1041" s="4">
        <f>IF(AND(VLOOKUP(G1041,Dados!$D:$L,2,0)=VLOOKUP(I1041,Dados!$S:$V,2,0),VLOOKUP(G1041,Dados!$D:$L,3,0)=VLOOKUP(I1041,Dados!$S:$V,3,0)),0,1)</f>
        <v>0</v>
      </c>
      <c r="T1041" s="4">
        <f>IF(AND(VLOOKUP(G1041,Dados!$D:$L,3,0)&lt;=VLOOKUP(H1041,Dados!$X:$AB,2,0),VLOOKUP(G1041,Dados!$D:$L,4,0)&gt;=VLOOKUP(H1041,Dados!$X:$AB,3,0),VLOOKUP(G1041,Dados!$D:$L,4,0)&lt;=VLOOKUP(H1041,Dados!$X:$AB,4,0)),0,1)</f>
        <v>0</v>
      </c>
      <c r="U1041" s="4">
        <f>IF(COUNTIFS(F:F,F1041,H:H,H1041)&lt;=VLOOKUP(H1041,Dados!$X:$AB,5,0),0,1)</f>
        <v>0</v>
      </c>
    </row>
    <row r="1042" spans="6:21">
      <c r="F1042" s="4">
        <v>545</v>
      </c>
      <c r="G1042" s="4">
        <v>59</v>
      </c>
      <c r="H1042" s="4">
        <v>3</v>
      </c>
      <c r="I1042" s="4">
        <v>25</v>
      </c>
      <c r="J1042" s="4">
        <v>10</v>
      </c>
      <c r="K1042" s="4">
        <f t="shared" si="241"/>
        <v>0</v>
      </c>
      <c r="L1042" s="4">
        <f t="shared" si="241"/>
        <v>0</v>
      </c>
      <c r="M1042" s="4">
        <f t="shared" si="241"/>
        <v>0</v>
      </c>
      <c r="N1042" s="4">
        <f t="shared" si="241"/>
        <v>0</v>
      </c>
      <c r="O1042" s="4">
        <f t="shared" si="237"/>
        <v>0</v>
      </c>
      <c r="P1042" s="4">
        <f t="shared" si="238"/>
        <v>0</v>
      </c>
      <c r="Q1042" s="4">
        <f t="shared" si="239"/>
        <v>0</v>
      </c>
      <c r="R1042" s="4">
        <f t="shared" si="240"/>
        <v>0</v>
      </c>
      <c r="S1042" s="4">
        <f>IF(AND(VLOOKUP(G1042,Dados!$D:$L,2,0)=VLOOKUP(I1042,Dados!$S:$V,2,0),VLOOKUP(G1042,Dados!$D:$L,3,0)=VLOOKUP(I1042,Dados!$S:$V,3,0)),0,1)</f>
        <v>0</v>
      </c>
      <c r="T1042" s="4">
        <f>IF(AND(VLOOKUP(G1042,Dados!$D:$L,3,0)&lt;=VLOOKUP(H1042,Dados!$X:$AB,2,0),VLOOKUP(G1042,Dados!$D:$L,4,0)&gt;=VLOOKUP(H1042,Dados!$X:$AB,3,0),VLOOKUP(G1042,Dados!$D:$L,4,0)&lt;=VLOOKUP(H1042,Dados!$X:$AB,4,0)),0,1)</f>
        <v>0</v>
      </c>
      <c r="U1042" s="4">
        <f>IF(COUNTIFS(F:F,F1042,H:H,H1042)&lt;=VLOOKUP(H1042,Dados!$X:$AB,5,0),0,1)</f>
        <v>0</v>
      </c>
    </row>
    <row r="1043" spans="6:21">
      <c r="F1043" s="4">
        <v>545</v>
      </c>
      <c r="G1043" s="4">
        <v>60</v>
      </c>
      <c r="H1043" s="4">
        <v>3</v>
      </c>
      <c r="I1043" s="4">
        <v>25</v>
      </c>
      <c r="J1043" s="4">
        <v>1</v>
      </c>
      <c r="K1043" s="4">
        <f t="shared" si="241"/>
        <v>0</v>
      </c>
      <c r="L1043" s="4">
        <f t="shared" si="241"/>
        <v>0</v>
      </c>
      <c r="M1043" s="4">
        <f t="shared" si="241"/>
        <v>0</v>
      </c>
      <c r="N1043" s="4">
        <f t="shared" si="241"/>
        <v>0</v>
      </c>
      <c r="O1043" s="4">
        <f t="shared" si="237"/>
        <v>0</v>
      </c>
      <c r="P1043" s="4">
        <f t="shared" si="238"/>
        <v>0</v>
      </c>
      <c r="Q1043" s="4">
        <f t="shared" si="239"/>
        <v>0</v>
      </c>
      <c r="R1043" s="4">
        <f t="shared" si="240"/>
        <v>0</v>
      </c>
      <c r="S1043" s="4">
        <f>IF(AND(VLOOKUP(G1043,Dados!$D:$L,2,0)=VLOOKUP(I1043,Dados!$S:$V,2,0),VLOOKUP(G1043,Dados!$D:$L,3,0)=VLOOKUP(I1043,Dados!$S:$V,3,0)),0,1)</f>
        <v>0</v>
      </c>
      <c r="T1043" s="4">
        <f>IF(AND(VLOOKUP(G1043,Dados!$D:$L,3,0)&lt;=VLOOKUP(H1043,Dados!$X:$AB,2,0),VLOOKUP(G1043,Dados!$D:$L,4,0)&gt;=VLOOKUP(H1043,Dados!$X:$AB,3,0),VLOOKUP(G1043,Dados!$D:$L,4,0)&lt;=VLOOKUP(H1043,Dados!$X:$AB,4,0)),0,1)</f>
        <v>0</v>
      </c>
      <c r="U1043" s="4">
        <f>IF(COUNTIFS(F:F,F1043,H:H,H1043)&lt;=VLOOKUP(H1043,Dados!$X:$AB,5,0),0,1)</f>
        <v>0</v>
      </c>
    </row>
    <row r="1044" spans="6:21">
      <c r="F1044" s="4">
        <v>546</v>
      </c>
      <c r="G1044" s="4">
        <v>59</v>
      </c>
      <c r="H1044" s="4">
        <v>1</v>
      </c>
      <c r="I1044" s="4">
        <v>26</v>
      </c>
      <c r="J1044" s="4">
        <v>9</v>
      </c>
      <c r="K1044" s="4">
        <f t="shared" si="241"/>
        <v>0</v>
      </c>
      <c r="L1044" s="4">
        <f t="shared" si="241"/>
        <v>0</v>
      </c>
      <c r="M1044" s="4">
        <f t="shared" si="241"/>
        <v>0</v>
      </c>
      <c r="N1044" s="4">
        <f t="shared" si="241"/>
        <v>0</v>
      </c>
      <c r="O1044" s="4">
        <f t="shared" si="237"/>
        <v>0</v>
      </c>
      <c r="P1044" s="4">
        <f t="shared" si="238"/>
        <v>0</v>
      </c>
      <c r="Q1044" s="4">
        <f t="shared" si="239"/>
        <v>0</v>
      </c>
      <c r="R1044" s="4">
        <f t="shared" si="240"/>
        <v>0</v>
      </c>
      <c r="S1044" s="4">
        <f>IF(AND(VLOOKUP(G1044,Dados!$D:$L,2,0)=VLOOKUP(I1044,Dados!$S:$V,2,0),VLOOKUP(G1044,Dados!$D:$L,3,0)=VLOOKUP(I1044,Dados!$S:$V,3,0)),0,1)</f>
        <v>0</v>
      </c>
      <c r="T1044" s="4">
        <f>IF(AND(VLOOKUP(G1044,Dados!$D:$L,3,0)&lt;=VLOOKUP(H1044,Dados!$X:$AB,2,0),VLOOKUP(G1044,Dados!$D:$L,4,0)&gt;=VLOOKUP(H1044,Dados!$X:$AB,3,0),VLOOKUP(G1044,Dados!$D:$L,4,0)&lt;=VLOOKUP(H1044,Dados!$X:$AB,4,0)),0,1)</f>
        <v>0</v>
      </c>
      <c r="U1044" s="4">
        <f>IF(COUNTIFS(F:F,F1044,H:H,H1044)&lt;=VLOOKUP(H1044,Dados!$X:$AB,5,0),0,1)</f>
        <v>0</v>
      </c>
    </row>
    <row r="1045" spans="6:21">
      <c r="F1045" s="4">
        <v>546</v>
      </c>
      <c r="G1045" s="4">
        <v>60</v>
      </c>
      <c r="H1045" s="4">
        <v>1</v>
      </c>
      <c r="I1045" s="4">
        <v>26</v>
      </c>
      <c r="J1045" s="4">
        <v>1</v>
      </c>
      <c r="K1045" s="4">
        <f t="shared" si="241"/>
        <v>0</v>
      </c>
      <c r="L1045" s="4">
        <f t="shared" si="241"/>
        <v>0</v>
      </c>
      <c r="M1045" s="4">
        <f t="shared" si="241"/>
        <v>0</v>
      </c>
      <c r="N1045" s="4">
        <f t="shared" si="241"/>
        <v>0</v>
      </c>
      <c r="O1045" s="4">
        <f t="shared" si="237"/>
        <v>0</v>
      </c>
      <c r="P1045" s="4">
        <f t="shared" si="238"/>
        <v>0</v>
      </c>
      <c r="Q1045" s="4">
        <f t="shared" si="239"/>
        <v>0</v>
      </c>
      <c r="R1045" s="4">
        <f t="shared" si="240"/>
        <v>0</v>
      </c>
      <c r="S1045" s="4">
        <f>IF(AND(VLOOKUP(G1045,Dados!$D:$L,2,0)=VLOOKUP(I1045,Dados!$S:$V,2,0),VLOOKUP(G1045,Dados!$D:$L,3,0)=VLOOKUP(I1045,Dados!$S:$V,3,0)),0,1)</f>
        <v>0</v>
      </c>
      <c r="T1045" s="4">
        <f>IF(AND(VLOOKUP(G1045,Dados!$D:$L,3,0)&lt;=VLOOKUP(H1045,Dados!$X:$AB,2,0),VLOOKUP(G1045,Dados!$D:$L,4,0)&gt;=VLOOKUP(H1045,Dados!$X:$AB,3,0),VLOOKUP(G1045,Dados!$D:$L,4,0)&lt;=VLOOKUP(H1045,Dados!$X:$AB,4,0)),0,1)</f>
        <v>0</v>
      </c>
      <c r="U1045" s="4">
        <f>IF(COUNTIFS(F:F,F1045,H:H,H1045)&lt;=VLOOKUP(H1045,Dados!$X:$AB,5,0),0,1)</f>
        <v>0</v>
      </c>
    </row>
    <row r="1046" spans="6:21">
      <c r="F1046" s="4">
        <v>547</v>
      </c>
      <c r="G1046" s="4">
        <v>59</v>
      </c>
      <c r="H1046" s="4">
        <v>2</v>
      </c>
      <c r="I1046" s="4">
        <v>26</v>
      </c>
      <c r="J1046" s="4">
        <v>9</v>
      </c>
      <c r="K1046" s="4">
        <f t="shared" si="241"/>
        <v>0</v>
      </c>
      <c r="L1046" s="4">
        <f t="shared" si="241"/>
        <v>0</v>
      </c>
      <c r="M1046" s="4">
        <f t="shared" si="241"/>
        <v>0</v>
      </c>
      <c r="N1046" s="4">
        <f t="shared" si="241"/>
        <v>0</v>
      </c>
      <c r="O1046" s="4">
        <f t="shared" si="237"/>
        <v>0</v>
      </c>
      <c r="P1046" s="4">
        <f t="shared" si="238"/>
        <v>0</v>
      </c>
      <c r="Q1046" s="4">
        <f t="shared" si="239"/>
        <v>0</v>
      </c>
      <c r="R1046" s="4">
        <f t="shared" si="240"/>
        <v>0</v>
      </c>
      <c r="S1046" s="4">
        <f>IF(AND(VLOOKUP(G1046,Dados!$D:$L,2,0)=VLOOKUP(I1046,Dados!$S:$V,2,0),VLOOKUP(G1046,Dados!$D:$L,3,0)=VLOOKUP(I1046,Dados!$S:$V,3,0)),0,1)</f>
        <v>0</v>
      </c>
      <c r="T1046" s="4">
        <f>IF(AND(VLOOKUP(G1046,Dados!$D:$L,3,0)&lt;=VLOOKUP(H1046,Dados!$X:$AB,2,0),VLOOKUP(G1046,Dados!$D:$L,4,0)&gt;=VLOOKUP(H1046,Dados!$X:$AB,3,0),VLOOKUP(G1046,Dados!$D:$L,4,0)&lt;=VLOOKUP(H1046,Dados!$X:$AB,4,0)),0,1)</f>
        <v>0</v>
      </c>
      <c r="U1046" s="4">
        <f>IF(COUNTIFS(F:F,F1046,H:H,H1046)&lt;=VLOOKUP(H1046,Dados!$X:$AB,5,0),0,1)</f>
        <v>0</v>
      </c>
    </row>
    <row r="1047" spans="6:21">
      <c r="F1047" s="4">
        <v>547</v>
      </c>
      <c r="G1047" s="4">
        <v>60</v>
      </c>
      <c r="H1047" s="4">
        <v>2</v>
      </c>
      <c r="I1047" s="4">
        <v>26</v>
      </c>
      <c r="J1047" s="4">
        <v>1</v>
      </c>
      <c r="K1047" s="4">
        <f t="shared" si="241"/>
        <v>0</v>
      </c>
      <c r="L1047" s="4">
        <f t="shared" si="241"/>
        <v>0</v>
      </c>
      <c r="M1047" s="4">
        <f t="shared" si="241"/>
        <v>0</v>
      </c>
      <c r="N1047" s="4">
        <f t="shared" si="241"/>
        <v>0</v>
      </c>
      <c r="O1047" s="4">
        <f t="shared" si="237"/>
        <v>0</v>
      </c>
      <c r="P1047" s="4">
        <f t="shared" si="238"/>
        <v>0</v>
      </c>
      <c r="Q1047" s="4">
        <f t="shared" si="239"/>
        <v>0</v>
      </c>
      <c r="R1047" s="4">
        <f t="shared" si="240"/>
        <v>0</v>
      </c>
      <c r="S1047" s="4">
        <f>IF(AND(VLOOKUP(G1047,Dados!$D:$L,2,0)=VLOOKUP(I1047,Dados!$S:$V,2,0),VLOOKUP(G1047,Dados!$D:$L,3,0)=VLOOKUP(I1047,Dados!$S:$V,3,0)),0,1)</f>
        <v>0</v>
      </c>
      <c r="T1047" s="4">
        <f>IF(AND(VLOOKUP(G1047,Dados!$D:$L,3,0)&lt;=VLOOKUP(H1047,Dados!$X:$AB,2,0),VLOOKUP(G1047,Dados!$D:$L,4,0)&gt;=VLOOKUP(H1047,Dados!$X:$AB,3,0),VLOOKUP(G1047,Dados!$D:$L,4,0)&lt;=VLOOKUP(H1047,Dados!$X:$AB,4,0)),0,1)</f>
        <v>0</v>
      </c>
      <c r="U1047" s="4">
        <f>IF(COUNTIFS(F:F,F1047,H:H,H1047)&lt;=VLOOKUP(H1047,Dados!$X:$AB,5,0),0,1)</f>
        <v>0</v>
      </c>
    </row>
    <row r="1048" spans="6:21">
      <c r="F1048" s="4">
        <v>548</v>
      </c>
      <c r="G1048" s="4">
        <v>59</v>
      </c>
      <c r="H1048" s="4">
        <v>3</v>
      </c>
      <c r="I1048" s="4">
        <v>26</v>
      </c>
      <c r="J1048" s="4">
        <v>9</v>
      </c>
      <c r="K1048" s="4">
        <f t="shared" si="241"/>
        <v>0</v>
      </c>
      <c r="L1048" s="4">
        <f t="shared" si="241"/>
        <v>0</v>
      </c>
      <c r="M1048" s="4">
        <f t="shared" si="241"/>
        <v>0</v>
      </c>
      <c r="N1048" s="4">
        <f t="shared" si="241"/>
        <v>0</v>
      </c>
      <c r="O1048" s="4">
        <f t="shared" si="237"/>
        <v>0</v>
      </c>
      <c r="P1048" s="4">
        <f t="shared" si="238"/>
        <v>0</v>
      </c>
      <c r="Q1048" s="4">
        <f t="shared" si="239"/>
        <v>0</v>
      </c>
      <c r="R1048" s="4">
        <f t="shared" si="240"/>
        <v>0</v>
      </c>
      <c r="S1048" s="4">
        <f>IF(AND(VLOOKUP(G1048,Dados!$D:$L,2,0)=VLOOKUP(I1048,Dados!$S:$V,2,0),VLOOKUP(G1048,Dados!$D:$L,3,0)=VLOOKUP(I1048,Dados!$S:$V,3,0)),0,1)</f>
        <v>0</v>
      </c>
      <c r="T1048" s="4">
        <f>IF(AND(VLOOKUP(G1048,Dados!$D:$L,3,0)&lt;=VLOOKUP(H1048,Dados!$X:$AB,2,0),VLOOKUP(G1048,Dados!$D:$L,4,0)&gt;=VLOOKUP(H1048,Dados!$X:$AB,3,0),VLOOKUP(G1048,Dados!$D:$L,4,0)&lt;=VLOOKUP(H1048,Dados!$X:$AB,4,0)),0,1)</f>
        <v>0</v>
      </c>
      <c r="U1048" s="4">
        <f>IF(COUNTIFS(F:F,F1048,H:H,H1048)&lt;=VLOOKUP(H1048,Dados!$X:$AB,5,0),0,1)</f>
        <v>0</v>
      </c>
    </row>
    <row r="1049" spans="6:21">
      <c r="F1049" s="4">
        <v>548</v>
      </c>
      <c r="G1049" s="4">
        <v>60</v>
      </c>
      <c r="H1049" s="4">
        <v>3</v>
      </c>
      <c r="I1049" s="4">
        <v>26</v>
      </c>
      <c r="J1049" s="4">
        <v>1</v>
      </c>
      <c r="K1049" s="4">
        <f t="shared" si="241"/>
        <v>0</v>
      </c>
      <c r="L1049" s="4">
        <f t="shared" si="241"/>
        <v>0</v>
      </c>
      <c r="M1049" s="4">
        <f t="shared" si="241"/>
        <v>0</v>
      </c>
      <c r="N1049" s="4">
        <f t="shared" si="241"/>
        <v>0</v>
      </c>
      <c r="O1049" s="4">
        <f t="shared" si="237"/>
        <v>0</v>
      </c>
      <c r="P1049" s="4">
        <f t="shared" si="238"/>
        <v>0</v>
      </c>
      <c r="Q1049" s="4">
        <f t="shared" si="239"/>
        <v>0</v>
      </c>
      <c r="R1049" s="4">
        <f t="shared" si="240"/>
        <v>0</v>
      </c>
      <c r="S1049" s="4">
        <f>IF(AND(VLOOKUP(G1049,Dados!$D:$L,2,0)=VLOOKUP(I1049,Dados!$S:$V,2,0),VLOOKUP(G1049,Dados!$D:$L,3,0)=VLOOKUP(I1049,Dados!$S:$V,3,0)),0,1)</f>
        <v>0</v>
      </c>
      <c r="T1049" s="4">
        <f>IF(AND(VLOOKUP(G1049,Dados!$D:$L,3,0)&lt;=VLOOKUP(H1049,Dados!$X:$AB,2,0),VLOOKUP(G1049,Dados!$D:$L,4,0)&gt;=VLOOKUP(H1049,Dados!$X:$AB,3,0),VLOOKUP(G1049,Dados!$D:$L,4,0)&lt;=VLOOKUP(H1049,Dados!$X:$AB,4,0)),0,1)</f>
        <v>0</v>
      </c>
      <c r="U1049" s="4">
        <f>IF(COUNTIFS(F:F,F1049,H:H,H1049)&lt;=VLOOKUP(H1049,Dados!$X:$AB,5,0),0,1)</f>
        <v>0</v>
      </c>
    </row>
    <row r="1050" spans="6:21">
      <c r="F1050" s="4">
        <v>549</v>
      </c>
      <c r="G1050" s="4">
        <v>59</v>
      </c>
      <c r="H1050" s="4">
        <v>1</v>
      </c>
      <c r="I1050" s="4">
        <v>27</v>
      </c>
      <c r="J1050" s="4">
        <v>12</v>
      </c>
      <c r="K1050" s="4">
        <f t="shared" si="241"/>
        <v>0</v>
      </c>
      <c r="L1050" s="4">
        <f t="shared" si="241"/>
        <v>0</v>
      </c>
      <c r="M1050" s="4">
        <f t="shared" si="241"/>
        <v>0</v>
      </c>
      <c r="N1050" s="4">
        <f t="shared" si="241"/>
        <v>0</v>
      </c>
      <c r="O1050" s="4">
        <f t="shared" si="237"/>
        <v>0</v>
      </c>
      <c r="P1050" s="4">
        <f t="shared" si="238"/>
        <v>0</v>
      </c>
      <c r="Q1050" s="4">
        <f t="shared" si="239"/>
        <v>0</v>
      </c>
      <c r="R1050" s="4">
        <f t="shared" si="240"/>
        <v>0</v>
      </c>
      <c r="S1050" s="4">
        <f>IF(AND(VLOOKUP(G1050,Dados!$D:$L,2,0)=VLOOKUP(I1050,Dados!$S:$V,2,0),VLOOKUP(G1050,Dados!$D:$L,3,0)=VLOOKUP(I1050,Dados!$S:$V,3,0)),0,1)</f>
        <v>0</v>
      </c>
      <c r="T1050" s="4">
        <f>IF(AND(VLOOKUP(G1050,Dados!$D:$L,3,0)&lt;=VLOOKUP(H1050,Dados!$X:$AB,2,0),VLOOKUP(G1050,Dados!$D:$L,4,0)&gt;=VLOOKUP(H1050,Dados!$X:$AB,3,0),VLOOKUP(G1050,Dados!$D:$L,4,0)&lt;=VLOOKUP(H1050,Dados!$X:$AB,4,0)),0,1)</f>
        <v>0</v>
      </c>
      <c r="U1050" s="4">
        <f>IF(COUNTIFS(F:F,F1050,H:H,H1050)&lt;=VLOOKUP(H1050,Dados!$X:$AB,5,0),0,1)</f>
        <v>0</v>
      </c>
    </row>
    <row r="1051" spans="6:21">
      <c r="F1051" s="4">
        <v>550</v>
      </c>
      <c r="G1051" s="4">
        <v>59</v>
      </c>
      <c r="H1051" s="4">
        <v>2</v>
      </c>
      <c r="I1051" s="4">
        <v>27</v>
      </c>
      <c r="J1051" s="4">
        <v>12</v>
      </c>
      <c r="K1051" s="4">
        <f t="shared" si="241"/>
        <v>0</v>
      </c>
      <c r="L1051" s="4">
        <f t="shared" si="241"/>
        <v>0</v>
      </c>
      <c r="M1051" s="4">
        <f t="shared" si="241"/>
        <v>0</v>
      </c>
      <c r="N1051" s="4">
        <f t="shared" si="241"/>
        <v>0</v>
      </c>
      <c r="O1051" s="4">
        <f t="shared" si="237"/>
        <v>0</v>
      </c>
      <c r="P1051" s="4">
        <f t="shared" si="238"/>
        <v>0</v>
      </c>
      <c r="Q1051" s="4">
        <f t="shared" si="239"/>
        <v>0</v>
      </c>
      <c r="R1051" s="4">
        <f t="shared" si="240"/>
        <v>0</v>
      </c>
      <c r="S1051" s="4">
        <f>IF(AND(VLOOKUP(G1051,Dados!$D:$L,2,0)=VLOOKUP(I1051,Dados!$S:$V,2,0),VLOOKUP(G1051,Dados!$D:$L,3,0)=VLOOKUP(I1051,Dados!$S:$V,3,0)),0,1)</f>
        <v>0</v>
      </c>
      <c r="T1051" s="4">
        <f>IF(AND(VLOOKUP(G1051,Dados!$D:$L,3,0)&lt;=VLOOKUP(H1051,Dados!$X:$AB,2,0),VLOOKUP(G1051,Dados!$D:$L,4,0)&gt;=VLOOKUP(H1051,Dados!$X:$AB,3,0),VLOOKUP(G1051,Dados!$D:$L,4,0)&lt;=VLOOKUP(H1051,Dados!$X:$AB,4,0)),0,1)</f>
        <v>0</v>
      </c>
      <c r="U1051" s="4">
        <f>IF(COUNTIFS(F:F,F1051,H:H,H1051)&lt;=VLOOKUP(H1051,Dados!$X:$AB,5,0),0,1)</f>
        <v>0</v>
      </c>
    </row>
    <row r="1052" spans="6:21">
      <c r="F1052" s="4">
        <v>551</v>
      </c>
      <c r="G1052" s="4">
        <v>59</v>
      </c>
      <c r="H1052" s="4">
        <v>3</v>
      </c>
      <c r="I1052" s="4">
        <v>27</v>
      </c>
      <c r="J1052" s="4">
        <v>12</v>
      </c>
      <c r="K1052" s="4">
        <f t="shared" si="241"/>
        <v>0</v>
      </c>
      <c r="L1052" s="4">
        <f t="shared" si="241"/>
        <v>0</v>
      </c>
      <c r="M1052" s="4">
        <f t="shared" si="241"/>
        <v>0</v>
      </c>
      <c r="N1052" s="4">
        <f t="shared" si="241"/>
        <v>0</v>
      </c>
      <c r="O1052" s="4">
        <f t="shared" si="237"/>
        <v>0</v>
      </c>
      <c r="P1052" s="4">
        <f t="shared" si="238"/>
        <v>0</v>
      </c>
      <c r="Q1052" s="4">
        <f t="shared" si="239"/>
        <v>0</v>
      </c>
      <c r="R1052" s="4">
        <f t="shared" si="240"/>
        <v>0</v>
      </c>
      <c r="S1052" s="4">
        <f>IF(AND(VLOOKUP(G1052,Dados!$D:$L,2,0)=VLOOKUP(I1052,Dados!$S:$V,2,0),VLOOKUP(G1052,Dados!$D:$L,3,0)=VLOOKUP(I1052,Dados!$S:$V,3,0)),0,1)</f>
        <v>0</v>
      </c>
      <c r="T1052" s="4">
        <f>IF(AND(VLOOKUP(G1052,Dados!$D:$L,3,0)&lt;=VLOOKUP(H1052,Dados!$X:$AB,2,0),VLOOKUP(G1052,Dados!$D:$L,4,0)&gt;=VLOOKUP(H1052,Dados!$X:$AB,3,0),VLOOKUP(G1052,Dados!$D:$L,4,0)&lt;=VLOOKUP(H1052,Dados!$X:$AB,4,0)),0,1)</f>
        <v>0</v>
      </c>
      <c r="U1052" s="4">
        <f>IF(COUNTIFS(F:F,F1052,H:H,H1052)&lt;=VLOOKUP(H1052,Dados!$X:$AB,5,0),0,1)</f>
        <v>0</v>
      </c>
    </row>
    <row r="1053" spans="6:21">
      <c r="F1053" s="4">
        <v>552</v>
      </c>
      <c r="G1053" s="4">
        <v>59</v>
      </c>
      <c r="H1053" s="4">
        <v>1</v>
      </c>
      <c r="I1053" s="4">
        <v>28</v>
      </c>
      <c r="J1053" s="4">
        <v>10</v>
      </c>
      <c r="K1053" s="4">
        <f t="shared" si="241"/>
        <v>0</v>
      </c>
      <c r="L1053" s="4">
        <f t="shared" si="241"/>
        <v>0</v>
      </c>
      <c r="M1053" s="4">
        <f t="shared" si="241"/>
        <v>0</v>
      </c>
      <c r="N1053" s="4">
        <f t="shared" si="241"/>
        <v>0</v>
      </c>
      <c r="O1053" s="4">
        <f t="shared" si="237"/>
        <v>0</v>
      </c>
      <c r="P1053" s="4">
        <f t="shared" si="238"/>
        <v>0</v>
      </c>
      <c r="Q1053" s="4">
        <f t="shared" si="239"/>
        <v>0</v>
      </c>
      <c r="R1053" s="4">
        <f t="shared" si="240"/>
        <v>0</v>
      </c>
      <c r="S1053" s="4">
        <f>IF(AND(VLOOKUP(G1053,Dados!$D:$L,2,0)=VLOOKUP(I1053,Dados!$S:$V,2,0),VLOOKUP(G1053,Dados!$D:$L,3,0)=VLOOKUP(I1053,Dados!$S:$V,3,0)),0,1)</f>
        <v>0</v>
      </c>
      <c r="T1053" s="4">
        <f>IF(AND(VLOOKUP(G1053,Dados!$D:$L,3,0)&lt;=VLOOKUP(H1053,Dados!$X:$AB,2,0),VLOOKUP(G1053,Dados!$D:$L,4,0)&gt;=VLOOKUP(H1053,Dados!$X:$AB,3,0),VLOOKUP(G1053,Dados!$D:$L,4,0)&lt;=VLOOKUP(H1053,Dados!$X:$AB,4,0)),0,1)</f>
        <v>0</v>
      </c>
      <c r="U1053" s="4">
        <f>IF(COUNTIFS(F:F,F1053,H:H,H1053)&lt;=VLOOKUP(H1053,Dados!$X:$AB,5,0),0,1)</f>
        <v>0</v>
      </c>
    </row>
    <row r="1054" spans="6:21">
      <c r="F1054" s="4">
        <v>552</v>
      </c>
      <c r="G1054" s="4">
        <v>66</v>
      </c>
      <c r="H1054" s="4">
        <v>1</v>
      </c>
      <c r="I1054" s="4">
        <v>28</v>
      </c>
      <c r="J1054" s="4">
        <v>1</v>
      </c>
      <c r="K1054" s="4">
        <f t="shared" si="241"/>
        <v>0</v>
      </c>
      <c r="L1054" s="4">
        <f t="shared" si="241"/>
        <v>0</v>
      </c>
      <c r="M1054" s="4">
        <f t="shared" si="241"/>
        <v>0</v>
      </c>
      <c r="N1054" s="4">
        <f t="shared" si="241"/>
        <v>0</v>
      </c>
      <c r="O1054" s="4">
        <f t="shared" si="237"/>
        <v>0</v>
      </c>
      <c r="P1054" s="4">
        <f t="shared" si="238"/>
        <v>0</v>
      </c>
      <c r="Q1054" s="4">
        <f t="shared" si="239"/>
        <v>0</v>
      </c>
      <c r="R1054" s="4">
        <f t="shared" si="240"/>
        <v>0</v>
      </c>
      <c r="S1054" s="4">
        <f>IF(AND(VLOOKUP(G1054,Dados!$D:$L,2,0)=VLOOKUP(I1054,Dados!$S:$V,2,0),VLOOKUP(G1054,Dados!$D:$L,3,0)=VLOOKUP(I1054,Dados!$S:$V,3,0)),0,1)</f>
        <v>0</v>
      </c>
      <c r="T1054" s="4">
        <f>IF(AND(VLOOKUP(G1054,Dados!$D:$L,3,0)&lt;=VLOOKUP(H1054,Dados!$X:$AB,2,0),VLOOKUP(G1054,Dados!$D:$L,4,0)&gt;=VLOOKUP(H1054,Dados!$X:$AB,3,0),VLOOKUP(G1054,Dados!$D:$L,4,0)&lt;=VLOOKUP(H1054,Dados!$X:$AB,4,0)),0,1)</f>
        <v>0</v>
      </c>
      <c r="U1054" s="4">
        <f>IF(COUNTIFS(F:F,F1054,H:H,H1054)&lt;=VLOOKUP(H1054,Dados!$X:$AB,5,0),0,1)</f>
        <v>0</v>
      </c>
    </row>
    <row r="1055" spans="6:21">
      <c r="F1055" s="4">
        <v>553</v>
      </c>
      <c r="G1055" s="4">
        <v>59</v>
      </c>
      <c r="H1055" s="4">
        <v>2</v>
      </c>
      <c r="I1055" s="4">
        <v>28</v>
      </c>
      <c r="J1055" s="4">
        <v>10</v>
      </c>
      <c r="K1055" s="4">
        <f t="shared" si="241"/>
        <v>0</v>
      </c>
      <c r="L1055" s="4">
        <f t="shared" si="241"/>
        <v>0</v>
      </c>
      <c r="M1055" s="4">
        <f t="shared" si="241"/>
        <v>0</v>
      </c>
      <c r="N1055" s="4">
        <f t="shared" si="241"/>
        <v>0</v>
      </c>
      <c r="O1055" s="4">
        <f t="shared" si="237"/>
        <v>0</v>
      </c>
      <c r="P1055" s="4">
        <f t="shared" si="238"/>
        <v>0</v>
      </c>
      <c r="Q1055" s="4">
        <f t="shared" si="239"/>
        <v>0</v>
      </c>
      <c r="R1055" s="4">
        <f t="shared" si="240"/>
        <v>0</v>
      </c>
      <c r="S1055" s="4">
        <f>IF(AND(VLOOKUP(G1055,Dados!$D:$L,2,0)=VLOOKUP(I1055,Dados!$S:$V,2,0),VLOOKUP(G1055,Dados!$D:$L,3,0)=VLOOKUP(I1055,Dados!$S:$V,3,0)),0,1)</f>
        <v>0</v>
      </c>
      <c r="T1055" s="4">
        <f>IF(AND(VLOOKUP(G1055,Dados!$D:$L,3,0)&lt;=VLOOKUP(H1055,Dados!$X:$AB,2,0),VLOOKUP(G1055,Dados!$D:$L,4,0)&gt;=VLOOKUP(H1055,Dados!$X:$AB,3,0),VLOOKUP(G1055,Dados!$D:$L,4,0)&lt;=VLOOKUP(H1055,Dados!$X:$AB,4,0)),0,1)</f>
        <v>0</v>
      </c>
      <c r="U1055" s="4">
        <f>IF(COUNTIFS(F:F,F1055,H:H,H1055)&lt;=VLOOKUP(H1055,Dados!$X:$AB,5,0),0,1)</f>
        <v>0</v>
      </c>
    </row>
    <row r="1056" spans="6:21">
      <c r="F1056" s="4">
        <v>553</v>
      </c>
      <c r="G1056" s="4">
        <v>66</v>
      </c>
      <c r="H1056" s="4">
        <v>2</v>
      </c>
      <c r="I1056" s="4">
        <v>28</v>
      </c>
      <c r="J1056" s="4">
        <v>1</v>
      </c>
      <c r="K1056" s="4">
        <f t="shared" si="241"/>
        <v>0</v>
      </c>
      <c r="L1056" s="4">
        <f t="shared" si="241"/>
        <v>0</v>
      </c>
      <c r="M1056" s="4">
        <f t="shared" si="241"/>
        <v>0</v>
      </c>
      <c r="N1056" s="4">
        <f t="shared" si="241"/>
        <v>0</v>
      </c>
      <c r="O1056" s="4">
        <f t="shared" si="237"/>
        <v>0</v>
      </c>
      <c r="P1056" s="4">
        <f t="shared" si="238"/>
        <v>0</v>
      </c>
      <c r="Q1056" s="4">
        <f t="shared" si="239"/>
        <v>0</v>
      </c>
      <c r="R1056" s="4">
        <f t="shared" si="240"/>
        <v>0</v>
      </c>
      <c r="S1056" s="4">
        <f>IF(AND(VLOOKUP(G1056,Dados!$D:$L,2,0)=VLOOKUP(I1056,Dados!$S:$V,2,0),VLOOKUP(G1056,Dados!$D:$L,3,0)=VLOOKUP(I1056,Dados!$S:$V,3,0)),0,1)</f>
        <v>0</v>
      </c>
      <c r="T1056" s="4">
        <f>IF(AND(VLOOKUP(G1056,Dados!$D:$L,3,0)&lt;=VLOOKUP(H1056,Dados!$X:$AB,2,0),VLOOKUP(G1056,Dados!$D:$L,4,0)&gt;=VLOOKUP(H1056,Dados!$X:$AB,3,0),VLOOKUP(G1056,Dados!$D:$L,4,0)&lt;=VLOOKUP(H1056,Dados!$X:$AB,4,0)),0,1)</f>
        <v>0</v>
      </c>
      <c r="U1056" s="4">
        <f>IF(COUNTIFS(F:F,F1056,H:H,H1056)&lt;=VLOOKUP(H1056,Dados!$X:$AB,5,0),0,1)</f>
        <v>0</v>
      </c>
    </row>
    <row r="1057" spans="6:21">
      <c r="F1057" s="4">
        <v>554</v>
      </c>
      <c r="G1057" s="4">
        <v>59</v>
      </c>
      <c r="H1057" s="4">
        <v>3</v>
      </c>
      <c r="I1057" s="4">
        <v>28</v>
      </c>
      <c r="J1057" s="4">
        <v>10</v>
      </c>
      <c r="K1057" s="4">
        <f t="shared" si="241"/>
        <v>0</v>
      </c>
      <c r="L1057" s="4">
        <f t="shared" si="241"/>
        <v>0</v>
      </c>
      <c r="M1057" s="4">
        <f t="shared" si="241"/>
        <v>0</v>
      </c>
      <c r="N1057" s="4">
        <f t="shared" si="241"/>
        <v>0</v>
      </c>
      <c r="O1057" s="4">
        <f t="shared" si="237"/>
        <v>0</v>
      </c>
      <c r="P1057" s="4">
        <f t="shared" si="238"/>
        <v>0</v>
      </c>
      <c r="Q1057" s="4">
        <f t="shared" si="239"/>
        <v>0</v>
      </c>
      <c r="R1057" s="4">
        <f t="shared" si="240"/>
        <v>0</v>
      </c>
      <c r="S1057" s="4">
        <f>IF(AND(VLOOKUP(G1057,Dados!$D:$L,2,0)=VLOOKUP(I1057,Dados!$S:$V,2,0),VLOOKUP(G1057,Dados!$D:$L,3,0)=VLOOKUP(I1057,Dados!$S:$V,3,0)),0,1)</f>
        <v>0</v>
      </c>
      <c r="T1057" s="4">
        <f>IF(AND(VLOOKUP(G1057,Dados!$D:$L,3,0)&lt;=VLOOKUP(H1057,Dados!$X:$AB,2,0),VLOOKUP(G1057,Dados!$D:$L,4,0)&gt;=VLOOKUP(H1057,Dados!$X:$AB,3,0),VLOOKUP(G1057,Dados!$D:$L,4,0)&lt;=VLOOKUP(H1057,Dados!$X:$AB,4,0)),0,1)</f>
        <v>0</v>
      </c>
      <c r="U1057" s="4">
        <f>IF(COUNTIFS(F:F,F1057,H:H,H1057)&lt;=VLOOKUP(H1057,Dados!$X:$AB,5,0),0,1)</f>
        <v>0</v>
      </c>
    </row>
    <row r="1058" spans="6:21">
      <c r="F1058" s="4">
        <v>554</v>
      </c>
      <c r="G1058" s="4">
        <v>66</v>
      </c>
      <c r="H1058" s="4">
        <v>3</v>
      </c>
      <c r="I1058" s="4">
        <v>28</v>
      </c>
      <c r="J1058" s="4">
        <v>1</v>
      </c>
      <c r="K1058" s="4">
        <f t="shared" si="241"/>
        <v>0</v>
      </c>
      <c r="L1058" s="4">
        <f t="shared" si="241"/>
        <v>0</v>
      </c>
      <c r="M1058" s="4">
        <f t="shared" si="241"/>
        <v>0</v>
      </c>
      <c r="N1058" s="4">
        <f t="shared" si="241"/>
        <v>0</v>
      </c>
      <c r="O1058" s="4">
        <f t="shared" si="237"/>
        <v>0</v>
      </c>
      <c r="P1058" s="4">
        <f t="shared" si="238"/>
        <v>0</v>
      </c>
      <c r="Q1058" s="4">
        <f t="shared" si="239"/>
        <v>0</v>
      </c>
      <c r="R1058" s="4">
        <f t="shared" si="240"/>
        <v>0</v>
      </c>
      <c r="S1058" s="4">
        <f>IF(AND(VLOOKUP(G1058,Dados!$D:$L,2,0)=VLOOKUP(I1058,Dados!$S:$V,2,0),VLOOKUP(G1058,Dados!$D:$L,3,0)=VLOOKUP(I1058,Dados!$S:$V,3,0)),0,1)</f>
        <v>0</v>
      </c>
      <c r="T1058" s="4">
        <f>IF(AND(VLOOKUP(G1058,Dados!$D:$L,3,0)&lt;=VLOOKUP(H1058,Dados!$X:$AB,2,0),VLOOKUP(G1058,Dados!$D:$L,4,0)&gt;=VLOOKUP(H1058,Dados!$X:$AB,3,0),VLOOKUP(G1058,Dados!$D:$L,4,0)&lt;=VLOOKUP(H1058,Dados!$X:$AB,4,0)),0,1)</f>
        <v>0</v>
      </c>
      <c r="U1058" s="4">
        <f>IF(COUNTIFS(F:F,F1058,H:H,H1058)&lt;=VLOOKUP(H1058,Dados!$X:$AB,5,0),0,1)</f>
        <v>0</v>
      </c>
    </row>
    <row r="1059" spans="6:21">
      <c r="F1059" s="4">
        <v>555</v>
      </c>
      <c r="G1059" s="4">
        <v>59</v>
      </c>
      <c r="H1059" s="4">
        <v>1</v>
      </c>
      <c r="I1059" s="4">
        <v>29</v>
      </c>
      <c r="J1059" s="4">
        <v>9</v>
      </c>
      <c r="K1059" s="4">
        <f t="shared" si="241"/>
        <v>0</v>
      </c>
      <c r="L1059" s="4">
        <f t="shared" si="241"/>
        <v>0</v>
      </c>
      <c r="M1059" s="4">
        <f t="shared" si="241"/>
        <v>0</v>
      </c>
      <c r="N1059" s="4">
        <f t="shared" si="241"/>
        <v>0</v>
      </c>
      <c r="O1059" s="4">
        <f t="shared" si="237"/>
        <v>0</v>
      </c>
      <c r="P1059" s="4">
        <f t="shared" si="238"/>
        <v>0</v>
      </c>
      <c r="Q1059" s="4">
        <f t="shared" si="239"/>
        <v>0</v>
      </c>
      <c r="R1059" s="4">
        <f t="shared" si="240"/>
        <v>0</v>
      </c>
      <c r="S1059" s="4">
        <f>IF(AND(VLOOKUP(G1059,Dados!$D:$L,2,0)=VLOOKUP(I1059,Dados!$S:$V,2,0),VLOOKUP(G1059,Dados!$D:$L,3,0)=VLOOKUP(I1059,Dados!$S:$V,3,0)),0,1)</f>
        <v>0</v>
      </c>
      <c r="T1059" s="4">
        <f>IF(AND(VLOOKUP(G1059,Dados!$D:$L,3,0)&lt;=VLOOKUP(H1059,Dados!$X:$AB,2,0),VLOOKUP(G1059,Dados!$D:$L,4,0)&gt;=VLOOKUP(H1059,Dados!$X:$AB,3,0),VLOOKUP(G1059,Dados!$D:$L,4,0)&lt;=VLOOKUP(H1059,Dados!$X:$AB,4,0)),0,1)</f>
        <v>0</v>
      </c>
      <c r="U1059" s="4">
        <f>IF(COUNTIFS(F:F,F1059,H:H,H1059)&lt;=VLOOKUP(H1059,Dados!$X:$AB,5,0),0,1)</f>
        <v>0</v>
      </c>
    </row>
    <row r="1060" spans="6:21">
      <c r="F1060" s="4">
        <v>555</v>
      </c>
      <c r="G1060" s="4">
        <v>63</v>
      </c>
      <c r="H1060" s="4">
        <v>1</v>
      </c>
      <c r="I1060" s="4">
        <v>29</v>
      </c>
      <c r="J1060" s="4">
        <v>3</v>
      </c>
      <c r="K1060" s="4">
        <f t="shared" si="241"/>
        <v>0</v>
      </c>
      <c r="L1060" s="4">
        <f t="shared" si="241"/>
        <v>0</v>
      </c>
      <c r="M1060" s="4">
        <f t="shared" si="241"/>
        <v>0</v>
      </c>
      <c r="N1060" s="4">
        <f t="shared" si="241"/>
        <v>0</v>
      </c>
      <c r="O1060" s="4">
        <f t="shared" si="237"/>
        <v>0</v>
      </c>
      <c r="P1060" s="4">
        <f t="shared" si="238"/>
        <v>0</v>
      </c>
      <c r="Q1060" s="4">
        <f t="shared" si="239"/>
        <v>0</v>
      </c>
      <c r="R1060" s="4">
        <f t="shared" si="240"/>
        <v>0</v>
      </c>
      <c r="S1060" s="4">
        <f>IF(AND(VLOOKUP(G1060,Dados!$D:$L,2,0)=VLOOKUP(I1060,Dados!$S:$V,2,0),VLOOKUP(G1060,Dados!$D:$L,3,0)=VLOOKUP(I1060,Dados!$S:$V,3,0)),0,1)</f>
        <v>0</v>
      </c>
      <c r="T1060" s="4">
        <f>IF(AND(VLOOKUP(G1060,Dados!$D:$L,3,0)&lt;=VLOOKUP(H1060,Dados!$X:$AB,2,0),VLOOKUP(G1060,Dados!$D:$L,4,0)&gt;=VLOOKUP(H1060,Dados!$X:$AB,3,0),VLOOKUP(G1060,Dados!$D:$L,4,0)&lt;=VLOOKUP(H1060,Dados!$X:$AB,4,0)),0,1)</f>
        <v>0</v>
      </c>
      <c r="U1060" s="4">
        <f>IF(COUNTIFS(F:F,F1060,H:H,H1060)&lt;=VLOOKUP(H1060,Dados!$X:$AB,5,0),0,1)</f>
        <v>0</v>
      </c>
    </row>
    <row r="1061" spans="6:21">
      <c r="F1061" s="4">
        <v>556</v>
      </c>
      <c r="G1061" s="4">
        <v>59</v>
      </c>
      <c r="H1061" s="4">
        <v>2</v>
      </c>
      <c r="I1061" s="4">
        <v>29</v>
      </c>
      <c r="J1061" s="4">
        <v>9</v>
      </c>
      <c r="K1061" s="4">
        <f t="shared" si="241"/>
        <v>0</v>
      </c>
      <c r="L1061" s="4">
        <f t="shared" si="241"/>
        <v>0</v>
      </c>
      <c r="M1061" s="4">
        <f t="shared" si="241"/>
        <v>0</v>
      </c>
      <c r="N1061" s="4">
        <f t="shared" si="241"/>
        <v>0</v>
      </c>
      <c r="O1061" s="4">
        <f t="shared" si="237"/>
        <v>0</v>
      </c>
      <c r="P1061" s="4">
        <f t="shared" si="238"/>
        <v>0</v>
      </c>
      <c r="Q1061" s="4">
        <f t="shared" si="239"/>
        <v>0</v>
      </c>
      <c r="R1061" s="4">
        <f t="shared" si="240"/>
        <v>0</v>
      </c>
      <c r="S1061" s="4">
        <f>IF(AND(VLOOKUP(G1061,Dados!$D:$L,2,0)=VLOOKUP(I1061,Dados!$S:$V,2,0),VLOOKUP(G1061,Dados!$D:$L,3,0)=VLOOKUP(I1061,Dados!$S:$V,3,0)),0,1)</f>
        <v>0</v>
      </c>
      <c r="T1061" s="4">
        <f>IF(AND(VLOOKUP(G1061,Dados!$D:$L,3,0)&lt;=VLOOKUP(H1061,Dados!$X:$AB,2,0),VLOOKUP(G1061,Dados!$D:$L,4,0)&gt;=VLOOKUP(H1061,Dados!$X:$AB,3,0),VLOOKUP(G1061,Dados!$D:$L,4,0)&lt;=VLOOKUP(H1061,Dados!$X:$AB,4,0)),0,1)</f>
        <v>0</v>
      </c>
      <c r="U1061" s="4">
        <f>IF(COUNTIFS(F:F,F1061,H:H,H1061)&lt;=VLOOKUP(H1061,Dados!$X:$AB,5,0),0,1)</f>
        <v>0</v>
      </c>
    </row>
    <row r="1062" spans="6:21">
      <c r="F1062" s="4">
        <v>556</v>
      </c>
      <c r="G1062" s="4">
        <v>63</v>
      </c>
      <c r="H1062" s="4">
        <v>2</v>
      </c>
      <c r="I1062" s="4">
        <v>29</v>
      </c>
      <c r="J1062" s="4">
        <v>3</v>
      </c>
      <c r="K1062" s="4">
        <f t="shared" si="241"/>
        <v>0</v>
      </c>
      <c r="L1062" s="4">
        <f t="shared" si="241"/>
        <v>0</v>
      </c>
      <c r="M1062" s="4">
        <f t="shared" si="241"/>
        <v>0</v>
      </c>
      <c r="N1062" s="4">
        <f t="shared" si="241"/>
        <v>0</v>
      </c>
      <c r="O1062" s="4">
        <f t="shared" si="237"/>
        <v>0</v>
      </c>
      <c r="P1062" s="4">
        <f t="shared" si="238"/>
        <v>0</v>
      </c>
      <c r="Q1062" s="4">
        <f t="shared" si="239"/>
        <v>0</v>
      </c>
      <c r="R1062" s="4">
        <f t="shared" si="240"/>
        <v>0</v>
      </c>
      <c r="S1062" s="4">
        <f>IF(AND(VLOOKUP(G1062,Dados!$D:$L,2,0)=VLOOKUP(I1062,Dados!$S:$V,2,0),VLOOKUP(G1062,Dados!$D:$L,3,0)=VLOOKUP(I1062,Dados!$S:$V,3,0)),0,1)</f>
        <v>0</v>
      </c>
      <c r="T1062" s="4">
        <f>IF(AND(VLOOKUP(G1062,Dados!$D:$L,3,0)&lt;=VLOOKUP(H1062,Dados!$X:$AB,2,0),VLOOKUP(G1062,Dados!$D:$L,4,0)&gt;=VLOOKUP(H1062,Dados!$X:$AB,3,0),VLOOKUP(G1062,Dados!$D:$L,4,0)&lt;=VLOOKUP(H1062,Dados!$X:$AB,4,0)),0,1)</f>
        <v>0</v>
      </c>
      <c r="U1062" s="4">
        <f>IF(COUNTIFS(F:F,F1062,H:H,H1062)&lt;=VLOOKUP(H1062,Dados!$X:$AB,5,0),0,1)</f>
        <v>0</v>
      </c>
    </row>
    <row r="1063" spans="6:21">
      <c r="F1063" s="4">
        <v>557</v>
      </c>
      <c r="G1063" s="4">
        <v>59</v>
      </c>
      <c r="H1063" s="4">
        <v>3</v>
      </c>
      <c r="I1063" s="4">
        <v>29</v>
      </c>
      <c r="J1063" s="4">
        <v>9</v>
      </c>
      <c r="K1063" s="4">
        <f t="shared" si="241"/>
        <v>0</v>
      </c>
      <c r="L1063" s="4">
        <f t="shared" si="241"/>
        <v>0</v>
      </c>
      <c r="M1063" s="4">
        <f t="shared" si="241"/>
        <v>0</v>
      </c>
      <c r="N1063" s="4">
        <f t="shared" ref="K1063:N1126" si="242">SUMIFS($X:$X,$W:$W,$F1063,$Z:$Z,$I1063,$AA:$AA,$H1063,$AB:$AB,N$2)</f>
        <v>0</v>
      </c>
      <c r="O1063" s="4">
        <f t="shared" ref="O1063:O1126" si="243">$J1063*K1063</f>
        <v>0</v>
      </c>
      <c r="P1063" s="4">
        <f t="shared" ref="P1063:P1126" si="244">$J1063*L1063</f>
        <v>0</v>
      </c>
      <c r="Q1063" s="4">
        <f t="shared" ref="Q1063:Q1126" si="245">$J1063*M1063</f>
        <v>0</v>
      </c>
      <c r="R1063" s="4">
        <f t="shared" ref="R1063:R1126" si="246">$J1063*N1063</f>
        <v>0</v>
      </c>
      <c r="S1063" s="4">
        <f>IF(AND(VLOOKUP(G1063,Dados!$D:$L,2,0)=VLOOKUP(I1063,Dados!$S:$V,2,0),VLOOKUP(G1063,Dados!$D:$L,3,0)=VLOOKUP(I1063,Dados!$S:$V,3,0)),0,1)</f>
        <v>0</v>
      </c>
      <c r="T1063" s="4">
        <f>IF(AND(VLOOKUP(G1063,Dados!$D:$L,3,0)&lt;=VLOOKUP(H1063,Dados!$X:$AB,2,0),VLOOKUP(G1063,Dados!$D:$L,4,0)&gt;=VLOOKUP(H1063,Dados!$X:$AB,3,0),VLOOKUP(G1063,Dados!$D:$L,4,0)&lt;=VLOOKUP(H1063,Dados!$X:$AB,4,0)),0,1)</f>
        <v>0</v>
      </c>
      <c r="U1063" s="4">
        <f>IF(COUNTIFS(F:F,F1063,H:H,H1063)&lt;=VLOOKUP(H1063,Dados!$X:$AB,5,0),0,1)</f>
        <v>0</v>
      </c>
    </row>
    <row r="1064" spans="6:21">
      <c r="F1064" s="4">
        <v>557</v>
      </c>
      <c r="G1064" s="4">
        <v>63</v>
      </c>
      <c r="H1064" s="4">
        <v>3</v>
      </c>
      <c r="I1064" s="4">
        <v>29</v>
      </c>
      <c r="J1064" s="4">
        <v>3</v>
      </c>
      <c r="K1064" s="4">
        <f t="shared" si="242"/>
        <v>0</v>
      </c>
      <c r="L1064" s="4">
        <f t="shared" si="242"/>
        <v>0</v>
      </c>
      <c r="M1064" s="4">
        <f t="shared" si="242"/>
        <v>0</v>
      </c>
      <c r="N1064" s="4">
        <f t="shared" si="242"/>
        <v>0</v>
      </c>
      <c r="O1064" s="4">
        <f t="shared" si="243"/>
        <v>0</v>
      </c>
      <c r="P1064" s="4">
        <f t="shared" si="244"/>
        <v>0</v>
      </c>
      <c r="Q1064" s="4">
        <f t="shared" si="245"/>
        <v>0</v>
      </c>
      <c r="R1064" s="4">
        <f t="shared" si="246"/>
        <v>0</v>
      </c>
      <c r="S1064" s="4">
        <f>IF(AND(VLOOKUP(G1064,Dados!$D:$L,2,0)=VLOOKUP(I1064,Dados!$S:$V,2,0),VLOOKUP(G1064,Dados!$D:$L,3,0)=VLOOKUP(I1064,Dados!$S:$V,3,0)),0,1)</f>
        <v>0</v>
      </c>
      <c r="T1064" s="4">
        <f>IF(AND(VLOOKUP(G1064,Dados!$D:$L,3,0)&lt;=VLOOKUP(H1064,Dados!$X:$AB,2,0),VLOOKUP(G1064,Dados!$D:$L,4,0)&gt;=VLOOKUP(H1064,Dados!$X:$AB,3,0),VLOOKUP(G1064,Dados!$D:$L,4,0)&lt;=VLOOKUP(H1064,Dados!$X:$AB,4,0)),0,1)</f>
        <v>0</v>
      </c>
      <c r="U1064" s="4">
        <f>IF(COUNTIFS(F:F,F1064,H:H,H1064)&lt;=VLOOKUP(H1064,Dados!$X:$AB,5,0),0,1)</f>
        <v>0</v>
      </c>
    </row>
    <row r="1065" spans="6:21">
      <c r="F1065" s="4">
        <v>558</v>
      </c>
      <c r="G1065" s="4">
        <v>13</v>
      </c>
      <c r="H1065" s="4">
        <v>1</v>
      </c>
      <c r="I1065" s="4">
        <v>8</v>
      </c>
      <c r="J1065" s="4">
        <v>2</v>
      </c>
      <c r="K1065" s="4">
        <f t="shared" si="242"/>
        <v>0</v>
      </c>
      <c r="L1065" s="4">
        <f t="shared" si="242"/>
        <v>0</v>
      </c>
      <c r="M1065" s="4">
        <f t="shared" si="242"/>
        <v>0</v>
      </c>
      <c r="N1065" s="4">
        <f t="shared" si="242"/>
        <v>0</v>
      </c>
      <c r="O1065" s="4">
        <f t="shared" si="243"/>
        <v>0</v>
      </c>
      <c r="P1065" s="4">
        <f t="shared" si="244"/>
        <v>0</v>
      </c>
      <c r="Q1065" s="4">
        <f t="shared" si="245"/>
        <v>0</v>
      </c>
      <c r="R1065" s="4">
        <f t="shared" si="246"/>
        <v>0</v>
      </c>
      <c r="S1065" s="4">
        <f>IF(AND(VLOOKUP(G1065,Dados!$D:$L,2,0)=VLOOKUP(I1065,Dados!$S:$V,2,0),VLOOKUP(G1065,Dados!$D:$L,3,0)=VLOOKUP(I1065,Dados!$S:$V,3,0)),0,1)</f>
        <v>0</v>
      </c>
      <c r="T1065" s="4">
        <f>IF(AND(VLOOKUP(G1065,Dados!$D:$L,3,0)&lt;=VLOOKUP(H1065,Dados!$X:$AB,2,0),VLOOKUP(G1065,Dados!$D:$L,4,0)&gt;=VLOOKUP(H1065,Dados!$X:$AB,3,0),VLOOKUP(G1065,Dados!$D:$L,4,0)&lt;=VLOOKUP(H1065,Dados!$X:$AB,4,0)),0,1)</f>
        <v>0</v>
      </c>
      <c r="U1065" s="4">
        <f>IF(COUNTIFS(F:F,F1065,H:H,H1065)&lt;=VLOOKUP(H1065,Dados!$X:$AB,5,0),0,1)</f>
        <v>0</v>
      </c>
    </row>
    <row r="1066" spans="6:21">
      <c r="F1066" s="4">
        <v>558</v>
      </c>
      <c r="G1066" s="4">
        <v>17</v>
      </c>
      <c r="H1066" s="4">
        <v>1</v>
      </c>
      <c r="I1066" s="4">
        <v>8</v>
      </c>
      <c r="J1066" s="4">
        <v>10</v>
      </c>
      <c r="K1066" s="4">
        <f t="shared" si="242"/>
        <v>0</v>
      </c>
      <c r="L1066" s="4">
        <f t="shared" si="242"/>
        <v>0</v>
      </c>
      <c r="M1066" s="4">
        <f t="shared" si="242"/>
        <v>0</v>
      </c>
      <c r="N1066" s="4">
        <f t="shared" si="242"/>
        <v>0</v>
      </c>
      <c r="O1066" s="4">
        <f t="shared" si="243"/>
        <v>0</v>
      </c>
      <c r="P1066" s="4">
        <f t="shared" si="244"/>
        <v>0</v>
      </c>
      <c r="Q1066" s="4">
        <f t="shared" si="245"/>
        <v>0</v>
      </c>
      <c r="R1066" s="4">
        <f t="shared" si="246"/>
        <v>0</v>
      </c>
      <c r="S1066" s="4">
        <f>IF(AND(VLOOKUP(G1066,Dados!$D:$L,2,0)=VLOOKUP(I1066,Dados!$S:$V,2,0),VLOOKUP(G1066,Dados!$D:$L,3,0)=VLOOKUP(I1066,Dados!$S:$V,3,0)),0,1)</f>
        <v>0</v>
      </c>
      <c r="T1066" s="4">
        <f>IF(AND(VLOOKUP(G1066,Dados!$D:$L,3,0)&lt;=VLOOKUP(H1066,Dados!$X:$AB,2,0),VLOOKUP(G1066,Dados!$D:$L,4,0)&gt;=VLOOKUP(H1066,Dados!$X:$AB,3,0),VLOOKUP(G1066,Dados!$D:$L,4,0)&lt;=VLOOKUP(H1066,Dados!$X:$AB,4,0)),0,1)</f>
        <v>0</v>
      </c>
      <c r="U1066" s="4">
        <f>IF(COUNTIFS(F:F,F1066,H:H,H1066)&lt;=VLOOKUP(H1066,Dados!$X:$AB,5,0),0,1)</f>
        <v>0</v>
      </c>
    </row>
    <row r="1067" spans="6:21">
      <c r="F1067" s="4">
        <v>559</v>
      </c>
      <c r="G1067" s="4">
        <v>13</v>
      </c>
      <c r="H1067" s="4">
        <v>3</v>
      </c>
      <c r="I1067" s="4">
        <v>8</v>
      </c>
      <c r="J1067" s="4">
        <v>2</v>
      </c>
      <c r="K1067" s="4">
        <f t="shared" si="242"/>
        <v>0</v>
      </c>
      <c r="L1067" s="4">
        <f t="shared" si="242"/>
        <v>0</v>
      </c>
      <c r="M1067" s="4">
        <f t="shared" si="242"/>
        <v>0</v>
      </c>
      <c r="N1067" s="4">
        <f t="shared" si="242"/>
        <v>0</v>
      </c>
      <c r="O1067" s="4">
        <f t="shared" si="243"/>
        <v>0</v>
      </c>
      <c r="P1067" s="4">
        <f t="shared" si="244"/>
        <v>0</v>
      </c>
      <c r="Q1067" s="4">
        <f t="shared" si="245"/>
        <v>0</v>
      </c>
      <c r="R1067" s="4">
        <f t="shared" si="246"/>
        <v>0</v>
      </c>
      <c r="S1067" s="4">
        <f>IF(AND(VLOOKUP(G1067,Dados!$D:$L,2,0)=VLOOKUP(I1067,Dados!$S:$V,2,0),VLOOKUP(G1067,Dados!$D:$L,3,0)=VLOOKUP(I1067,Dados!$S:$V,3,0)),0,1)</f>
        <v>0</v>
      </c>
      <c r="T1067" s="4">
        <f>IF(AND(VLOOKUP(G1067,Dados!$D:$L,3,0)&lt;=VLOOKUP(H1067,Dados!$X:$AB,2,0),VLOOKUP(G1067,Dados!$D:$L,4,0)&gt;=VLOOKUP(H1067,Dados!$X:$AB,3,0),VLOOKUP(G1067,Dados!$D:$L,4,0)&lt;=VLOOKUP(H1067,Dados!$X:$AB,4,0)),0,1)</f>
        <v>0</v>
      </c>
      <c r="U1067" s="4">
        <f>IF(COUNTIFS(F:F,F1067,H:H,H1067)&lt;=VLOOKUP(H1067,Dados!$X:$AB,5,0),0,1)</f>
        <v>0</v>
      </c>
    </row>
    <row r="1068" spans="6:21">
      <c r="F1068" s="4">
        <v>559</v>
      </c>
      <c r="G1068" s="4">
        <v>17</v>
      </c>
      <c r="H1068" s="4">
        <v>3</v>
      </c>
      <c r="I1068" s="4">
        <v>8</v>
      </c>
      <c r="J1068" s="4">
        <v>10</v>
      </c>
      <c r="K1068" s="4">
        <f t="shared" si="242"/>
        <v>0</v>
      </c>
      <c r="L1068" s="4">
        <f t="shared" si="242"/>
        <v>0</v>
      </c>
      <c r="M1068" s="4">
        <f t="shared" si="242"/>
        <v>0</v>
      </c>
      <c r="N1068" s="4">
        <f t="shared" si="242"/>
        <v>0</v>
      </c>
      <c r="O1068" s="4">
        <f t="shared" si="243"/>
        <v>0</v>
      </c>
      <c r="P1068" s="4">
        <f t="shared" si="244"/>
        <v>0</v>
      </c>
      <c r="Q1068" s="4">
        <f t="shared" si="245"/>
        <v>0</v>
      </c>
      <c r="R1068" s="4">
        <f t="shared" si="246"/>
        <v>0</v>
      </c>
      <c r="S1068" s="4">
        <f>IF(AND(VLOOKUP(G1068,Dados!$D:$L,2,0)=VLOOKUP(I1068,Dados!$S:$V,2,0),VLOOKUP(G1068,Dados!$D:$L,3,0)=VLOOKUP(I1068,Dados!$S:$V,3,0)),0,1)</f>
        <v>0</v>
      </c>
      <c r="T1068" s="4">
        <f>IF(AND(VLOOKUP(G1068,Dados!$D:$L,3,0)&lt;=VLOOKUP(H1068,Dados!$X:$AB,2,0),VLOOKUP(G1068,Dados!$D:$L,4,0)&gt;=VLOOKUP(H1068,Dados!$X:$AB,3,0),VLOOKUP(G1068,Dados!$D:$L,4,0)&lt;=VLOOKUP(H1068,Dados!$X:$AB,4,0)),0,1)</f>
        <v>0</v>
      </c>
      <c r="U1068" s="4">
        <f>IF(COUNTIFS(F:F,F1068,H:H,H1068)&lt;=VLOOKUP(H1068,Dados!$X:$AB,5,0),0,1)</f>
        <v>0</v>
      </c>
    </row>
    <row r="1069" spans="6:21">
      <c r="F1069" s="4">
        <v>560</v>
      </c>
      <c r="G1069" s="4">
        <v>13</v>
      </c>
      <c r="H1069" s="4">
        <v>1</v>
      </c>
      <c r="I1069" s="4">
        <v>9</v>
      </c>
      <c r="J1069" s="4">
        <v>1</v>
      </c>
      <c r="K1069" s="4">
        <f t="shared" si="242"/>
        <v>0</v>
      </c>
      <c r="L1069" s="4">
        <f t="shared" si="242"/>
        <v>0</v>
      </c>
      <c r="M1069" s="4">
        <f t="shared" si="242"/>
        <v>0</v>
      </c>
      <c r="N1069" s="4">
        <f t="shared" si="242"/>
        <v>5</v>
      </c>
      <c r="O1069" s="4">
        <f t="shared" si="243"/>
        <v>0</v>
      </c>
      <c r="P1069" s="4">
        <f t="shared" si="244"/>
        <v>0</v>
      </c>
      <c r="Q1069" s="4">
        <f t="shared" si="245"/>
        <v>0</v>
      </c>
      <c r="R1069" s="4">
        <f t="shared" si="246"/>
        <v>5</v>
      </c>
      <c r="S1069" s="4">
        <f>IF(AND(VLOOKUP(G1069,Dados!$D:$L,2,0)=VLOOKUP(I1069,Dados!$S:$V,2,0),VLOOKUP(G1069,Dados!$D:$L,3,0)=VLOOKUP(I1069,Dados!$S:$V,3,0)),0,1)</f>
        <v>0</v>
      </c>
      <c r="T1069" s="4">
        <f>IF(AND(VLOOKUP(G1069,Dados!$D:$L,3,0)&lt;=VLOOKUP(H1069,Dados!$X:$AB,2,0),VLOOKUP(G1069,Dados!$D:$L,4,0)&gt;=VLOOKUP(H1069,Dados!$X:$AB,3,0),VLOOKUP(G1069,Dados!$D:$L,4,0)&lt;=VLOOKUP(H1069,Dados!$X:$AB,4,0)),0,1)</f>
        <v>0</v>
      </c>
      <c r="U1069" s="4">
        <f>IF(COUNTIFS(F:F,F1069,H:H,H1069)&lt;=VLOOKUP(H1069,Dados!$X:$AB,5,0),0,1)</f>
        <v>0</v>
      </c>
    </row>
    <row r="1070" spans="6:21">
      <c r="F1070" s="4">
        <v>560</v>
      </c>
      <c r="G1070" s="4">
        <v>17</v>
      </c>
      <c r="H1070" s="4">
        <v>1</v>
      </c>
      <c r="I1070" s="4">
        <v>9</v>
      </c>
      <c r="J1070" s="4">
        <v>11</v>
      </c>
      <c r="K1070" s="4">
        <f t="shared" si="242"/>
        <v>0</v>
      </c>
      <c r="L1070" s="4">
        <f t="shared" si="242"/>
        <v>0</v>
      </c>
      <c r="M1070" s="4">
        <f t="shared" si="242"/>
        <v>0</v>
      </c>
      <c r="N1070" s="4">
        <f t="shared" si="242"/>
        <v>5</v>
      </c>
      <c r="O1070" s="4">
        <f t="shared" si="243"/>
        <v>0</v>
      </c>
      <c r="P1070" s="4">
        <f t="shared" si="244"/>
        <v>0</v>
      </c>
      <c r="Q1070" s="4">
        <f t="shared" si="245"/>
        <v>0</v>
      </c>
      <c r="R1070" s="4">
        <f t="shared" si="246"/>
        <v>55</v>
      </c>
      <c r="S1070" s="4">
        <f>IF(AND(VLOOKUP(G1070,Dados!$D:$L,2,0)=VLOOKUP(I1070,Dados!$S:$V,2,0),VLOOKUP(G1070,Dados!$D:$L,3,0)=VLOOKUP(I1070,Dados!$S:$V,3,0)),0,1)</f>
        <v>0</v>
      </c>
      <c r="T1070" s="4">
        <f>IF(AND(VLOOKUP(G1070,Dados!$D:$L,3,0)&lt;=VLOOKUP(H1070,Dados!$X:$AB,2,0),VLOOKUP(G1070,Dados!$D:$L,4,0)&gt;=VLOOKUP(H1070,Dados!$X:$AB,3,0),VLOOKUP(G1070,Dados!$D:$L,4,0)&lt;=VLOOKUP(H1070,Dados!$X:$AB,4,0)),0,1)</f>
        <v>0</v>
      </c>
      <c r="U1070" s="4">
        <f>IF(COUNTIFS(F:F,F1070,H:H,H1070)&lt;=VLOOKUP(H1070,Dados!$X:$AB,5,0),0,1)</f>
        <v>0</v>
      </c>
    </row>
    <row r="1071" spans="6:21">
      <c r="F1071" s="4">
        <v>561</v>
      </c>
      <c r="G1071" s="4">
        <v>13</v>
      </c>
      <c r="H1071" s="4">
        <v>3</v>
      </c>
      <c r="I1071" s="4">
        <v>9</v>
      </c>
      <c r="J1071" s="4">
        <v>1</v>
      </c>
      <c r="K1071" s="4">
        <f t="shared" si="242"/>
        <v>0</v>
      </c>
      <c r="L1071" s="4">
        <f t="shared" si="242"/>
        <v>0</v>
      </c>
      <c r="M1071" s="4">
        <f t="shared" si="242"/>
        <v>0</v>
      </c>
      <c r="N1071" s="4">
        <f t="shared" si="242"/>
        <v>0</v>
      </c>
      <c r="O1071" s="4">
        <f t="shared" si="243"/>
        <v>0</v>
      </c>
      <c r="P1071" s="4">
        <f t="shared" si="244"/>
        <v>0</v>
      </c>
      <c r="Q1071" s="4">
        <f t="shared" si="245"/>
        <v>0</v>
      </c>
      <c r="R1071" s="4">
        <f t="shared" si="246"/>
        <v>0</v>
      </c>
      <c r="S1071" s="4">
        <f>IF(AND(VLOOKUP(G1071,Dados!$D:$L,2,0)=VLOOKUP(I1071,Dados!$S:$V,2,0),VLOOKUP(G1071,Dados!$D:$L,3,0)=VLOOKUP(I1071,Dados!$S:$V,3,0)),0,1)</f>
        <v>0</v>
      </c>
      <c r="T1071" s="4">
        <f>IF(AND(VLOOKUP(G1071,Dados!$D:$L,3,0)&lt;=VLOOKUP(H1071,Dados!$X:$AB,2,0),VLOOKUP(G1071,Dados!$D:$L,4,0)&gt;=VLOOKUP(H1071,Dados!$X:$AB,3,0),VLOOKUP(G1071,Dados!$D:$L,4,0)&lt;=VLOOKUP(H1071,Dados!$X:$AB,4,0)),0,1)</f>
        <v>0</v>
      </c>
      <c r="U1071" s="4">
        <f>IF(COUNTIFS(F:F,F1071,H:H,H1071)&lt;=VLOOKUP(H1071,Dados!$X:$AB,5,0),0,1)</f>
        <v>0</v>
      </c>
    </row>
    <row r="1072" spans="6:21">
      <c r="F1072" s="4">
        <v>561</v>
      </c>
      <c r="G1072" s="4">
        <v>17</v>
      </c>
      <c r="H1072" s="4">
        <v>3</v>
      </c>
      <c r="I1072" s="4">
        <v>9</v>
      </c>
      <c r="J1072" s="4">
        <v>11</v>
      </c>
      <c r="K1072" s="4">
        <f t="shared" si="242"/>
        <v>0</v>
      </c>
      <c r="L1072" s="4">
        <f t="shared" si="242"/>
        <v>0</v>
      </c>
      <c r="M1072" s="4">
        <f t="shared" si="242"/>
        <v>0</v>
      </c>
      <c r="N1072" s="4">
        <f t="shared" si="242"/>
        <v>0</v>
      </c>
      <c r="O1072" s="4">
        <f t="shared" si="243"/>
        <v>0</v>
      </c>
      <c r="P1072" s="4">
        <f t="shared" si="244"/>
        <v>0</v>
      </c>
      <c r="Q1072" s="4">
        <f t="shared" si="245"/>
        <v>0</v>
      </c>
      <c r="R1072" s="4">
        <f t="shared" si="246"/>
        <v>0</v>
      </c>
      <c r="S1072" s="4">
        <f>IF(AND(VLOOKUP(G1072,Dados!$D:$L,2,0)=VLOOKUP(I1072,Dados!$S:$V,2,0),VLOOKUP(G1072,Dados!$D:$L,3,0)=VLOOKUP(I1072,Dados!$S:$V,3,0)),0,1)</f>
        <v>0</v>
      </c>
      <c r="T1072" s="4">
        <f>IF(AND(VLOOKUP(G1072,Dados!$D:$L,3,0)&lt;=VLOOKUP(H1072,Dados!$X:$AB,2,0),VLOOKUP(G1072,Dados!$D:$L,4,0)&gt;=VLOOKUP(H1072,Dados!$X:$AB,3,0),VLOOKUP(G1072,Dados!$D:$L,4,0)&lt;=VLOOKUP(H1072,Dados!$X:$AB,4,0)),0,1)</f>
        <v>0</v>
      </c>
      <c r="U1072" s="4">
        <f>IF(COUNTIFS(F:F,F1072,H:H,H1072)&lt;=VLOOKUP(H1072,Dados!$X:$AB,5,0),0,1)</f>
        <v>0</v>
      </c>
    </row>
    <row r="1073" spans="6:21">
      <c r="F1073" s="4">
        <v>562</v>
      </c>
      <c r="G1073" s="4">
        <v>13</v>
      </c>
      <c r="H1073" s="4">
        <v>1</v>
      </c>
      <c r="I1073" s="4">
        <v>10</v>
      </c>
      <c r="J1073" s="4">
        <v>2</v>
      </c>
      <c r="K1073" s="4">
        <f t="shared" si="242"/>
        <v>0</v>
      </c>
      <c r="L1073" s="4">
        <f t="shared" si="242"/>
        <v>0</v>
      </c>
      <c r="M1073" s="4">
        <f t="shared" si="242"/>
        <v>0</v>
      </c>
      <c r="N1073" s="4">
        <f t="shared" si="242"/>
        <v>1</v>
      </c>
      <c r="O1073" s="4">
        <f t="shared" si="243"/>
        <v>0</v>
      </c>
      <c r="P1073" s="4">
        <f t="shared" si="244"/>
        <v>0</v>
      </c>
      <c r="Q1073" s="4">
        <f t="shared" si="245"/>
        <v>0</v>
      </c>
      <c r="R1073" s="4">
        <f t="shared" si="246"/>
        <v>2</v>
      </c>
      <c r="S1073" s="4">
        <f>IF(AND(VLOOKUP(G1073,Dados!$D:$L,2,0)=VLOOKUP(I1073,Dados!$S:$V,2,0),VLOOKUP(G1073,Dados!$D:$L,3,0)=VLOOKUP(I1073,Dados!$S:$V,3,0)),0,1)</f>
        <v>0</v>
      </c>
      <c r="T1073" s="4">
        <f>IF(AND(VLOOKUP(G1073,Dados!$D:$L,3,0)&lt;=VLOOKUP(H1073,Dados!$X:$AB,2,0),VLOOKUP(G1073,Dados!$D:$L,4,0)&gt;=VLOOKUP(H1073,Dados!$X:$AB,3,0),VLOOKUP(G1073,Dados!$D:$L,4,0)&lt;=VLOOKUP(H1073,Dados!$X:$AB,4,0)),0,1)</f>
        <v>0</v>
      </c>
      <c r="U1073" s="4">
        <f>IF(COUNTIFS(F:F,F1073,H:H,H1073)&lt;=VLOOKUP(H1073,Dados!$X:$AB,5,0),0,1)</f>
        <v>0</v>
      </c>
    </row>
    <row r="1074" spans="6:21">
      <c r="F1074" s="4">
        <v>562</v>
      </c>
      <c r="G1074" s="4">
        <v>17</v>
      </c>
      <c r="H1074" s="4">
        <v>1</v>
      </c>
      <c r="I1074" s="4">
        <v>10</v>
      </c>
      <c r="J1074" s="4">
        <v>9</v>
      </c>
      <c r="K1074" s="4">
        <f t="shared" si="242"/>
        <v>0</v>
      </c>
      <c r="L1074" s="4">
        <f t="shared" si="242"/>
        <v>0</v>
      </c>
      <c r="M1074" s="4">
        <f t="shared" si="242"/>
        <v>0</v>
      </c>
      <c r="N1074" s="4">
        <f t="shared" si="242"/>
        <v>1</v>
      </c>
      <c r="O1074" s="4">
        <f t="shared" si="243"/>
        <v>0</v>
      </c>
      <c r="P1074" s="4">
        <f t="shared" si="244"/>
        <v>0</v>
      </c>
      <c r="Q1074" s="4">
        <f t="shared" si="245"/>
        <v>0</v>
      </c>
      <c r="R1074" s="4">
        <f t="shared" si="246"/>
        <v>9</v>
      </c>
      <c r="S1074" s="4">
        <f>IF(AND(VLOOKUP(G1074,Dados!$D:$L,2,0)=VLOOKUP(I1074,Dados!$S:$V,2,0),VLOOKUP(G1074,Dados!$D:$L,3,0)=VLOOKUP(I1074,Dados!$S:$V,3,0)),0,1)</f>
        <v>0</v>
      </c>
      <c r="T1074" s="4">
        <f>IF(AND(VLOOKUP(G1074,Dados!$D:$L,3,0)&lt;=VLOOKUP(H1074,Dados!$X:$AB,2,0),VLOOKUP(G1074,Dados!$D:$L,4,0)&gt;=VLOOKUP(H1074,Dados!$X:$AB,3,0),VLOOKUP(G1074,Dados!$D:$L,4,0)&lt;=VLOOKUP(H1074,Dados!$X:$AB,4,0)),0,1)</f>
        <v>0</v>
      </c>
      <c r="U1074" s="4">
        <f>IF(COUNTIFS(F:F,F1074,H:H,H1074)&lt;=VLOOKUP(H1074,Dados!$X:$AB,5,0),0,1)</f>
        <v>0</v>
      </c>
    </row>
    <row r="1075" spans="6:21">
      <c r="F1075" s="4">
        <v>563</v>
      </c>
      <c r="G1075" s="4">
        <v>13</v>
      </c>
      <c r="H1075" s="4">
        <v>3</v>
      </c>
      <c r="I1075" s="4">
        <v>10</v>
      </c>
      <c r="J1075" s="4">
        <v>2</v>
      </c>
      <c r="K1075" s="4">
        <f t="shared" si="242"/>
        <v>0</v>
      </c>
      <c r="L1075" s="4">
        <f t="shared" si="242"/>
        <v>0</v>
      </c>
      <c r="M1075" s="4">
        <f t="shared" si="242"/>
        <v>1</v>
      </c>
      <c r="N1075" s="4">
        <f t="shared" si="242"/>
        <v>0</v>
      </c>
      <c r="O1075" s="4">
        <f t="shared" si="243"/>
        <v>0</v>
      </c>
      <c r="P1075" s="4">
        <f t="shared" si="244"/>
        <v>0</v>
      </c>
      <c r="Q1075" s="4">
        <f t="shared" si="245"/>
        <v>2</v>
      </c>
      <c r="R1075" s="4">
        <f t="shared" si="246"/>
        <v>0</v>
      </c>
      <c r="S1075" s="4">
        <f>IF(AND(VLOOKUP(G1075,Dados!$D:$L,2,0)=VLOOKUP(I1075,Dados!$S:$V,2,0),VLOOKUP(G1075,Dados!$D:$L,3,0)=VLOOKUP(I1075,Dados!$S:$V,3,0)),0,1)</f>
        <v>0</v>
      </c>
      <c r="T1075" s="4">
        <f>IF(AND(VLOOKUP(G1075,Dados!$D:$L,3,0)&lt;=VLOOKUP(H1075,Dados!$X:$AB,2,0),VLOOKUP(G1075,Dados!$D:$L,4,0)&gt;=VLOOKUP(H1075,Dados!$X:$AB,3,0),VLOOKUP(G1075,Dados!$D:$L,4,0)&lt;=VLOOKUP(H1075,Dados!$X:$AB,4,0)),0,1)</f>
        <v>0</v>
      </c>
      <c r="U1075" s="4">
        <f>IF(COUNTIFS(F:F,F1075,H:H,H1075)&lt;=VLOOKUP(H1075,Dados!$X:$AB,5,0),0,1)</f>
        <v>0</v>
      </c>
    </row>
    <row r="1076" spans="6:21">
      <c r="F1076" s="4">
        <v>563</v>
      </c>
      <c r="G1076" s="4">
        <v>17</v>
      </c>
      <c r="H1076" s="4">
        <v>3</v>
      </c>
      <c r="I1076" s="4">
        <v>10</v>
      </c>
      <c r="J1076" s="4">
        <v>9</v>
      </c>
      <c r="K1076" s="4">
        <f t="shared" si="242"/>
        <v>0</v>
      </c>
      <c r="L1076" s="4">
        <f t="shared" si="242"/>
        <v>0</v>
      </c>
      <c r="M1076" s="4">
        <f t="shared" si="242"/>
        <v>1</v>
      </c>
      <c r="N1076" s="4">
        <f t="shared" si="242"/>
        <v>0</v>
      </c>
      <c r="O1076" s="4">
        <f t="shared" si="243"/>
        <v>0</v>
      </c>
      <c r="P1076" s="4">
        <f t="shared" si="244"/>
        <v>0</v>
      </c>
      <c r="Q1076" s="4">
        <f t="shared" si="245"/>
        <v>9</v>
      </c>
      <c r="R1076" s="4">
        <f t="shared" si="246"/>
        <v>0</v>
      </c>
      <c r="S1076" s="4">
        <f>IF(AND(VLOOKUP(G1076,Dados!$D:$L,2,0)=VLOOKUP(I1076,Dados!$S:$V,2,0),VLOOKUP(G1076,Dados!$D:$L,3,0)=VLOOKUP(I1076,Dados!$S:$V,3,0)),0,1)</f>
        <v>0</v>
      </c>
      <c r="T1076" s="4">
        <f>IF(AND(VLOOKUP(G1076,Dados!$D:$L,3,0)&lt;=VLOOKUP(H1076,Dados!$X:$AB,2,0),VLOOKUP(G1076,Dados!$D:$L,4,0)&gt;=VLOOKUP(H1076,Dados!$X:$AB,3,0),VLOOKUP(G1076,Dados!$D:$L,4,0)&lt;=VLOOKUP(H1076,Dados!$X:$AB,4,0)),0,1)</f>
        <v>0</v>
      </c>
      <c r="U1076" s="4">
        <f>IF(COUNTIFS(F:F,F1076,H:H,H1076)&lt;=VLOOKUP(H1076,Dados!$X:$AB,5,0),0,1)</f>
        <v>0</v>
      </c>
    </row>
    <row r="1077" spans="6:21">
      <c r="F1077" s="4">
        <v>564</v>
      </c>
      <c r="G1077" s="4">
        <v>17</v>
      </c>
      <c r="H1077" s="4">
        <v>1</v>
      </c>
      <c r="I1077" s="4">
        <v>11</v>
      </c>
      <c r="J1077" s="4">
        <v>11</v>
      </c>
      <c r="K1077" s="4">
        <f t="shared" si="242"/>
        <v>0</v>
      </c>
      <c r="L1077" s="4">
        <f t="shared" si="242"/>
        <v>0</v>
      </c>
      <c r="M1077" s="4">
        <f t="shared" si="242"/>
        <v>0</v>
      </c>
      <c r="N1077" s="4">
        <f t="shared" si="242"/>
        <v>0</v>
      </c>
      <c r="O1077" s="4">
        <f t="shared" si="243"/>
        <v>0</v>
      </c>
      <c r="P1077" s="4">
        <f t="shared" si="244"/>
        <v>0</v>
      </c>
      <c r="Q1077" s="4">
        <f t="shared" si="245"/>
        <v>0</v>
      </c>
      <c r="R1077" s="4">
        <f t="shared" si="246"/>
        <v>0</v>
      </c>
      <c r="S1077" s="4">
        <f>IF(AND(VLOOKUP(G1077,Dados!$D:$L,2,0)=VLOOKUP(I1077,Dados!$S:$V,2,0),VLOOKUP(G1077,Dados!$D:$L,3,0)=VLOOKUP(I1077,Dados!$S:$V,3,0)),0,1)</f>
        <v>0</v>
      </c>
      <c r="T1077" s="4">
        <f>IF(AND(VLOOKUP(G1077,Dados!$D:$L,3,0)&lt;=VLOOKUP(H1077,Dados!$X:$AB,2,0),VLOOKUP(G1077,Dados!$D:$L,4,0)&gt;=VLOOKUP(H1077,Dados!$X:$AB,3,0),VLOOKUP(G1077,Dados!$D:$L,4,0)&lt;=VLOOKUP(H1077,Dados!$X:$AB,4,0)),0,1)</f>
        <v>0</v>
      </c>
      <c r="U1077" s="4">
        <f>IF(COUNTIFS(F:F,F1077,H:H,H1077)&lt;=VLOOKUP(H1077,Dados!$X:$AB,5,0),0,1)</f>
        <v>0</v>
      </c>
    </row>
    <row r="1078" spans="6:21">
      <c r="F1078" s="4">
        <v>565</v>
      </c>
      <c r="G1078" s="4">
        <v>17</v>
      </c>
      <c r="H1078" s="4">
        <v>3</v>
      </c>
      <c r="I1078" s="4">
        <v>11</v>
      </c>
      <c r="J1078" s="4">
        <v>11</v>
      </c>
      <c r="K1078" s="4">
        <f t="shared" si="242"/>
        <v>0</v>
      </c>
      <c r="L1078" s="4">
        <f t="shared" si="242"/>
        <v>0</v>
      </c>
      <c r="M1078" s="4">
        <f t="shared" si="242"/>
        <v>0</v>
      </c>
      <c r="N1078" s="4">
        <f t="shared" si="242"/>
        <v>0</v>
      </c>
      <c r="O1078" s="4">
        <f t="shared" si="243"/>
        <v>0</v>
      </c>
      <c r="P1078" s="4">
        <f t="shared" si="244"/>
        <v>0</v>
      </c>
      <c r="Q1078" s="4">
        <f t="shared" si="245"/>
        <v>0</v>
      </c>
      <c r="R1078" s="4">
        <f t="shared" si="246"/>
        <v>0</v>
      </c>
      <c r="S1078" s="4">
        <f>IF(AND(VLOOKUP(G1078,Dados!$D:$L,2,0)=VLOOKUP(I1078,Dados!$S:$V,2,0),VLOOKUP(G1078,Dados!$D:$L,3,0)=VLOOKUP(I1078,Dados!$S:$V,3,0)),0,1)</f>
        <v>0</v>
      </c>
      <c r="T1078" s="4">
        <f>IF(AND(VLOOKUP(G1078,Dados!$D:$L,3,0)&lt;=VLOOKUP(H1078,Dados!$X:$AB,2,0),VLOOKUP(G1078,Dados!$D:$L,4,0)&gt;=VLOOKUP(H1078,Dados!$X:$AB,3,0),VLOOKUP(G1078,Dados!$D:$L,4,0)&lt;=VLOOKUP(H1078,Dados!$X:$AB,4,0)),0,1)</f>
        <v>0</v>
      </c>
      <c r="U1078" s="4">
        <f>IF(COUNTIFS(F:F,F1078,H:H,H1078)&lt;=VLOOKUP(H1078,Dados!$X:$AB,5,0),0,1)</f>
        <v>0</v>
      </c>
    </row>
    <row r="1079" spans="6:21">
      <c r="F1079" s="4">
        <v>566</v>
      </c>
      <c r="G1079" s="4">
        <v>20</v>
      </c>
      <c r="H1079" s="4">
        <v>1</v>
      </c>
      <c r="I1079" s="4">
        <v>13</v>
      </c>
      <c r="J1079" s="4">
        <v>5</v>
      </c>
      <c r="K1079" s="4">
        <f t="shared" si="242"/>
        <v>0</v>
      </c>
      <c r="L1079" s="4">
        <f t="shared" si="242"/>
        <v>0</v>
      </c>
      <c r="M1079" s="4">
        <f t="shared" si="242"/>
        <v>0</v>
      </c>
      <c r="N1079" s="4">
        <f t="shared" si="242"/>
        <v>0</v>
      </c>
      <c r="O1079" s="4">
        <f t="shared" si="243"/>
        <v>0</v>
      </c>
      <c r="P1079" s="4">
        <f t="shared" si="244"/>
        <v>0</v>
      </c>
      <c r="Q1079" s="4">
        <f t="shared" si="245"/>
        <v>0</v>
      </c>
      <c r="R1079" s="4">
        <f t="shared" si="246"/>
        <v>0</v>
      </c>
      <c r="S1079" s="4">
        <f>IF(AND(VLOOKUP(G1079,Dados!$D:$L,2,0)=VLOOKUP(I1079,Dados!$S:$V,2,0),VLOOKUP(G1079,Dados!$D:$L,3,0)=VLOOKUP(I1079,Dados!$S:$V,3,0)),0,1)</f>
        <v>0</v>
      </c>
      <c r="T1079" s="4">
        <f>IF(AND(VLOOKUP(G1079,Dados!$D:$L,3,0)&lt;=VLOOKUP(H1079,Dados!$X:$AB,2,0),VLOOKUP(G1079,Dados!$D:$L,4,0)&gt;=VLOOKUP(H1079,Dados!$X:$AB,3,0),VLOOKUP(G1079,Dados!$D:$L,4,0)&lt;=VLOOKUP(H1079,Dados!$X:$AB,4,0)),0,1)</f>
        <v>0</v>
      </c>
      <c r="U1079" s="4">
        <f>IF(COUNTIFS(F:F,F1079,H:H,H1079)&lt;=VLOOKUP(H1079,Dados!$X:$AB,5,0),0,1)</f>
        <v>0</v>
      </c>
    </row>
    <row r="1080" spans="6:21">
      <c r="F1080" s="4">
        <v>566</v>
      </c>
      <c r="G1080" s="4">
        <v>23</v>
      </c>
      <c r="H1080" s="4">
        <v>1</v>
      </c>
      <c r="I1080" s="4">
        <v>13</v>
      </c>
      <c r="J1080" s="4">
        <v>3</v>
      </c>
      <c r="K1080" s="4">
        <f t="shared" si="242"/>
        <v>0</v>
      </c>
      <c r="L1080" s="4">
        <f t="shared" si="242"/>
        <v>0</v>
      </c>
      <c r="M1080" s="4">
        <f t="shared" si="242"/>
        <v>0</v>
      </c>
      <c r="N1080" s="4">
        <f t="shared" si="242"/>
        <v>0</v>
      </c>
      <c r="O1080" s="4">
        <f t="shared" si="243"/>
        <v>0</v>
      </c>
      <c r="P1080" s="4">
        <f t="shared" si="244"/>
        <v>0</v>
      </c>
      <c r="Q1080" s="4">
        <f t="shared" si="245"/>
        <v>0</v>
      </c>
      <c r="R1080" s="4">
        <f t="shared" si="246"/>
        <v>0</v>
      </c>
      <c r="S1080" s="4">
        <f>IF(AND(VLOOKUP(G1080,Dados!$D:$L,2,0)=VLOOKUP(I1080,Dados!$S:$V,2,0),VLOOKUP(G1080,Dados!$D:$L,3,0)=VLOOKUP(I1080,Dados!$S:$V,3,0)),0,1)</f>
        <v>0</v>
      </c>
      <c r="T1080" s="4">
        <f>IF(AND(VLOOKUP(G1080,Dados!$D:$L,3,0)&lt;=VLOOKUP(H1080,Dados!$X:$AB,2,0),VLOOKUP(G1080,Dados!$D:$L,4,0)&gt;=VLOOKUP(H1080,Dados!$X:$AB,3,0),VLOOKUP(G1080,Dados!$D:$L,4,0)&lt;=VLOOKUP(H1080,Dados!$X:$AB,4,0)),0,1)</f>
        <v>0</v>
      </c>
      <c r="U1080" s="4">
        <f>IF(COUNTIFS(F:F,F1080,H:H,H1080)&lt;=VLOOKUP(H1080,Dados!$X:$AB,5,0),0,1)</f>
        <v>0</v>
      </c>
    </row>
    <row r="1081" spans="6:21">
      <c r="F1081" s="4">
        <v>567</v>
      </c>
      <c r="G1081" s="4">
        <v>20</v>
      </c>
      <c r="H1081" s="4">
        <v>2</v>
      </c>
      <c r="I1081" s="4">
        <v>13</v>
      </c>
      <c r="J1081" s="4">
        <v>5</v>
      </c>
      <c r="K1081" s="4">
        <f t="shared" si="242"/>
        <v>0</v>
      </c>
      <c r="L1081" s="4">
        <f t="shared" si="242"/>
        <v>0</v>
      </c>
      <c r="M1081" s="4">
        <f t="shared" si="242"/>
        <v>0</v>
      </c>
      <c r="N1081" s="4">
        <f t="shared" si="242"/>
        <v>0</v>
      </c>
      <c r="O1081" s="4">
        <f t="shared" si="243"/>
        <v>0</v>
      </c>
      <c r="P1081" s="4">
        <f t="shared" si="244"/>
        <v>0</v>
      </c>
      <c r="Q1081" s="4">
        <f t="shared" si="245"/>
        <v>0</v>
      </c>
      <c r="R1081" s="4">
        <f t="shared" si="246"/>
        <v>0</v>
      </c>
      <c r="S1081" s="4">
        <f>IF(AND(VLOOKUP(G1081,Dados!$D:$L,2,0)=VLOOKUP(I1081,Dados!$S:$V,2,0),VLOOKUP(G1081,Dados!$D:$L,3,0)=VLOOKUP(I1081,Dados!$S:$V,3,0)),0,1)</f>
        <v>0</v>
      </c>
      <c r="T1081" s="4">
        <f>IF(AND(VLOOKUP(G1081,Dados!$D:$L,3,0)&lt;=VLOOKUP(H1081,Dados!$X:$AB,2,0),VLOOKUP(G1081,Dados!$D:$L,4,0)&gt;=VLOOKUP(H1081,Dados!$X:$AB,3,0),VLOOKUP(G1081,Dados!$D:$L,4,0)&lt;=VLOOKUP(H1081,Dados!$X:$AB,4,0)),0,1)</f>
        <v>0</v>
      </c>
      <c r="U1081" s="4">
        <f>IF(COUNTIFS(F:F,F1081,H:H,H1081)&lt;=VLOOKUP(H1081,Dados!$X:$AB,5,0),0,1)</f>
        <v>0</v>
      </c>
    </row>
    <row r="1082" spans="6:21">
      <c r="F1082" s="4">
        <v>567</v>
      </c>
      <c r="G1082" s="4">
        <v>23</v>
      </c>
      <c r="H1082" s="4">
        <v>2</v>
      </c>
      <c r="I1082" s="4">
        <v>13</v>
      </c>
      <c r="J1082" s="4">
        <v>3</v>
      </c>
      <c r="K1082" s="4">
        <f t="shared" si="242"/>
        <v>0</v>
      </c>
      <c r="L1082" s="4">
        <f t="shared" si="242"/>
        <v>0</v>
      </c>
      <c r="M1082" s="4">
        <f t="shared" si="242"/>
        <v>0</v>
      </c>
      <c r="N1082" s="4">
        <f t="shared" si="242"/>
        <v>0</v>
      </c>
      <c r="O1082" s="4">
        <f t="shared" si="243"/>
        <v>0</v>
      </c>
      <c r="P1082" s="4">
        <f t="shared" si="244"/>
        <v>0</v>
      </c>
      <c r="Q1082" s="4">
        <f t="shared" si="245"/>
        <v>0</v>
      </c>
      <c r="R1082" s="4">
        <f t="shared" si="246"/>
        <v>0</v>
      </c>
      <c r="S1082" s="4">
        <f>IF(AND(VLOOKUP(G1082,Dados!$D:$L,2,0)=VLOOKUP(I1082,Dados!$S:$V,2,0),VLOOKUP(G1082,Dados!$D:$L,3,0)=VLOOKUP(I1082,Dados!$S:$V,3,0)),0,1)</f>
        <v>0</v>
      </c>
      <c r="T1082" s="4">
        <f>IF(AND(VLOOKUP(G1082,Dados!$D:$L,3,0)&lt;=VLOOKUP(H1082,Dados!$X:$AB,2,0),VLOOKUP(G1082,Dados!$D:$L,4,0)&gt;=VLOOKUP(H1082,Dados!$X:$AB,3,0),VLOOKUP(G1082,Dados!$D:$L,4,0)&lt;=VLOOKUP(H1082,Dados!$X:$AB,4,0)),0,1)</f>
        <v>0</v>
      </c>
      <c r="U1082" s="4">
        <f>IF(COUNTIFS(F:F,F1082,H:H,H1082)&lt;=VLOOKUP(H1082,Dados!$X:$AB,5,0),0,1)</f>
        <v>0</v>
      </c>
    </row>
    <row r="1083" spans="6:21">
      <c r="F1083" s="4">
        <v>568</v>
      </c>
      <c r="G1083" s="4">
        <v>20</v>
      </c>
      <c r="H1083" s="4">
        <v>3</v>
      </c>
      <c r="I1083" s="4">
        <v>13</v>
      </c>
      <c r="J1083" s="4">
        <v>5</v>
      </c>
      <c r="K1083" s="4">
        <f t="shared" si="242"/>
        <v>0</v>
      </c>
      <c r="L1083" s="4">
        <f t="shared" si="242"/>
        <v>0</v>
      </c>
      <c r="M1083" s="4">
        <f t="shared" si="242"/>
        <v>0</v>
      </c>
      <c r="N1083" s="4">
        <f t="shared" si="242"/>
        <v>0</v>
      </c>
      <c r="O1083" s="4">
        <f t="shared" si="243"/>
        <v>0</v>
      </c>
      <c r="P1083" s="4">
        <f t="shared" si="244"/>
        <v>0</v>
      </c>
      <c r="Q1083" s="4">
        <f t="shared" si="245"/>
        <v>0</v>
      </c>
      <c r="R1083" s="4">
        <f t="shared" si="246"/>
        <v>0</v>
      </c>
      <c r="S1083" s="4">
        <f>IF(AND(VLOOKUP(G1083,Dados!$D:$L,2,0)=VLOOKUP(I1083,Dados!$S:$V,2,0),VLOOKUP(G1083,Dados!$D:$L,3,0)=VLOOKUP(I1083,Dados!$S:$V,3,0)),0,1)</f>
        <v>0</v>
      </c>
      <c r="T1083" s="4">
        <f>IF(AND(VLOOKUP(G1083,Dados!$D:$L,3,0)&lt;=VLOOKUP(H1083,Dados!$X:$AB,2,0),VLOOKUP(G1083,Dados!$D:$L,4,0)&gt;=VLOOKUP(H1083,Dados!$X:$AB,3,0),VLOOKUP(G1083,Dados!$D:$L,4,0)&lt;=VLOOKUP(H1083,Dados!$X:$AB,4,0)),0,1)</f>
        <v>0</v>
      </c>
      <c r="U1083" s="4">
        <f>IF(COUNTIFS(F:F,F1083,H:H,H1083)&lt;=VLOOKUP(H1083,Dados!$X:$AB,5,0),0,1)</f>
        <v>0</v>
      </c>
    </row>
    <row r="1084" spans="6:21">
      <c r="F1084" s="4">
        <v>568</v>
      </c>
      <c r="G1084" s="4">
        <v>23</v>
      </c>
      <c r="H1084" s="4">
        <v>3</v>
      </c>
      <c r="I1084" s="4">
        <v>13</v>
      </c>
      <c r="J1084" s="4">
        <v>3</v>
      </c>
      <c r="K1084" s="4">
        <f t="shared" si="242"/>
        <v>0</v>
      </c>
      <c r="L1084" s="4">
        <f t="shared" si="242"/>
        <v>0</v>
      </c>
      <c r="M1084" s="4">
        <f t="shared" si="242"/>
        <v>0</v>
      </c>
      <c r="N1084" s="4">
        <f t="shared" si="242"/>
        <v>0</v>
      </c>
      <c r="O1084" s="4">
        <f t="shared" si="243"/>
        <v>0</v>
      </c>
      <c r="P1084" s="4">
        <f t="shared" si="244"/>
        <v>0</v>
      </c>
      <c r="Q1084" s="4">
        <f t="shared" si="245"/>
        <v>0</v>
      </c>
      <c r="R1084" s="4">
        <f t="shared" si="246"/>
        <v>0</v>
      </c>
      <c r="S1084" s="4">
        <f>IF(AND(VLOOKUP(G1084,Dados!$D:$L,2,0)=VLOOKUP(I1084,Dados!$S:$V,2,0),VLOOKUP(G1084,Dados!$D:$L,3,0)=VLOOKUP(I1084,Dados!$S:$V,3,0)),0,1)</f>
        <v>0</v>
      </c>
      <c r="T1084" s="4">
        <f>IF(AND(VLOOKUP(G1084,Dados!$D:$L,3,0)&lt;=VLOOKUP(H1084,Dados!$X:$AB,2,0),VLOOKUP(G1084,Dados!$D:$L,4,0)&gt;=VLOOKUP(H1084,Dados!$X:$AB,3,0),VLOOKUP(G1084,Dados!$D:$L,4,0)&lt;=VLOOKUP(H1084,Dados!$X:$AB,4,0)),0,1)</f>
        <v>0</v>
      </c>
      <c r="U1084" s="4">
        <f>IF(COUNTIFS(F:F,F1084,H:H,H1084)&lt;=VLOOKUP(H1084,Dados!$X:$AB,5,0),0,1)</f>
        <v>0</v>
      </c>
    </row>
    <row r="1085" spans="6:21">
      <c r="F1085" s="4">
        <v>569</v>
      </c>
      <c r="G1085" s="4">
        <v>20</v>
      </c>
      <c r="H1085" s="4">
        <v>1</v>
      </c>
      <c r="I1085" s="4">
        <v>14</v>
      </c>
      <c r="J1085" s="4">
        <v>1</v>
      </c>
      <c r="K1085" s="4">
        <f t="shared" si="242"/>
        <v>0</v>
      </c>
      <c r="L1085" s="4">
        <f t="shared" si="242"/>
        <v>0</v>
      </c>
      <c r="M1085" s="4">
        <f t="shared" si="242"/>
        <v>0</v>
      </c>
      <c r="N1085" s="4">
        <f t="shared" si="242"/>
        <v>0</v>
      </c>
      <c r="O1085" s="4">
        <f t="shared" si="243"/>
        <v>0</v>
      </c>
      <c r="P1085" s="4">
        <f t="shared" si="244"/>
        <v>0</v>
      </c>
      <c r="Q1085" s="4">
        <f t="shared" si="245"/>
        <v>0</v>
      </c>
      <c r="R1085" s="4">
        <f t="shared" si="246"/>
        <v>0</v>
      </c>
      <c r="S1085" s="4">
        <f>IF(AND(VLOOKUP(G1085,Dados!$D:$L,2,0)=VLOOKUP(I1085,Dados!$S:$V,2,0),VLOOKUP(G1085,Dados!$D:$L,3,0)=VLOOKUP(I1085,Dados!$S:$V,3,0)),0,1)</f>
        <v>0</v>
      </c>
      <c r="T1085" s="4">
        <f>IF(AND(VLOOKUP(G1085,Dados!$D:$L,3,0)&lt;=VLOOKUP(H1085,Dados!$X:$AB,2,0),VLOOKUP(G1085,Dados!$D:$L,4,0)&gt;=VLOOKUP(H1085,Dados!$X:$AB,3,0),VLOOKUP(G1085,Dados!$D:$L,4,0)&lt;=VLOOKUP(H1085,Dados!$X:$AB,4,0)),0,1)</f>
        <v>0</v>
      </c>
      <c r="U1085" s="4">
        <f>IF(COUNTIFS(F:F,F1085,H:H,H1085)&lt;=VLOOKUP(H1085,Dados!$X:$AB,5,0),0,1)</f>
        <v>0</v>
      </c>
    </row>
    <row r="1086" spans="6:21">
      <c r="F1086" s="4">
        <v>569</v>
      </c>
      <c r="G1086" s="4">
        <v>23</v>
      </c>
      <c r="H1086" s="4">
        <v>1</v>
      </c>
      <c r="I1086" s="4">
        <v>14</v>
      </c>
      <c r="J1086" s="4">
        <v>7</v>
      </c>
      <c r="K1086" s="4">
        <f t="shared" si="242"/>
        <v>0</v>
      </c>
      <c r="L1086" s="4">
        <f t="shared" si="242"/>
        <v>0</v>
      </c>
      <c r="M1086" s="4">
        <f t="shared" si="242"/>
        <v>0</v>
      </c>
      <c r="N1086" s="4">
        <f t="shared" si="242"/>
        <v>0</v>
      </c>
      <c r="O1086" s="4">
        <f t="shared" si="243"/>
        <v>0</v>
      </c>
      <c r="P1086" s="4">
        <f t="shared" si="244"/>
        <v>0</v>
      </c>
      <c r="Q1086" s="4">
        <f t="shared" si="245"/>
        <v>0</v>
      </c>
      <c r="R1086" s="4">
        <f t="shared" si="246"/>
        <v>0</v>
      </c>
      <c r="S1086" s="4">
        <f>IF(AND(VLOOKUP(G1086,Dados!$D:$L,2,0)=VLOOKUP(I1086,Dados!$S:$V,2,0),VLOOKUP(G1086,Dados!$D:$L,3,0)=VLOOKUP(I1086,Dados!$S:$V,3,0)),0,1)</f>
        <v>0</v>
      </c>
      <c r="T1086" s="4">
        <f>IF(AND(VLOOKUP(G1086,Dados!$D:$L,3,0)&lt;=VLOOKUP(H1086,Dados!$X:$AB,2,0),VLOOKUP(G1086,Dados!$D:$L,4,0)&gt;=VLOOKUP(H1086,Dados!$X:$AB,3,0),VLOOKUP(G1086,Dados!$D:$L,4,0)&lt;=VLOOKUP(H1086,Dados!$X:$AB,4,0)),0,1)</f>
        <v>0</v>
      </c>
      <c r="U1086" s="4">
        <f>IF(COUNTIFS(F:F,F1086,H:H,H1086)&lt;=VLOOKUP(H1086,Dados!$X:$AB,5,0),0,1)</f>
        <v>0</v>
      </c>
    </row>
    <row r="1087" spans="6:21">
      <c r="F1087" s="4">
        <v>570</v>
      </c>
      <c r="G1087" s="4">
        <v>20</v>
      </c>
      <c r="H1087" s="4">
        <v>2</v>
      </c>
      <c r="I1087" s="4">
        <v>14</v>
      </c>
      <c r="J1087" s="4">
        <v>1</v>
      </c>
      <c r="K1087" s="4">
        <f t="shared" si="242"/>
        <v>0</v>
      </c>
      <c r="L1087" s="4">
        <f t="shared" si="242"/>
        <v>0</v>
      </c>
      <c r="M1087" s="4">
        <f t="shared" si="242"/>
        <v>0</v>
      </c>
      <c r="N1087" s="4">
        <f t="shared" si="242"/>
        <v>30</v>
      </c>
      <c r="O1087" s="4">
        <f t="shared" si="243"/>
        <v>0</v>
      </c>
      <c r="P1087" s="4">
        <f t="shared" si="244"/>
        <v>0</v>
      </c>
      <c r="Q1087" s="4">
        <f t="shared" si="245"/>
        <v>0</v>
      </c>
      <c r="R1087" s="4">
        <f t="shared" si="246"/>
        <v>30</v>
      </c>
      <c r="S1087" s="4">
        <f>IF(AND(VLOOKUP(G1087,Dados!$D:$L,2,0)=VLOOKUP(I1087,Dados!$S:$V,2,0),VLOOKUP(G1087,Dados!$D:$L,3,0)=VLOOKUP(I1087,Dados!$S:$V,3,0)),0,1)</f>
        <v>0</v>
      </c>
      <c r="T1087" s="4">
        <f>IF(AND(VLOOKUP(G1087,Dados!$D:$L,3,0)&lt;=VLOOKUP(H1087,Dados!$X:$AB,2,0),VLOOKUP(G1087,Dados!$D:$L,4,0)&gt;=VLOOKUP(H1087,Dados!$X:$AB,3,0),VLOOKUP(G1087,Dados!$D:$L,4,0)&lt;=VLOOKUP(H1087,Dados!$X:$AB,4,0)),0,1)</f>
        <v>0</v>
      </c>
      <c r="U1087" s="4">
        <f>IF(COUNTIFS(F:F,F1087,H:H,H1087)&lt;=VLOOKUP(H1087,Dados!$X:$AB,5,0),0,1)</f>
        <v>0</v>
      </c>
    </row>
    <row r="1088" spans="6:21">
      <c r="F1088" s="4">
        <v>570</v>
      </c>
      <c r="G1088" s="4">
        <v>23</v>
      </c>
      <c r="H1088" s="4">
        <v>2</v>
      </c>
      <c r="I1088" s="4">
        <v>14</v>
      </c>
      <c r="J1088" s="4">
        <v>7</v>
      </c>
      <c r="K1088" s="4">
        <f t="shared" si="242"/>
        <v>0</v>
      </c>
      <c r="L1088" s="4">
        <f t="shared" si="242"/>
        <v>0</v>
      </c>
      <c r="M1088" s="4">
        <f t="shared" si="242"/>
        <v>0</v>
      </c>
      <c r="N1088" s="4">
        <f t="shared" si="242"/>
        <v>30</v>
      </c>
      <c r="O1088" s="4">
        <f t="shared" si="243"/>
        <v>0</v>
      </c>
      <c r="P1088" s="4">
        <f t="shared" si="244"/>
        <v>0</v>
      </c>
      <c r="Q1088" s="4">
        <f t="shared" si="245"/>
        <v>0</v>
      </c>
      <c r="R1088" s="4">
        <f t="shared" si="246"/>
        <v>210</v>
      </c>
      <c r="S1088" s="4">
        <f>IF(AND(VLOOKUP(G1088,Dados!$D:$L,2,0)=VLOOKUP(I1088,Dados!$S:$V,2,0),VLOOKUP(G1088,Dados!$D:$L,3,0)=VLOOKUP(I1088,Dados!$S:$V,3,0)),0,1)</f>
        <v>0</v>
      </c>
      <c r="T1088" s="4">
        <f>IF(AND(VLOOKUP(G1088,Dados!$D:$L,3,0)&lt;=VLOOKUP(H1088,Dados!$X:$AB,2,0),VLOOKUP(G1088,Dados!$D:$L,4,0)&gt;=VLOOKUP(H1088,Dados!$X:$AB,3,0),VLOOKUP(G1088,Dados!$D:$L,4,0)&lt;=VLOOKUP(H1088,Dados!$X:$AB,4,0)),0,1)</f>
        <v>0</v>
      </c>
      <c r="U1088" s="4">
        <f>IF(COUNTIFS(F:F,F1088,H:H,H1088)&lt;=VLOOKUP(H1088,Dados!$X:$AB,5,0),0,1)</f>
        <v>0</v>
      </c>
    </row>
    <row r="1089" spans="6:21">
      <c r="F1089" s="4">
        <v>571</v>
      </c>
      <c r="G1089" s="4">
        <v>20</v>
      </c>
      <c r="H1089" s="4">
        <v>3</v>
      </c>
      <c r="I1089" s="4">
        <v>14</v>
      </c>
      <c r="J1089" s="4">
        <v>1</v>
      </c>
      <c r="K1089" s="4">
        <f t="shared" si="242"/>
        <v>0</v>
      </c>
      <c r="L1089" s="4">
        <f t="shared" si="242"/>
        <v>0</v>
      </c>
      <c r="M1089" s="4">
        <f t="shared" si="242"/>
        <v>0</v>
      </c>
      <c r="N1089" s="4">
        <f t="shared" si="242"/>
        <v>0</v>
      </c>
      <c r="O1089" s="4">
        <f t="shared" si="243"/>
        <v>0</v>
      </c>
      <c r="P1089" s="4">
        <f t="shared" si="244"/>
        <v>0</v>
      </c>
      <c r="Q1089" s="4">
        <f t="shared" si="245"/>
        <v>0</v>
      </c>
      <c r="R1089" s="4">
        <f t="shared" si="246"/>
        <v>0</v>
      </c>
      <c r="S1089" s="4">
        <f>IF(AND(VLOOKUP(G1089,Dados!$D:$L,2,0)=VLOOKUP(I1089,Dados!$S:$V,2,0),VLOOKUP(G1089,Dados!$D:$L,3,0)=VLOOKUP(I1089,Dados!$S:$V,3,0)),0,1)</f>
        <v>0</v>
      </c>
      <c r="T1089" s="4">
        <f>IF(AND(VLOOKUP(G1089,Dados!$D:$L,3,0)&lt;=VLOOKUP(H1089,Dados!$X:$AB,2,0),VLOOKUP(G1089,Dados!$D:$L,4,0)&gt;=VLOOKUP(H1089,Dados!$X:$AB,3,0),VLOOKUP(G1089,Dados!$D:$L,4,0)&lt;=VLOOKUP(H1089,Dados!$X:$AB,4,0)),0,1)</f>
        <v>0</v>
      </c>
      <c r="U1089" s="4">
        <f>IF(COUNTIFS(F:F,F1089,H:H,H1089)&lt;=VLOOKUP(H1089,Dados!$X:$AB,5,0),0,1)</f>
        <v>0</v>
      </c>
    </row>
    <row r="1090" spans="6:21">
      <c r="F1090" s="4">
        <v>571</v>
      </c>
      <c r="G1090" s="4">
        <v>23</v>
      </c>
      <c r="H1090" s="4">
        <v>3</v>
      </c>
      <c r="I1090" s="4">
        <v>14</v>
      </c>
      <c r="J1090" s="4">
        <v>7</v>
      </c>
      <c r="K1090" s="4">
        <f t="shared" si="242"/>
        <v>0</v>
      </c>
      <c r="L1090" s="4">
        <f t="shared" si="242"/>
        <v>0</v>
      </c>
      <c r="M1090" s="4">
        <f t="shared" si="242"/>
        <v>0</v>
      </c>
      <c r="N1090" s="4">
        <f t="shared" si="242"/>
        <v>0</v>
      </c>
      <c r="O1090" s="4">
        <f t="shared" si="243"/>
        <v>0</v>
      </c>
      <c r="P1090" s="4">
        <f t="shared" si="244"/>
        <v>0</v>
      </c>
      <c r="Q1090" s="4">
        <f t="shared" si="245"/>
        <v>0</v>
      </c>
      <c r="R1090" s="4">
        <f t="shared" si="246"/>
        <v>0</v>
      </c>
      <c r="S1090" s="4">
        <f>IF(AND(VLOOKUP(G1090,Dados!$D:$L,2,0)=VLOOKUP(I1090,Dados!$S:$V,2,0),VLOOKUP(G1090,Dados!$D:$L,3,0)=VLOOKUP(I1090,Dados!$S:$V,3,0)),0,1)</f>
        <v>0</v>
      </c>
      <c r="T1090" s="4">
        <f>IF(AND(VLOOKUP(G1090,Dados!$D:$L,3,0)&lt;=VLOOKUP(H1090,Dados!$X:$AB,2,0),VLOOKUP(G1090,Dados!$D:$L,4,0)&gt;=VLOOKUP(H1090,Dados!$X:$AB,3,0),VLOOKUP(G1090,Dados!$D:$L,4,0)&lt;=VLOOKUP(H1090,Dados!$X:$AB,4,0)),0,1)</f>
        <v>0</v>
      </c>
      <c r="U1090" s="4">
        <f>IF(COUNTIFS(F:F,F1090,H:H,H1090)&lt;=VLOOKUP(H1090,Dados!$X:$AB,5,0),0,1)</f>
        <v>0</v>
      </c>
    </row>
    <row r="1091" spans="6:21">
      <c r="F1091" s="4">
        <v>572</v>
      </c>
      <c r="G1091" s="4">
        <v>27</v>
      </c>
      <c r="H1091" s="4">
        <v>1</v>
      </c>
      <c r="I1091" s="4">
        <v>15</v>
      </c>
      <c r="J1091" s="4">
        <v>4</v>
      </c>
      <c r="K1091" s="4">
        <f t="shared" si="242"/>
        <v>0</v>
      </c>
      <c r="L1091" s="4">
        <f t="shared" si="242"/>
        <v>0</v>
      </c>
      <c r="M1091" s="4">
        <f t="shared" si="242"/>
        <v>0</v>
      </c>
      <c r="N1091" s="4">
        <f t="shared" si="242"/>
        <v>0</v>
      </c>
      <c r="O1091" s="4">
        <f t="shared" si="243"/>
        <v>0</v>
      </c>
      <c r="P1091" s="4">
        <f t="shared" si="244"/>
        <v>0</v>
      </c>
      <c r="Q1091" s="4">
        <f t="shared" si="245"/>
        <v>0</v>
      </c>
      <c r="R1091" s="4">
        <f t="shared" si="246"/>
        <v>0</v>
      </c>
      <c r="S1091" s="4">
        <f>IF(AND(VLOOKUP(G1091,Dados!$D:$L,2,0)=VLOOKUP(I1091,Dados!$S:$V,2,0),VLOOKUP(G1091,Dados!$D:$L,3,0)=VLOOKUP(I1091,Dados!$S:$V,3,0)),0,1)</f>
        <v>0</v>
      </c>
      <c r="T1091" s="4">
        <f>IF(AND(VLOOKUP(G1091,Dados!$D:$L,3,0)&lt;=VLOOKUP(H1091,Dados!$X:$AB,2,0),VLOOKUP(G1091,Dados!$D:$L,4,0)&gt;=VLOOKUP(H1091,Dados!$X:$AB,3,0),VLOOKUP(G1091,Dados!$D:$L,4,0)&lt;=VLOOKUP(H1091,Dados!$X:$AB,4,0)),0,1)</f>
        <v>0</v>
      </c>
      <c r="U1091" s="4">
        <f>IF(COUNTIFS(F:F,F1091,H:H,H1091)&lt;=VLOOKUP(H1091,Dados!$X:$AB,5,0),0,1)</f>
        <v>0</v>
      </c>
    </row>
    <row r="1092" spans="6:21">
      <c r="F1092" s="4">
        <v>572</v>
      </c>
      <c r="G1092" s="4">
        <v>28</v>
      </c>
      <c r="H1092" s="4">
        <v>1</v>
      </c>
      <c r="I1092" s="4">
        <v>15</v>
      </c>
      <c r="J1092" s="4">
        <v>2</v>
      </c>
      <c r="K1092" s="4">
        <f t="shared" si="242"/>
        <v>0</v>
      </c>
      <c r="L1092" s="4">
        <f t="shared" si="242"/>
        <v>0</v>
      </c>
      <c r="M1092" s="4">
        <f t="shared" si="242"/>
        <v>0</v>
      </c>
      <c r="N1092" s="4">
        <f t="shared" si="242"/>
        <v>0</v>
      </c>
      <c r="O1092" s="4">
        <f t="shared" si="243"/>
        <v>0</v>
      </c>
      <c r="P1092" s="4">
        <f t="shared" si="244"/>
        <v>0</v>
      </c>
      <c r="Q1092" s="4">
        <f t="shared" si="245"/>
        <v>0</v>
      </c>
      <c r="R1092" s="4">
        <f t="shared" si="246"/>
        <v>0</v>
      </c>
      <c r="S1092" s="4">
        <f>IF(AND(VLOOKUP(G1092,Dados!$D:$L,2,0)=VLOOKUP(I1092,Dados!$S:$V,2,0),VLOOKUP(G1092,Dados!$D:$L,3,0)=VLOOKUP(I1092,Dados!$S:$V,3,0)),0,1)</f>
        <v>0</v>
      </c>
      <c r="T1092" s="4">
        <f>IF(AND(VLOOKUP(G1092,Dados!$D:$L,3,0)&lt;=VLOOKUP(H1092,Dados!$X:$AB,2,0),VLOOKUP(G1092,Dados!$D:$L,4,0)&gt;=VLOOKUP(H1092,Dados!$X:$AB,3,0),VLOOKUP(G1092,Dados!$D:$L,4,0)&lt;=VLOOKUP(H1092,Dados!$X:$AB,4,0)),0,1)</f>
        <v>0</v>
      </c>
      <c r="U1092" s="4">
        <f>IF(COUNTIFS(F:F,F1092,H:H,H1092)&lt;=VLOOKUP(H1092,Dados!$X:$AB,5,0),0,1)</f>
        <v>0</v>
      </c>
    </row>
    <row r="1093" spans="6:21">
      <c r="F1093" s="4">
        <v>572</v>
      </c>
      <c r="G1093" s="4">
        <v>29</v>
      </c>
      <c r="H1093" s="4">
        <v>1</v>
      </c>
      <c r="I1093" s="4">
        <v>15</v>
      </c>
      <c r="J1093" s="4">
        <v>1</v>
      </c>
      <c r="K1093" s="4">
        <f t="shared" si="242"/>
        <v>0</v>
      </c>
      <c r="L1093" s="4">
        <f t="shared" si="242"/>
        <v>0</v>
      </c>
      <c r="M1093" s="4">
        <f t="shared" si="242"/>
        <v>0</v>
      </c>
      <c r="N1093" s="4">
        <f t="shared" si="242"/>
        <v>0</v>
      </c>
      <c r="O1093" s="4">
        <f t="shared" si="243"/>
        <v>0</v>
      </c>
      <c r="P1093" s="4">
        <f t="shared" si="244"/>
        <v>0</v>
      </c>
      <c r="Q1093" s="4">
        <f t="shared" si="245"/>
        <v>0</v>
      </c>
      <c r="R1093" s="4">
        <f t="shared" si="246"/>
        <v>0</v>
      </c>
      <c r="S1093" s="4">
        <f>IF(AND(VLOOKUP(G1093,Dados!$D:$L,2,0)=VLOOKUP(I1093,Dados!$S:$V,2,0),VLOOKUP(G1093,Dados!$D:$L,3,0)=VLOOKUP(I1093,Dados!$S:$V,3,0)),0,1)</f>
        <v>0</v>
      </c>
      <c r="T1093" s="4">
        <f>IF(AND(VLOOKUP(G1093,Dados!$D:$L,3,0)&lt;=VLOOKUP(H1093,Dados!$X:$AB,2,0),VLOOKUP(G1093,Dados!$D:$L,4,0)&gt;=VLOOKUP(H1093,Dados!$X:$AB,3,0),VLOOKUP(G1093,Dados!$D:$L,4,0)&lt;=VLOOKUP(H1093,Dados!$X:$AB,4,0)),0,1)</f>
        <v>0</v>
      </c>
      <c r="U1093" s="4">
        <f>IF(COUNTIFS(F:F,F1093,H:H,H1093)&lt;=VLOOKUP(H1093,Dados!$X:$AB,5,0),0,1)</f>
        <v>0</v>
      </c>
    </row>
    <row r="1094" spans="6:21">
      <c r="F1094" s="4">
        <v>573</v>
      </c>
      <c r="G1094" s="4">
        <v>27</v>
      </c>
      <c r="H1094" s="4">
        <v>3</v>
      </c>
      <c r="I1094" s="4">
        <v>15</v>
      </c>
      <c r="J1094" s="4">
        <v>4</v>
      </c>
      <c r="K1094" s="4">
        <f t="shared" si="242"/>
        <v>3</v>
      </c>
      <c r="L1094" s="4">
        <f t="shared" si="242"/>
        <v>0</v>
      </c>
      <c r="M1094" s="4">
        <f t="shared" si="242"/>
        <v>0</v>
      </c>
      <c r="N1094" s="4">
        <f t="shared" si="242"/>
        <v>0</v>
      </c>
      <c r="O1094" s="4">
        <f t="shared" si="243"/>
        <v>12</v>
      </c>
      <c r="P1094" s="4">
        <f t="shared" si="244"/>
        <v>0</v>
      </c>
      <c r="Q1094" s="4">
        <f t="shared" si="245"/>
        <v>0</v>
      </c>
      <c r="R1094" s="4">
        <f t="shared" si="246"/>
        <v>0</v>
      </c>
      <c r="S1094" s="4">
        <f>IF(AND(VLOOKUP(G1094,Dados!$D:$L,2,0)=VLOOKUP(I1094,Dados!$S:$V,2,0),VLOOKUP(G1094,Dados!$D:$L,3,0)=VLOOKUP(I1094,Dados!$S:$V,3,0)),0,1)</f>
        <v>0</v>
      </c>
      <c r="T1094" s="4">
        <f>IF(AND(VLOOKUP(G1094,Dados!$D:$L,3,0)&lt;=VLOOKUP(H1094,Dados!$X:$AB,2,0),VLOOKUP(G1094,Dados!$D:$L,4,0)&gt;=VLOOKUP(H1094,Dados!$X:$AB,3,0),VLOOKUP(G1094,Dados!$D:$L,4,0)&lt;=VLOOKUP(H1094,Dados!$X:$AB,4,0)),0,1)</f>
        <v>0</v>
      </c>
      <c r="U1094" s="4">
        <f>IF(COUNTIFS(F:F,F1094,H:H,H1094)&lt;=VLOOKUP(H1094,Dados!$X:$AB,5,0),0,1)</f>
        <v>0</v>
      </c>
    </row>
    <row r="1095" spans="6:21">
      <c r="F1095" s="4">
        <v>573</v>
      </c>
      <c r="G1095" s="4">
        <v>28</v>
      </c>
      <c r="H1095" s="4">
        <v>3</v>
      </c>
      <c r="I1095" s="4">
        <v>15</v>
      </c>
      <c r="J1095" s="4">
        <v>2</v>
      </c>
      <c r="K1095" s="4">
        <f t="shared" si="242"/>
        <v>3</v>
      </c>
      <c r="L1095" s="4">
        <f t="shared" si="242"/>
        <v>0</v>
      </c>
      <c r="M1095" s="4">
        <f t="shared" si="242"/>
        <v>0</v>
      </c>
      <c r="N1095" s="4">
        <f t="shared" si="242"/>
        <v>0</v>
      </c>
      <c r="O1095" s="4">
        <f t="shared" si="243"/>
        <v>6</v>
      </c>
      <c r="P1095" s="4">
        <f t="shared" si="244"/>
        <v>0</v>
      </c>
      <c r="Q1095" s="4">
        <f t="shared" si="245"/>
        <v>0</v>
      </c>
      <c r="R1095" s="4">
        <f t="shared" si="246"/>
        <v>0</v>
      </c>
      <c r="S1095" s="4">
        <f>IF(AND(VLOOKUP(G1095,Dados!$D:$L,2,0)=VLOOKUP(I1095,Dados!$S:$V,2,0),VLOOKUP(G1095,Dados!$D:$L,3,0)=VLOOKUP(I1095,Dados!$S:$V,3,0)),0,1)</f>
        <v>0</v>
      </c>
      <c r="T1095" s="4">
        <f>IF(AND(VLOOKUP(G1095,Dados!$D:$L,3,0)&lt;=VLOOKUP(H1095,Dados!$X:$AB,2,0),VLOOKUP(G1095,Dados!$D:$L,4,0)&gt;=VLOOKUP(H1095,Dados!$X:$AB,3,0),VLOOKUP(G1095,Dados!$D:$L,4,0)&lt;=VLOOKUP(H1095,Dados!$X:$AB,4,0)),0,1)</f>
        <v>0</v>
      </c>
      <c r="U1095" s="4">
        <f>IF(COUNTIFS(F:F,F1095,H:H,H1095)&lt;=VLOOKUP(H1095,Dados!$X:$AB,5,0),0,1)</f>
        <v>0</v>
      </c>
    </row>
    <row r="1096" spans="6:21">
      <c r="F1096" s="4">
        <v>573</v>
      </c>
      <c r="G1096" s="4">
        <v>29</v>
      </c>
      <c r="H1096" s="4">
        <v>3</v>
      </c>
      <c r="I1096" s="4">
        <v>15</v>
      </c>
      <c r="J1096" s="4">
        <v>1</v>
      </c>
      <c r="K1096" s="4">
        <f t="shared" si="242"/>
        <v>3</v>
      </c>
      <c r="L1096" s="4">
        <f t="shared" si="242"/>
        <v>0</v>
      </c>
      <c r="M1096" s="4">
        <f t="shared" si="242"/>
        <v>0</v>
      </c>
      <c r="N1096" s="4">
        <f t="shared" si="242"/>
        <v>0</v>
      </c>
      <c r="O1096" s="4">
        <f t="shared" si="243"/>
        <v>3</v>
      </c>
      <c r="P1096" s="4">
        <f t="shared" si="244"/>
        <v>0</v>
      </c>
      <c r="Q1096" s="4">
        <f t="shared" si="245"/>
        <v>0</v>
      </c>
      <c r="R1096" s="4">
        <f t="shared" si="246"/>
        <v>0</v>
      </c>
      <c r="S1096" s="4">
        <f>IF(AND(VLOOKUP(G1096,Dados!$D:$L,2,0)=VLOOKUP(I1096,Dados!$S:$V,2,0),VLOOKUP(G1096,Dados!$D:$L,3,0)=VLOOKUP(I1096,Dados!$S:$V,3,0)),0,1)</f>
        <v>0</v>
      </c>
      <c r="T1096" s="4">
        <f>IF(AND(VLOOKUP(G1096,Dados!$D:$L,3,0)&lt;=VLOOKUP(H1096,Dados!$X:$AB,2,0),VLOOKUP(G1096,Dados!$D:$L,4,0)&gt;=VLOOKUP(H1096,Dados!$X:$AB,3,0),VLOOKUP(G1096,Dados!$D:$L,4,0)&lt;=VLOOKUP(H1096,Dados!$X:$AB,4,0)),0,1)</f>
        <v>0</v>
      </c>
      <c r="U1096" s="4">
        <f>IF(COUNTIFS(F:F,F1096,H:H,H1096)&lt;=VLOOKUP(H1096,Dados!$X:$AB,5,0),0,1)</f>
        <v>0</v>
      </c>
    </row>
    <row r="1097" spans="6:21">
      <c r="F1097" s="4">
        <v>574</v>
      </c>
      <c r="G1097" s="4">
        <v>33</v>
      </c>
      <c r="H1097" s="4">
        <v>1</v>
      </c>
      <c r="I1097" s="4">
        <v>16</v>
      </c>
      <c r="J1097" s="4">
        <v>2</v>
      </c>
      <c r="K1097" s="4">
        <f t="shared" si="242"/>
        <v>0</v>
      </c>
      <c r="L1097" s="4">
        <f t="shared" si="242"/>
        <v>0</v>
      </c>
      <c r="M1097" s="4">
        <f t="shared" si="242"/>
        <v>0</v>
      </c>
      <c r="N1097" s="4">
        <f t="shared" si="242"/>
        <v>0</v>
      </c>
      <c r="O1097" s="4">
        <f t="shared" si="243"/>
        <v>0</v>
      </c>
      <c r="P1097" s="4">
        <f t="shared" si="244"/>
        <v>0</v>
      </c>
      <c r="Q1097" s="4">
        <f t="shared" si="245"/>
        <v>0</v>
      </c>
      <c r="R1097" s="4">
        <f t="shared" si="246"/>
        <v>0</v>
      </c>
      <c r="S1097" s="4">
        <f>IF(AND(VLOOKUP(G1097,Dados!$D:$L,2,0)=VLOOKUP(I1097,Dados!$S:$V,2,0),VLOOKUP(G1097,Dados!$D:$L,3,0)=VLOOKUP(I1097,Dados!$S:$V,3,0)),0,1)</f>
        <v>0</v>
      </c>
      <c r="T1097" s="4">
        <f>IF(AND(VLOOKUP(G1097,Dados!$D:$L,3,0)&lt;=VLOOKUP(H1097,Dados!$X:$AB,2,0),VLOOKUP(G1097,Dados!$D:$L,4,0)&gt;=VLOOKUP(H1097,Dados!$X:$AB,3,0),VLOOKUP(G1097,Dados!$D:$L,4,0)&lt;=VLOOKUP(H1097,Dados!$X:$AB,4,0)),0,1)</f>
        <v>0</v>
      </c>
      <c r="U1097" s="4">
        <f>IF(COUNTIFS(F:F,F1097,H:H,H1097)&lt;=VLOOKUP(H1097,Dados!$X:$AB,5,0),0,1)</f>
        <v>0</v>
      </c>
    </row>
    <row r="1098" spans="6:21">
      <c r="F1098" s="4">
        <v>574</v>
      </c>
      <c r="G1098" s="4">
        <v>37</v>
      </c>
      <c r="H1098" s="4">
        <v>1</v>
      </c>
      <c r="I1098" s="4">
        <v>16</v>
      </c>
      <c r="J1098" s="4">
        <v>4</v>
      </c>
      <c r="K1098" s="4">
        <f t="shared" si="242"/>
        <v>0</v>
      </c>
      <c r="L1098" s="4">
        <f t="shared" si="242"/>
        <v>0</v>
      </c>
      <c r="M1098" s="4">
        <f t="shared" si="242"/>
        <v>0</v>
      </c>
      <c r="N1098" s="4">
        <f t="shared" si="242"/>
        <v>0</v>
      </c>
      <c r="O1098" s="4">
        <f t="shared" si="243"/>
        <v>0</v>
      </c>
      <c r="P1098" s="4">
        <f t="shared" si="244"/>
        <v>0</v>
      </c>
      <c r="Q1098" s="4">
        <f t="shared" si="245"/>
        <v>0</v>
      </c>
      <c r="R1098" s="4">
        <f t="shared" si="246"/>
        <v>0</v>
      </c>
      <c r="S1098" s="4">
        <f>IF(AND(VLOOKUP(G1098,Dados!$D:$L,2,0)=VLOOKUP(I1098,Dados!$S:$V,2,0),VLOOKUP(G1098,Dados!$D:$L,3,0)=VLOOKUP(I1098,Dados!$S:$V,3,0)),0,1)</f>
        <v>0</v>
      </c>
      <c r="T1098" s="4">
        <f>IF(AND(VLOOKUP(G1098,Dados!$D:$L,3,0)&lt;=VLOOKUP(H1098,Dados!$X:$AB,2,0),VLOOKUP(G1098,Dados!$D:$L,4,0)&gt;=VLOOKUP(H1098,Dados!$X:$AB,3,0),VLOOKUP(G1098,Dados!$D:$L,4,0)&lt;=VLOOKUP(H1098,Dados!$X:$AB,4,0)),0,1)</f>
        <v>0</v>
      </c>
      <c r="U1098" s="4">
        <f>IF(COUNTIFS(F:F,F1098,H:H,H1098)&lt;=VLOOKUP(H1098,Dados!$X:$AB,5,0),0,1)</f>
        <v>0</v>
      </c>
    </row>
    <row r="1099" spans="6:21">
      <c r="F1099" s="4">
        <v>575</v>
      </c>
      <c r="G1099" s="4">
        <v>33</v>
      </c>
      <c r="H1099" s="4">
        <v>2</v>
      </c>
      <c r="I1099" s="4">
        <v>16</v>
      </c>
      <c r="J1099" s="4">
        <v>2</v>
      </c>
      <c r="K1099" s="4">
        <f t="shared" si="242"/>
        <v>0</v>
      </c>
      <c r="L1099" s="4">
        <f t="shared" si="242"/>
        <v>3</v>
      </c>
      <c r="M1099" s="4">
        <f t="shared" si="242"/>
        <v>0</v>
      </c>
      <c r="N1099" s="4">
        <f t="shared" si="242"/>
        <v>0</v>
      </c>
      <c r="O1099" s="4">
        <f t="shared" si="243"/>
        <v>0</v>
      </c>
      <c r="P1099" s="4">
        <f t="shared" si="244"/>
        <v>6</v>
      </c>
      <c r="Q1099" s="4">
        <f t="shared" si="245"/>
        <v>0</v>
      </c>
      <c r="R1099" s="4">
        <f t="shared" si="246"/>
        <v>0</v>
      </c>
      <c r="S1099" s="4">
        <f>IF(AND(VLOOKUP(G1099,Dados!$D:$L,2,0)=VLOOKUP(I1099,Dados!$S:$V,2,0),VLOOKUP(G1099,Dados!$D:$L,3,0)=VLOOKUP(I1099,Dados!$S:$V,3,0)),0,1)</f>
        <v>0</v>
      </c>
      <c r="T1099" s="4">
        <f>IF(AND(VLOOKUP(G1099,Dados!$D:$L,3,0)&lt;=VLOOKUP(H1099,Dados!$X:$AB,2,0),VLOOKUP(G1099,Dados!$D:$L,4,0)&gt;=VLOOKUP(H1099,Dados!$X:$AB,3,0),VLOOKUP(G1099,Dados!$D:$L,4,0)&lt;=VLOOKUP(H1099,Dados!$X:$AB,4,0)),0,1)</f>
        <v>0</v>
      </c>
      <c r="U1099" s="4">
        <f>IF(COUNTIFS(F:F,F1099,H:H,H1099)&lt;=VLOOKUP(H1099,Dados!$X:$AB,5,0),0,1)</f>
        <v>0</v>
      </c>
    </row>
    <row r="1100" spans="6:21">
      <c r="F1100" s="4">
        <v>575</v>
      </c>
      <c r="G1100" s="4">
        <v>37</v>
      </c>
      <c r="H1100" s="4">
        <v>2</v>
      </c>
      <c r="I1100" s="4">
        <v>16</v>
      </c>
      <c r="J1100" s="4">
        <v>4</v>
      </c>
      <c r="K1100" s="4">
        <f t="shared" si="242"/>
        <v>0</v>
      </c>
      <c r="L1100" s="4">
        <f t="shared" si="242"/>
        <v>3</v>
      </c>
      <c r="M1100" s="4">
        <f t="shared" si="242"/>
        <v>0</v>
      </c>
      <c r="N1100" s="4">
        <f t="shared" si="242"/>
        <v>0</v>
      </c>
      <c r="O1100" s="4">
        <f t="shared" si="243"/>
        <v>0</v>
      </c>
      <c r="P1100" s="4">
        <f t="shared" si="244"/>
        <v>12</v>
      </c>
      <c r="Q1100" s="4">
        <f t="shared" si="245"/>
        <v>0</v>
      </c>
      <c r="R1100" s="4">
        <f t="shared" si="246"/>
        <v>0</v>
      </c>
      <c r="S1100" s="4">
        <f>IF(AND(VLOOKUP(G1100,Dados!$D:$L,2,0)=VLOOKUP(I1100,Dados!$S:$V,2,0),VLOOKUP(G1100,Dados!$D:$L,3,0)=VLOOKUP(I1100,Dados!$S:$V,3,0)),0,1)</f>
        <v>0</v>
      </c>
      <c r="T1100" s="4">
        <f>IF(AND(VLOOKUP(G1100,Dados!$D:$L,3,0)&lt;=VLOOKUP(H1100,Dados!$X:$AB,2,0),VLOOKUP(G1100,Dados!$D:$L,4,0)&gt;=VLOOKUP(H1100,Dados!$X:$AB,3,0),VLOOKUP(G1100,Dados!$D:$L,4,0)&lt;=VLOOKUP(H1100,Dados!$X:$AB,4,0)),0,1)</f>
        <v>0</v>
      </c>
      <c r="U1100" s="4">
        <f>IF(COUNTIFS(F:F,F1100,H:H,H1100)&lt;=VLOOKUP(H1100,Dados!$X:$AB,5,0),0,1)</f>
        <v>0</v>
      </c>
    </row>
    <row r="1101" spans="6:21">
      <c r="F1101" s="4">
        <v>576</v>
      </c>
      <c r="G1101" s="4">
        <v>33</v>
      </c>
      <c r="H1101" s="4">
        <v>3</v>
      </c>
      <c r="I1101" s="4">
        <v>16</v>
      </c>
      <c r="J1101" s="4">
        <v>2</v>
      </c>
      <c r="K1101" s="4">
        <f t="shared" si="242"/>
        <v>0</v>
      </c>
      <c r="L1101" s="4">
        <f t="shared" si="242"/>
        <v>0</v>
      </c>
      <c r="M1101" s="4">
        <f t="shared" si="242"/>
        <v>0</v>
      </c>
      <c r="N1101" s="4">
        <f t="shared" si="242"/>
        <v>0</v>
      </c>
      <c r="O1101" s="4">
        <f t="shared" si="243"/>
        <v>0</v>
      </c>
      <c r="P1101" s="4">
        <f t="shared" si="244"/>
        <v>0</v>
      </c>
      <c r="Q1101" s="4">
        <f t="shared" si="245"/>
        <v>0</v>
      </c>
      <c r="R1101" s="4">
        <f t="shared" si="246"/>
        <v>0</v>
      </c>
      <c r="S1101" s="4">
        <f>IF(AND(VLOOKUP(G1101,Dados!$D:$L,2,0)=VLOOKUP(I1101,Dados!$S:$V,2,0),VLOOKUP(G1101,Dados!$D:$L,3,0)=VLOOKUP(I1101,Dados!$S:$V,3,0)),0,1)</f>
        <v>0</v>
      </c>
      <c r="T1101" s="4">
        <f>IF(AND(VLOOKUP(G1101,Dados!$D:$L,3,0)&lt;=VLOOKUP(H1101,Dados!$X:$AB,2,0),VLOOKUP(G1101,Dados!$D:$L,4,0)&gt;=VLOOKUP(H1101,Dados!$X:$AB,3,0),VLOOKUP(G1101,Dados!$D:$L,4,0)&lt;=VLOOKUP(H1101,Dados!$X:$AB,4,0)),0,1)</f>
        <v>0</v>
      </c>
      <c r="U1101" s="4">
        <f>IF(COUNTIFS(F:F,F1101,H:H,H1101)&lt;=VLOOKUP(H1101,Dados!$X:$AB,5,0),0,1)</f>
        <v>0</v>
      </c>
    </row>
    <row r="1102" spans="6:21">
      <c r="F1102" s="4">
        <v>576</v>
      </c>
      <c r="G1102" s="4">
        <v>37</v>
      </c>
      <c r="H1102" s="4">
        <v>3</v>
      </c>
      <c r="I1102" s="4">
        <v>16</v>
      </c>
      <c r="J1102" s="4">
        <v>4</v>
      </c>
      <c r="K1102" s="4">
        <f t="shared" si="242"/>
        <v>0</v>
      </c>
      <c r="L1102" s="4">
        <f t="shared" si="242"/>
        <v>0</v>
      </c>
      <c r="M1102" s="4">
        <f t="shared" si="242"/>
        <v>0</v>
      </c>
      <c r="N1102" s="4">
        <f t="shared" si="242"/>
        <v>0</v>
      </c>
      <c r="O1102" s="4">
        <f t="shared" si="243"/>
        <v>0</v>
      </c>
      <c r="P1102" s="4">
        <f t="shared" si="244"/>
        <v>0</v>
      </c>
      <c r="Q1102" s="4">
        <f t="shared" si="245"/>
        <v>0</v>
      </c>
      <c r="R1102" s="4">
        <f t="shared" si="246"/>
        <v>0</v>
      </c>
      <c r="S1102" s="4">
        <f>IF(AND(VLOOKUP(G1102,Dados!$D:$L,2,0)=VLOOKUP(I1102,Dados!$S:$V,2,0),VLOOKUP(G1102,Dados!$D:$L,3,0)=VLOOKUP(I1102,Dados!$S:$V,3,0)),0,1)</f>
        <v>0</v>
      </c>
      <c r="T1102" s="4">
        <f>IF(AND(VLOOKUP(G1102,Dados!$D:$L,3,0)&lt;=VLOOKUP(H1102,Dados!$X:$AB,2,0),VLOOKUP(G1102,Dados!$D:$L,4,0)&gt;=VLOOKUP(H1102,Dados!$X:$AB,3,0),VLOOKUP(G1102,Dados!$D:$L,4,0)&lt;=VLOOKUP(H1102,Dados!$X:$AB,4,0)),0,1)</f>
        <v>0</v>
      </c>
      <c r="U1102" s="4">
        <f>IF(COUNTIFS(F:F,F1102,H:H,H1102)&lt;=VLOOKUP(H1102,Dados!$X:$AB,5,0),0,1)</f>
        <v>0</v>
      </c>
    </row>
    <row r="1103" spans="6:21">
      <c r="F1103" s="4">
        <v>577</v>
      </c>
      <c r="G1103" s="4">
        <v>48</v>
      </c>
      <c r="H1103" s="4">
        <v>1</v>
      </c>
      <c r="I1103" s="4">
        <v>18</v>
      </c>
      <c r="J1103" s="4">
        <v>2</v>
      </c>
      <c r="K1103" s="4">
        <f t="shared" si="242"/>
        <v>0</v>
      </c>
      <c r="L1103" s="4">
        <f t="shared" si="242"/>
        <v>0</v>
      </c>
      <c r="M1103" s="4">
        <f t="shared" si="242"/>
        <v>0</v>
      </c>
      <c r="N1103" s="4">
        <f t="shared" si="242"/>
        <v>0</v>
      </c>
      <c r="O1103" s="4">
        <f t="shared" si="243"/>
        <v>0</v>
      </c>
      <c r="P1103" s="4">
        <f t="shared" si="244"/>
        <v>0</v>
      </c>
      <c r="Q1103" s="4">
        <f t="shared" si="245"/>
        <v>0</v>
      </c>
      <c r="R1103" s="4">
        <f t="shared" si="246"/>
        <v>0</v>
      </c>
      <c r="S1103" s="4">
        <f>IF(AND(VLOOKUP(G1103,Dados!$D:$L,2,0)=VLOOKUP(I1103,Dados!$S:$V,2,0),VLOOKUP(G1103,Dados!$D:$L,3,0)=VLOOKUP(I1103,Dados!$S:$V,3,0)),0,1)</f>
        <v>0</v>
      </c>
      <c r="T1103" s="4">
        <f>IF(AND(VLOOKUP(G1103,Dados!$D:$L,3,0)&lt;=VLOOKUP(H1103,Dados!$X:$AB,2,0),VLOOKUP(G1103,Dados!$D:$L,4,0)&gt;=VLOOKUP(H1103,Dados!$X:$AB,3,0),VLOOKUP(G1103,Dados!$D:$L,4,0)&lt;=VLOOKUP(H1103,Dados!$X:$AB,4,0)),0,1)</f>
        <v>0</v>
      </c>
      <c r="U1103" s="4">
        <f>IF(COUNTIFS(F:F,F1103,H:H,H1103)&lt;=VLOOKUP(H1103,Dados!$X:$AB,5,0),0,1)</f>
        <v>0</v>
      </c>
    </row>
    <row r="1104" spans="6:21">
      <c r="F1104" s="4">
        <v>577</v>
      </c>
      <c r="G1104" s="4">
        <v>50</v>
      </c>
      <c r="H1104" s="4">
        <v>1</v>
      </c>
      <c r="I1104" s="4">
        <v>18</v>
      </c>
      <c r="J1104" s="4">
        <v>3</v>
      </c>
      <c r="K1104" s="4">
        <f t="shared" si="242"/>
        <v>0</v>
      </c>
      <c r="L1104" s="4">
        <f t="shared" si="242"/>
        <v>0</v>
      </c>
      <c r="M1104" s="4">
        <f t="shared" si="242"/>
        <v>0</v>
      </c>
      <c r="N1104" s="4">
        <f t="shared" si="242"/>
        <v>0</v>
      </c>
      <c r="O1104" s="4">
        <f t="shared" si="243"/>
        <v>0</v>
      </c>
      <c r="P1104" s="4">
        <f t="shared" si="244"/>
        <v>0</v>
      </c>
      <c r="Q1104" s="4">
        <f t="shared" si="245"/>
        <v>0</v>
      </c>
      <c r="R1104" s="4">
        <f t="shared" si="246"/>
        <v>0</v>
      </c>
      <c r="S1104" s="4">
        <f>IF(AND(VLOOKUP(G1104,Dados!$D:$L,2,0)=VLOOKUP(I1104,Dados!$S:$V,2,0),VLOOKUP(G1104,Dados!$D:$L,3,0)=VLOOKUP(I1104,Dados!$S:$V,3,0)),0,1)</f>
        <v>0</v>
      </c>
      <c r="T1104" s="4">
        <f>IF(AND(VLOOKUP(G1104,Dados!$D:$L,3,0)&lt;=VLOOKUP(H1104,Dados!$X:$AB,2,0),VLOOKUP(G1104,Dados!$D:$L,4,0)&gt;=VLOOKUP(H1104,Dados!$X:$AB,3,0),VLOOKUP(G1104,Dados!$D:$L,4,0)&lt;=VLOOKUP(H1104,Dados!$X:$AB,4,0)),0,1)</f>
        <v>0</v>
      </c>
      <c r="U1104" s="4">
        <f>IF(COUNTIFS(F:F,F1104,H:H,H1104)&lt;=VLOOKUP(H1104,Dados!$X:$AB,5,0),0,1)</f>
        <v>0</v>
      </c>
    </row>
    <row r="1105" spans="6:21">
      <c r="F1105" s="4">
        <v>577</v>
      </c>
      <c r="G1105" s="4">
        <v>52</v>
      </c>
      <c r="H1105" s="4">
        <v>1</v>
      </c>
      <c r="I1105" s="4">
        <v>18</v>
      </c>
      <c r="J1105" s="4">
        <v>1</v>
      </c>
      <c r="K1105" s="4">
        <f t="shared" si="242"/>
        <v>0</v>
      </c>
      <c r="L1105" s="4">
        <f t="shared" si="242"/>
        <v>0</v>
      </c>
      <c r="M1105" s="4">
        <f t="shared" si="242"/>
        <v>0</v>
      </c>
      <c r="N1105" s="4">
        <f t="shared" si="242"/>
        <v>0</v>
      </c>
      <c r="O1105" s="4">
        <f t="shared" si="243"/>
        <v>0</v>
      </c>
      <c r="P1105" s="4">
        <f t="shared" si="244"/>
        <v>0</v>
      </c>
      <c r="Q1105" s="4">
        <f t="shared" si="245"/>
        <v>0</v>
      </c>
      <c r="R1105" s="4">
        <f t="shared" si="246"/>
        <v>0</v>
      </c>
      <c r="S1105" s="4">
        <f>IF(AND(VLOOKUP(G1105,Dados!$D:$L,2,0)=VLOOKUP(I1105,Dados!$S:$V,2,0),VLOOKUP(G1105,Dados!$D:$L,3,0)=VLOOKUP(I1105,Dados!$S:$V,3,0)),0,1)</f>
        <v>0</v>
      </c>
      <c r="T1105" s="4">
        <f>IF(AND(VLOOKUP(G1105,Dados!$D:$L,3,0)&lt;=VLOOKUP(H1105,Dados!$X:$AB,2,0),VLOOKUP(G1105,Dados!$D:$L,4,0)&gt;=VLOOKUP(H1105,Dados!$X:$AB,3,0),VLOOKUP(G1105,Dados!$D:$L,4,0)&lt;=VLOOKUP(H1105,Dados!$X:$AB,4,0)),0,1)</f>
        <v>0</v>
      </c>
      <c r="U1105" s="4">
        <f>IF(COUNTIFS(F:F,F1105,H:H,H1105)&lt;=VLOOKUP(H1105,Dados!$X:$AB,5,0),0,1)</f>
        <v>0</v>
      </c>
    </row>
    <row r="1106" spans="6:21">
      <c r="F1106" s="4">
        <v>578</v>
      </c>
      <c r="G1106" s="4">
        <v>46</v>
      </c>
      <c r="H1106" s="4">
        <v>3</v>
      </c>
      <c r="I1106" s="4">
        <v>18</v>
      </c>
      <c r="J1106" s="4">
        <v>1</v>
      </c>
      <c r="K1106" s="4">
        <f t="shared" si="242"/>
        <v>0</v>
      </c>
      <c r="L1106" s="4">
        <f t="shared" si="242"/>
        <v>0</v>
      </c>
      <c r="M1106" s="4">
        <f t="shared" si="242"/>
        <v>0</v>
      </c>
      <c r="N1106" s="4">
        <f t="shared" si="242"/>
        <v>0</v>
      </c>
      <c r="O1106" s="4">
        <f t="shared" si="243"/>
        <v>0</v>
      </c>
      <c r="P1106" s="4">
        <f t="shared" si="244"/>
        <v>0</v>
      </c>
      <c r="Q1106" s="4">
        <f t="shared" si="245"/>
        <v>0</v>
      </c>
      <c r="R1106" s="4">
        <f t="shared" si="246"/>
        <v>0</v>
      </c>
      <c r="S1106" s="4">
        <f>IF(AND(VLOOKUP(G1106,Dados!$D:$L,2,0)=VLOOKUP(I1106,Dados!$S:$V,2,0),VLOOKUP(G1106,Dados!$D:$L,3,0)=VLOOKUP(I1106,Dados!$S:$V,3,0)),0,1)</f>
        <v>0</v>
      </c>
      <c r="T1106" s="4">
        <f>IF(AND(VLOOKUP(G1106,Dados!$D:$L,3,0)&lt;=VLOOKUP(H1106,Dados!$X:$AB,2,0),VLOOKUP(G1106,Dados!$D:$L,4,0)&gt;=VLOOKUP(H1106,Dados!$X:$AB,3,0),VLOOKUP(G1106,Dados!$D:$L,4,0)&lt;=VLOOKUP(H1106,Dados!$X:$AB,4,0)),0,1)</f>
        <v>0</v>
      </c>
      <c r="U1106" s="4">
        <f>IF(COUNTIFS(F:F,F1106,H:H,H1106)&lt;=VLOOKUP(H1106,Dados!$X:$AB,5,0),0,1)</f>
        <v>0</v>
      </c>
    </row>
    <row r="1107" spans="6:21">
      <c r="F1107" s="4">
        <v>578</v>
      </c>
      <c r="G1107" s="4">
        <v>47</v>
      </c>
      <c r="H1107" s="4">
        <v>3</v>
      </c>
      <c r="I1107" s="4">
        <v>18</v>
      </c>
      <c r="J1107" s="4">
        <v>1</v>
      </c>
      <c r="K1107" s="4">
        <f t="shared" si="242"/>
        <v>0</v>
      </c>
      <c r="L1107" s="4">
        <f t="shared" si="242"/>
        <v>0</v>
      </c>
      <c r="M1107" s="4">
        <f t="shared" si="242"/>
        <v>0</v>
      </c>
      <c r="N1107" s="4">
        <f t="shared" si="242"/>
        <v>0</v>
      </c>
      <c r="O1107" s="4">
        <f t="shared" si="243"/>
        <v>0</v>
      </c>
      <c r="P1107" s="4">
        <f t="shared" si="244"/>
        <v>0</v>
      </c>
      <c r="Q1107" s="4">
        <f t="shared" si="245"/>
        <v>0</v>
      </c>
      <c r="R1107" s="4">
        <f t="shared" si="246"/>
        <v>0</v>
      </c>
      <c r="S1107" s="4">
        <f>IF(AND(VLOOKUP(G1107,Dados!$D:$L,2,0)=VLOOKUP(I1107,Dados!$S:$V,2,0),VLOOKUP(G1107,Dados!$D:$L,3,0)=VLOOKUP(I1107,Dados!$S:$V,3,0)),0,1)</f>
        <v>0</v>
      </c>
      <c r="T1107" s="4">
        <f>IF(AND(VLOOKUP(G1107,Dados!$D:$L,3,0)&lt;=VLOOKUP(H1107,Dados!$X:$AB,2,0),VLOOKUP(G1107,Dados!$D:$L,4,0)&gt;=VLOOKUP(H1107,Dados!$X:$AB,3,0),VLOOKUP(G1107,Dados!$D:$L,4,0)&lt;=VLOOKUP(H1107,Dados!$X:$AB,4,0)),0,1)</f>
        <v>0</v>
      </c>
      <c r="U1107" s="4">
        <f>IF(COUNTIFS(F:F,F1107,H:H,H1107)&lt;=VLOOKUP(H1107,Dados!$X:$AB,5,0),0,1)</f>
        <v>0</v>
      </c>
    </row>
    <row r="1108" spans="6:21">
      <c r="F1108" s="4">
        <v>578</v>
      </c>
      <c r="G1108" s="4">
        <v>48</v>
      </c>
      <c r="H1108" s="4">
        <v>3</v>
      </c>
      <c r="I1108" s="4">
        <v>18</v>
      </c>
      <c r="J1108" s="4">
        <v>1</v>
      </c>
      <c r="K1108" s="4">
        <f t="shared" si="242"/>
        <v>0</v>
      </c>
      <c r="L1108" s="4">
        <f t="shared" si="242"/>
        <v>0</v>
      </c>
      <c r="M1108" s="4">
        <f t="shared" si="242"/>
        <v>0</v>
      </c>
      <c r="N1108" s="4">
        <f t="shared" si="242"/>
        <v>0</v>
      </c>
      <c r="O1108" s="4">
        <f t="shared" si="243"/>
        <v>0</v>
      </c>
      <c r="P1108" s="4">
        <f t="shared" si="244"/>
        <v>0</v>
      </c>
      <c r="Q1108" s="4">
        <f t="shared" si="245"/>
        <v>0</v>
      </c>
      <c r="R1108" s="4">
        <f t="shared" si="246"/>
        <v>0</v>
      </c>
      <c r="S1108" s="4">
        <f>IF(AND(VLOOKUP(G1108,Dados!$D:$L,2,0)=VLOOKUP(I1108,Dados!$S:$V,2,0),VLOOKUP(G1108,Dados!$D:$L,3,0)=VLOOKUP(I1108,Dados!$S:$V,3,0)),0,1)</f>
        <v>0</v>
      </c>
      <c r="T1108" s="4">
        <f>IF(AND(VLOOKUP(G1108,Dados!$D:$L,3,0)&lt;=VLOOKUP(H1108,Dados!$X:$AB,2,0),VLOOKUP(G1108,Dados!$D:$L,4,0)&gt;=VLOOKUP(H1108,Dados!$X:$AB,3,0),VLOOKUP(G1108,Dados!$D:$L,4,0)&lt;=VLOOKUP(H1108,Dados!$X:$AB,4,0)),0,1)</f>
        <v>0</v>
      </c>
      <c r="U1108" s="4">
        <f>IF(COUNTIFS(F:F,F1108,H:H,H1108)&lt;=VLOOKUP(H1108,Dados!$X:$AB,5,0),0,1)</f>
        <v>0</v>
      </c>
    </row>
    <row r="1109" spans="6:21">
      <c r="F1109" s="4">
        <v>578</v>
      </c>
      <c r="G1109" s="4">
        <v>50</v>
      </c>
      <c r="H1109" s="4">
        <v>3</v>
      </c>
      <c r="I1109" s="4">
        <v>18</v>
      </c>
      <c r="J1109" s="4">
        <v>3</v>
      </c>
      <c r="K1109" s="4">
        <f t="shared" si="242"/>
        <v>0</v>
      </c>
      <c r="L1109" s="4">
        <f t="shared" si="242"/>
        <v>0</v>
      </c>
      <c r="M1109" s="4">
        <f t="shared" si="242"/>
        <v>0</v>
      </c>
      <c r="N1109" s="4">
        <f t="shared" si="242"/>
        <v>0</v>
      </c>
      <c r="O1109" s="4">
        <f t="shared" si="243"/>
        <v>0</v>
      </c>
      <c r="P1109" s="4">
        <f t="shared" si="244"/>
        <v>0</v>
      </c>
      <c r="Q1109" s="4">
        <f t="shared" si="245"/>
        <v>0</v>
      </c>
      <c r="R1109" s="4">
        <f t="shared" si="246"/>
        <v>0</v>
      </c>
      <c r="S1109" s="4">
        <f>IF(AND(VLOOKUP(G1109,Dados!$D:$L,2,0)=VLOOKUP(I1109,Dados!$S:$V,2,0),VLOOKUP(G1109,Dados!$D:$L,3,0)=VLOOKUP(I1109,Dados!$S:$V,3,0)),0,1)</f>
        <v>0</v>
      </c>
      <c r="T1109" s="4">
        <f>IF(AND(VLOOKUP(G1109,Dados!$D:$L,3,0)&lt;=VLOOKUP(H1109,Dados!$X:$AB,2,0),VLOOKUP(G1109,Dados!$D:$L,4,0)&gt;=VLOOKUP(H1109,Dados!$X:$AB,3,0),VLOOKUP(G1109,Dados!$D:$L,4,0)&lt;=VLOOKUP(H1109,Dados!$X:$AB,4,0)),0,1)</f>
        <v>0</v>
      </c>
      <c r="U1109" s="4">
        <f>IF(COUNTIFS(F:F,F1109,H:H,H1109)&lt;=VLOOKUP(H1109,Dados!$X:$AB,5,0),0,1)</f>
        <v>0</v>
      </c>
    </row>
    <row r="1110" spans="6:21">
      <c r="F1110" s="4">
        <v>579</v>
      </c>
      <c r="G1110" s="4">
        <v>47</v>
      </c>
      <c r="H1110" s="4">
        <v>1</v>
      </c>
      <c r="I1110" s="4">
        <v>19</v>
      </c>
      <c r="J1110" s="4">
        <v>1</v>
      </c>
      <c r="K1110" s="4">
        <f t="shared" si="242"/>
        <v>0</v>
      </c>
      <c r="L1110" s="4">
        <f t="shared" si="242"/>
        <v>0</v>
      </c>
      <c r="M1110" s="4">
        <f t="shared" si="242"/>
        <v>0</v>
      </c>
      <c r="N1110" s="4">
        <f t="shared" si="242"/>
        <v>4</v>
      </c>
      <c r="O1110" s="4">
        <f t="shared" si="243"/>
        <v>0</v>
      </c>
      <c r="P1110" s="4">
        <f t="shared" si="244"/>
        <v>0</v>
      </c>
      <c r="Q1110" s="4">
        <f t="shared" si="245"/>
        <v>0</v>
      </c>
      <c r="R1110" s="4">
        <f t="shared" si="246"/>
        <v>4</v>
      </c>
      <c r="S1110" s="4">
        <f>IF(AND(VLOOKUP(G1110,Dados!$D:$L,2,0)=VLOOKUP(I1110,Dados!$S:$V,2,0),VLOOKUP(G1110,Dados!$D:$L,3,0)=VLOOKUP(I1110,Dados!$S:$V,3,0)),0,1)</f>
        <v>0</v>
      </c>
      <c r="T1110" s="4">
        <f>IF(AND(VLOOKUP(G1110,Dados!$D:$L,3,0)&lt;=VLOOKUP(H1110,Dados!$X:$AB,2,0),VLOOKUP(G1110,Dados!$D:$L,4,0)&gt;=VLOOKUP(H1110,Dados!$X:$AB,3,0),VLOOKUP(G1110,Dados!$D:$L,4,0)&lt;=VLOOKUP(H1110,Dados!$X:$AB,4,0)),0,1)</f>
        <v>0</v>
      </c>
      <c r="U1110" s="4">
        <f>IF(COUNTIFS(F:F,F1110,H:H,H1110)&lt;=VLOOKUP(H1110,Dados!$X:$AB,5,0),0,1)</f>
        <v>0</v>
      </c>
    </row>
    <row r="1111" spans="6:21">
      <c r="F1111" s="4">
        <v>579</v>
      </c>
      <c r="G1111" s="4">
        <v>50</v>
      </c>
      <c r="H1111" s="4">
        <v>1</v>
      </c>
      <c r="I1111" s="4">
        <v>19</v>
      </c>
      <c r="J1111" s="4">
        <v>4</v>
      </c>
      <c r="K1111" s="4">
        <f t="shared" si="242"/>
        <v>0</v>
      </c>
      <c r="L1111" s="4">
        <f t="shared" si="242"/>
        <v>0</v>
      </c>
      <c r="M1111" s="4">
        <f t="shared" si="242"/>
        <v>0</v>
      </c>
      <c r="N1111" s="4">
        <f t="shared" si="242"/>
        <v>4</v>
      </c>
      <c r="O1111" s="4">
        <f t="shared" si="243"/>
        <v>0</v>
      </c>
      <c r="P1111" s="4">
        <f t="shared" si="244"/>
        <v>0</v>
      </c>
      <c r="Q1111" s="4">
        <f t="shared" si="245"/>
        <v>0</v>
      </c>
      <c r="R1111" s="4">
        <f t="shared" si="246"/>
        <v>16</v>
      </c>
      <c r="S1111" s="4">
        <f>IF(AND(VLOOKUP(G1111,Dados!$D:$L,2,0)=VLOOKUP(I1111,Dados!$S:$V,2,0),VLOOKUP(G1111,Dados!$D:$L,3,0)=VLOOKUP(I1111,Dados!$S:$V,3,0)),0,1)</f>
        <v>0</v>
      </c>
      <c r="T1111" s="4">
        <f>IF(AND(VLOOKUP(G1111,Dados!$D:$L,3,0)&lt;=VLOOKUP(H1111,Dados!$X:$AB,2,0),VLOOKUP(G1111,Dados!$D:$L,4,0)&gt;=VLOOKUP(H1111,Dados!$X:$AB,3,0),VLOOKUP(G1111,Dados!$D:$L,4,0)&lt;=VLOOKUP(H1111,Dados!$X:$AB,4,0)),0,1)</f>
        <v>0</v>
      </c>
      <c r="U1111" s="4">
        <f>IF(COUNTIFS(F:F,F1111,H:H,H1111)&lt;=VLOOKUP(H1111,Dados!$X:$AB,5,0),0,1)</f>
        <v>0</v>
      </c>
    </row>
    <row r="1112" spans="6:21">
      <c r="F1112" s="4">
        <v>579</v>
      </c>
      <c r="G1112" s="4">
        <v>52</v>
      </c>
      <c r="H1112" s="4">
        <v>1</v>
      </c>
      <c r="I1112" s="4">
        <v>19</v>
      </c>
      <c r="J1112" s="4">
        <v>3</v>
      </c>
      <c r="K1112" s="4">
        <f t="shared" si="242"/>
        <v>0</v>
      </c>
      <c r="L1112" s="4">
        <f t="shared" si="242"/>
        <v>0</v>
      </c>
      <c r="M1112" s="4">
        <f t="shared" si="242"/>
        <v>0</v>
      </c>
      <c r="N1112" s="4">
        <f t="shared" si="242"/>
        <v>4</v>
      </c>
      <c r="O1112" s="4">
        <f t="shared" si="243"/>
        <v>0</v>
      </c>
      <c r="P1112" s="4">
        <f t="shared" si="244"/>
        <v>0</v>
      </c>
      <c r="Q1112" s="4">
        <f t="shared" si="245"/>
        <v>0</v>
      </c>
      <c r="R1112" s="4">
        <f t="shared" si="246"/>
        <v>12</v>
      </c>
      <c r="S1112" s="4">
        <f>IF(AND(VLOOKUP(G1112,Dados!$D:$L,2,0)=VLOOKUP(I1112,Dados!$S:$V,2,0),VLOOKUP(G1112,Dados!$D:$L,3,0)=VLOOKUP(I1112,Dados!$S:$V,3,0)),0,1)</f>
        <v>0</v>
      </c>
      <c r="T1112" s="4">
        <f>IF(AND(VLOOKUP(G1112,Dados!$D:$L,3,0)&lt;=VLOOKUP(H1112,Dados!$X:$AB,2,0),VLOOKUP(G1112,Dados!$D:$L,4,0)&gt;=VLOOKUP(H1112,Dados!$X:$AB,3,0),VLOOKUP(G1112,Dados!$D:$L,4,0)&lt;=VLOOKUP(H1112,Dados!$X:$AB,4,0)),0,1)</f>
        <v>0</v>
      </c>
      <c r="U1112" s="4">
        <f>IF(COUNTIFS(F:F,F1112,H:H,H1112)&lt;=VLOOKUP(H1112,Dados!$X:$AB,5,0),0,1)</f>
        <v>0</v>
      </c>
    </row>
    <row r="1113" spans="6:21">
      <c r="F1113" s="4">
        <v>580</v>
      </c>
      <c r="G1113" s="4">
        <v>46</v>
      </c>
      <c r="H1113" s="4">
        <v>3</v>
      </c>
      <c r="I1113" s="4">
        <v>19</v>
      </c>
      <c r="J1113" s="4">
        <v>1</v>
      </c>
      <c r="K1113" s="4">
        <f t="shared" si="242"/>
        <v>0</v>
      </c>
      <c r="L1113" s="4">
        <f t="shared" si="242"/>
        <v>0</v>
      </c>
      <c r="M1113" s="4">
        <f t="shared" si="242"/>
        <v>0</v>
      </c>
      <c r="N1113" s="4">
        <f t="shared" si="242"/>
        <v>0</v>
      </c>
      <c r="O1113" s="4">
        <f t="shared" si="243"/>
        <v>0</v>
      </c>
      <c r="P1113" s="4">
        <f t="shared" si="244"/>
        <v>0</v>
      </c>
      <c r="Q1113" s="4">
        <f t="shared" si="245"/>
        <v>0</v>
      </c>
      <c r="R1113" s="4">
        <f t="shared" si="246"/>
        <v>0</v>
      </c>
      <c r="S1113" s="4">
        <f>IF(AND(VLOOKUP(G1113,Dados!$D:$L,2,0)=VLOOKUP(I1113,Dados!$S:$V,2,0),VLOOKUP(G1113,Dados!$D:$L,3,0)=VLOOKUP(I1113,Dados!$S:$V,3,0)),0,1)</f>
        <v>0</v>
      </c>
      <c r="T1113" s="4">
        <f>IF(AND(VLOOKUP(G1113,Dados!$D:$L,3,0)&lt;=VLOOKUP(H1113,Dados!$X:$AB,2,0),VLOOKUP(G1113,Dados!$D:$L,4,0)&gt;=VLOOKUP(H1113,Dados!$X:$AB,3,0),VLOOKUP(G1113,Dados!$D:$L,4,0)&lt;=VLOOKUP(H1113,Dados!$X:$AB,4,0)),0,1)</f>
        <v>0</v>
      </c>
      <c r="U1113" s="4">
        <f>IF(COUNTIFS(F:F,F1113,H:H,H1113)&lt;=VLOOKUP(H1113,Dados!$X:$AB,5,0),0,1)</f>
        <v>0</v>
      </c>
    </row>
    <row r="1114" spans="6:21">
      <c r="F1114" s="4">
        <v>580</v>
      </c>
      <c r="G1114" s="4">
        <v>47</v>
      </c>
      <c r="H1114" s="4">
        <v>3</v>
      </c>
      <c r="I1114" s="4">
        <v>19</v>
      </c>
      <c r="J1114" s="4">
        <v>1</v>
      </c>
      <c r="K1114" s="4">
        <f t="shared" si="242"/>
        <v>0</v>
      </c>
      <c r="L1114" s="4">
        <f t="shared" si="242"/>
        <v>0</v>
      </c>
      <c r="M1114" s="4">
        <f t="shared" si="242"/>
        <v>0</v>
      </c>
      <c r="N1114" s="4">
        <f t="shared" si="242"/>
        <v>0</v>
      </c>
      <c r="O1114" s="4">
        <f t="shared" si="243"/>
        <v>0</v>
      </c>
      <c r="P1114" s="4">
        <f t="shared" si="244"/>
        <v>0</v>
      </c>
      <c r="Q1114" s="4">
        <f t="shared" si="245"/>
        <v>0</v>
      </c>
      <c r="R1114" s="4">
        <f t="shared" si="246"/>
        <v>0</v>
      </c>
      <c r="S1114" s="4">
        <f>IF(AND(VLOOKUP(G1114,Dados!$D:$L,2,0)=VLOOKUP(I1114,Dados!$S:$V,2,0),VLOOKUP(G1114,Dados!$D:$L,3,0)=VLOOKUP(I1114,Dados!$S:$V,3,0)),0,1)</f>
        <v>0</v>
      </c>
      <c r="T1114" s="4">
        <f>IF(AND(VLOOKUP(G1114,Dados!$D:$L,3,0)&lt;=VLOOKUP(H1114,Dados!$X:$AB,2,0),VLOOKUP(G1114,Dados!$D:$L,4,0)&gt;=VLOOKUP(H1114,Dados!$X:$AB,3,0),VLOOKUP(G1114,Dados!$D:$L,4,0)&lt;=VLOOKUP(H1114,Dados!$X:$AB,4,0)),0,1)</f>
        <v>0</v>
      </c>
      <c r="U1114" s="4">
        <f>IF(COUNTIFS(F:F,F1114,H:H,H1114)&lt;=VLOOKUP(H1114,Dados!$X:$AB,5,0),0,1)</f>
        <v>0</v>
      </c>
    </row>
    <row r="1115" spans="6:21">
      <c r="F1115" s="4">
        <v>580</v>
      </c>
      <c r="G1115" s="4">
        <v>48</v>
      </c>
      <c r="H1115" s="4">
        <v>3</v>
      </c>
      <c r="I1115" s="4">
        <v>19</v>
      </c>
      <c r="J1115" s="4">
        <v>2</v>
      </c>
      <c r="K1115" s="4">
        <f t="shared" si="242"/>
        <v>0</v>
      </c>
      <c r="L1115" s="4">
        <f t="shared" si="242"/>
        <v>0</v>
      </c>
      <c r="M1115" s="4">
        <f t="shared" si="242"/>
        <v>0</v>
      </c>
      <c r="N1115" s="4">
        <f t="shared" si="242"/>
        <v>0</v>
      </c>
      <c r="O1115" s="4">
        <f t="shared" si="243"/>
        <v>0</v>
      </c>
      <c r="P1115" s="4">
        <f t="shared" si="244"/>
        <v>0</v>
      </c>
      <c r="Q1115" s="4">
        <f t="shared" si="245"/>
        <v>0</v>
      </c>
      <c r="R1115" s="4">
        <f t="shared" si="246"/>
        <v>0</v>
      </c>
      <c r="S1115" s="4">
        <f>IF(AND(VLOOKUP(G1115,Dados!$D:$L,2,0)=VLOOKUP(I1115,Dados!$S:$V,2,0),VLOOKUP(G1115,Dados!$D:$L,3,0)=VLOOKUP(I1115,Dados!$S:$V,3,0)),0,1)</f>
        <v>0</v>
      </c>
      <c r="T1115" s="4">
        <f>IF(AND(VLOOKUP(G1115,Dados!$D:$L,3,0)&lt;=VLOOKUP(H1115,Dados!$X:$AB,2,0),VLOOKUP(G1115,Dados!$D:$L,4,0)&gt;=VLOOKUP(H1115,Dados!$X:$AB,3,0),VLOOKUP(G1115,Dados!$D:$L,4,0)&lt;=VLOOKUP(H1115,Dados!$X:$AB,4,0)),0,1)</f>
        <v>0</v>
      </c>
      <c r="U1115" s="4">
        <f>IF(COUNTIFS(F:F,F1115,H:H,H1115)&lt;=VLOOKUP(H1115,Dados!$X:$AB,5,0),0,1)</f>
        <v>0</v>
      </c>
    </row>
    <row r="1116" spans="6:21">
      <c r="F1116" s="4">
        <v>580</v>
      </c>
      <c r="G1116" s="4">
        <v>50</v>
      </c>
      <c r="H1116" s="4">
        <v>3</v>
      </c>
      <c r="I1116" s="4">
        <v>19</v>
      </c>
      <c r="J1116" s="4">
        <v>3</v>
      </c>
      <c r="K1116" s="4">
        <f t="shared" si="242"/>
        <v>0</v>
      </c>
      <c r="L1116" s="4">
        <f t="shared" si="242"/>
        <v>0</v>
      </c>
      <c r="M1116" s="4">
        <f t="shared" si="242"/>
        <v>0</v>
      </c>
      <c r="N1116" s="4">
        <f t="shared" si="242"/>
        <v>0</v>
      </c>
      <c r="O1116" s="4">
        <f t="shared" si="243"/>
        <v>0</v>
      </c>
      <c r="P1116" s="4">
        <f t="shared" si="244"/>
        <v>0</v>
      </c>
      <c r="Q1116" s="4">
        <f t="shared" si="245"/>
        <v>0</v>
      </c>
      <c r="R1116" s="4">
        <f t="shared" si="246"/>
        <v>0</v>
      </c>
      <c r="S1116" s="4">
        <f>IF(AND(VLOOKUP(G1116,Dados!$D:$L,2,0)=VLOOKUP(I1116,Dados!$S:$V,2,0),VLOOKUP(G1116,Dados!$D:$L,3,0)=VLOOKUP(I1116,Dados!$S:$V,3,0)),0,1)</f>
        <v>0</v>
      </c>
      <c r="T1116" s="4">
        <f>IF(AND(VLOOKUP(G1116,Dados!$D:$L,3,0)&lt;=VLOOKUP(H1116,Dados!$X:$AB,2,0),VLOOKUP(G1116,Dados!$D:$L,4,0)&gt;=VLOOKUP(H1116,Dados!$X:$AB,3,0),VLOOKUP(G1116,Dados!$D:$L,4,0)&lt;=VLOOKUP(H1116,Dados!$X:$AB,4,0)),0,1)</f>
        <v>0</v>
      </c>
      <c r="U1116" s="4">
        <f>IF(COUNTIFS(F:F,F1116,H:H,H1116)&lt;=VLOOKUP(H1116,Dados!$X:$AB,5,0),0,1)</f>
        <v>0</v>
      </c>
    </row>
    <row r="1117" spans="6:21">
      <c r="F1117" s="4">
        <v>581</v>
      </c>
      <c r="G1117" s="4">
        <v>59</v>
      </c>
      <c r="H1117" s="4">
        <v>1</v>
      </c>
      <c r="I1117" s="4">
        <v>21</v>
      </c>
      <c r="J1117" s="4">
        <v>1</v>
      </c>
      <c r="K1117" s="4">
        <f t="shared" si="242"/>
        <v>0</v>
      </c>
      <c r="L1117" s="4">
        <f t="shared" si="242"/>
        <v>0</v>
      </c>
      <c r="M1117" s="4">
        <f t="shared" si="242"/>
        <v>0</v>
      </c>
      <c r="N1117" s="4">
        <f t="shared" si="242"/>
        <v>0</v>
      </c>
      <c r="O1117" s="4">
        <f t="shared" si="243"/>
        <v>0</v>
      </c>
      <c r="P1117" s="4">
        <f t="shared" si="244"/>
        <v>0</v>
      </c>
      <c r="Q1117" s="4">
        <f t="shared" si="245"/>
        <v>0</v>
      </c>
      <c r="R1117" s="4">
        <f t="shared" si="246"/>
        <v>0</v>
      </c>
      <c r="S1117" s="4">
        <f>IF(AND(VLOOKUP(G1117,Dados!$D:$L,2,0)=VLOOKUP(I1117,Dados!$S:$V,2,0),VLOOKUP(G1117,Dados!$D:$L,3,0)=VLOOKUP(I1117,Dados!$S:$V,3,0)),0,1)</f>
        <v>0</v>
      </c>
      <c r="T1117" s="4">
        <f>IF(AND(VLOOKUP(G1117,Dados!$D:$L,3,0)&lt;=VLOOKUP(H1117,Dados!$X:$AB,2,0),VLOOKUP(G1117,Dados!$D:$L,4,0)&gt;=VLOOKUP(H1117,Dados!$X:$AB,3,0),VLOOKUP(G1117,Dados!$D:$L,4,0)&lt;=VLOOKUP(H1117,Dados!$X:$AB,4,0)),0,1)</f>
        <v>0</v>
      </c>
      <c r="U1117" s="4">
        <f>IF(COUNTIFS(F:F,F1117,H:H,H1117)&lt;=VLOOKUP(H1117,Dados!$X:$AB,5,0),0,1)</f>
        <v>0</v>
      </c>
    </row>
    <row r="1118" spans="6:21">
      <c r="F1118" s="4">
        <v>581</v>
      </c>
      <c r="G1118" s="4">
        <v>60</v>
      </c>
      <c r="H1118" s="4">
        <v>1</v>
      </c>
      <c r="I1118" s="4">
        <v>21</v>
      </c>
      <c r="J1118" s="4">
        <v>1</v>
      </c>
      <c r="K1118" s="4">
        <f t="shared" si="242"/>
        <v>0</v>
      </c>
      <c r="L1118" s="4">
        <f t="shared" si="242"/>
        <v>0</v>
      </c>
      <c r="M1118" s="4">
        <f t="shared" si="242"/>
        <v>0</v>
      </c>
      <c r="N1118" s="4">
        <f t="shared" si="242"/>
        <v>0</v>
      </c>
      <c r="O1118" s="4">
        <f t="shared" si="243"/>
        <v>0</v>
      </c>
      <c r="P1118" s="4">
        <f t="shared" si="244"/>
        <v>0</v>
      </c>
      <c r="Q1118" s="4">
        <f t="shared" si="245"/>
        <v>0</v>
      </c>
      <c r="R1118" s="4">
        <f t="shared" si="246"/>
        <v>0</v>
      </c>
      <c r="S1118" s="4">
        <f>IF(AND(VLOOKUP(G1118,Dados!$D:$L,2,0)=VLOOKUP(I1118,Dados!$S:$V,2,0),VLOOKUP(G1118,Dados!$D:$L,3,0)=VLOOKUP(I1118,Dados!$S:$V,3,0)),0,1)</f>
        <v>0</v>
      </c>
      <c r="T1118" s="4">
        <f>IF(AND(VLOOKUP(G1118,Dados!$D:$L,3,0)&lt;=VLOOKUP(H1118,Dados!$X:$AB,2,0),VLOOKUP(G1118,Dados!$D:$L,4,0)&gt;=VLOOKUP(H1118,Dados!$X:$AB,3,0),VLOOKUP(G1118,Dados!$D:$L,4,0)&lt;=VLOOKUP(H1118,Dados!$X:$AB,4,0)),0,1)</f>
        <v>0</v>
      </c>
      <c r="U1118" s="4">
        <f>IF(COUNTIFS(F:F,F1118,H:H,H1118)&lt;=VLOOKUP(H1118,Dados!$X:$AB,5,0),0,1)</f>
        <v>0</v>
      </c>
    </row>
    <row r="1119" spans="6:21">
      <c r="F1119" s="4">
        <v>581</v>
      </c>
      <c r="G1119" s="4">
        <v>66</v>
      </c>
      <c r="H1119" s="4">
        <v>1</v>
      </c>
      <c r="I1119" s="4">
        <v>21</v>
      </c>
      <c r="J1119" s="4">
        <v>6</v>
      </c>
      <c r="K1119" s="4">
        <f t="shared" si="242"/>
        <v>0</v>
      </c>
      <c r="L1119" s="4">
        <f t="shared" si="242"/>
        <v>0</v>
      </c>
      <c r="M1119" s="4">
        <f t="shared" si="242"/>
        <v>0</v>
      </c>
      <c r="N1119" s="4">
        <f t="shared" si="242"/>
        <v>0</v>
      </c>
      <c r="O1119" s="4">
        <f t="shared" si="243"/>
        <v>0</v>
      </c>
      <c r="P1119" s="4">
        <f t="shared" si="244"/>
        <v>0</v>
      </c>
      <c r="Q1119" s="4">
        <f t="shared" si="245"/>
        <v>0</v>
      </c>
      <c r="R1119" s="4">
        <f t="shared" si="246"/>
        <v>0</v>
      </c>
      <c r="S1119" s="4">
        <f>IF(AND(VLOOKUP(G1119,Dados!$D:$L,2,0)=VLOOKUP(I1119,Dados!$S:$V,2,0),VLOOKUP(G1119,Dados!$D:$L,3,0)=VLOOKUP(I1119,Dados!$S:$V,3,0)),0,1)</f>
        <v>0</v>
      </c>
      <c r="T1119" s="4">
        <f>IF(AND(VLOOKUP(G1119,Dados!$D:$L,3,0)&lt;=VLOOKUP(H1119,Dados!$X:$AB,2,0),VLOOKUP(G1119,Dados!$D:$L,4,0)&gt;=VLOOKUP(H1119,Dados!$X:$AB,3,0),VLOOKUP(G1119,Dados!$D:$L,4,0)&lt;=VLOOKUP(H1119,Dados!$X:$AB,4,0)),0,1)</f>
        <v>0</v>
      </c>
      <c r="U1119" s="4">
        <f>IF(COUNTIFS(F:F,F1119,H:H,H1119)&lt;=VLOOKUP(H1119,Dados!$X:$AB,5,0),0,1)</f>
        <v>0</v>
      </c>
    </row>
    <row r="1120" spans="6:21">
      <c r="F1120" s="4">
        <v>582</v>
      </c>
      <c r="G1120" s="4">
        <v>59</v>
      </c>
      <c r="H1120" s="4">
        <v>2</v>
      </c>
      <c r="I1120" s="4">
        <v>21</v>
      </c>
      <c r="J1120" s="4">
        <v>1</v>
      </c>
      <c r="K1120" s="4">
        <f t="shared" si="242"/>
        <v>0</v>
      </c>
      <c r="L1120" s="4">
        <f t="shared" si="242"/>
        <v>0</v>
      </c>
      <c r="M1120" s="4">
        <f t="shared" si="242"/>
        <v>0</v>
      </c>
      <c r="N1120" s="4">
        <f t="shared" si="242"/>
        <v>0</v>
      </c>
      <c r="O1120" s="4">
        <f t="shared" si="243"/>
        <v>0</v>
      </c>
      <c r="P1120" s="4">
        <f t="shared" si="244"/>
        <v>0</v>
      </c>
      <c r="Q1120" s="4">
        <f t="shared" si="245"/>
        <v>0</v>
      </c>
      <c r="R1120" s="4">
        <f t="shared" si="246"/>
        <v>0</v>
      </c>
      <c r="S1120" s="4">
        <f>IF(AND(VLOOKUP(G1120,Dados!$D:$L,2,0)=VLOOKUP(I1120,Dados!$S:$V,2,0),VLOOKUP(G1120,Dados!$D:$L,3,0)=VLOOKUP(I1120,Dados!$S:$V,3,0)),0,1)</f>
        <v>0</v>
      </c>
      <c r="T1120" s="4">
        <f>IF(AND(VLOOKUP(G1120,Dados!$D:$L,3,0)&lt;=VLOOKUP(H1120,Dados!$X:$AB,2,0),VLOOKUP(G1120,Dados!$D:$L,4,0)&gt;=VLOOKUP(H1120,Dados!$X:$AB,3,0),VLOOKUP(G1120,Dados!$D:$L,4,0)&lt;=VLOOKUP(H1120,Dados!$X:$AB,4,0)),0,1)</f>
        <v>0</v>
      </c>
      <c r="U1120" s="4">
        <f>IF(COUNTIFS(F:F,F1120,H:H,H1120)&lt;=VLOOKUP(H1120,Dados!$X:$AB,5,0),0,1)</f>
        <v>0</v>
      </c>
    </row>
    <row r="1121" spans="6:21">
      <c r="F1121" s="4">
        <v>582</v>
      </c>
      <c r="G1121" s="4">
        <v>60</v>
      </c>
      <c r="H1121" s="4">
        <v>2</v>
      </c>
      <c r="I1121" s="4">
        <v>21</v>
      </c>
      <c r="J1121" s="4">
        <v>1</v>
      </c>
      <c r="K1121" s="4">
        <f t="shared" si="242"/>
        <v>0</v>
      </c>
      <c r="L1121" s="4">
        <f t="shared" si="242"/>
        <v>0</v>
      </c>
      <c r="M1121" s="4">
        <f t="shared" si="242"/>
        <v>0</v>
      </c>
      <c r="N1121" s="4">
        <f t="shared" si="242"/>
        <v>0</v>
      </c>
      <c r="O1121" s="4">
        <f t="shared" si="243"/>
        <v>0</v>
      </c>
      <c r="P1121" s="4">
        <f t="shared" si="244"/>
        <v>0</v>
      </c>
      <c r="Q1121" s="4">
        <f t="shared" si="245"/>
        <v>0</v>
      </c>
      <c r="R1121" s="4">
        <f t="shared" si="246"/>
        <v>0</v>
      </c>
      <c r="S1121" s="4">
        <f>IF(AND(VLOOKUP(G1121,Dados!$D:$L,2,0)=VLOOKUP(I1121,Dados!$S:$V,2,0),VLOOKUP(G1121,Dados!$D:$L,3,0)=VLOOKUP(I1121,Dados!$S:$V,3,0)),0,1)</f>
        <v>0</v>
      </c>
      <c r="T1121" s="4">
        <f>IF(AND(VLOOKUP(G1121,Dados!$D:$L,3,0)&lt;=VLOOKUP(H1121,Dados!$X:$AB,2,0),VLOOKUP(G1121,Dados!$D:$L,4,0)&gt;=VLOOKUP(H1121,Dados!$X:$AB,3,0),VLOOKUP(G1121,Dados!$D:$L,4,0)&lt;=VLOOKUP(H1121,Dados!$X:$AB,4,0)),0,1)</f>
        <v>0</v>
      </c>
      <c r="U1121" s="4">
        <f>IF(COUNTIFS(F:F,F1121,H:H,H1121)&lt;=VLOOKUP(H1121,Dados!$X:$AB,5,0),0,1)</f>
        <v>0</v>
      </c>
    </row>
    <row r="1122" spans="6:21">
      <c r="F1122" s="4">
        <v>582</v>
      </c>
      <c r="G1122" s="4">
        <v>66</v>
      </c>
      <c r="H1122" s="4">
        <v>2</v>
      </c>
      <c r="I1122" s="4">
        <v>21</v>
      </c>
      <c r="J1122" s="4">
        <v>6</v>
      </c>
      <c r="K1122" s="4">
        <f t="shared" si="242"/>
        <v>0</v>
      </c>
      <c r="L1122" s="4">
        <f t="shared" si="242"/>
        <v>0</v>
      </c>
      <c r="M1122" s="4">
        <f t="shared" si="242"/>
        <v>0</v>
      </c>
      <c r="N1122" s="4">
        <f t="shared" si="242"/>
        <v>0</v>
      </c>
      <c r="O1122" s="4">
        <f t="shared" si="243"/>
        <v>0</v>
      </c>
      <c r="P1122" s="4">
        <f t="shared" si="244"/>
        <v>0</v>
      </c>
      <c r="Q1122" s="4">
        <f t="shared" si="245"/>
        <v>0</v>
      </c>
      <c r="R1122" s="4">
        <f t="shared" si="246"/>
        <v>0</v>
      </c>
      <c r="S1122" s="4">
        <f>IF(AND(VLOOKUP(G1122,Dados!$D:$L,2,0)=VLOOKUP(I1122,Dados!$S:$V,2,0),VLOOKUP(G1122,Dados!$D:$L,3,0)=VLOOKUP(I1122,Dados!$S:$V,3,0)),0,1)</f>
        <v>0</v>
      </c>
      <c r="T1122" s="4">
        <f>IF(AND(VLOOKUP(G1122,Dados!$D:$L,3,0)&lt;=VLOOKUP(H1122,Dados!$X:$AB,2,0),VLOOKUP(G1122,Dados!$D:$L,4,0)&gt;=VLOOKUP(H1122,Dados!$X:$AB,3,0),VLOOKUP(G1122,Dados!$D:$L,4,0)&lt;=VLOOKUP(H1122,Dados!$X:$AB,4,0)),0,1)</f>
        <v>0</v>
      </c>
      <c r="U1122" s="4">
        <f>IF(COUNTIFS(F:F,F1122,H:H,H1122)&lt;=VLOOKUP(H1122,Dados!$X:$AB,5,0),0,1)</f>
        <v>0</v>
      </c>
    </row>
    <row r="1123" spans="6:21">
      <c r="F1123" s="4">
        <v>583</v>
      </c>
      <c r="G1123" s="4">
        <v>59</v>
      </c>
      <c r="H1123" s="4">
        <v>3</v>
      </c>
      <c r="I1123" s="4">
        <v>21</v>
      </c>
      <c r="J1123" s="4">
        <v>1</v>
      </c>
      <c r="K1123" s="4">
        <f t="shared" si="242"/>
        <v>0</v>
      </c>
      <c r="L1123" s="4">
        <f t="shared" si="242"/>
        <v>0</v>
      </c>
      <c r="M1123" s="4">
        <f t="shared" si="242"/>
        <v>0</v>
      </c>
      <c r="N1123" s="4">
        <f t="shared" si="242"/>
        <v>0</v>
      </c>
      <c r="O1123" s="4">
        <f t="shared" si="243"/>
        <v>0</v>
      </c>
      <c r="P1123" s="4">
        <f t="shared" si="244"/>
        <v>0</v>
      </c>
      <c r="Q1123" s="4">
        <f t="shared" si="245"/>
        <v>0</v>
      </c>
      <c r="R1123" s="4">
        <f t="shared" si="246"/>
        <v>0</v>
      </c>
      <c r="S1123" s="4">
        <f>IF(AND(VLOOKUP(G1123,Dados!$D:$L,2,0)=VLOOKUP(I1123,Dados!$S:$V,2,0),VLOOKUP(G1123,Dados!$D:$L,3,0)=VLOOKUP(I1123,Dados!$S:$V,3,0)),0,1)</f>
        <v>0</v>
      </c>
      <c r="T1123" s="4">
        <f>IF(AND(VLOOKUP(G1123,Dados!$D:$L,3,0)&lt;=VLOOKUP(H1123,Dados!$X:$AB,2,0),VLOOKUP(G1123,Dados!$D:$L,4,0)&gt;=VLOOKUP(H1123,Dados!$X:$AB,3,0),VLOOKUP(G1123,Dados!$D:$L,4,0)&lt;=VLOOKUP(H1123,Dados!$X:$AB,4,0)),0,1)</f>
        <v>0</v>
      </c>
      <c r="U1123" s="4">
        <f>IF(COUNTIFS(F:F,F1123,H:H,H1123)&lt;=VLOOKUP(H1123,Dados!$X:$AB,5,0),0,1)</f>
        <v>0</v>
      </c>
    </row>
    <row r="1124" spans="6:21">
      <c r="F1124" s="4">
        <v>583</v>
      </c>
      <c r="G1124" s="4">
        <v>60</v>
      </c>
      <c r="H1124" s="4">
        <v>3</v>
      </c>
      <c r="I1124" s="4">
        <v>21</v>
      </c>
      <c r="J1124" s="4">
        <v>1</v>
      </c>
      <c r="K1124" s="4">
        <f t="shared" si="242"/>
        <v>0</v>
      </c>
      <c r="L1124" s="4">
        <f t="shared" si="242"/>
        <v>0</v>
      </c>
      <c r="M1124" s="4">
        <f t="shared" si="242"/>
        <v>0</v>
      </c>
      <c r="N1124" s="4">
        <f t="shared" si="242"/>
        <v>0</v>
      </c>
      <c r="O1124" s="4">
        <f t="shared" si="243"/>
        <v>0</v>
      </c>
      <c r="P1124" s="4">
        <f t="shared" si="244"/>
        <v>0</v>
      </c>
      <c r="Q1124" s="4">
        <f t="shared" si="245"/>
        <v>0</v>
      </c>
      <c r="R1124" s="4">
        <f t="shared" si="246"/>
        <v>0</v>
      </c>
      <c r="S1124" s="4">
        <f>IF(AND(VLOOKUP(G1124,Dados!$D:$L,2,0)=VLOOKUP(I1124,Dados!$S:$V,2,0),VLOOKUP(G1124,Dados!$D:$L,3,0)=VLOOKUP(I1124,Dados!$S:$V,3,0)),0,1)</f>
        <v>0</v>
      </c>
      <c r="T1124" s="4">
        <f>IF(AND(VLOOKUP(G1124,Dados!$D:$L,3,0)&lt;=VLOOKUP(H1124,Dados!$X:$AB,2,0),VLOOKUP(G1124,Dados!$D:$L,4,0)&gt;=VLOOKUP(H1124,Dados!$X:$AB,3,0),VLOOKUP(G1124,Dados!$D:$L,4,0)&lt;=VLOOKUP(H1124,Dados!$X:$AB,4,0)),0,1)</f>
        <v>0</v>
      </c>
      <c r="U1124" s="4">
        <f>IF(COUNTIFS(F:F,F1124,H:H,H1124)&lt;=VLOOKUP(H1124,Dados!$X:$AB,5,0),0,1)</f>
        <v>0</v>
      </c>
    </row>
    <row r="1125" spans="6:21">
      <c r="F1125" s="4">
        <v>583</v>
      </c>
      <c r="G1125" s="4">
        <v>66</v>
      </c>
      <c r="H1125" s="4">
        <v>3</v>
      </c>
      <c r="I1125" s="4">
        <v>21</v>
      </c>
      <c r="J1125" s="4">
        <v>6</v>
      </c>
      <c r="K1125" s="4">
        <f t="shared" si="242"/>
        <v>0</v>
      </c>
      <c r="L1125" s="4">
        <f t="shared" si="242"/>
        <v>0</v>
      </c>
      <c r="M1125" s="4">
        <f t="shared" si="242"/>
        <v>0</v>
      </c>
      <c r="N1125" s="4">
        <f t="shared" si="242"/>
        <v>0</v>
      </c>
      <c r="O1125" s="4">
        <f t="shared" si="243"/>
        <v>0</v>
      </c>
      <c r="P1125" s="4">
        <f t="shared" si="244"/>
        <v>0</v>
      </c>
      <c r="Q1125" s="4">
        <f t="shared" si="245"/>
        <v>0</v>
      </c>
      <c r="R1125" s="4">
        <f t="shared" si="246"/>
        <v>0</v>
      </c>
      <c r="S1125" s="4">
        <f>IF(AND(VLOOKUP(G1125,Dados!$D:$L,2,0)=VLOOKUP(I1125,Dados!$S:$V,2,0),VLOOKUP(G1125,Dados!$D:$L,3,0)=VLOOKUP(I1125,Dados!$S:$V,3,0)),0,1)</f>
        <v>0</v>
      </c>
      <c r="T1125" s="4">
        <f>IF(AND(VLOOKUP(G1125,Dados!$D:$L,3,0)&lt;=VLOOKUP(H1125,Dados!$X:$AB,2,0),VLOOKUP(G1125,Dados!$D:$L,4,0)&gt;=VLOOKUP(H1125,Dados!$X:$AB,3,0),VLOOKUP(G1125,Dados!$D:$L,4,0)&lt;=VLOOKUP(H1125,Dados!$X:$AB,4,0)),0,1)</f>
        <v>0</v>
      </c>
      <c r="U1125" s="4">
        <f>IF(COUNTIFS(F:F,F1125,H:H,H1125)&lt;=VLOOKUP(H1125,Dados!$X:$AB,5,0),0,1)</f>
        <v>0</v>
      </c>
    </row>
    <row r="1126" spans="6:21">
      <c r="F1126" s="4">
        <v>584</v>
      </c>
      <c r="G1126" s="4">
        <v>66</v>
      </c>
      <c r="H1126" s="4">
        <v>1</v>
      </c>
      <c r="I1126" s="4">
        <v>22</v>
      </c>
      <c r="J1126" s="4">
        <v>6</v>
      </c>
      <c r="K1126" s="4">
        <f t="shared" si="242"/>
        <v>0</v>
      </c>
      <c r="L1126" s="4">
        <f t="shared" si="242"/>
        <v>0</v>
      </c>
      <c r="M1126" s="4">
        <f t="shared" si="242"/>
        <v>0</v>
      </c>
      <c r="N1126" s="4">
        <f t="shared" si="242"/>
        <v>0</v>
      </c>
      <c r="O1126" s="4">
        <f t="shared" si="243"/>
        <v>0</v>
      </c>
      <c r="P1126" s="4">
        <f t="shared" si="244"/>
        <v>0</v>
      </c>
      <c r="Q1126" s="4">
        <f t="shared" si="245"/>
        <v>0</v>
      </c>
      <c r="R1126" s="4">
        <f t="shared" si="246"/>
        <v>0</v>
      </c>
      <c r="S1126" s="4">
        <f>IF(AND(VLOOKUP(G1126,Dados!$D:$L,2,0)=VLOOKUP(I1126,Dados!$S:$V,2,0),VLOOKUP(G1126,Dados!$D:$L,3,0)=VLOOKUP(I1126,Dados!$S:$V,3,0)),0,1)</f>
        <v>0</v>
      </c>
      <c r="T1126" s="4">
        <f>IF(AND(VLOOKUP(G1126,Dados!$D:$L,3,0)&lt;=VLOOKUP(H1126,Dados!$X:$AB,2,0),VLOOKUP(G1126,Dados!$D:$L,4,0)&gt;=VLOOKUP(H1126,Dados!$X:$AB,3,0),VLOOKUP(G1126,Dados!$D:$L,4,0)&lt;=VLOOKUP(H1126,Dados!$X:$AB,4,0)),0,1)</f>
        <v>0</v>
      </c>
      <c r="U1126" s="4">
        <f>IF(COUNTIFS(F:F,F1126,H:H,H1126)&lt;=VLOOKUP(H1126,Dados!$X:$AB,5,0),0,1)</f>
        <v>0</v>
      </c>
    </row>
    <row r="1127" spans="6:21">
      <c r="F1127" s="4">
        <v>585</v>
      </c>
      <c r="G1127" s="4">
        <v>66</v>
      </c>
      <c r="H1127" s="4">
        <v>2</v>
      </c>
      <c r="I1127" s="4">
        <v>22</v>
      </c>
      <c r="J1127" s="4">
        <v>6</v>
      </c>
      <c r="K1127" s="4">
        <f t="shared" ref="K1127:N1190" si="247">SUMIFS($X:$X,$W:$W,$F1127,$Z:$Z,$I1127,$AA:$AA,$H1127,$AB:$AB,K$2)</f>
        <v>0</v>
      </c>
      <c r="L1127" s="4">
        <f t="shared" si="247"/>
        <v>0</v>
      </c>
      <c r="M1127" s="4">
        <f t="shared" si="247"/>
        <v>0</v>
      </c>
      <c r="N1127" s="4">
        <f t="shared" si="247"/>
        <v>0</v>
      </c>
      <c r="O1127" s="4">
        <f t="shared" ref="O1127:O1190" si="248">$J1127*K1127</f>
        <v>0</v>
      </c>
      <c r="P1127" s="4">
        <f t="shared" ref="P1127:P1190" si="249">$J1127*L1127</f>
        <v>0</v>
      </c>
      <c r="Q1127" s="4">
        <f t="shared" ref="Q1127:Q1190" si="250">$J1127*M1127</f>
        <v>0</v>
      </c>
      <c r="R1127" s="4">
        <f t="shared" ref="R1127:R1190" si="251">$J1127*N1127</f>
        <v>0</v>
      </c>
      <c r="S1127" s="4">
        <f>IF(AND(VLOOKUP(G1127,Dados!$D:$L,2,0)=VLOOKUP(I1127,Dados!$S:$V,2,0),VLOOKUP(G1127,Dados!$D:$L,3,0)=VLOOKUP(I1127,Dados!$S:$V,3,0)),0,1)</f>
        <v>0</v>
      </c>
      <c r="T1127" s="4">
        <f>IF(AND(VLOOKUP(G1127,Dados!$D:$L,3,0)&lt;=VLOOKUP(H1127,Dados!$X:$AB,2,0),VLOOKUP(G1127,Dados!$D:$L,4,0)&gt;=VLOOKUP(H1127,Dados!$X:$AB,3,0),VLOOKUP(G1127,Dados!$D:$L,4,0)&lt;=VLOOKUP(H1127,Dados!$X:$AB,4,0)),0,1)</f>
        <v>0</v>
      </c>
      <c r="U1127" s="4">
        <f>IF(COUNTIFS(F:F,F1127,H:H,H1127)&lt;=VLOOKUP(H1127,Dados!$X:$AB,5,0),0,1)</f>
        <v>0</v>
      </c>
    </row>
    <row r="1128" spans="6:21">
      <c r="F1128" s="4">
        <v>586</v>
      </c>
      <c r="G1128" s="4">
        <v>66</v>
      </c>
      <c r="H1128" s="4">
        <v>3</v>
      </c>
      <c r="I1128" s="4">
        <v>22</v>
      </c>
      <c r="J1128" s="4">
        <v>6</v>
      </c>
      <c r="K1128" s="4">
        <f t="shared" si="247"/>
        <v>0</v>
      </c>
      <c r="L1128" s="4">
        <f t="shared" si="247"/>
        <v>0</v>
      </c>
      <c r="M1128" s="4">
        <f t="shared" si="247"/>
        <v>0</v>
      </c>
      <c r="N1128" s="4">
        <f t="shared" si="247"/>
        <v>0</v>
      </c>
      <c r="O1128" s="4">
        <f t="shared" si="248"/>
        <v>0</v>
      </c>
      <c r="P1128" s="4">
        <f t="shared" si="249"/>
        <v>0</v>
      </c>
      <c r="Q1128" s="4">
        <f t="shared" si="250"/>
        <v>0</v>
      </c>
      <c r="R1128" s="4">
        <f t="shared" si="251"/>
        <v>0</v>
      </c>
      <c r="S1128" s="4">
        <f>IF(AND(VLOOKUP(G1128,Dados!$D:$L,2,0)=VLOOKUP(I1128,Dados!$S:$V,2,0),VLOOKUP(G1128,Dados!$D:$L,3,0)=VLOOKUP(I1128,Dados!$S:$V,3,0)),0,1)</f>
        <v>0</v>
      </c>
      <c r="T1128" s="4">
        <f>IF(AND(VLOOKUP(G1128,Dados!$D:$L,3,0)&lt;=VLOOKUP(H1128,Dados!$X:$AB,2,0),VLOOKUP(G1128,Dados!$D:$L,4,0)&gt;=VLOOKUP(H1128,Dados!$X:$AB,3,0),VLOOKUP(G1128,Dados!$D:$L,4,0)&lt;=VLOOKUP(H1128,Dados!$X:$AB,4,0)),0,1)</f>
        <v>0</v>
      </c>
      <c r="U1128" s="4">
        <f>IF(COUNTIFS(F:F,F1128,H:H,H1128)&lt;=VLOOKUP(H1128,Dados!$X:$AB,5,0),0,1)</f>
        <v>0</v>
      </c>
    </row>
    <row r="1129" spans="6:21">
      <c r="F1129" s="4">
        <v>587</v>
      </c>
      <c r="G1129" s="4">
        <v>59</v>
      </c>
      <c r="H1129" s="4">
        <v>1</v>
      </c>
      <c r="I1129" s="4">
        <v>23</v>
      </c>
      <c r="J1129" s="4">
        <v>1</v>
      </c>
      <c r="K1129" s="4">
        <f t="shared" si="247"/>
        <v>0</v>
      </c>
      <c r="L1129" s="4">
        <f t="shared" si="247"/>
        <v>0</v>
      </c>
      <c r="M1129" s="4">
        <f t="shared" si="247"/>
        <v>0</v>
      </c>
      <c r="N1129" s="4">
        <f t="shared" si="247"/>
        <v>0</v>
      </c>
      <c r="O1129" s="4">
        <f t="shared" si="248"/>
        <v>0</v>
      </c>
      <c r="P1129" s="4">
        <f t="shared" si="249"/>
        <v>0</v>
      </c>
      <c r="Q1129" s="4">
        <f t="shared" si="250"/>
        <v>0</v>
      </c>
      <c r="R1129" s="4">
        <f t="shared" si="251"/>
        <v>0</v>
      </c>
      <c r="S1129" s="4">
        <f>IF(AND(VLOOKUP(G1129,Dados!$D:$L,2,0)=VLOOKUP(I1129,Dados!$S:$V,2,0),VLOOKUP(G1129,Dados!$D:$L,3,0)=VLOOKUP(I1129,Dados!$S:$V,3,0)),0,1)</f>
        <v>0</v>
      </c>
      <c r="T1129" s="4">
        <f>IF(AND(VLOOKUP(G1129,Dados!$D:$L,3,0)&lt;=VLOOKUP(H1129,Dados!$X:$AB,2,0),VLOOKUP(G1129,Dados!$D:$L,4,0)&gt;=VLOOKUP(H1129,Dados!$X:$AB,3,0),VLOOKUP(G1129,Dados!$D:$L,4,0)&lt;=VLOOKUP(H1129,Dados!$X:$AB,4,0)),0,1)</f>
        <v>0</v>
      </c>
      <c r="U1129" s="4">
        <f>IF(COUNTIFS(F:F,F1129,H:H,H1129)&lt;=VLOOKUP(H1129,Dados!$X:$AB,5,0),0,1)</f>
        <v>0</v>
      </c>
    </row>
    <row r="1130" spans="6:21">
      <c r="F1130" s="4">
        <v>587</v>
      </c>
      <c r="G1130" s="4">
        <v>60</v>
      </c>
      <c r="H1130" s="4">
        <v>1</v>
      </c>
      <c r="I1130" s="4">
        <v>23</v>
      </c>
      <c r="J1130" s="4">
        <v>1</v>
      </c>
      <c r="K1130" s="4">
        <f t="shared" si="247"/>
        <v>0</v>
      </c>
      <c r="L1130" s="4">
        <f t="shared" si="247"/>
        <v>0</v>
      </c>
      <c r="M1130" s="4">
        <f t="shared" si="247"/>
        <v>0</v>
      </c>
      <c r="N1130" s="4">
        <f t="shared" si="247"/>
        <v>0</v>
      </c>
      <c r="O1130" s="4">
        <f t="shared" si="248"/>
        <v>0</v>
      </c>
      <c r="P1130" s="4">
        <f t="shared" si="249"/>
        <v>0</v>
      </c>
      <c r="Q1130" s="4">
        <f t="shared" si="250"/>
        <v>0</v>
      </c>
      <c r="R1130" s="4">
        <f t="shared" si="251"/>
        <v>0</v>
      </c>
      <c r="S1130" s="4">
        <f>IF(AND(VLOOKUP(G1130,Dados!$D:$L,2,0)=VLOOKUP(I1130,Dados!$S:$V,2,0),VLOOKUP(G1130,Dados!$D:$L,3,0)=VLOOKUP(I1130,Dados!$S:$V,3,0)),0,1)</f>
        <v>0</v>
      </c>
      <c r="T1130" s="4">
        <f>IF(AND(VLOOKUP(G1130,Dados!$D:$L,3,0)&lt;=VLOOKUP(H1130,Dados!$X:$AB,2,0),VLOOKUP(G1130,Dados!$D:$L,4,0)&gt;=VLOOKUP(H1130,Dados!$X:$AB,3,0),VLOOKUP(G1130,Dados!$D:$L,4,0)&lt;=VLOOKUP(H1130,Dados!$X:$AB,4,0)),0,1)</f>
        <v>0</v>
      </c>
      <c r="U1130" s="4">
        <f>IF(COUNTIFS(F:F,F1130,H:H,H1130)&lt;=VLOOKUP(H1130,Dados!$X:$AB,5,0),0,1)</f>
        <v>0</v>
      </c>
    </row>
    <row r="1131" spans="6:21">
      <c r="F1131" s="4">
        <v>587</v>
      </c>
      <c r="G1131" s="4">
        <v>66</v>
      </c>
      <c r="H1131" s="4">
        <v>1</v>
      </c>
      <c r="I1131" s="4">
        <v>23</v>
      </c>
      <c r="J1131" s="4">
        <v>5</v>
      </c>
      <c r="K1131" s="4">
        <f t="shared" si="247"/>
        <v>0</v>
      </c>
      <c r="L1131" s="4">
        <f t="shared" si="247"/>
        <v>0</v>
      </c>
      <c r="M1131" s="4">
        <f t="shared" si="247"/>
        <v>0</v>
      </c>
      <c r="N1131" s="4">
        <f t="shared" si="247"/>
        <v>0</v>
      </c>
      <c r="O1131" s="4">
        <f t="shared" si="248"/>
        <v>0</v>
      </c>
      <c r="P1131" s="4">
        <f t="shared" si="249"/>
        <v>0</v>
      </c>
      <c r="Q1131" s="4">
        <f t="shared" si="250"/>
        <v>0</v>
      </c>
      <c r="R1131" s="4">
        <f t="shared" si="251"/>
        <v>0</v>
      </c>
      <c r="S1131" s="4">
        <f>IF(AND(VLOOKUP(G1131,Dados!$D:$L,2,0)=VLOOKUP(I1131,Dados!$S:$V,2,0),VLOOKUP(G1131,Dados!$D:$L,3,0)=VLOOKUP(I1131,Dados!$S:$V,3,0)),0,1)</f>
        <v>0</v>
      </c>
      <c r="T1131" s="4">
        <f>IF(AND(VLOOKUP(G1131,Dados!$D:$L,3,0)&lt;=VLOOKUP(H1131,Dados!$X:$AB,2,0),VLOOKUP(G1131,Dados!$D:$L,4,0)&gt;=VLOOKUP(H1131,Dados!$X:$AB,3,0),VLOOKUP(G1131,Dados!$D:$L,4,0)&lt;=VLOOKUP(H1131,Dados!$X:$AB,4,0)),0,1)</f>
        <v>0</v>
      </c>
      <c r="U1131" s="4">
        <f>IF(COUNTIFS(F:F,F1131,H:H,H1131)&lt;=VLOOKUP(H1131,Dados!$X:$AB,5,0),0,1)</f>
        <v>0</v>
      </c>
    </row>
    <row r="1132" spans="6:21">
      <c r="F1132" s="4">
        <v>588</v>
      </c>
      <c r="G1132" s="4">
        <v>59</v>
      </c>
      <c r="H1132" s="4">
        <v>2</v>
      </c>
      <c r="I1132" s="4">
        <v>23</v>
      </c>
      <c r="J1132" s="4">
        <v>1</v>
      </c>
      <c r="K1132" s="4">
        <f t="shared" si="247"/>
        <v>0</v>
      </c>
      <c r="L1132" s="4">
        <f t="shared" si="247"/>
        <v>0</v>
      </c>
      <c r="M1132" s="4">
        <f t="shared" si="247"/>
        <v>0</v>
      </c>
      <c r="N1132" s="4">
        <f t="shared" si="247"/>
        <v>0</v>
      </c>
      <c r="O1132" s="4">
        <f t="shared" si="248"/>
        <v>0</v>
      </c>
      <c r="P1132" s="4">
        <f t="shared" si="249"/>
        <v>0</v>
      </c>
      <c r="Q1132" s="4">
        <f t="shared" si="250"/>
        <v>0</v>
      </c>
      <c r="R1132" s="4">
        <f t="shared" si="251"/>
        <v>0</v>
      </c>
      <c r="S1132" s="4">
        <f>IF(AND(VLOOKUP(G1132,Dados!$D:$L,2,0)=VLOOKUP(I1132,Dados!$S:$V,2,0),VLOOKUP(G1132,Dados!$D:$L,3,0)=VLOOKUP(I1132,Dados!$S:$V,3,0)),0,1)</f>
        <v>0</v>
      </c>
      <c r="T1132" s="4">
        <f>IF(AND(VLOOKUP(G1132,Dados!$D:$L,3,0)&lt;=VLOOKUP(H1132,Dados!$X:$AB,2,0),VLOOKUP(G1132,Dados!$D:$L,4,0)&gt;=VLOOKUP(H1132,Dados!$X:$AB,3,0),VLOOKUP(G1132,Dados!$D:$L,4,0)&lt;=VLOOKUP(H1132,Dados!$X:$AB,4,0)),0,1)</f>
        <v>0</v>
      </c>
      <c r="U1132" s="4">
        <f>IF(COUNTIFS(F:F,F1132,H:H,H1132)&lt;=VLOOKUP(H1132,Dados!$X:$AB,5,0),0,1)</f>
        <v>0</v>
      </c>
    </row>
    <row r="1133" spans="6:21">
      <c r="F1133" s="4">
        <v>588</v>
      </c>
      <c r="G1133" s="4">
        <v>60</v>
      </c>
      <c r="H1133" s="4">
        <v>2</v>
      </c>
      <c r="I1133" s="4">
        <v>23</v>
      </c>
      <c r="J1133" s="4">
        <v>1</v>
      </c>
      <c r="K1133" s="4">
        <f t="shared" si="247"/>
        <v>0</v>
      </c>
      <c r="L1133" s="4">
        <f t="shared" si="247"/>
        <v>0</v>
      </c>
      <c r="M1133" s="4">
        <f t="shared" si="247"/>
        <v>0</v>
      </c>
      <c r="N1133" s="4">
        <f t="shared" si="247"/>
        <v>0</v>
      </c>
      <c r="O1133" s="4">
        <f t="shared" si="248"/>
        <v>0</v>
      </c>
      <c r="P1133" s="4">
        <f t="shared" si="249"/>
        <v>0</v>
      </c>
      <c r="Q1133" s="4">
        <f t="shared" si="250"/>
        <v>0</v>
      </c>
      <c r="R1133" s="4">
        <f t="shared" si="251"/>
        <v>0</v>
      </c>
      <c r="S1133" s="4">
        <f>IF(AND(VLOOKUP(G1133,Dados!$D:$L,2,0)=VLOOKUP(I1133,Dados!$S:$V,2,0),VLOOKUP(G1133,Dados!$D:$L,3,0)=VLOOKUP(I1133,Dados!$S:$V,3,0)),0,1)</f>
        <v>0</v>
      </c>
      <c r="T1133" s="4">
        <f>IF(AND(VLOOKUP(G1133,Dados!$D:$L,3,0)&lt;=VLOOKUP(H1133,Dados!$X:$AB,2,0),VLOOKUP(G1133,Dados!$D:$L,4,0)&gt;=VLOOKUP(H1133,Dados!$X:$AB,3,0),VLOOKUP(G1133,Dados!$D:$L,4,0)&lt;=VLOOKUP(H1133,Dados!$X:$AB,4,0)),0,1)</f>
        <v>0</v>
      </c>
      <c r="U1133" s="4">
        <f>IF(COUNTIFS(F:F,F1133,H:H,H1133)&lt;=VLOOKUP(H1133,Dados!$X:$AB,5,0),0,1)</f>
        <v>0</v>
      </c>
    </row>
    <row r="1134" spans="6:21">
      <c r="F1134" s="4">
        <v>588</v>
      </c>
      <c r="G1134" s="4">
        <v>66</v>
      </c>
      <c r="H1134" s="4">
        <v>2</v>
      </c>
      <c r="I1134" s="4">
        <v>23</v>
      </c>
      <c r="J1134" s="4">
        <v>5</v>
      </c>
      <c r="K1134" s="4">
        <f t="shared" si="247"/>
        <v>0</v>
      </c>
      <c r="L1134" s="4">
        <f t="shared" si="247"/>
        <v>0</v>
      </c>
      <c r="M1134" s="4">
        <f t="shared" si="247"/>
        <v>0</v>
      </c>
      <c r="N1134" s="4">
        <f t="shared" si="247"/>
        <v>0</v>
      </c>
      <c r="O1134" s="4">
        <f t="shared" si="248"/>
        <v>0</v>
      </c>
      <c r="P1134" s="4">
        <f t="shared" si="249"/>
        <v>0</v>
      </c>
      <c r="Q1134" s="4">
        <f t="shared" si="250"/>
        <v>0</v>
      </c>
      <c r="R1134" s="4">
        <f t="shared" si="251"/>
        <v>0</v>
      </c>
      <c r="S1134" s="4">
        <f>IF(AND(VLOOKUP(G1134,Dados!$D:$L,2,0)=VLOOKUP(I1134,Dados!$S:$V,2,0),VLOOKUP(G1134,Dados!$D:$L,3,0)=VLOOKUP(I1134,Dados!$S:$V,3,0)),0,1)</f>
        <v>0</v>
      </c>
      <c r="T1134" s="4">
        <f>IF(AND(VLOOKUP(G1134,Dados!$D:$L,3,0)&lt;=VLOOKUP(H1134,Dados!$X:$AB,2,0),VLOOKUP(G1134,Dados!$D:$L,4,0)&gt;=VLOOKUP(H1134,Dados!$X:$AB,3,0),VLOOKUP(G1134,Dados!$D:$L,4,0)&lt;=VLOOKUP(H1134,Dados!$X:$AB,4,0)),0,1)</f>
        <v>0</v>
      </c>
      <c r="U1134" s="4">
        <f>IF(COUNTIFS(F:F,F1134,H:H,H1134)&lt;=VLOOKUP(H1134,Dados!$X:$AB,5,0),0,1)</f>
        <v>0</v>
      </c>
    </row>
    <row r="1135" spans="6:21">
      <c r="F1135" s="4">
        <v>589</v>
      </c>
      <c r="G1135" s="4">
        <v>59</v>
      </c>
      <c r="H1135" s="4">
        <v>3</v>
      </c>
      <c r="I1135" s="4">
        <v>23</v>
      </c>
      <c r="J1135" s="4">
        <v>1</v>
      </c>
      <c r="K1135" s="4">
        <f t="shared" si="247"/>
        <v>0</v>
      </c>
      <c r="L1135" s="4">
        <f t="shared" si="247"/>
        <v>0</v>
      </c>
      <c r="M1135" s="4">
        <f t="shared" si="247"/>
        <v>0</v>
      </c>
      <c r="N1135" s="4">
        <f t="shared" si="247"/>
        <v>0</v>
      </c>
      <c r="O1135" s="4">
        <f t="shared" si="248"/>
        <v>0</v>
      </c>
      <c r="P1135" s="4">
        <f t="shared" si="249"/>
        <v>0</v>
      </c>
      <c r="Q1135" s="4">
        <f t="shared" si="250"/>
        <v>0</v>
      </c>
      <c r="R1135" s="4">
        <f t="shared" si="251"/>
        <v>0</v>
      </c>
      <c r="S1135" s="4">
        <f>IF(AND(VLOOKUP(G1135,Dados!$D:$L,2,0)=VLOOKUP(I1135,Dados!$S:$V,2,0),VLOOKUP(G1135,Dados!$D:$L,3,0)=VLOOKUP(I1135,Dados!$S:$V,3,0)),0,1)</f>
        <v>0</v>
      </c>
      <c r="T1135" s="4">
        <f>IF(AND(VLOOKUP(G1135,Dados!$D:$L,3,0)&lt;=VLOOKUP(H1135,Dados!$X:$AB,2,0),VLOOKUP(G1135,Dados!$D:$L,4,0)&gt;=VLOOKUP(H1135,Dados!$X:$AB,3,0),VLOOKUP(G1135,Dados!$D:$L,4,0)&lt;=VLOOKUP(H1135,Dados!$X:$AB,4,0)),0,1)</f>
        <v>0</v>
      </c>
      <c r="U1135" s="4">
        <f>IF(COUNTIFS(F:F,F1135,H:H,H1135)&lt;=VLOOKUP(H1135,Dados!$X:$AB,5,0),0,1)</f>
        <v>0</v>
      </c>
    </row>
    <row r="1136" spans="6:21">
      <c r="F1136" s="4">
        <v>589</v>
      </c>
      <c r="G1136" s="4">
        <v>60</v>
      </c>
      <c r="H1136" s="4">
        <v>3</v>
      </c>
      <c r="I1136" s="4">
        <v>23</v>
      </c>
      <c r="J1136" s="4">
        <v>1</v>
      </c>
      <c r="K1136" s="4">
        <f t="shared" si="247"/>
        <v>0</v>
      </c>
      <c r="L1136" s="4">
        <f t="shared" si="247"/>
        <v>0</v>
      </c>
      <c r="M1136" s="4">
        <f t="shared" si="247"/>
        <v>0</v>
      </c>
      <c r="N1136" s="4">
        <f t="shared" si="247"/>
        <v>0</v>
      </c>
      <c r="O1136" s="4">
        <f t="shared" si="248"/>
        <v>0</v>
      </c>
      <c r="P1136" s="4">
        <f t="shared" si="249"/>
        <v>0</v>
      </c>
      <c r="Q1136" s="4">
        <f t="shared" si="250"/>
        <v>0</v>
      </c>
      <c r="R1136" s="4">
        <f t="shared" si="251"/>
        <v>0</v>
      </c>
      <c r="S1136" s="4">
        <f>IF(AND(VLOOKUP(G1136,Dados!$D:$L,2,0)=VLOOKUP(I1136,Dados!$S:$V,2,0),VLOOKUP(G1136,Dados!$D:$L,3,0)=VLOOKUP(I1136,Dados!$S:$V,3,0)),0,1)</f>
        <v>0</v>
      </c>
      <c r="T1136" s="4">
        <f>IF(AND(VLOOKUP(G1136,Dados!$D:$L,3,0)&lt;=VLOOKUP(H1136,Dados!$X:$AB,2,0),VLOOKUP(G1136,Dados!$D:$L,4,0)&gt;=VLOOKUP(H1136,Dados!$X:$AB,3,0),VLOOKUP(G1136,Dados!$D:$L,4,0)&lt;=VLOOKUP(H1136,Dados!$X:$AB,4,0)),0,1)</f>
        <v>0</v>
      </c>
      <c r="U1136" s="4">
        <f>IF(COUNTIFS(F:F,F1136,H:H,H1136)&lt;=VLOOKUP(H1136,Dados!$X:$AB,5,0),0,1)</f>
        <v>0</v>
      </c>
    </row>
    <row r="1137" spans="6:21">
      <c r="F1137" s="4">
        <v>589</v>
      </c>
      <c r="G1137" s="4">
        <v>66</v>
      </c>
      <c r="H1137" s="4">
        <v>3</v>
      </c>
      <c r="I1137" s="4">
        <v>23</v>
      </c>
      <c r="J1137" s="4">
        <v>5</v>
      </c>
      <c r="K1137" s="4">
        <f t="shared" si="247"/>
        <v>0</v>
      </c>
      <c r="L1137" s="4">
        <f t="shared" si="247"/>
        <v>0</v>
      </c>
      <c r="M1137" s="4">
        <f t="shared" si="247"/>
        <v>0</v>
      </c>
      <c r="N1137" s="4">
        <f t="shared" si="247"/>
        <v>0</v>
      </c>
      <c r="O1137" s="4">
        <f t="shared" si="248"/>
        <v>0</v>
      </c>
      <c r="P1137" s="4">
        <f t="shared" si="249"/>
        <v>0</v>
      </c>
      <c r="Q1137" s="4">
        <f t="shared" si="250"/>
        <v>0</v>
      </c>
      <c r="R1137" s="4">
        <f t="shared" si="251"/>
        <v>0</v>
      </c>
      <c r="S1137" s="4">
        <f>IF(AND(VLOOKUP(G1137,Dados!$D:$L,2,0)=VLOOKUP(I1137,Dados!$S:$V,2,0),VLOOKUP(G1137,Dados!$D:$L,3,0)=VLOOKUP(I1137,Dados!$S:$V,3,0)),0,1)</f>
        <v>0</v>
      </c>
      <c r="T1137" s="4">
        <f>IF(AND(VLOOKUP(G1137,Dados!$D:$L,3,0)&lt;=VLOOKUP(H1137,Dados!$X:$AB,2,0),VLOOKUP(G1137,Dados!$D:$L,4,0)&gt;=VLOOKUP(H1137,Dados!$X:$AB,3,0),VLOOKUP(G1137,Dados!$D:$L,4,0)&lt;=VLOOKUP(H1137,Dados!$X:$AB,4,0)),0,1)</f>
        <v>0</v>
      </c>
      <c r="U1137" s="4">
        <f>IF(COUNTIFS(F:F,F1137,H:H,H1137)&lt;=VLOOKUP(H1137,Dados!$X:$AB,5,0),0,1)</f>
        <v>0</v>
      </c>
    </row>
    <row r="1138" spans="6:21">
      <c r="F1138" s="4">
        <v>590</v>
      </c>
      <c r="G1138" s="4">
        <v>66</v>
      </c>
      <c r="H1138" s="4">
        <v>1</v>
      </c>
      <c r="I1138" s="4">
        <v>24</v>
      </c>
      <c r="J1138" s="4">
        <v>6</v>
      </c>
      <c r="K1138" s="4">
        <f t="shared" si="247"/>
        <v>0</v>
      </c>
      <c r="L1138" s="4">
        <f t="shared" si="247"/>
        <v>0</v>
      </c>
      <c r="M1138" s="4">
        <f t="shared" si="247"/>
        <v>0</v>
      </c>
      <c r="N1138" s="4">
        <f t="shared" si="247"/>
        <v>0</v>
      </c>
      <c r="O1138" s="4">
        <f t="shared" si="248"/>
        <v>0</v>
      </c>
      <c r="P1138" s="4">
        <f t="shared" si="249"/>
        <v>0</v>
      </c>
      <c r="Q1138" s="4">
        <f t="shared" si="250"/>
        <v>0</v>
      </c>
      <c r="R1138" s="4">
        <f t="shared" si="251"/>
        <v>0</v>
      </c>
      <c r="S1138" s="4">
        <f>IF(AND(VLOOKUP(G1138,Dados!$D:$L,2,0)=VLOOKUP(I1138,Dados!$S:$V,2,0),VLOOKUP(G1138,Dados!$D:$L,3,0)=VLOOKUP(I1138,Dados!$S:$V,3,0)),0,1)</f>
        <v>0</v>
      </c>
      <c r="T1138" s="4">
        <f>IF(AND(VLOOKUP(G1138,Dados!$D:$L,3,0)&lt;=VLOOKUP(H1138,Dados!$X:$AB,2,0),VLOOKUP(G1138,Dados!$D:$L,4,0)&gt;=VLOOKUP(H1138,Dados!$X:$AB,3,0),VLOOKUP(G1138,Dados!$D:$L,4,0)&lt;=VLOOKUP(H1138,Dados!$X:$AB,4,0)),0,1)</f>
        <v>0</v>
      </c>
      <c r="U1138" s="4">
        <f>IF(COUNTIFS(F:F,F1138,H:H,H1138)&lt;=VLOOKUP(H1138,Dados!$X:$AB,5,0),0,1)</f>
        <v>0</v>
      </c>
    </row>
    <row r="1139" spans="6:21">
      <c r="F1139" s="4">
        <v>591</v>
      </c>
      <c r="G1139" s="4">
        <v>66</v>
      </c>
      <c r="H1139" s="4">
        <v>2</v>
      </c>
      <c r="I1139" s="4">
        <v>24</v>
      </c>
      <c r="J1139" s="4">
        <v>6</v>
      </c>
      <c r="K1139" s="4">
        <f t="shared" si="247"/>
        <v>0</v>
      </c>
      <c r="L1139" s="4">
        <f t="shared" si="247"/>
        <v>0</v>
      </c>
      <c r="M1139" s="4">
        <f t="shared" si="247"/>
        <v>0</v>
      </c>
      <c r="N1139" s="4">
        <f t="shared" si="247"/>
        <v>0</v>
      </c>
      <c r="O1139" s="4">
        <f t="shared" si="248"/>
        <v>0</v>
      </c>
      <c r="P1139" s="4">
        <f t="shared" si="249"/>
        <v>0</v>
      </c>
      <c r="Q1139" s="4">
        <f t="shared" si="250"/>
        <v>0</v>
      </c>
      <c r="R1139" s="4">
        <f t="shared" si="251"/>
        <v>0</v>
      </c>
      <c r="S1139" s="4">
        <f>IF(AND(VLOOKUP(G1139,Dados!$D:$L,2,0)=VLOOKUP(I1139,Dados!$S:$V,2,0),VLOOKUP(G1139,Dados!$D:$L,3,0)=VLOOKUP(I1139,Dados!$S:$V,3,0)),0,1)</f>
        <v>0</v>
      </c>
      <c r="T1139" s="4">
        <f>IF(AND(VLOOKUP(G1139,Dados!$D:$L,3,0)&lt;=VLOOKUP(H1139,Dados!$X:$AB,2,0),VLOOKUP(G1139,Dados!$D:$L,4,0)&gt;=VLOOKUP(H1139,Dados!$X:$AB,3,0),VLOOKUP(G1139,Dados!$D:$L,4,0)&lt;=VLOOKUP(H1139,Dados!$X:$AB,4,0)),0,1)</f>
        <v>0</v>
      </c>
      <c r="U1139" s="4">
        <f>IF(COUNTIFS(F:F,F1139,H:H,H1139)&lt;=VLOOKUP(H1139,Dados!$X:$AB,5,0),0,1)</f>
        <v>0</v>
      </c>
    </row>
    <row r="1140" spans="6:21">
      <c r="F1140" s="4">
        <v>592</v>
      </c>
      <c r="G1140" s="4">
        <v>66</v>
      </c>
      <c r="H1140" s="4">
        <v>3</v>
      </c>
      <c r="I1140" s="4">
        <v>24</v>
      </c>
      <c r="J1140" s="4">
        <v>6</v>
      </c>
      <c r="K1140" s="4">
        <f t="shared" si="247"/>
        <v>0</v>
      </c>
      <c r="L1140" s="4">
        <f t="shared" si="247"/>
        <v>0</v>
      </c>
      <c r="M1140" s="4">
        <f t="shared" si="247"/>
        <v>0</v>
      </c>
      <c r="N1140" s="4">
        <f t="shared" si="247"/>
        <v>0</v>
      </c>
      <c r="O1140" s="4">
        <f t="shared" si="248"/>
        <v>0</v>
      </c>
      <c r="P1140" s="4">
        <f t="shared" si="249"/>
        <v>0</v>
      </c>
      <c r="Q1140" s="4">
        <f t="shared" si="250"/>
        <v>0</v>
      </c>
      <c r="R1140" s="4">
        <f t="shared" si="251"/>
        <v>0</v>
      </c>
      <c r="S1140" s="4">
        <f>IF(AND(VLOOKUP(G1140,Dados!$D:$L,2,0)=VLOOKUP(I1140,Dados!$S:$V,2,0),VLOOKUP(G1140,Dados!$D:$L,3,0)=VLOOKUP(I1140,Dados!$S:$V,3,0)),0,1)</f>
        <v>0</v>
      </c>
      <c r="T1140" s="4">
        <f>IF(AND(VLOOKUP(G1140,Dados!$D:$L,3,0)&lt;=VLOOKUP(H1140,Dados!$X:$AB,2,0),VLOOKUP(G1140,Dados!$D:$L,4,0)&gt;=VLOOKUP(H1140,Dados!$X:$AB,3,0),VLOOKUP(G1140,Dados!$D:$L,4,0)&lt;=VLOOKUP(H1140,Dados!$X:$AB,4,0)),0,1)</f>
        <v>0</v>
      </c>
      <c r="U1140" s="4">
        <f>IF(COUNTIFS(F:F,F1140,H:H,H1140)&lt;=VLOOKUP(H1140,Dados!$X:$AB,5,0),0,1)</f>
        <v>0</v>
      </c>
    </row>
    <row r="1141" spans="6:21">
      <c r="F1141" s="4">
        <v>593</v>
      </c>
      <c r="G1141" s="4">
        <v>66</v>
      </c>
      <c r="H1141" s="4">
        <v>1</v>
      </c>
      <c r="I1141" s="4">
        <v>25</v>
      </c>
      <c r="J1141" s="4">
        <v>7</v>
      </c>
      <c r="K1141" s="4">
        <f t="shared" si="247"/>
        <v>0</v>
      </c>
      <c r="L1141" s="4">
        <f t="shared" si="247"/>
        <v>0</v>
      </c>
      <c r="M1141" s="4">
        <f t="shared" si="247"/>
        <v>0</v>
      </c>
      <c r="N1141" s="4">
        <f t="shared" si="247"/>
        <v>0</v>
      </c>
      <c r="O1141" s="4">
        <f t="shared" si="248"/>
        <v>0</v>
      </c>
      <c r="P1141" s="4">
        <f t="shared" si="249"/>
        <v>0</v>
      </c>
      <c r="Q1141" s="4">
        <f t="shared" si="250"/>
        <v>0</v>
      </c>
      <c r="R1141" s="4">
        <f t="shared" si="251"/>
        <v>0</v>
      </c>
      <c r="S1141" s="4">
        <f>IF(AND(VLOOKUP(G1141,Dados!$D:$L,2,0)=VLOOKUP(I1141,Dados!$S:$V,2,0),VLOOKUP(G1141,Dados!$D:$L,3,0)=VLOOKUP(I1141,Dados!$S:$V,3,0)),0,1)</f>
        <v>0</v>
      </c>
      <c r="T1141" s="4">
        <f>IF(AND(VLOOKUP(G1141,Dados!$D:$L,3,0)&lt;=VLOOKUP(H1141,Dados!$X:$AB,2,0),VLOOKUP(G1141,Dados!$D:$L,4,0)&gt;=VLOOKUP(H1141,Dados!$X:$AB,3,0),VLOOKUP(G1141,Dados!$D:$L,4,0)&lt;=VLOOKUP(H1141,Dados!$X:$AB,4,0)),0,1)</f>
        <v>0</v>
      </c>
      <c r="U1141" s="4">
        <f>IF(COUNTIFS(F:F,F1141,H:H,H1141)&lt;=VLOOKUP(H1141,Dados!$X:$AB,5,0),0,1)</f>
        <v>0</v>
      </c>
    </row>
    <row r="1142" spans="6:21">
      <c r="F1142" s="4">
        <v>594</v>
      </c>
      <c r="G1142" s="4">
        <v>66</v>
      </c>
      <c r="H1142" s="4">
        <v>2</v>
      </c>
      <c r="I1142" s="4">
        <v>25</v>
      </c>
      <c r="J1142" s="4">
        <v>7</v>
      </c>
      <c r="K1142" s="4">
        <f t="shared" si="247"/>
        <v>0</v>
      </c>
      <c r="L1142" s="4">
        <f t="shared" si="247"/>
        <v>0</v>
      </c>
      <c r="M1142" s="4">
        <f t="shared" si="247"/>
        <v>0</v>
      </c>
      <c r="N1142" s="4">
        <f t="shared" si="247"/>
        <v>0</v>
      </c>
      <c r="O1142" s="4">
        <f t="shared" si="248"/>
        <v>0</v>
      </c>
      <c r="P1142" s="4">
        <f t="shared" si="249"/>
        <v>0</v>
      </c>
      <c r="Q1142" s="4">
        <f t="shared" si="250"/>
        <v>0</v>
      </c>
      <c r="R1142" s="4">
        <f t="shared" si="251"/>
        <v>0</v>
      </c>
      <c r="S1142" s="4">
        <f>IF(AND(VLOOKUP(G1142,Dados!$D:$L,2,0)=VLOOKUP(I1142,Dados!$S:$V,2,0),VLOOKUP(G1142,Dados!$D:$L,3,0)=VLOOKUP(I1142,Dados!$S:$V,3,0)),0,1)</f>
        <v>0</v>
      </c>
      <c r="T1142" s="4">
        <f>IF(AND(VLOOKUP(G1142,Dados!$D:$L,3,0)&lt;=VLOOKUP(H1142,Dados!$X:$AB,2,0),VLOOKUP(G1142,Dados!$D:$L,4,0)&gt;=VLOOKUP(H1142,Dados!$X:$AB,3,0),VLOOKUP(G1142,Dados!$D:$L,4,0)&lt;=VLOOKUP(H1142,Dados!$X:$AB,4,0)),0,1)</f>
        <v>0</v>
      </c>
      <c r="U1142" s="4">
        <f>IF(COUNTIFS(F:F,F1142,H:H,H1142)&lt;=VLOOKUP(H1142,Dados!$X:$AB,5,0),0,1)</f>
        <v>0</v>
      </c>
    </row>
    <row r="1143" spans="6:21">
      <c r="F1143" s="4">
        <v>595</v>
      </c>
      <c r="G1143" s="4">
        <v>66</v>
      </c>
      <c r="H1143" s="4">
        <v>3</v>
      </c>
      <c r="I1143" s="4">
        <v>25</v>
      </c>
      <c r="J1143" s="4">
        <v>7</v>
      </c>
      <c r="K1143" s="4">
        <f t="shared" si="247"/>
        <v>0</v>
      </c>
      <c r="L1143" s="4">
        <f t="shared" si="247"/>
        <v>0</v>
      </c>
      <c r="M1143" s="4">
        <f t="shared" si="247"/>
        <v>0</v>
      </c>
      <c r="N1143" s="4">
        <f t="shared" si="247"/>
        <v>0</v>
      </c>
      <c r="O1143" s="4">
        <f t="shared" si="248"/>
        <v>0</v>
      </c>
      <c r="P1143" s="4">
        <f t="shared" si="249"/>
        <v>0</v>
      </c>
      <c r="Q1143" s="4">
        <f t="shared" si="250"/>
        <v>0</v>
      </c>
      <c r="R1143" s="4">
        <f t="shared" si="251"/>
        <v>0</v>
      </c>
      <c r="S1143" s="4">
        <f>IF(AND(VLOOKUP(G1143,Dados!$D:$L,2,0)=VLOOKUP(I1143,Dados!$S:$V,2,0),VLOOKUP(G1143,Dados!$D:$L,3,0)=VLOOKUP(I1143,Dados!$S:$V,3,0)),0,1)</f>
        <v>0</v>
      </c>
      <c r="T1143" s="4">
        <f>IF(AND(VLOOKUP(G1143,Dados!$D:$L,3,0)&lt;=VLOOKUP(H1143,Dados!$X:$AB,2,0),VLOOKUP(G1143,Dados!$D:$L,4,0)&gt;=VLOOKUP(H1143,Dados!$X:$AB,3,0),VLOOKUP(G1143,Dados!$D:$L,4,0)&lt;=VLOOKUP(H1143,Dados!$X:$AB,4,0)),0,1)</f>
        <v>0</v>
      </c>
      <c r="U1143" s="4">
        <f>IF(COUNTIFS(F:F,F1143,H:H,H1143)&lt;=VLOOKUP(H1143,Dados!$X:$AB,5,0),0,1)</f>
        <v>0</v>
      </c>
    </row>
    <row r="1144" spans="6:21">
      <c r="F1144" s="4">
        <v>596</v>
      </c>
      <c r="G1144" s="4">
        <v>59</v>
      </c>
      <c r="H1144" s="4">
        <v>1</v>
      </c>
      <c r="I1144" s="4">
        <v>26</v>
      </c>
      <c r="J1144" s="4">
        <v>1</v>
      </c>
      <c r="K1144" s="4">
        <f t="shared" si="247"/>
        <v>0</v>
      </c>
      <c r="L1144" s="4">
        <f t="shared" si="247"/>
        <v>0</v>
      </c>
      <c r="M1144" s="4">
        <f t="shared" si="247"/>
        <v>0</v>
      </c>
      <c r="N1144" s="4">
        <f t="shared" si="247"/>
        <v>0</v>
      </c>
      <c r="O1144" s="4">
        <f t="shared" si="248"/>
        <v>0</v>
      </c>
      <c r="P1144" s="4">
        <f t="shared" si="249"/>
        <v>0</v>
      </c>
      <c r="Q1144" s="4">
        <f t="shared" si="250"/>
        <v>0</v>
      </c>
      <c r="R1144" s="4">
        <f t="shared" si="251"/>
        <v>0</v>
      </c>
      <c r="S1144" s="4">
        <f>IF(AND(VLOOKUP(G1144,Dados!$D:$L,2,0)=VLOOKUP(I1144,Dados!$S:$V,2,0),VLOOKUP(G1144,Dados!$D:$L,3,0)=VLOOKUP(I1144,Dados!$S:$V,3,0)),0,1)</f>
        <v>0</v>
      </c>
      <c r="T1144" s="4">
        <f>IF(AND(VLOOKUP(G1144,Dados!$D:$L,3,0)&lt;=VLOOKUP(H1144,Dados!$X:$AB,2,0),VLOOKUP(G1144,Dados!$D:$L,4,0)&gt;=VLOOKUP(H1144,Dados!$X:$AB,3,0),VLOOKUP(G1144,Dados!$D:$L,4,0)&lt;=VLOOKUP(H1144,Dados!$X:$AB,4,0)),0,1)</f>
        <v>0</v>
      </c>
      <c r="U1144" s="4">
        <f>IF(COUNTIFS(F:F,F1144,H:H,H1144)&lt;=VLOOKUP(H1144,Dados!$X:$AB,5,0),0,1)</f>
        <v>0</v>
      </c>
    </row>
    <row r="1145" spans="6:21">
      <c r="F1145" s="4">
        <v>596</v>
      </c>
      <c r="G1145" s="4">
        <v>60</v>
      </c>
      <c r="H1145" s="4">
        <v>1</v>
      </c>
      <c r="I1145" s="4">
        <v>26</v>
      </c>
      <c r="J1145" s="4">
        <v>1</v>
      </c>
      <c r="K1145" s="4">
        <f t="shared" si="247"/>
        <v>0</v>
      </c>
      <c r="L1145" s="4">
        <f t="shared" si="247"/>
        <v>0</v>
      </c>
      <c r="M1145" s="4">
        <f t="shared" si="247"/>
        <v>0</v>
      </c>
      <c r="N1145" s="4">
        <f t="shared" si="247"/>
        <v>0</v>
      </c>
      <c r="O1145" s="4">
        <f t="shared" si="248"/>
        <v>0</v>
      </c>
      <c r="P1145" s="4">
        <f t="shared" si="249"/>
        <v>0</v>
      </c>
      <c r="Q1145" s="4">
        <f t="shared" si="250"/>
        <v>0</v>
      </c>
      <c r="R1145" s="4">
        <f t="shared" si="251"/>
        <v>0</v>
      </c>
      <c r="S1145" s="4">
        <f>IF(AND(VLOOKUP(G1145,Dados!$D:$L,2,0)=VLOOKUP(I1145,Dados!$S:$V,2,0),VLOOKUP(G1145,Dados!$D:$L,3,0)=VLOOKUP(I1145,Dados!$S:$V,3,0)),0,1)</f>
        <v>0</v>
      </c>
      <c r="T1145" s="4">
        <f>IF(AND(VLOOKUP(G1145,Dados!$D:$L,3,0)&lt;=VLOOKUP(H1145,Dados!$X:$AB,2,0),VLOOKUP(G1145,Dados!$D:$L,4,0)&gt;=VLOOKUP(H1145,Dados!$X:$AB,3,0),VLOOKUP(G1145,Dados!$D:$L,4,0)&lt;=VLOOKUP(H1145,Dados!$X:$AB,4,0)),0,1)</f>
        <v>0</v>
      </c>
      <c r="U1145" s="4">
        <f>IF(COUNTIFS(F:F,F1145,H:H,H1145)&lt;=VLOOKUP(H1145,Dados!$X:$AB,5,0),0,1)</f>
        <v>0</v>
      </c>
    </row>
    <row r="1146" spans="6:21">
      <c r="F1146" s="4">
        <v>596</v>
      </c>
      <c r="G1146" s="4">
        <v>66</v>
      </c>
      <c r="H1146" s="4">
        <v>1</v>
      </c>
      <c r="I1146" s="4">
        <v>26</v>
      </c>
      <c r="J1146" s="4">
        <v>5</v>
      </c>
      <c r="K1146" s="4">
        <f t="shared" si="247"/>
        <v>0</v>
      </c>
      <c r="L1146" s="4">
        <f t="shared" si="247"/>
        <v>0</v>
      </c>
      <c r="M1146" s="4">
        <f t="shared" si="247"/>
        <v>0</v>
      </c>
      <c r="N1146" s="4">
        <f t="shared" si="247"/>
        <v>0</v>
      </c>
      <c r="O1146" s="4">
        <f t="shared" si="248"/>
        <v>0</v>
      </c>
      <c r="P1146" s="4">
        <f t="shared" si="249"/>
        <v>0</v>
      </c>
      <c r="Q1146" s="4">
        <f t="shared" si="250"/>
        <v>0</v>
      </c>
      <c r="R1146" s="4">
        <f t="shared" si="251"/>
        <v>0</v>
      </c>
      <c r="S1146" s="4">
        <f>IF(AND(VLOOKUP(G1146,Dados!$D:$L,2,0)=VLOOKUP(I1146,Dados!$S:$V,2,0),VLOOKUP(G1146,Dados!$D:$L,3,0)=VLOOKUP(I1146,Dados!$S:$V,3,0)),0,1)</f>
        <v>0</v>
      </c>
      <c r="T1146" s="4">
        <f>IF(AND(VLOOKUP(G1146,Dados!$D:$L,3,0)&lt;=VLOOKUP(H1146,Dados!$X:$AB,2,0),VLOOKUP(G1146,Dados!$D:$L,4,0)&gt;=VLOOKUP(H1146,Dados!$X:$AB,3,0),VLOOKUP(G1146,Dados!$D:$L,4,0)&lt;=VLOOKUP(H1146,Dados!$X:$AB,4,0)),0,1)</f>
        <v>0</v>
      </c>
      <c r="U1146" s="4">
        <f>IF(COUNTIFS(F:F,F1146,H:H,H1146)&lt;=VLOOKUP(H1146,Dados!$X:$AB,5,0),0,1)</f>
        <v>0</v>
      </c>
    </row>
    <row r="1147" spans="6:21">
      <c r="F1147" s="4">
        <v>597</v>
      </c>
      <c r="G1147" s="4">
        <v>59</v>
      </c>
      <c r="H1147" s="4">
        <v>2</v>
      </c>
      <c r="I1147" s="4">
        <v>26</v>
      </c>
      <c r="J1147" s="4">
        <v>1</v>
      </c>
      <c r="K1147" s="4">
        <f t="shared" si="247"/>
        <v>0</v>
      </c>
      <c r="L1147" s="4">
        <f t="shared" si="247"/>
        <v>0</v>
      </c>
      <c r="M1147" s="4">
        <f t="shared" si="247"/>
        <v>0</v>
      </c>
      <c r="N1147" s="4">
        <f t="shared" si="247"/>
        <v>0</v>
      </c>
      <c r="O1147" s="4">
        <f t="shared" si="248"/>
        <v>0</v>
      </c>
      <c r="P1147" s="4">
        <f t="shared" si="249"/>
        <v>0</v>
      </c>
      <c r="Q1147" s="4">
        <f t="shared" si="250"/>
        <v>0</v>
      </c>
      <c r="R1147" s="4">
        <f t="shared" si="251"/>
        <v>0</v>
      </c>
      <c r="S1147" s="4">
        <f>IF(AND(VLOOKUP(G1147,Dados!$D:$L,2,0)=VLOOKUP(I1147,Dados!$S:$V,2,0),VLOOKUP(G1147,Dados!$D:$L,3,0)=VLOOKUP(I1147,Dados!$S:$V,3,0)),0,1)</f>
        <v>0</v>
      </c>
      <c r="T1147" s="4">
        <f>IF(AND(VLOOKUP(G1147,Dados!$D:$L,3,0)&lt;=VLOOKUP(H1147,Dados!$X:$AB,2,0),VLOOKUP(G1147,Dados!$D:$L,4,0)&gt;=VLOOKUP(H1147,Dados!$X:$AB,3,0),VLOOKUP(G1147,Dados!$D:$L,4,0)&lt;=VLOOKUP(H1147,Dados!$X:$AB,4,0)),0,1)</f>
        <v>0</v>
      </c>
      <c r="U1147" s="4">
        <f>IF(COUNTIFS(F:F,F1147,H:H,H1147)&lt;=VLOOKUP(H1147,Dados!$X:$AB,5,0),0,1)</f>
        <v>0</v>
      </c>
    </row>
    <row r="1148" spans="6:21">
      <c r="F1148" s="4">
        <v>597</v>
      </c>
      <c r="G1148" s="4">
        <v>60</v>
      </c>
      <c r="H1148" s="4">
        <v>2</v>
      </c>
      <c r="I1148" s="4">
        <v>26</v>
      </c>
      <c r="J1148" s="4">
        <v>1</v>
      </c>
      <c r="K1148" s="4">
        <f t="shared" si="247"/>
        <v>0</v>
      </c>
      <c r="L1148" s="4">
        <f t="shared" si="247"/>
        <v>0</v>
      </c>
      <c r="M1148" s="4">
        <f t="shared" si="247"/>
        <v>0</v>
      </c>
      <c r="N1148" s="4">
        <f t="shared" si="247"/>
        <v>0</v>
      </c>
      <c r="O1148" s="4">
        <f t="shared" si="248"/>
        <v>0</v>
      </c>
      <c r="P1148" s="4">
        <f t="shared" si="249"/>
        <v>0</v>
      </c>
      <c r="Q1148" s="4">
        <f t="shared" si="250"/>
        <v>0</v>
      </c>
      <c r="R1148" s="4">
        <f t="shared" si="251"/>
        <v>0</v>
      </c>
      <c r="S1148" s="4">
        <f>IF(AND(VLOOKUP(G1148,Dados!$D:$L,2,0)=VLOOKUP(I1148,Dados!$S:$V,2,0),VLOOKUP(G1148,Dados!$D:$L,3,0)=VLOOKUP(I1148,Dados!$S:$V,3,0)),0,1)</f>
        <v>0</v>
      </c>
      <c r="T1148" s="4">
        <f>IF(AND(VLOOKUP(G1148,Dados!$D:$L,3,0)&lt;=VLOOKUP(H1148,Dados!$X:$AB,2,0),VLOOKUP(G1148,Dados!$D:$L,4,0)&gt;=VLOOKUP(H1148,Dados!$X:$AB,3,0),VLOOKUP(G1148,Dados!$D:$L,4,0)&lt;=VLOOKUP(H1148,Dados!$X:$AB,4,0)),0,1)</f>
        <v>0</v>
      </c>
      <c r="U1148" s="4">
        <f>IF(COUNTIFS(F:F,F1148,H:H,H1148)&lt;=VLOOKUP(H1148,Dados!$X:$AB,5,0),0,1)</f>
        <v>0</v>
      </c>
    </row>
    <row r="1149" spans="6:21">
      <c r="F1149" s="4">
        <v>597</v>
      </c>
      <c r="G1149" s="4">
        <v>66</v>
      </c>
      <c r="H1149" s="4">
        <v>2</v>
      </c>
      <c r="I1149" s="4">
        <v>26</v>
      </c>
      <c r="J1149" s="4">
        <v>5</v>
      </c>
      <c r="K1149" s="4">
        <f t="shared" si="247"/>
        <v>0</v>
      </c>
      <c r="L1149" s="4">
        <f t="shared" si="247"/>
        <v>0</v>
      </c>
      <c r="M1149" s="4">
        <f t="shared" si="247"/>
        <v>0</v>
      </c>
      <c r="N1149" s="4">
        <f t="shared" si="247"/>
        <v>0</v>
      </c>
      <c r="O1149" s="4">
        <f t="shared" si="248"/>
        <v>0</v>
      </c>
      <c r="P1149" s="4">
        <f t="shared" si="249"/>
        <v>0</v>
      </c>
      <c r="Q1149" s="4">
        <f t="shared" si="250"/>
        <v>0</v>
      </c>
      <c r="R1149" s="4">
        <f t="shared" si="251"/>
        <v>0</v>
      </c>
      <c r="S1149" s="4">
        <f>IF(AND(VLOOKUP(G1149,Dados!$D:$L,2,0)=VLOOKUP(I1149,Dados!$S:$V,2,0),VLOOKUP(G1149,Dados!$D:$L,3,0)=VLOOKUP(I1149,Dados!$S:$V,3,0)),0,1)</f>
        <v>0</v>
      </c>
      <c r="T1149" s="4">
        <f>IF(AND(VLOOKUP(G1149,Dados!$D:$L,3,0)&lt;=VLOOKUP(H1149,Dados!$X:$AB,2,0),VLOOKUP(G1149,Dados!$D:$L,4,0)&gt;=VLOOKUP(H1149,Dados!$X:$AB,3,0),VLOOKUP(G1149,Dados!$D:$L,4,0)&lt;=VLOOKUP(H1149,Dados!$X:$AB,4,0)),0,1)</f>
        <v>0</v>
      </c>
      <c r="U1149" s="4">
        <f>IF(COUNTIFS(F:F,F1149,H:H,H1149)&lt;=VLOOKUP(H1149,Dados!$X:$AB,5,0),0,1)</f>
        <v>0</v>
      </c>
    </row>
    <row r="1150" spans="6:21">
      <c r="F1150" s="4">
        <v>598</v>
      </c>
      <c r="G1150" s="4">
        <v>59</v>
      </c>
      <c r="H1150" s="4">
        <v>3</v>
      </c>
      <c r="I1150" s="4">
        <v>26</v>
      </c>
      <c r="J1150" s="4">
        <v>1</v>
      </c>
      <c r="K1150" s="4">
        <f t="shared" si="247"/>
        <v>0</v>
      </c>
      <c r="L1150" s="4">
        <f t="shared" si="247"/>
        <v>0</v>
      </c>
      <c r="M1150" s="4">
        <f t="shared" si="247"/>
        <v>0</v>
      </c>
      <c r="N1150" s="4">
        <f t="shared" si="247"/>
        <v>0</v>
      </c>
      <c r="O1150" s="4">
        <f t="shared" si="248"/>
        <v>0</v>
      </c>
      <c r="P1150" s="4">
        <f t="shared" si="249"/>
        <v>0</v>
      </c>
      <c r="Q1150" s="4">
        <f t="shared" si="250"/>
        <v>0</v>
      </c>
      <c r="R1150" s="4">
        <f t="shared" si="251"/>
        <v>0</v>
      </c>
      <c r="S1150" s="4">
        <f>IF(AND(VLOOKUP(G1150,Dados!$D:$L,2,0)=VLOOKUP(I1150,Dados!$S:$V,2,0),VLOOKUP(G1150,Dados!$D:$L,3,0)=VLOOKUP(I1150,Dados!$S:$V,3,0)),0,1)</f>
        <v>0</v>
      </c>
      <c r="T1150" s="4">
        <f>IF(AND(VLOOKUP(G1150,Dados!$D:$L,3,0)&lt;=VLOOKUP(H1150,Dados!$X:$AB,2,0),VLOOKUP(G1150,Dados!$D:$L,4,0)&gt;=VLOOKUP(H1150,Dados!$X:$AB,3,0),VLOOKUP(G1150,Dados!$D:$L,4,0)&lt;=VLOOKUP(H1150,Dados!$X:$AB,4,0)),0,1)</f>
        <v>0</v>
      </c>
      <c r="U1150" s="4">
        <f>IF(COUNTIFS(F:F,F1150,H:H,H1150)&lt;=VLOOKUP(H1150,Dados!$X:$AB,5,0),0,1)</f>
        <v>0</v>
      </c>
    </row>
    <row r="1151" spans="6:21">
      <c r="F1151" s="4">
        <v>598</v>
      </c>
      <c r="G1151" s="4">
        <v>60</v>
      </c>
      <c r="H1151" s="4">
        <v>3</v>
      </c>
      <c r="I1151" s="4">
        <v>26</v>
      </c>
      <c r="J1151" s="4">
        <v>1</v>
      </c>
      <c r="K1151" s="4">
        <f t="shared" si="247"/>
        <v>0</v>
      </c>
      <c r="L1151" s="4">
        <f t="shared" si="247"/>
        <v>0</v>
      </c>
      <c r="M1151" s="4">
        <f t="shared" si="247"/>
        <v>0</v>
      </c>
      <c r="N1151" s="4">
        <f t="shared" si="247"/>
        <v>0</v>
      </c>
      <c r="O1151" s="4">
        <f t="shared" si="248"/>
        <v>0</v>
      </c>
      <c r="P1151" s="4">
        <f t="shared" si="249"/>
        <v>0</v>
      </c>
      <c r="Q1151" s="4">
        <f t="shared" si="250"/>
        <v>0</v>
      </c>
      <c r="R1151" s="4">
        <f t="shared" si="251"/>
        <v>0</v>
      </c>
      <c r="S1151" s="4">
        <f>IF(AND(VLOOKUP(G1151,Dados!$D:$L,2,0)=VLOOKUP(I1151,Dados!$S:$V,2,0),VLOOKUP(G1151,Dados!$D:$L,3,0)=VLOOKUP(I1151,Dados!$S:$V,3,0)),0,1)</f>
        <v>0</v>
      </c>
      <c r="T1151" s="4">
        <f>IF(AND(VLOOKUP(G1151,Dados!$D:$L,3,0)&lt;=VLOOKUP(H1151,Dados!$X:$AB,2,0),VLOOKUP(G1151,Dados!$D:$L,4,0)&gt;=VLOOKUP(H1151,Dados!$X:$AB,3,0),VLOOKUP(G1151,Dados!$D:$L,4,0)&lt;=VLOOKUP(H1151,Dados!$X:$AB,4,0)),0,1)</f>
        <v>0</v>
      </c>
      <c r="U1151" s="4">
        <f>IF(COUNTIFS(F:F,F1151,H:H,H1151)&lt;=VLOOKUP(H1151,Dados!$X:$AB,5,0),0,1)</f>
        <v>0</v>
      </c>
    </row>
    <row r="1152" spans="6:21">
      <c r="F1152" s="4">
        <v>598</v>
      </c>
      <c r="G1152" s="4">
        <v>66</v>
      </c>
      <c r="H1152" s="4">
        <v>3</v>
      </c>
      <c r="I1152" s="4">
        <v>26</v>
      </c>
      <c r="J1152" s="4">
        <v>5</v>
      </c>
      <c r="K1152" s="4">
        <f t="shared" si="247"/>
        <v>0</v>
      </c>
      <c r="L1152" s="4">
        <f t="shared" si="247"/>
        <v>0</v>
      </c>
      <c r="M1152" s="4">
        <f t="shared" si="247"/>
        <v>0</v>
      </c>
      <c r="N1152" s="4">
        <f t="shared" si="247"/>
        <v>0</v>
      </c>
      <c r="O1152" s="4">
        <f t="shared" si="248"/>
        <v>0</v>
      </c>
      <c r="P1152" s="4">
        <f t="shared" si="249"/>
        <v>0</v>
      </c>
      <c r="Q1152" s="4">
        <f t="shared" si="250"/>
        <v>0</v>
      </c>
      <c r="R1152" s="4">
        <f t="shared" si="251"/>
        <v>0</v>
      </c>
      <c r="S1152" s="4">
        <f>IF(AND(VLOOKUP(G1152,Dados!$D:$L,2,0)=VLOOKUP(I1152,Dados!$S:$V,2,0),VLOOKUP(G1152,Dados!$D:$L,3,0)=VLOOKUP(I1152,Dados!$S:$V,3,0)),0,1)</f>
        <v>0</v>
      </c>
      <c r="T1152" s="4">
        <f>IF(AND(VLOOKUP(G1152,Dados!$D:$L,3,0)&lt;=VLOOKUP(H1152,Dados!$X:$AB,2,0),VLOOKUP(G1152,Dados!$D:$L,4,0)&gt;=VLOOKUP(H1152,Dados!$X:$AB,3,0),VLOOKUP(G1152,Dados!$D:$L,4,0)&lt;=VLOOKUP(H1152,Dados!$X:$AB,4,0)),0,1)</f>
        <v>0</v>
      </c>
      <c r="U1152" s="4">
        <f>IF(COUNTIFS(F:F,F1152,H:H,H1152)&lt;=VLOOKUP(H1152,Dados!$X:$AB,5,0),0,1)</f>
        <v>0</v>
      </c>
    </row>
    <row r="1153" spans="6:21">
      <c r="F1153" s="4">
        <v>599</v>
      </c>
      <c r="G1153" s="4">
        <v>63</v>
      </c>
      <c r="H1153" s="4">
        <v>1</v>
      </c>
      <c r="I1153" s="4">
        <v>27</v>
      </c>
      <c r="J1153" s="4">
        <v>1</v>
      </c>
      <c r="K1153" s="4">
        <f t="shared" si="247"/>
        <v>0</v>
      </c>
      <c r="L1153" s="4">
        <f t="shared" si="247"/>
        <v>0</v>
      </c>
      <c r="M1153" s="4">
        <f t="shared" si="247"/>
        <v>0</v>
      </c>
      <c r="N1153" s="4">
        <f t="shared" si="247"/>
        <v>0</v>
      </c>
      <c r="O1153" s="4">
        <f t="shared" si="248"/>
        <v>0</v>
      </c>
      <c r="P1153" s="4">
        <f t="shared" si="249"/>
        <v>0</v>
      </c>
      <c r="Q1153" s="4">
        <f t="shared" si="250"/>
        <v>0</v>
      </c>
      <c r="R1153" s="4">
        <f t="shared" si="251"/>
        <v>0</v>
      </c>
      <c r="S1153" s="4">
        <f>IF(AND(VLOOKUP(G1153,Dados!$D:$L,2,0)=VLOOKUP(I1153,Dados!$S:$V,2,0),VLOOKUP(G1153,Dados!$D:$L,3,0)=VLOOKUP(I1153,Dados!$S:$V,3,0)),0,1)</f>
        <v>0</v>
      </c>
      <c r="T1153" s="4">
        <f>IF(AND(VLOOKUP(G1153,Dados!$D:$L,3,0)&lt;=VLOOKUP(H1153,Dados!$X:$AB,2,0),VLOOKUP(G1153,Dados!$D:$L,4,0)&gt;=VLOOKUP(H1153,Dados!$X:$AB,3,0),VLOOKUP(G1153,Dados!$D:$L,4,0)&lt;=VLOOKUP(H1153,Dados!$X:$AB,4,0)),0,1)</f>
        <v>0</v>
      </c>
      <c r="U1153" s="4">
        <f>IF(COUNTIFS(F:F,F1153,H:H,H1153)&lt;=VLOOKUP(H1153,Dados!$X:$AB,5,0),0,1)</f>
        <v>0</v>
      </c>
    </row>
    <row r="1154" spans="6:21">
      <c r="F1154" s="4">
        <v>599</v>
      </c>
      <c r="G1154" s="4">
        <v>66</v>
      </c>
      <c r="H1154" s="4">
        <v>1</v>
      </c>
      <c r="I1154" s="4">
        <v>27</v>
      </c>
      <c r="J1154" s="4">
        <v>6</v>
      </c>
      <c r="K1154" s="4">
        <f t="shared" si="247"/>
        <v>0</v>
      </c>
      <c r="L1154" s="4">
        <f t="shared" si="247"/>
        <v>0</v>
      </c>
      <c r="M1154" s="4">
        <f t="shared" si="247"/>
        <v>0</v>
      </c>
      <c r="N1154" s="4">
        <f t="shared" si="247"/>
        <v>0</v>
      </c>
      <c r="O1154" s="4">
        <f t="shared" si="248"/>
        <v>0</v>
      </c>
      <c r="P1154" s="4">
        <f t="shared" si="249"/>
        <v>0</v>
      </c>
      <c r="Q1154" s="4">
        <f t="shared" si="250"/>
        <v>0</v>
      </c>
      <c r="R1154" s="4">
        <f t="shared" si="251"/>
        <v>0</v>
      </c>
      <c r="S1154" s="4">
        <f>IF(AND(VLOOKUP(G1154,Dados!$D:$L,2,0)=VLOOKUP(I1154,Dados!$S:$V,2,0),VLOOKUP(G1154,Dados!$D:$L,3,0)=VLOOKUP(I1154,Dados!$S:$V,3,0)),0,1)</f>
        <v>0</v>
      </c>
      <c r="T1154" s="4">
        <f>IF(AND(VLOOKUP(G1154,Dados!$D:$L,3,0)&lt;=VLOOKUP(H1154,Dados!$X:$AB,2,0),VLOOKUP(G1154,Dados!$D:$L,4,0)&gt;=VLOOKUP(H1154,Dados!$X:$AB,3,0),VLOOKUP(G1154,Dados!$D:$L,4,0)&lt;=VLOOKUP(H1154,Dados!$X:$AB,4,0)),0,1)</f>
        <v>0</v>
      </c>
      <c r="U1154" s="4">
        <f>IF(COUNTIFS(F:F,F1154,H:H,H1154)&lt;=VLOOKUP(H1154,Dados!$X:$AB,5,0),0,1)</f>
        <v>0</v>
      </c>
    </row>
    <row r="1155" spans="6:21">
      <c r="F1155" s="4">
        <v>599</v>
      </c>
      <c r="G1155" s="4">
        <v>67</v>
      </c>
      <c r="H1155" s="4">
        <v>1</v>
      </c>
      <c r="I1155" s="4">
        <v>27</v>
      </c>
      <c r="J1155" s="4">
        <v>1</v>
      </c>
      <c r="K1155" s="4">
        <f t="shared" si="247"/>
        <v>0</v>
      </c>
      <c r="L1155" s="4">
        <f t="shared" si="247"/>
        <v>0</v>
      </c>
      <c r="M1155" s="4">
        <f t="shared" si="247"/>
        <v>0</v>
      </c>
      <c r="N1155" s="4">
        <f t="shared" si="247"/>
        <v>0</v>
      </c>
      <c r="O1155" s="4">
        <f t="shared" si="248"/>
        <v>0</v>
      </c>
      <c r="P1155" s="4">
        <f t="shared" si="249"/>
        <v>0</v>
      </c>
      <c r="Q1155" s="4">
        <f t="shared" si="250"/>
        <v>0</v>
      </c>
      <c r="R1155" s="4">
        <f t="shared" si="251"/>
        <v>0</v>
      </c>
      <c r="S1155" s="4">
        <f>IF(AND(VLOOKUP(G1155,Dados!$D:$L,2,0)=VLOOKUP(I1155,Dados!$S:$V,2,0),VLOOKUP(G1155,Dados!$D:$L,3,0)=VLOOKUP(I1155,Dados!$S:$V,3,0)),0,1)</f>
        <v>0</v>
      </c>
      <c r="T1155" s="4">
        <f>IF(AND(VLOOKUP(G1155,Dados!$D:$L,3,0)&lt;=VLOOKUP(H1155,Dados!$X:$AB,2,0),VLOOKUP(G1155,Dados!$D:$L,4,0)&gt;=VLOOKUP(H1155,Dados!$X:$AB,3,0),VLOOKUP(G1155,Dados!$D:$L,4,0)&lt;=VLOOKUP(H1155,Dados!$X:$AB,4,0)),0,1)</f>
        <v>0</v>
      </c>
      <c r="U1155" s="4">
        <f>IF(COUNTIFS(F:F,F1155,H:H,H1155)&lt;=VLOOKUP(H1155,Dados!$X:$AB,5,0),0,1)</f>
        <v>0</v>
      </c>
    </row>
    <row r="1156" spans="6:21">
      <c r="F1156" s="4">
        <v>600</v>
      </c>
      <c r="G1156" s="4">
        <v>63</v>
      </c>
      <c r="H1156" s="4">
        <v>2</v>
      </c>
      <c r="I1156" s="4">
        <v>27</v>
      </c>
      <c r="J1156" s="4">
        <v>1</v>
      </c>
      <c r="K1156" s="4">
        <f t="shared" si="247"/>
        <v>0</v>
      </c>
      <c r="L1156" s="4">
        <f t="shared" si="247"/>
        <v>0</v>
      </c>
      <c r="M1156" s="4">
        <f t="shared" si="247"/>
        <v>0</v>
      </c>
      <c r="N1156" s="4">
        <f t="shared" si="247"/>
        <v>0</v>
      </c>
      <c r="O1156" s="4">
        <f t="shared" si="248"/>
        <v>0</v>
      </c>
      <c r="P1156" s="4">
        <f t="shared" si="249"/>
        <v>0</v>
      </c>
      <c r="Q1156" s="4">
        <f t="shared" si="250"/>
        <v>0</v>
      </c>
      <c r="R1156" s="4">
        <f t="shared" si="251"/>
        <v>0</v>
      </c>
      <c r="S1156" s="4">
        <f>IF(AND(VLOOKUP(G1156,Dados!$D:$L,2,0)=VLOOKUP(I1156,Dados!$S:$V,2,0),VLOOKUP(G1156,Dados!$D:$L,3,0)=VLOOKUP(I1156,Dados!$S:$V,3,0)),0,1)</f>
        <v>0</v>
      </c>
      <c r="T1156" s="4">
        <f>IF(AND(VLOOKUP(G1156,Dados!$D:$L,3,0)&lt;=VLOOKUP(H1156,Dados!$X:$AB,2,0),VLOOKUP(G1156,Dados!$D:$L,4,0)&gt;=VLOOKUP(H1156,Dados!$X:$AB,3,0),VLOOKUP(G1156,Dados!$D:$L,4,0)&lt;=VLOOKUP(H1156,Dados!$X:$AB,4,0)),0,1)</f>
        <v>0</v>
      </c>
      <c r="U1156" s="4">
        <f>IF(COUNTIFS(F:F,F1156,H:H,H1156)&lt;=VLOOKUP(H1156,Dados!$X:$AB,5,0),0,1)</f>
        <v>0</v>
      </c>
    </row>
    <row r="1157" spans="6:21">
      <c r="F1157" s="4">
        <v>600</v>
      </c>
      <c r="G1157" s="4">
        <v>66</v>
      </c>
      <c r="H1157" s="4">
        <v>2</v>
      </c>
      <c r="I1157" s="4">
        <v>27</v>
      </c>
      <c r="J1157" s="4">
        <v>6</v>
      </c>
      <c r="K1157" s="4">
        <f t="shared" si="247"/>
        <v>0</v>
      </c>
      <c r="L1157" s="4">
        <f t="shared" si="247"/>
        <v>0</v>
      </c>
      <c r="M1157" s="4">
        <f t="shared" si="247"/>
        <v>0</v>
      </c>
      <c r="N1157" s="4">
        <f t="shared" si="247"/>
        <v>0</v>
      </c>
      <c r="O1157" s="4">
        <f t="shared" si="248"/>
        <v>0</v>
      </c>
      <c r="P1157" s="4">
        <f t="shared" si="249"/>
        <v>0</v>
      </c>
      <c r="Q1157" s="4">
        <f t="shared" si="250"/>
        <v>0</v>
      </c>
      <c r="R1157" s="4">
        <f t="shared" si="251"/>
        <v>0</v>
      </c>
      <c r="S1157" s="4">
        <f>IF(AND(VLOOKUP(G1157,Dados!$D:$L,2,0)=VLOOKUP(I1157,Dados!$S:$V,2,0),VLOOKUP(G1157,Dados!$D:$L,3,0)=VLOOKUP(I1157,Dados!$S:$V,3,0)),0,1)</f>
        <v>0</v>
      </c>
      <c r="T1157" s="4">
        <f>IF(AND(VLOOKUP(G1157,Dados!$D:$L,3,0)&lt;=VLOOKUP(H1157,Dados!$X:$AB,2,0),VLOOKUP(G1157,Dados!$D:$L,4,0)&gt;=VLOOKUP(H1157,Dados!$X:$AB,3,0),VLOOKUP(G1157,Dados!$D:$L,4,0)&lt;=VLOOKUP(H1157,Dados!$X:$AB,4,0)),0,1)</f>
        <v>0</v>
      </c>
      <c r="U1157" s="4">
        <f>IF(COUNTIFS(F:F,F1157,H:H,H1157)&lt;=VLOOKUP(H1157,Dados!$X:$AB,5,0),0,1)</f>
        <v>0</v>
      </c>
    </row>
    <row r="1158" spans="6:21">
      <c r="F1158" s="4">
        <v>600</v>
      </c>
      <c r="G1158" s="4">
        <v>67</v>
      </c>
      <c r="H1158" s="4">
        <v>2</v>
      </c>
      <c r="I1158" s="4">
        <v>27</v>
      </c>
      <c r="J1158" s="4">
        <v>1</v>
      </c>
      <c r="K1158" s="4">
        <f t="shared" si="247"/>
        <v>0</v>
      </c>
      <c r="L1158" s="4">
        <f t="shared" si="247"/>
        <v>0</v>
      </c>
      <c r="M1158" s="4">
        <f t="shared" si="247"/>
        <v>0</v>
      </c>
      <c r="N1158" s="4">
        <f t="shared" si="247"/>
        <v>0</v>
      </c>
      <c r="O1158" s="4">
        <f t="shared" si="248"/>
        <v>0</v>
      </c>
      <c r="P1158" s="4">
        <f t="shared" si="249"/>
        <v>0</v>
      </c>
      <c r="Q1158" s="4">
        <f t="shared" si="250"/>
        <v>0</v>
      </c>
      <c r="R1158" s="4">
        <f t="shared" si="251"/>
        <v>0</v>
      </c>
      <c r="S1158" s="4">
        <f>IF(AND(VLOOKUP(G1158,Dados!$D:$L,2,0)=VLOOKUP(I1158,Dados!$S:$V,2,0),VLOOKUP(G1158,Dados!$D:$L,3,0)=VLOOKUP(I1158,Dados!$S:$V,3,0)),0,1)</f>
        <v>0</v>
      </c>
      <c r="T1158" s="4">
        <f>IF(AND(VLOOKUP(G1158,Dados!$D:$L,3,0)&lt;=VLOOKUP(H1158,Dados!$X:$AB,2,0),VLOOKUP(G1158,Dados!$D:$L,4,0)&gt;=VLOOKUP(H1158,Dados!$X:$AB,3,0),VLOOKUP(G1158,Dados!$D:$L,4,0)&lt;=VLOOKUP(H1158,Dados!$X:$AB,4,0)),0,1)</f>
        <v>0</v>
      </c>
      <c r="U1158" s="4">
        <f>IF(COUNTIFS(F:F,F1158,H:H,H1158)&lt;=VLOOKUP(H1158,Dados!$X:$AB,5,0),0,1)</f>
        <v>0</v>
      </c>
    </row>
    <row r="1159" spans="6:21">
      <c r="F1159" s="4">
        <v>601</v>
      </c>
      <c r="G1159" s="4">
        <v>63</v>
      </c>
      <c r="H1159" s="4">
        <v>3</v>
      </c>
      <c r="I1159" s="4">
        <v>27</v>
      </c>
      <c r="J1159" s="4">
        <v>1</v>
      </c>
      <c r="K1159" s="4">
        <f t="shared" si="247"/>
        <v>0</v>
      </c>
      <c r="L1159" s="4">
        <f t="shared" si="247"/>
        <v>0</v>
      </c>
      <c r="M1159" s="4">
        <f t="shared" si="247"/>
        <v>0</v>
      </c>
      <c r="N1159" s="4">
        <f t="shared" si="247"/>
        <v>0</v>
      </c>
      <c r="O1159" s="4">
        <f t="shared" si="248"/>
        <v>0</v>
      </c>
      <c r="P1159" s="4">
        <f t="shared" si="249"/>
        <v>0</v>
      </c>
      <c r="Q1159" s="4">
        <f t="shared" si="250"/>
        <v>0</v>
      </c>
      <c r="R1159" s="4">
        <f t="shared" si="251"/>
        <v>0</v>
      </c>
      <c r="S1159" s="4">
        <f>IF(AND(VLOOKUP(G1159,Dados!$D:$L,2,0)=VLOOKUP(I1159,Dados!$S:$V,2,0),VLOOKUP(G1159,Dados!$D:$L,3,0)=VLOOKUP(I1159,Dados!$S:$V,3,0)),0,1)</f>
        <v>0</v>
      </c>
      <c r="T1159" s="4">
        <f>IF(AND(VLOOKUP(G1159,Dados!$D:$L,3,0)&lt;=VLOOKUP(H1159,Dados!$X:$AB,2,0),VLOOKUP(G1159,Dados!$D:$L,4,0)&gt;=VLOOKUP(H1159,Dados!$X:$AB,3,0),VLOOKUP(G1159,Dados!$D:$L,4,0)&lt;=VLOOKUP(H1159,Dados!$X:$AB,4,0)),0,1)</f>
        <v>0</v>
      </c>
      <c r="U1159" s="4">
        <f>IF(COUNTIFS(F:F,F1159,H:H,H1159)&lt;=VLOOKUP(H1159,Dados!$X:$AB,5,0),0,1)</f>
        <v>0</v>
      </c>
    </row>
    <row r="1160" spans="6:21">
      <c r="F1160" s="4">
        <v>601</v>
      </c>
      <c r="G1160" s="4">
        <v>66</v>
      </c>
      <c r="H1160" s="4">
        <v>3</v>
      </c>
      <c r="I1160" s="4">
        <v>27</v>
      </c>
      <c r="J1160" s="4">
        <v>6</v>
      </c>
      <c r="K1160" s="4">
        <f t="shared" si="247"/>
        <v>0</v>
      </c>
      <c r="L1160" s="4">
        <f t="shared" si="247"/>
        <v>0</v>
      </c>
      <c r="M1160" s="4">
        <f t="shared" si="247"/>
        <v>0</v>
      </c>
      <c r="N1160" s="4">
        <f t="shared" si="247"/>
        <v>0</v>
      </c>
      <c r="O1160" s="4">
        <f t="shared" si="248"/>
        <v>0</v>
      </c>
      <c r="P1160" s="4">
        <f t="shared" si="249"/>
        <v>0</v>
      </c>
      <c r="Q1160" s="4">
        <f t="shared" si="250"/>
        <v>0</v>
      </c>
      <c r="R1160" s="4">
        <f t="shared" si="251"/>
        <v>0</v>
      </c>
      <c r="S1160" s="4">
        <f>IF(AND(VLOOKUP(G1160,Dados!$D:$L,2,0)=VLOOKUP(I1160,Dados!$S:$V,2,0),VLOOKUP(G1160,Dados!$D:$L,3,0)=VLOOKUP(I1160,Dados!$S:$V,3,0)),0,1)</f>
        <v>0</v>
      </c>
      <c r="T1160" s="4">
        <f>IF(AND(VLOOKUP(G1160,Dados!$D:$L,3,0)&lt;=VLOOKUP(H1160,Dados!$X:$AB,2,0),VLOOKUP(G1160,Dados!$D:$L,4,0)&gt;=VLOOKUP(H1160,Dados!$X:$AB,3,0),VLOOKUP(G1160,Dados!$D:$L,4,0)&lt;=VLOOKUP(H1160,Dados!$X:$AB,4,0)),0,1)</f>
        <v>0</v>
      </c>
      <c r="U1160" s="4">
        <f>IF(COUNTIFS(F:F,F1160,H:H,H1160)&lt;=VLOOKUP(H1160,Dados!$X:$AB,5,0),0,1)</f>
        <v>0</v>
      </c>
    </row>
    <row r="1161" spans="6:21">
      <c r="F1161" s="4">
        <v>601</v>
      </c>
      <c r="G1161" s="4">
        <v>67</v>
      </c>
      <c r="H1161" s="4">
        <v>3</v>
      </c>
      <c r="I1161" s="4">
        <v>27</v>
      </c>
      <c r="J1161" s="4">
        <v>1</v>
      </c>
      <c r="K1161" s="4">
        <f t="shared" si="247"/>
        <v>0</v>
      </c>
      <c r="L1161" s="4">
        <f t="shared" si="247"/>
        <v>0</v>
      </c>
      <c r="M1161" s="4">
        <f t="shared" si="247"/>
        <v>0</v>
      </c>
      <c r="N1161" s="4">
        <f t="shared" si="247"/>
        <v>0</v>
      </c>
      <c r="O1161" s="4">
        <f t="shared" si="248"/>
        <v>0</v>
      </c>
      <c r="P1161" s="4">
        <f t="shared" si="249"/>
        <v>0</v>
      </c>
      <c r="Q1161" s="4">
        <f t="shared" si="250"/>
        <v>0</v>
      </c>
      <c r="R1161" s="4">
        <f t="shared" si="251"/>
        <v>0</v>
      </c>
      <c r="S1161" s="4">
        <f>IF(AND(VLOOKUP(G1161,Dados!$D:$L,2,0)=VLOOKUP(I1161,Dados!$S:$V,2,0),VLOOKUP(G1161,Dados!$D:$L,3,0)=VLOOKUP(I1161,Dados!$S:$V,3,0)),0,1)</f>
        <v>0</v>
      </c>
      <c r="T1161" s="4">
        <f>IF(AND(VLOOKUP(G1161,Dados!$D:$L,3,0)&lt;=VLOOKUP(H1161,Dados!$X:$AB,2,0),VLOOKUP(G1161,Dados!$D:$L,4,0)&gt;=VLOOKUP(H1161,Dados!$X:$AB,3,0),VLOOKUP(G1161,Dados!$D:$L,4,0)&lt;=VLOOKUP(H1161,Dados!$X:$AB,4,0)),0,1)</f>
        <v>0</v>
      </c>
      <c r="U1161" s="4">
        <f>IF(COUNTIFS(F:F,F1161,H:H,H1161)&lt;=VLOOKUP(H1161,Dados!$X:$AB,5,0),0,1)</f>
        <v>0</v>
      </c>
    </row>
    <row r="1162" spans="6:21">
      <c r="F1162" s="4">
        <v>602</v>
      </c>
      <c r="G1162" s="4">
        <v>59</v>
      </c>
      <c r="H1162" s="4">
        <v>1</v>
      </c>
      <c r="I1162" s="4">
        <v>28</v>
      </c>
      <c r="J1162" s="4">
        <v>1</v>
      </c>
      <c r="K1162" s="4">
        <f t="shared" si="247"/>
        <v>0</v>
      </c>
      <c r="L1162" s="4">
        <f t="shared" si="247"/>
        <v>0</v>
      </c>
      <c r="M1162" s="4">
        <f t="shared" si="247"/>
        <v>0</v>
      </c>
      <c r="N1162" s="4">
        <f t="shared" si="247"/>
        <v>0</v>
      </c>
      <c r="O1162" s="4">
        <f t="shared" si="248"/>
        <v>0</v>
      </c>
      <c r="P1162" s="4">
        <f t="shared" si="249"/>
        <v>0</v>
      </c>
      <c r="Q1162" s="4">
        <f t="shared" si="250"/>
        <v>0</v>
      </c>
      <c r="R1162" s="4">
        <f t="shared" si="251"/>
        <v>0</v>
      </c>
      <c r="S1162" s="4">
        <f>IF(AND(VLOOKUP(G1162,Dados!$D:$L,2,0)=VLOOKUP(I1162,Dados!$S:$V,2,0),VLOOKUP(G1162,Dados!$D:$L,3,0)=VLOOKUP(I1162,Dados!$S:$V,3,0)),0,1)</f>
        <v>0</v>
      </c>
      <c r="T1162" s="4">
        <f>IF(AND(VLOOKUP(G1162,Dados!$D:$L,3,0)&lt;=VLOOKUP(H1162,Dados!$X:$AB,2,0),VLOOKUP(G1162,Dados!$D:$L,4,0)&gt;=VLOOKUP(H1162,Dados!$X:$AB,3,0),VLOOKUP(G1162,Dados!$D:$L,4,0)&lt;=VLOOKUP(H1162,Dados!$X:$AB,4,0)),0,1)</f>
        <v>0</v>
      </c>
      <c r="U1162" s="4">
        <f>IF(COUNTIFS(F:F,F1162,H:H,H1162)&lt;=VLOOKUP(H1162,Dados!$X:$AB,5,0),0,1)</f>
        <v>0</v>
      </c>
    </row>
    <row r="1163" spans="6:21">
      <c r="F1163" s="4">
        <v>602</v>
      </c>
      <c r="G1163" s="4">
        <v>63</v>
      </c>
      <c r="H1163" s="4">
        <v>1</v>
      </c>
      <c r="I1163" s="4">
        <v>28</v>
      </c>
      <c r="J1163" s="4">
        <v>1</v>
      </c>
      <c r="K1163" s="4">
        <f t="shared" si="247"/>
        <v>0</v>
      </c>
      <c r="L1163" s="4">
        <f t="shared" si="247"/>
        <v>0</v>
      </c>
      <c r="M1163" s="4">
        <f t="shared" si="247"/>
        <v>0</v>
      </c>
      <c r="N1163" s="4">
        <f t="shared" si="247"/>
        <v>0</v>
      </c>
      <c r="O1163" s="4">
        <f t="shared" si="248"/>
        <v>0</v>
      </c>
      <c r="P1163" s="4">
        <f t="shared" si="249"/>
        <v>0</v>
      </c>
      <c r="Q1163" s="4">
        <f t="shared" si="250"/>
        <v>0</v>
      </c>
      <c r="R1163" s="4">
        <f t="shared" si="251"/>
        <v>0</v>
      </c>
      <c r="S1163" s="4">
        <f>IF(AND(VLOOKUP(G1163,Dados!$D:$L,2,0)=VLOOKUP(I1163,Dados!$S:$V,2,0),VLOOKUP(G1163,Dados!$D:$L,3,0)=VLOOKUP(I1163,Dados!$S:$V,3,0)),0,1)</f>
        <v>0</v>
      </c>
      <c r="T1163" s="4">
        <f>IF(AND(VLOOKUP(G1163,Dados!$D:$L,3,0)&lt;=VLOOKUP(H1163,Dados!$X:$AB,2,0),VLOOKUP(G1163,Dados!$D:$L,4,0)&gt;=VLOOKUP(H1163,Dados!$X:$AB,3,0),VLOOKUP(G1163,Dados!$D:$L,4,0)&lt;=VLOOKUP(H1163,Dados!$X:$AB,4,0)),0,1)</f>
        <v>0</v>
      </c>
      <c r="U1163" s="4">
        <f>IF(COUNTIFS(F:F,F1163,H:H,H1163)&lt;=VLOOKUP(H1163,Dados!$X:$AB,5,0),0,1)</f>
        <v>0</v>
      </c>
    </row>
    <row r="1164" spans="6:21">
      <c r="F1164" s="4">
        <v>602</v>
      </c>
      <c r="G1164" s="4">
        <v>66</v>
      </c>
      <c r="H1164" s="4">
        <v>1</v>
      </c>
      <c r="I1164" s="4">
        <v>28</v>
      </c>
      <c r="J1164" s="4">
        <v>6</v>
      </c>
      <c r="K1164" s="4">
        <f t="shared" si="247"/>
        <v>0</v>
      </c>
      <c r="L1164" s="4">
        <f t="shared" si="247"/>
        <v>0</v>
      </c>
      <c r="M1164" s="4">
        <f t="shared" si="247"/>
        <v>0</v>
      </c>
      <c r="N1164" s="4">
        <f t="shared" si="247"/>
        <v>0</v>
      </c>
      <c r="O1164" s="4">
        <f t="shared" si="248"/>
        <v>0</v>
      </c>
      <c r="P1164" s="4">
        <f t="shared" si="249"/>
        <v>0</v>
      </c>
      <c r="Q1164" s="4">
        <f t="shared" si="250"/>
        <v>0</v>
      </c>
      <c r="R1164" s="4">
        <f t="shared" si="251"/>
        <v>0</v>
      </c>
      <c r="S1164" s="4">
        <f>IF(AND(VLOOKUP(G1164,Dados!$D:$L,2,0)=VLOOKUP(I1164,Dados!$S:$V,2,0),VLOOKUP(G1164,Dados!$D:$L,3,0)=VLOOKUP(I1164,Dados!$S:$V,3,0)),0,1)</f>
        <v>0</v>
      </c>
      <c r="T1164" s="4">
        <f>IF(AND(VLOOKUP(G1164,Dados!$D:$L,3,0)&lt;=VLOOKUP(H1164,Dados!$X:$AB,2,0),VLOOKUP(G1164,Dados!$D:$L,4,0)&gt;=VLOOKUP(H1164,Dados!$X:$AB,3,0),VLOOKUP(G1164,Dados!$D:$L,4,0)&lt;=VLOOKUP(H1164,Dados!$X:$AB,4,0)),0,1)</f>
        <v>0</v>
      </c>
      <c r="U1164" s="4">
        <f>IF(COUNTIFS(F:F,F1164,H:H,H1164)&lt;=VLOOKUP(H1164,Dados!$X:$AB,5,0),0,1)</f>
        <v>0</v>
      </c>
    </row>
    <row r="1165" spans="6:21">
      <c r="F1165" s="4">
        <v>603</v>
      </c>
      <c r="G1165" s="4">
        <v>59</v>
      </c>
      <c r="H1165" s="4">
        <v>2</v>
      </c>
      <c r="I1165" s="4">
        <v>28</v>
      </c>
      <c r="J1165" s="4">
        <v>1</v>
      </c>
      <c r="K1165" s="4">
        <f t="shared" si="247"/>
        <v>0</v>
      </c>
      <c r="L1165" s="4">
        <f t="shared" si="247"/>
        <v>0</v>
      </c>
      <c r="M1165" s="4">
        <f t="shared" si="247"/>
        <v>0</v>
      </c>
      <c r="N1165" s="4">
        <f t="shared" si="247"/>
        <v>0</v>
      </c>
      <c r="O1165" s="4">
        <f t="shared" si="248"/>
        <v>0</v>
      </c>
      <c r="P1165" s="4">
        <f t="shared" si="249"/>
        <v>0</v>
      </c>
      <c r="Q1165" s="4">
        <f t="shared" si="250"/>
        <v>0</v>
      </c>
      <c r="R1165" s="4">
        <f t="shared" si="251"/>
        <v>0</v>
      </c>
      <c r="S1165" s="4">
        <f>IF(AND(VLOOKUP(G1165,Dados!$D:$L,2,0)=VLOOKUP(I1165,Dados!$S:$V,2,0),VLOOKUP(G1165,Dados!$D:$L,3,0)=VLOOKUP(I1165,Dados!$S:$V,3,0)),0,1)</f>
        <v>0</v>
      </c>
      <c r="T1165" s="4">
        <f>IF(AND(VLOOKUP(G1165,Dados!$D:$L,3,0)&lt;=VLOOKUP(H1165,Dados!$X:$AB,2,0),VLOOKUP(G1165,Dados!$D:$L,4,0)&gt;=VLOOKUP(H1165,Dados!$X:$AB,3,0),VLOOKUP(G1165,Dados!$D:$L,4,0)&lt;=VLOOKUP(H1165,Dados!$X:$AB,4,0)),0,1)</f>
        <v>0</v>
      </c>
      <c r="U1165" s="4">
        <f>IF(COUNTIFS(F:F,F1165,H:H,H1165)&lt;=VLOOKUP(H1165,Dados!$X:$AB,5,0),0,1)</f>
        <v>0</v>
      </c>
    </row>
    <row r="1166" spans="6:21">
      <c r="F1166" s="4">
        <v>603</v>
      </c>
      <c r="G1166" s="4">
        <v>63</v>
      </c>
      <c r="H1166" s="4">
        <v>2</v>
      </c>
      <c r="I1166" s="4">
        <v>28</v>
      </c>
      <c r="J1166" s="4">
        <v>1</v>
      </c>
      <c r="K1166" s="4">
        <f t="shared" si="247"/>
        <v>0</v>
      </c>
      <c r="L1166" s="4">
        <f t="shared" si="247"/>
        <v>0</v>
      </c>
      <c r="M1166" s="4">
        <f t="shared" si="247"/>
        <v>0</v>
      </c>
      <c r="N1166" s="4">
        <f t="shared" si="247"/>
        <v>0</v>
      </c>
      <c r="O1166" s="4">
        <f t="shared" si="248"/>
        <v>0</v>
      </c>
      <c r="P1166" s="4">
        <f t="shared" si="249"/>
        <v>0</v>
      </c>
      <c r="Q1166" s="4">
        <f t="shared" si="250"/>
        <v>0</v>
      </c>
      <c r="R1166" s="4">
        <f t="shared" si="251"/>
        <v>0</v>
      </c>
      <c r="S1166" s="4">
        <f>IF(AND(VLOOKUP(G1166,Dados!$D:$L,2,0)=VLOOKUP(I1166,Dados!$S:$V,2,0),VLOOKUP(G1166,Dados!$D:$L,3,0)=VLOOKUP(I1166,Dados!$S:$V,3,0)),0,1)</f>
        <v>0</v>
      </c>
      <c r="T1166" s="4">
        <f>IF(AND(VLOOKUP(G1166,Dados!$D:$L,3,0)&lt;=VLOOKUP(H1166,Dados!$X:$AB,2,0),VLOOKUP(G1166,Dados!$D:$L,4,0)&gt;=VLOOKUP(H1166,Dados!$X:$AB,3,0),VLOOKUP(G1166,Dados!$D:$L,4,0)&lt;=VLOOKUP(H1166,Dados!$X:$AB,4,0)),0,1)</f>
        <v>0</v>
      </c>
      <c r="U1166" s="4">
        <f>IF(COUNTIFS(F:F,F1166,H:H,H1166)&lt;=VLOOKUP(H1166,Dados!$X:$AB,5,0),0,1)</f>
        <v>0</v>
      </c>
    </row>
    <row r="1167" spans="6:21">
      <c r="F1167" s="4">
        <v>603</v>
      </c>
      <c r="G1167" s="4">
        <v>66</v>
      </c>
      <c r="H1167" s="4">
        <v>2</v>
      </c>
      <c r="I1167" s="4">
        <v>28</v>
      </c>
      <c r="J1167" s="4">
        <v>6</v>
      </c>
      <c r="K1167" s="4">
        <f t="shared" si="247"/>
        <v>0</v>
      </c>
      <c r="L1167" s="4">
        <f t="shared" si="247"/>
        <v>0</v>
      </c>
      <c r="M1167" s="4">
        <f t="shared" si="247"/>
        <v>0</v>
      </c>
      <c r="N1167" s="4">
        <f t="shared" si="247"/>
        <v>0</v>
      </c>
      <c r="O1167" s="4">
        <f t="shared" si="248"/>
        <v>0</v>
      </c>
      <c r="P1167" s="4">
        <f t="shared" si="249"/>
        <v>0</v>
      </c>
      <c r="Q1167" s="4">
        <f t="shared" si="250"/>
        <v>0</v>
      </c>
      <c r="R1167" s="4">
        <f t="shared" si="251"/>
        <v>0</v>
      </c>
      <c r="S1167" s="4">
        <f>IF(AND(VLOOKUP(G1167,Dados!$D:$L,2,0)=VLOOKUP(I1167,Dados!$S:$V,2,0),VLOOKUP(G1167,Dados!$D:$L,3,0)=VLOOKUP(I1167,Dados!$S:$V,3,0)),0,1)</f>
        <v>0</v>
      </c>
      <c r="T1167" s="4">
        <f>IF(AND(VLOOKUP(G1167,Dados!$D:$L,3,0)&lt;=VLOOKUP(H1167,Dados!$X:$AB,2,0),VLOOKUP(G1167,Dados!$D:$L,4,0)&gt;=VLOOKUP(H1167,Dados!$X:$AB,3,0),VLOOKUP(G1167,Dados!$D:$L,4,0)&lt;=VLOOKUP(H1167,Dados!$X:$AB,4,0)),0,1)</f>
        <v>0</v>
      </c>
      <c r="U1167" s="4">
        <f>IF(COUNTIFS(F:F,F1167,H:H,H1167)&lt;=VLOOKUP(H1167,Dados!$X:$AB,5,0),0,1)</f>
        <v>0</v>
      </c>
    </row>
    <row r="1168" spans="6:21">
      <c r="F1168" s="4">
        <v>604</v>
      </c>
      <c r="G1168" s="4">
        <v>59</v>
      </c>
      <c r="H1168" s="4">
        <v>3</v>
      </c>
      <c r="I1168" s="4">
        <v>28</v>
      </c>
      <c r="J1168" s="4">
        <v>1</v>
      </c>
      <c r="K1168" s="4">
        <f t="shared" si="247"/>
        <v>0</v>
      </c>
      <c r="L1168" s="4">
        <f t="shared" si="247"/>
        <v>0</v>
      </c>
      <c r="M1168" s="4">
        <f t="shared" si="247"/>
        <v>0</v>
      </c>
      <c r="N1168" s="4">
        <f t="shared" si="247"/>
        <v>0</v>
      </c>
      <c r="O1168" s="4">
        <f t="shared" si="248"/>
        <v>0</v>
      </c>
      <c r="P1168" s="4">
        <f t="shared" si="249"/>
        <v>0</v>
      </c>
      <c r="Q1168" s="4">
        <f t="shared" si="250"/>
        <v>0</v>
      </c>
      <c r="R1168" s="4">
        <f t="shared" si="251"/>
        <v>0</v>
      </c>
      <c r="S1168" s="4">
        <f>IF(AND(VLOOKUP(G1168,Dados!$D:$L,2,0)=VLOOKUP(I1168,Dados!$S:$V,2,0),VLOOKUP(G1168,Dados!$D:$L,3,0)=VLOOKUP(I1168,Dados!$S:$V,3,0)),0,1)</f>
        <v>0</v>
      </c>
      <c r="T1168" s="4">
        <f>IF(AND(VLOOKUP(G1168,Dados!$D:$L,3,0)&lt;=VLOOKUP(H1168,Dados!$X:$AB,2,0),VLOOKUP(G1168,Dados!$D:$L,4,0)&gt;=VLOOKUP(H1168,Dados!$X:$AB,3,0),VLOOKUP(G1168,Dados!$D:$L,4,0)&lt;=VLOOKUP(H1168,Dados!$X:$AB,4,0)),0,1)</f>
        <v>0</v>
      </c>
      <c r="U1168" s="4">
        <f>IF(COUNTIFS(F:F,F1168,H:H,H1168)&lt;=VLOOKUP(H1168,Dados!$X:$AB,5,0),0,1)</f>
        <v>0</v>
      </c>
    </row>
    <row r="1169" spans="6:21">
      <c r="F1169" s="4">
        <v>604</v>
      </c>
      <c r="G1169" s="4">
        <v>63</v>
      </c>
      <c r="H1169" s="4">
        <v>3</v>
      </c>
      <c r="I1169" s="4">
        <v>28</v>
      </c>
      <c r="J1169" s="4">
        <v>1</v>
      </c>
      <c r="K1169" s="4">
        <f t="shared" si="247"/>
        <v>0</v>
      </c>
      <c r="L1169" s="4">
        <f t="shared" si="247"/>
        <v>0</v>
      </c>
      <c r="M1169" s="4">
        <f t="shared" si="247"/>
        <v>0</v>
      </c>
      <c r="N1169" s="4">
        <f t="shared" si="247"/>
        <v>0</v>
      </c>
      <c r="O1169" s="4">
        <f t="shared" si="248"/>
        <v>0</v>
      </c>
      <c r="P1169" s="4">
        <f t="shared" si="249"/>
        <v>0</v>
      </c>
      <c r="Q1169" s="4">
        <f t="shared" si="250"/>
        <v>0</v>
      </c>
      <c r="R1169" s="4">
        <f t="shared" si="251"/>
        <v>0</v>
      </c>
      <c r="S1169" s="4">
        <f>IF(AND(VLOOKUP(G1169,Dados!$D:$L,2,0)=VLOOKUP(I1169,Dados!$S:$V,2,0),VLOOKUP(G1169,Dados!$D:$L,3,0)=VLOOKUP(I1169,Dados!$S:$V,3,0)),0,1)</f>
        <v>0</v>
      </c>
      <c r="T1169" s="4">
        <f>IF(AND(VLOOKUP(G1169,Dados!$D:$L,3,0)&lt;=VLOOKUP(H1169,Dados!$X:$AB,2,0),VLOOKUP(G1169,Dados!$D:$L,4,0)&gt;=VLOOKUP(H1169,Dados!$X:$AB,3,0),VLOOKUP(G1169,Dados!$D:$L,4,0)&lt;=VLOOKUP(H1169,Dados!$X:$AB,4,0)),0,1)</f>
        <v>0</v>
      </c>
      <c r="U1169" s="4">
        <f>IF(COUNTIFS(F:F,F1169,H:H,H1169)&lt;=VLOOKUP(H1169,Dados!$X:$AB,5,0),0,1)</f>
        <v>0</v>
      </c>
    </row>
    <row r="1170" spans="6:21">
      <c r="F1170" s="4">
        <v>604</v>
      </c>
      <c r="G1170" s="4">
        <v>66</v>
      </c>
      <c r="H1170" s="4">
        <v>3</v>
      </c>
      <c r="I1170" s="4">
        <v>28</v>
      </c>
      <c r="J1170" s="4">
        <v>6</v>
      </c>
      <c r="K1170" s="4">
        <f t="shared" si="247"/>
        <v>0</v>
      </c>
      <c r="L1170" s="4">
        <f t="shared" si="247"/>
        <v>0</v>
      </c>
      <c r="M1170" s="4">
        <f t="shared" si="247"/>
        <v>0</v>
      </c>
      <c r="N1170" s="4">
        <f t="shared" si="247"/>
        <v>0</v>
      </c>
      <c r="O1170" s="4">
        <f t="shared" si="248"/>
        <v>0</v>
      </c>
      <c r="P1170" s="4">
        <f t="shared" si="249"/>
        <v>0</v>
      </c>
      <c r="Q1170" s="4">
        <f t="shared" si="250"/>
        <v>0</v>
      </c>
      <c r="R1170" s="4">
        <f t="shared" si="251"/>
        <v>0</v>
      </c>
      <c r="S1170" s="4">
        <f>IF(AND(VLOOKUP(G1170,Dados!$D:$L,2,0)=VLOOKUP(I1170,Dados!$S:$V,2,0),VLOOKUP(G1170,Dados!$D:$L,3,0)=VLOOKUP(I1170,Dados!$S:$V,3,0)),0,1)</f>
        <v>0</v>
      </c>
      <c r="T1170" s="4">
        <f>IF(AND(VLOOKUP(G1170,Dados!$D:$L,3,0)&lt;=VLOOKUP(H1170,Dados!$X:$AB,2,0),VLOOKUP(G1170,Dados!$D:$L,4,0)&gt;=VLOOKUP(H1170,Dados!$X:$AB,3,0),VLOOKUP(G1170,Dados!$D:$L,4,0)&lt;=VLOOKUP(H1170,Dados!$X:$AB,4,0)),0,1)</f>
        <v>0</v>
      </c>
      <c r="U1170" s="4">
        <f>IF(COUNTIFS(F:F,F1170,H:H,H1170)&lt;=VLOOKUP(H1170,Dados!$X:$AB,5,0),0,1)</f>
        <v>0</v>
      </c>
    </row>
    <row r="1171" spans="6:21">
      <c r="F1171" s="4">
        <v>605</v>
      </c>
      <c r="G1171" s="4">
        <v>59</v>
      </c>
      <c r="H1171" s="4">
        <v>1</v>
      </c>
      <c r="I1171" s="4">
        <v>29</v>
      </c>
      <c r="J1171" s="4">
        <v>2</v>
      </c>
      <c r="K1171" s="4">
        <f t="shared" si="247"/>
        <v>0</v>
      </c>
      <c r="L1171" s="4">
        <f t="shared" si="247"/>
        <v>0</v>
      </c>
      <c r="M1171" s="4">
        <f t="shared" si="247"/>
        <v>0</v>
      </c>
      <c r="N1171" s="4">
        <f t="shared" si="247"/>
        <v>0</v>
      </c>
      <c r="O1171" s="4">
        <f t="shared" si="248"/>
        <v>0</v>
      </c>
      <c r="P1171" s="4">
        <f t="shared" si="249"/>
        <v>0</v>
      </c>
      <c r="Q1171" s="4">
        <f t="shared" si="250"/>
        <v>0</v>
      </c>
      <c r="R1171" s="4">
        <f t="shared" si="251"/>
        <v>0</v>
      </c>
      <c r="S1171" s="4">
        <f>IF(AND(VLOOKUP(G1171,Dados!$D:$L,2,0)=VLOOKUP(I1171,Dados!$S:$V,2,0),VLOOKUP(G1171,Dados!$D:$L,3,0)=VLOOKUP(I1171,Dados!$S:$V,3,0)),0,1)</f>
        <v>0</v>
      </c>
      <c r="T1171" s="4">
        <f>IF(AND(VLOOKUP(G1171,Dados!$D:$L,3,0)&lt;=VLOOKUP(H1171,Dados!$X:$AB,2,0),VLOOKUP(G1171,Dados!$D:$L,4,0)&gt;=VLOOKUP(H1171,Dados!$X:$AB,3,0),VLOOKUP(G1171,Dados!$D:$L,4,0)&lt;=VLOOKUP(H1171,Dados!$X:$AB,4,0)),0,1)</f>
        <v>0</v>
      </c>
      <c r="U1171" s="4">
        <f>IF(COUNTIFS(F:F,F1171,H:H,H1171)&lt;=VLOOKUP(H1171,Dados!$X:$AB,5,0),0,1)</f>
        <v>0</v>
      </c>
    </row>
    <row r="1172" spans="6:21">
      <c r="F1172" s="4">
        <v>605</v>
      </c>
      <c r="G1172" s="4">
        <v>66</v>
      </c>
      <c r="H1172" s="4">
        <v>1</v>
      </c>
      <c r="I1172" s="4">
        <v>29</v>
      </c>
      <c r="J1172" s="4">
        <v>6</v>
      </c>
      <c r="K1172" s="4">
        <f t="shared" si="247"/>
        <v>0</v>
      </c>
      <c r="L1172" s="4">
        <f t="shared" si="247"/>
        <v>0</v>
      </c>
      <c r="M1172" s="4">
        <f t="shared" si="247"/>
        <v>0</v>
      </c>
      <c r="N1172" s="4">
        <f t="shared" si="247"/>
        <v>0</v>
      </c>
      <c r="O1172" s="4">
        <f t="shared" si="248"/>
        <v>0</v>
      </c>
      <c r="P1172" s="4">
        <f t="shared" si="249"/>
        <v>0</v>
      </c>
      <c r="Q1172" s="4">
        <f t="shared" si="250"/>
        <v>0</v>
      </c>
      <c r="R1172" s="4">
        <f t="shared" si="251"/>
        <v>0</v>
      </c>
      <c r="S1172" s="4">
        <f>IF(AND(VLOOKUP(G1172,Dados!$D:$L,2,0)=VLOOKUP(I1172,Dados!$S:$V,2,0),VLOOKUP(G1172,Dados!$D:$L,3,0)=VLOOKUP(I1172,Dados!$S:$V,3,0)),0,1)</f>
        <v>0</v>
      </c>
      <c r="T1172" s="4">
        <f>IF(AND(VLOOKUP(G1172,Dados!$D:$L,3,0)&lt;=VLOOKUP(H1172,Dados!$X:$AB,2,0),VLOOKUP(G1172,Dados!$D:$L,4,0)&gt;=VLOOKUP(H1172,Dados!$X:$AB,3,0),VLOOKUP(G1172,Dados!$D:$L,4,0)&lt;=VLOOKUP(H1172,Dados!$X:$AB,4,0)),0,1)</f>
        <v>0</v>
      </c>
      <c r="U1172" s="4">
        <f>IF(COUNTIFS(F:F,F1172,H:H,H1172)&lt;=VLOOKUP(H1172,Dados!$X:$AB,5,0),0,1)</f>
        <v>0</v>
      </c>
    </row>
    <row r="1173" spans="6:21">
      <c r="F1173" s="4">
        <v>606</v>
      </c>
      <c r="G1173" s="4">
        <v>59</v>
      </c>
      <c r="H1173" s="4">
        <v>2</v>
      </c>
      <c r="I1173" s="4">
        <v>29</v>
      </c>
      <c r="J1173" s="4">
        <v>2</v>
      </c>
      <c r="K1173" s="4">
        <f t="shared" si="247"/>
        <v>0</v>
      </c>
      <c r="L1173" s="4">
        <f t="shared" si="247"/>
        <v>0</v>
      </c>
      <c r="M1173" s="4">
        <f t="shared" si="247"/>
        <v>0</v>
      </c>
      <c r="N1173" s="4">
        <f t="shared" si="247"/>
        <v>0</v>
      </c>
      <c r="O1173" s="4">
        <f t="shared" si="248"/>
        <v>0</v>
      </c>
      <c r="P1173" s="4">
        <f t="shared" si="249"/>
        <v>0</v>
      </c>
      <c r="Q1173" s="4">
        <f t="shared" si="250"/>
        <v>0</v>
      </c>
      <c r="R1173" s="4">
        <f t="shared" si="251"/>
        <v>0</v>
      </c>
      <c r="S1173" s="4">
        <f>IF(AND(VLOOKUP(G1173,Dados!$D:$L,2,0)=VLOOKUP(I1173,Dados!$S:$V,2,0),VLOOKUP(G1173,Dados!$D:$L,3,0)=VLOOKUP(I1173,Dados!$S:$V,3,0)),0,1)</f>
        <v>0</v>
      </c>
      <c r="T1173" s="4">
        <f>IF(AND(VLOOKUP(G1173,Dados!$D:$L,3,0)&lt;=VLOOKUP(H1173,Dados!$X:$AB,2,0),VLOOKUP(G1173,Dados!$D:$L,4,0)&gt;=VLOOKUP(H1173,Dados!$X:$AB,3,0),VLOOKUP(G1173,Dados!$D:$L,4,0)&lt;=VLOOKUP(H1173,Dados!$X:$AB,4,0)),0,1)</f>
        <v>0</v>
      </c>
      <c r="U1173" s="4">
        <f>IF(COUNTIFS(F:F,F1173,H:H,H1173)&lt;=VLOOKUP(H1173,Dados!$X:$AB,5,0),0,1)</f>
        <v>0</v>
      </c>
    </row>
    <row r="1174" spans="6:21">
      <c r="F1174" s="4">
        <v>606</v>
      </c>
      <c r="G1174" s="4">
        <v>66</v>
      </c>
      <c r="H1174" s="4">
        <v>2</v>
      </c>
      <c r="I1174" s="4">
        <v>29</v>
      </c>
      <c r="J1174" s="4">
        <v>6</v>
      </c>
      <c r="K1174" s="4">
        <f t="shared" si="247"/>
        <v>0</v>
      </c>
      <c r="L1174" s="4">
        <f t="shared" si="247"/>
        <v>0</v>
      </c>
      <c r="M1174" s="4">
        <f t="shared" si="247"/>
        <v>0</v>
      </c>
      <c r="N1174" s="4">
        <f t="shared" si="247"/>
        <v>0</v>
      </c>
      <c r="O1174" s="4">
        <f t="shared" si="248"/>
        <v>0</v>
      </c>
      <c r="P1174" s="4">
        <f t="shared" si="249"/>
        <v>0</v>
      </c>
      <c r="Q1174" s="4">
        <f t="shared" si="250"/>
        <v>0</v>
      </c>
      <c r="R1174" s="4">
        <f t="shared" si="251"/>
        <v>0</v>
      </c>
      <c r="S1174" s="4">
        <f>IF(AND(VLOOKUP(G1174,Dados!$D:$L,2,0)=VLOOKUP(I1174,Dados!$S:$V,2,0),VLOOKUP(G1174,Dados!$D:$L,3,0)=VLOOKUP(I1174,Dados!$S:$V,3,0)),0,1)</f>
        <v>0</v>
      </c>
      <c r="T1174" s="4">
        <f>IF(AND(VLOOKUP(G1174,Dados!$D:$L,3,0)&lt;=VLOOKUP(H1174,Dados!$X:$AB,2,0),VLOOKUP(G1174,Dados!$D:$L,4,0)&gt;=VLOOKUP(H1174,Dados!$X:$AB,3,0),VLOOKUP(G1174,Dados!$D:$L,4,0)&lt;=VLOOKUP(H1174,Dados!$X:$AB,4,0)),0,1)</f>
        <v>0</v>
      </c>
      <c r="U1174" s="4">
        <f>IF(COUNTIFS(F:F,F1174,H:H,H1174)&lt;=VLOOKUP(H1174,Dados!$X:$AB,5,0),0,1)</f>
        <v>0</v>
      </c>
    </row>
    <row r="1175" spans="6:21">
      <c r="F1175" s="4">
        <v>607</v>
      </c>
      <c r="G1175" s="4">
        <v>59</v>
      </c>
      <c r="H1175" s="4">
        <v>3</v>
      </c>
      <c r="I1175" s="4">
        <v>29</v>
      </c>
      <c r="J1175" s="4">
        <v>2</v>
      </c>
      <c r="K1175" s="4">
        <f t="shared" si="247"/>
        <v>0</v>
      </c>
      <c r="L1175" s="4">
        <f t="shared" si="247"/>
        <v>0</v>
      </c>
      <c r="M1175" s="4">
        <f t="shared" si="247"/>
        <v>0</v>
      </c>
      <c r="N1175" s="4">
        <f t="shared" si="247"/>
        <v>0</v>
      </c>
      <c r="O1175" s="4">
        <f t="shared" si="248"/>
        <v>0</v>
      </c>
      <c r="P1175" s="4">
        <f t="shared" si="249"/>
        <v>0</v>
      </c>
      <c r="Q1175" s="4">
        <f t="shared" si="250"/>
        <v>0</v>
      </c>
      <c r="R1175" s="4">
        <f t="shared" si="251"/>
        <v>0</v>
      </c>
      <c r="S1175" s="4">
        <f>IF(AND(VLOOKUP(G1175,Dados!$D:$L,2,0)=VLOOKUP(I1175,Dados!$S:$V,2,0),VLOOKUP(G1175,Dados!$D:$L,3,0)=VLOOKUP(I1175,Dados!$S:$V,3,0)),0,1)</f>
        <v>0</v>
      </c>
      <c r="T1175" s="4">
        <f>IF(AND(VLOOKUP(G1175,Dados!$D:$L,3,0)&lt;=VLOOKUP(H1175,Dados!$X:$AB,2,0),VLOOKUP(G1175,Dados!$D:$L,4,0)&gt;=VLOOKUP(H1175,Dados!$X:$AB,3,0),VLOOKUP(G1175,Dados!$D:$L,4,0)&lt;=VLOOKUP(H1175,Dados!$X:$AB,4,0)),0,1)</f>
        <v>0</v>
      </c>
      <c r="U1175" s="4">
        <f>IF(COUNTIFS(F:F,F1175,H:H,H1175)&lt;=VLOOKUP(H1175,Dados!$X:$AB,5,0),0,1)</f>
        <v>0</v>
      </c>
    </row>
    <row r="1176" spans="6:21">
      <c r="F1176" s="4">
        <v>607</v>
      </c>
      <c r="G1176" s="4">
        <v>66</v>
      </c>
      <c r="H1176" s="4">
        <v>3</v>
      </c>
      <c r="I1176" s="4">
        <v>29</v>
      </c>
      <c r="J1176" s="4">
        <v>6</v>
      </c>
      <c r="K1176" s="4">
        <f t="shared" si="247"/>
        <v>0</v>
      </c>
      <c r="L1176" s="4">
        <f t="shared" si="247"/>
        <v>0</v>
      </c>
      <c r="M1176" s="4">
        <f t="shared" si="247"/>
        <v>0</v>
      </c>
      <c r="N1176" s="4">
        <f t="shared" si="247"/>
        <v>0</v>
      </c>
      <c r="O1176" s="4">
        <f t="shared" si="248"/>
        <v>0</v>
      </c>
      <c r="P1176" s="4">
        <f t="shared" si="249"/>
        <v>0</v>
      </c>
      <c r="Q1176" s="4">
        <f t="shared" si="250"/>
        <v>0</v>
      </c>
      <c r="R1176" s="4">
        <f t="shared" si="251"/>
        <v>0</v>
      </c>
      <c r="S1176" s="4">
        <f>IF(AND(VLOOKUP(G1176,Dados!$D:$L,2,0)=VLOOKUP(I1176,Dados!$S:$V,2,0),VLOOKUP(G1176,Dados!$D:$L,3,0)=VLOOKUP(I1176,Dados!$S:$V,3,0)),0,1)</f>
        <v>0</v>
      </c>
      <c r="T1176" s="4">
        <f>IF(AND(VLOOKUP(G1176,Dados!$D:$L,3,0)&lt;=VLOOKUP(H1176,Dados!$X:$AB,2,0),VLOOKUP(G1176,Dados!$D:$L,4,0)&gt;=VLOOKUP(H1176,Dados!$X:$AB,3,0),VLOOKUP(G1176,Dados!$D:$L,4,0)&lt;=VLOOKUP(H1176,Dados!$X:$AB,4,0)),0,1)</f>
        <v>0</v>
      </c>
      <c r="U1176" s="4">
        <f>IF(COUNTIFS(F:F,F1176,H:H,H1176)&lt;=VLOOKUP(H1176,Dados!$X:$AB,5,0),0,1)</f>
        <v>0</v>
      </c>
    </row>
    <row r="1177" spans="6:21">
      <c r="F1177" s="4">
        <v>608</v>
      </c>
      <c r="G1177" s="4">
        <v>2</v>
      </c>
      <c r="H1177" s="4">
        <v>1</v>
      </c>
      <c r="I1177" s="4">
        <v>1</v>
      </c>
      <c r="J1177" s="4">
        <v>1</v>
      </c>
      <c r="K1177" s="4">
        <f t="shared" si="247"/>
        <v>2</v>
      </c>
      <c r="L1177" s="4">
        <f t="shared" si="247"/>
        <v>0</v>
      </c>
      <c r="M1177" s="4">
        <f t="shared" si="247"/>
        <v>0</v>
      </c>
      <c r="N1177" s="4">
        <f t="shared" si="247"/>
        <v>0</v>
      </c>
      <c r="O1177" s="4">
        <f t="shared" si="248"/>
        <v>2</v>
      </c>
      <c r="P1177" s="4">
        <f t="shared" si="249"/>
        <v>0</v>
      </c>
      <c r="Q1177" s="4">
        <f t="shared" si="250"/>
        <v>0</v>
      </c>
      <c r="R1177" s="4">
        <f t="shared" si="251"/>
        <v>0</v>
      </c>
      <c r="S1177" s="4">
        <f>IF(AND(VLOOKUP(G1177,Dados!$D:$L,2,0)=VLOOKUP(I1177,Dados!$S:$V,2,0),VLOOKUP(G1177,Dados!$D:$L,3,0)=VLOOKUP(I1177,Dados!$S:$V,3,0)),0,1)</f>
        <v>0</v>
      </c>
      <c r="T1177" s="4">
        <f>IF(AND(VLOOKUP(G1177,Dados!$D:$L,3,0)&lt;=VLOOKUP(H1177,Dados!$X:$AB,2,0),VLOOKUP(G1177,Dados!$D:$L,4,0)&gt;=VLOOKUP(H1177,Dados!$X:$AB,3,0),VLOOKUP(G1177,Dados!$D:$L,4,0)&lt;=VLOOKUP(H1177,Dados!$X:$AB,4,0)),0,1)</f>
        <v>0</v>
      </c>
      <c r="U1177" s="4">
        <f>IF(COUNTIFS(F:F,F1177,H:H,H1177)&lt;=VLOOKUP(H1177,Dados!$X:$AB,5,0),0,1)</f>
        <v>0</v>
      </c>
    </row>
    <row r="1178" spans="6:21">
      <c r="F1178" s="4">
        <v>608</v>
      </c>
      <c r="G1178" s="4">
        <v>3</v>
      </c>
      <c r="H1178" s="4">
        <v>1</v>
      </c>
      <c r="I1178" s="4">
        <v>1</v>
      </c>
      <c r="J1178" s="4">
        <v>1</v>
      </c>
      <c r="K1178" s="4">
        <f t="shared" si="247"/>
        <v>2</v>
      </c>
      <c r="L1178" s="4">
        <f t="shared" si="247"/>
        <v>0</v>
      </c>
      <c r="M1178" s="4">
        <f t="shared" si="247"/>
        <v>0</v>
      </c>
      <c r="N1178" s="4">
        <f t="shared" si="247"/>
        <v>0</v>
      </c>
      <c r="O1178" s="4">
        <f t="shared" si="248"/>
        <v>2</v>
      </c>
      <c r="P1178" s="4">
        <f t="shared" si="249"/>
        <v>0</v>
      </c>
      <c r="Q1178" s="4">
        <f t="shared" si="250"/>
        <v>0</v>
      </c>
      <c r="R1178" s="4">
        <f t="shared" si="251"/>
        <v>0</v>
      </c>
      <c r="S1178" s="4">
        <f>IF(AND(VLOOKUP(G1178,Dados!$D:$L,2,0)=VLOOKUP(I1178,Dados!$S:$V,2,0),VLOOKUP(G1178,Dados!$D:$L,3,0)=VLOOKUP(I1178,Dados!$S:$V,3,0)),0,1)</f>
        <v>0</v>
      </c>
      <c r="T1178" s="4">
        <f>IF(AND(VLOOKUP(G1178,Dados!$D:$L,3,0)&lt;=VLOOKUP(H1178,Dados!$X:$AB,2,0),VLOOKUP(G1178,Dados!$D:$L,4,0)&gt;=VLOOKUP(H1178,Dados!$X:$AB,3,0),VLOOKUP(G1178,Dados!$D:$L,4,0)&lt;=VLOOKUP(H1178,Dados!$X:$AB,4,0)),0,1)</f>
        <v>0</v>
      </c>
      <c r="U1178" s="4">
        <f>IF(COUNTIFS(F:F,F1178,H:H,H1178)&lt;=VLOOKUP(H1178,Dados!$X:$AB,5,0),0,1)</f>
        <v>0</v>
      </c>
    </row>
    <row r="1179" spans="6:21">
      <c r="F1179" s="4">
        <v>608</v>
      </c>
      <c r="G1179" s="4">
        <v>4</v>
      </c>
      <c r="H1179" s="4">
        <v>1</v>
      </c>
      <c r="I1179" s="4">
        <v>1</v>
      </c>
      <c r="J1179" s="4">
        <v>5</v>
      </c>
      <c r="K1179" s="4">
        <f t="shared" si="247"/>
        <v>2</v>
      </c>
      <c r="L1179" s="4">
        <f t="shared" si="247"/>
        <v>0</v>
      </c>
      <c r="M1179" s="4">
        <f t="shared" si="247"/>
        <v>0</v>
      </c>
      <c r="N1179" s="4">
        <f t="shared" si="247"/>
        <v>0</v>
      </c>
      <c r="O1179" s="4">
        <f t="shared" si="248"/>
        <v>10</v>
      </c>
      <c r="P1179" s="4">
        <f t="shared" si="249"/>
        <v>0</v>
      </c>
      <c r="Q1179" s="4">
        <f t="shared" si="250"/>
        <v>0</v>
      </c>
      <c r="R1179" s="4">
        <f t="shared" si="251"/>
        <v>0</v>
      </c>
      <c r="S1179" s="4">
        <f>IF(AND(VLOOKUP(G1179,Dados!$D:$L,2,0)=VLOOKUP(I1179,Dados!$S:$V,2,0),VLOOKUP(G1179,Dados!$D:$L,3,0)=VLOOKUP(I1179,Dados!$S:$V,3,0)),0,1)</f>
        <v>0</v>
      </c>
      <c r="T1179" s="4">
        <f>IF(AND(VLOOKUP(G1179,Dados!$D:$L,3,0)&lt;=VLOOKUP(H1179,Dados!$X:$AB,2,0),VLOOKUP(G1179,Dados!$D:$L,4,0)&gt;=VLOOKUP(H1179,Dados!$X:$AB,3,0),VLOOKUP(G1179,Dados!$D:$L,4,0)&lt;=VLOOKUP(H1179,Dados!$X:$AB,4,0)),0,1)</f>
        <v>0</v>
      </c>
      <c r="U1179" s="4">
        <f>IF(COUNTIFS(F:F,F1179,H:H,H1179)&lt;=VLOOKUP(H1179,Dados!$X:$AB,5,0),0,1)</f>
        <v>0</v>
      </c>
    </row>
    <row r="1180" spans="6:21">
      <c r="F1180" s="4">
        <v>609</v>
      </c>
      <c r="G1180" s="4">
        <v>2</v>
      </c>
      <c r="H1180" s="4">
        <v>2</v>
      </c>
      <c r="I1180" s="4">
        <v>1</v>
      </c>
      <c r="J1180" s="4">
        <v>1</v>
      </c>
      <c r="K1180" s="4">
        <f t="shared" si="247"/>
        <v>0</v>
      </c>
      <c r="L1180" s="4">
        <f t="shared" si="247"/>
        <v>0</v>
      </c>
      <c r="M1180" s="4">
        <f t="shared" si="247"/>
        <v>0</v>
      </c>
      <c r="N1180" s="4">
        <f t="shared" si="247"/>
        <v>0</v>
      </c>
      <c r="O1180" s="4">
        <f t="shared" si="248"/>
        <v>0</v>
      </c>
      <c r="P1180" s="4">
        <f t="shared" si="249"/>
        <v>0</v>
      </c>
      <c r="Q1180" s="4">
        <f t="shared" si="250"/>
        <v>0</v>
      </c>
      <c r="R1180" s="4">
        <f t="shared" si="251"/>
        <v>0</v>
      </c>
      <c r="S1180" s="4">
        <f>IF(AND(VLOOKUP(G1180,Dados!$D:$L,2,0)=VLOOKUP(I1180,Dados!$S:$V,2,0),VLOOKUP(G1180,Dados!$D:$L,3,0)=VLOOKUP(I1180,Dados!$S:$V,3,0)),0,1)</f>
        <v>0</v>
      </c>
      <c r="T1180" s="4">
        <f>IF(AND(VLOOKUP(G1180,Dados!$D:$L,3,0)&lt;=VLOOKUP(H1180,Dados!$X:$AB,2,0),VLOOKUP(G1180,Dados!$D:$L,4,0)&gt;=VLOOKUP(H1180,Dados!$X:$AB,3,0),VLOOKUP(G1180,Dados!$D:$L,4,0)&lt;=VLOOKUP(H1180,Dados!$X:$AB,4,0)),0,1)</f>
        <v>0</v>
      </c>
      <c r="U1180" s="4">
        <f>IF(COUNTIFS(F:F,F1180,H:H,H1180)&lt;=VLOOKUP(H1180,Dados!$X:$AB,5,0),0,1)</f>
        <v>0</v>
      </c>
    </row>
    <row r="1181" spans="6:21">
      <c r="F1181" s="4">
        <v>609</v>
      </c>
      <c r="G1181" s="4">
        <v>3</v>
      </c>
      <c r="H1181" s="4">
        <v>2</v>
      </c>
      <c r="I1181" s="4">
        <v>1</v>
      </c>
      <c r="J1181" s="4">
        <v>1</v>
      </c>
      <c r="K1181" s="4">
        <f t="shared" si="247"/>
        <v>0</v>
      </c>
      <c r="L1181" s="4">
        <f t="shared" si="247"/>
        <v>0</v>
      </c>
      <c r="M1181" s="4">
        <f t="shared" si="247"/>
        <v>0</v>
      </c>
      <c r="N1181" s="4">
        <f t="shared" si="247"/>
        <v>0</v>
      </c>
      <c r="O1181" s="4">
        <f t="shared" si="248"/>
        <v>0</v>
      </c>
      <c r="P1181" s="4">
        <f t="shared" si="249"/>
        <v>0</v>
      </c>
      <c r="Q1181" s="4">
        <f t="shared" si="250"/>
        <v>0</v>
      </c>
      <c r="R1181" s="4">
        <f t="shared" si="251"/>
        <v>0</v>
      </c>
      <c r="S1181" s="4">
        <f>IF(AND(VLOOKUP(G1181,Dados!$D:$L,2,0)=VLOOKUP(I1181,Dados!$S:$V,2,0),VLOOKUP(G1181,Dados!$D:$L,3,0)=VLOOKUP(I1181,Dados!$S:$V,3,0)),0,1)</f>
        <v>0</v>
      </c>
      <c r="T1181" s="4">
        <f>IF(AND(VLOOKUP(G1181,Dados!$D:$L,3,0)&lt;=VLOOKUP(H1181,Dados!$X:$AB,2,0),VLOOKUP(G1181,Dados!$D:$L,4,0)&gt;=VLOOKUP(H1181,Dados!$X:$AB,3,0),VLOOKUP(G1181,Dados!$D:$L,4,0)&lt;=VLOOKUP(H1181,Dados!$X:$AB,4,0)),0,1)</f>
        <v>0</v>
      </c>
      <c r="U1181" s="4">
        <f>IF(COUNTIFS(F:F,F1181,H:H,H1181)&lt;=VLOOKUP(H1181,Dados!$X:$AB,5,0),0,1)</f>
        <v>0</v>
      </c>
    </row>
    <row r="1182" spans="6:21">
      <c r="F1182" s="4">
        <v>609</v>
      </c>
      <c r="G1182" s="4">
        <v>4</v>
      </c>
      <c r="H1182" s="4">
        <v>2</v>
      </c>
      <c r="I1182" s="4">
        <v>1</v>
      </c>
      <c r="J1182" s="4">
        <v>5</v>
      </c>
      <c r="K1182" s="4">
        <f t="shared" si="247"/>
        <v>0</v>
      </c>
      <c r="L1182" s="4">
        <f t="shared" si="247"/>
        <v>0</v>
      </c>
      <c r="M1182" s="4">
        <f t="shared" si="247"/>
        <v>0</v>
      </c>
      <c r="N1182" s="4">
        <f t="shared" si="247"/>
        <v>0</v>
      </c>
      <c r="O1182" s="4">
        <f t="shared" si="248"/>
        <v>0</v>
      </c>
      <c r="P1182" s="4">
        <f t="shared" si="249"/>
        <v>0</v>
      </c>
      <c r="Q1182" s="4">
        <f t="shared" si="250"/>
        <v>0</v>
      </c>
      <c r="R1182" s="4">
        <f t="shared" si="251"/>
        <v>0</v>
      </c>
      <c r="S1182" s="4">
        <f>IF(AND(VLOOKUP(G1182,Dados!$D:$L,2,0)=VLOOKUP(I1182,Dados!$S:$V,2,0),VLOOKUP(G1182,Dados!$D:$L,3,0)=VLOOKUP(I1182,Dados!$S:$V,3,0)),0,1)</f>
        <v>0</v>
      </c>
      <c r="T1182" s="4">
        <f>IF(AND(VLOOKUP(G1182,Dados!$D:$L,3,0)&lt;=VLOOKUP(H1182,Dados!$X:$AB,2,0),VLOOKUP(G1182,Dados!$D:$L,4,0)&gt;=VLOOKUP(H1182,Dados!$X:$AB,3,0),VLOOKUP(G1182,Dados!$D:$L,4,0)&lt;=VLOOKUP(H1182,Dados!$X:$AB,4,0)),0,1)</f>
        <v>0</v>
      </c>
      <c r="U1182" s="4">
        <f>IF(COUNTIFS(F:F,F1182,H:H,H1182)&lt;=VLOOKUP(H1182,Dados!$X:$AB,5,0),0,1)</f>
        <v>0</v>
      </c>
    </row>
    <row r="1183" spans="6:21">
      <c r="F1183" s="4">
        <v>610</v>
      </c>
      <c r="G1183" s="4">
        <v>2</v>
      </c>
      <c r="H1183" s="4">
        <v>3</v>
      </c>
      <c r="I1183" s="4">
        <v>1</v>
      </c>
      <c r="J1183" s="4">
        <v>1</v>
      </c>
      <c r="K1183" s="4">
        <f t="shared" si="247"/>
        <v>0</v>
      </c>
      <c r="L1183" s="4">
        <f t="shared" si="247"/>
        <v>0</v>
      </c>
      <c r="M1183" s="4">
        <f t="shared" si="247"/>
        <v>0</v>
      </c>
      <c r="N1183" s="4">
        <f t="shared" si="247"/>
        <v>0</v>
      </c>
      <c r="O1183" s="4">
        <f t="shared" si="248"/>
        <v>0</v>
      </c>
      <c r="P1183" s="4">
        <f t="shared" si="249"/>
        <v>0</v>
      </c>
      <c r="Q1183" s="4">
        <f t="shared" si="250"/>
        <v>0</v>
      </c>
      <c r="R1183" s="4">
        <f t="shared" si="251"/>
        <v>0</v>
      </c>
      <c r="S1183" s="4">
        <f>IF(AND(VLOOKUP(G1183,Dados!$D:$L,2,0)=VLOOKUP(I1183,Dados!$S:$V,2,0),VLOOKUP(G1183,Dados!$D:$L,3,0)=VLOOKUP(I1183,Dados!$S:$V,3,0)),0,1)</f>
        <v>0</v>
      </c>
      <c r="T1183" s="4">
        <f>IF(AND(VLOOKUP(G1183,Dados!$D:$L,3,0)&lt;=VLOOKUP(H1183,Dados!$X:$AB,2,0),VLOOKUP(G1183,Dados!$D:$L,4,0)&gt;=VLOOKUP(H1183,Dados!$X:$AB,3,0),VLOOKUP(G1183,Dados!$D:$L,4,0)&lt;=VLOOKUP(H1183,Dados!$X:$AB,4,0)),0,1)</f>
        <v>0</v>
      </c>
      <c r="U1183" s="4">
        <f>IF(COUNTIFS(F:F,F1183,H:H,H1183)&lt;=VLOOKUP(H1183,Dados!$X:$AB,5,0),0,1)</f>
        <v>0</v>
      </c>
    </row>
    <row r="1184" spans="6:21">
      <c r="F1184" s="4">
        <v>610</v>
      </c>
      <c r="G1184" s="4">
        <v>3</v>
      </c>
      <c r="H1184" s="4">
        <v>3</v>
      </c>
      <c r="I1184" s="4">
        <v>1</v>
      </c>
      <c r="J1184" s="4">
        <v>1</v>
      </c>
      <c r="K1184" s="4">
        <f t="shared" si="247"/>
        <v>0</v>
      </c>
      <c r="L1184" s="4">
        <f t="shared" si="247"/>
        <v>0</v>
      </c>
      <c r="M1184" s="4">
        <f t="shared" si="247"/>
        <v>0</v>
      </c>
      <c r="N1184" s="4">
        <f t="shared" si="247"/>
        <v>0</v>
      </c>
      <c r="O1184" s="4">
        <f t="shared" si="248"/>
        <v>0</v>
      </c>
      <c r="P1184" s="4">
        <f t="shared" si="249"/>
        <v>0</v>
      </c>
      <c r="Q1184" s="4">
        <f t="shared" si="250"/>
        <v>0</v>
      </c>
      <c r="R1184" s="4">
        <f t="shared" si="251"/>
        <v>0</v>
      </c>
      <c r="S1184" s="4">
        <f>IF(AND(VLOOKUP(G1184,Dados!$D:$L,2,0)=VLOOKUP(I1184,Dados!$S:$V,2,0),VLOOKUP(G1184,Dados!$D:$L,3,0)=VLOOKUP(I1184,Dados!$S:$V,3,0)),0,1)</f>
        <v>0</v>
      </c>
      <c r="T1184" s="4">
        <f>IF(AND(VLOOKUP(G1184,Dados!$D:$L,3,0)&lt;=VLOOKUP(H1184,Dados!$X:$AB,2,0),VLOOKUP(G1184,Dados!$D:$L,4,0)&gt;=VLOOKUP(H1184,Dados!$X:$AB,3,0),VLOOKUP(G1184,Dados!$D:$L,4,0)&lt;=VLOOKUP(H1184,Dados!$X:$AB,4,0)),0,1)</f>
        <v>0</v>
      </c>
      <c r="U1184" s="4">
        <f>IF(COUNTIFS(F:F,F1184,H:H,H1184)&lt;=VLOOKUP(H1184,Dados!$X:$AB,5,0),0,1)</f>
        <v>0</v>
      </c>
    </row>
    <row r="1185" spans="6:21">
      <c r="F1185" s="4">
        <v>610</v>
      </c>
      <c r="G1185" s="4">
        <v>4</v>
      </c>
      <c r="H1185" s="4">
        <v>3</v>
      </c>
      <c r="I1185" s="4">
        <v>1</v>
      </c>
      <c r="J1185" s="4">
        <v>5</v>
      </c>
      <c r="K1185" s="4">
        <f t="shared" si="247"/>
        <v>0</v>
      </c>
      <c r="L1185" s="4">
        <f t="shared" si="247"/>
        <v>0</v>
      </c>
      <c r="M1185" s="4">
        <f t="shared" si="247"/>
        <v>0</v>
      </c>
      <c r="N1185" s="4">
        <f t="shared" si="247"/>
        <v>0</v>
      </c>
      <c r="O1185" s="4">
        <f t="shared" si="248"/>
        <v>0</v>
      </c>
      <c r="P1185" s="4">
        <f t="shared" si="249"/>
        <v>0</v>
      </c>
      <c r="Q1185" s="4">
        <f t="shared" si="250"/>
        <v>0</v>
      </c>
      <c r="R1185" s="4">
        <f t="shared" si="251"/>
        <v>0</v>
      </c>
      <c r="S1185" s="4">
        <f>IF(AND(VLOOKUP(G1185,Dados!$D:$L,2,0)=VLOOKUP(I1185,Dados!$S:$V,2,0),VLOOKUP(G1185,Dados!$D:$L,3,0)=VLOOKUP(I1185,Dados!$S:$V,3,0)),0,1)</f>
        <v>0</v>
      </c>
      <c r="T1185" s="4">
        <f>IF(AND(VLOOKUP(G1185,Dados!$D:$L,3,0)&lt;=VLOOKUP(H1185,Dados!$X:$AB,2,0),VLOOKUP(G1185,Dados!$D:$L,4,0)&gt;=VLOOKUP(H1185,Dados!$X:$AB,3,0),VLOOKUP(G1185,Dados!$D:$L,4,0)&lt;=VLOOKUP(H1185,Dados!$X:$AB,4,0)),0,1)</f>
        <v>0</v>
      </c>
      <c r="U1185" s="4">
        <f>IF(COUNTIFS(F:F,F1185,H:H,H1185)&lt;=VLOOKUP(H1185,Dados!$X:$AB,5,0),0,1)</f>
        <v>0</v>
      </c>
    </row>
    <row r="1186" spans="6:21">
      <c r="F1186" s="4">
        <v>611</v>
      </c>
      <c r="G1186" s="4">
        <v>6</v>
      </c>
      <c r="H1186" s="4">
        <v>1</v>
      </c>
      <c r="I1186" s="4">
        <v>2</v>
      </c>
      <c r="J1186" s="4">
        <v>1</v>
      </c>
      <c r="K1186" s="4">
        <f t="shared" si="247"/>
        <v>0</v>
      </c>
      <c r="L1186" s="4">
        <f t="shared" si="247"/>
        <v>0</v>
      </c>
      <c r="M1186" s="4">
        <f t="shared" si="247"/>
        <v>2</v>
      </c>
      <c r="N1186" s="4">
        <f t="shared" si="247"/>
        <v>6</v>
      </c>
      <c r="O1186" s="4">
        <f t="shared" si="248"/>
        <v>0</v>
      </c>
      <c r="P1186" s="4">
        <f t="shared" si="249"/>
        <v>0</v>
      </c>
      <c r="Q1186" s="4">
        <f t="shared" si="250"/>
        <v>2</v>
      </c>
      <c r="R1186" s="4">
        <f t="shared" si="251"/>
        <v>6</v>
      </c>
      <c r="S1186" s="4">
        <f>IF(AND(VLOOKUP(G1186,Dados!$D:$L,2,0)=VLOOKUP(I1186,Dados!$S:$V,2,0),VLOOKUP(G1186,Dados!$D:$L,3,0)=VLOOKUP(I1186,Dados!$S:$V,3,0)),0,1)</f>
        <v>0</v>
      </c>
      <c r="T1186" s="4">
        <f>IF(AND(VLOOKUP(G1186,Dados!$D:$L,3,0)&lt;=VLOOKUP(H1186,Dados!$X:$AB,2,0),VLOOKUP(G1186,Dados!$D:$L,4,0)&gt;=VLOOKUP(H1186,Dados!$X:$AB,3,0),VLOOKUP(G1186,Dados!$D:$L,4,0)&lt;=VLOOKUP(H1186,Dados!$X:$AB,4,0)),0,1)</f>
        <v>0</v>
      </c>
      <c r="U1186" s="4">
        <f>IF(COUNTIFS(F:F,F1186,H:H,H1186)&lt;=VLOOKUP(H1186,Dados!$X:$AB,5,0),0,1)</f>
        <v>0</v>
      </c>
    </row>
    <row r="1187" spans="6:21">
      <c r="F1187" s="4">
        <v>611</v>
      </c>
      <c r="G1187" s="4">
        <v>7</v>
      </c>
      <c r="H1187" s="4">
        <v>1</v>
      </c>
      <c r="I1187" s="4">
        <v>2</v>
      </c>
      <c r="J1187" s="4">
        <v>1</v>
      </c>
      <c r="K1187" s="4">
        <f t="shared" si="247"/>
        <v>0</v>
      </c>
      <c r="L1187" s="4">
        <f t="shared" si="247"/>
        <v>0</v>
      </c>
      <c r="M1187" s="4">
        <f t="shared" si="247"/>
        <v>2</v>
      </c>
      <c r="N1187" s="4">
        <f t="shared" si="247"/>
        <v>6</v>
      </c>
      <c r="O1187" s="4">
        <f t="shared" si="248"/>
        <v>0</v>
      </c>
      <c r="P1187" s="4">
        <f t="shared" si="249"/>
        <v>0</v>
      </c>
      <c r="Q1187" s="4">
        <f t="shared" si="250"/>
        <v>2</v>
      </c>
      <c r="R1187" s="4">
        <f t="shared" si="251"/>
        <v>6</v>
      </c>
      <c r="S1187" s="4">
        <f>IF(AND(VLOOKUP(G1187,Dados!$D:$L,2,0)=VLOOKUP(I1187,Dados!$S:$V,2,0),VLOOKUP(G1187,Dados!$D:$L,3,0)=VLOOKUP(I1187,Dados!$S:$V,3,0)),0,1)</f>
        <v>0</v>
      </c>
      <c r="T1187" s="4">
        <f>IF(AND(VLOOKUP(G1187,Dados!$D:$L,3,0)&lt;=VLOOKUP(H1187,Dados!$X:$AB,2,0),VLOOKUP(G1187,Dados!$D:$L,4,0)&gt;=VLOOKUP(H1187,Dados!$X:$AB,3,0),VLOOKUP(G1187,Dados!$D:$L,4,0)&lt;=VLOOKUP(H1187,Dados!$X:$AB,4,0)),0,1)</f>
        <v>0</v>
      </c>
      <c r="U1187" s="4">
        <f>IF(COUNTIFS(F:F,F1187,H:H,H1187)&lt;=VLOOKUP(H1187,Dados!$X:$AB,5,0),0,1)</f>
        <v>0</v>
      </c>
    </row>
    <row r="1188" spans="6:21">
      <c r="F1188" s="4">
        <v>611</v>
      </c>
      <c r="G1188" s="4">
        <v>9</v>
      </c>
      <c r="H1188" s="4">
        <v>1</v>
      </c>
      <c r="I1188" s="4">
        <v>2</v>
      </c>
      <c r="J1188" s="4">
        <v>6</v>
      </c>
      <c r="K1188" s="4">
        <f t="shared" si="247"/>
        <v>0</v>
      </c>
      <c r="L1188" s="4">
        <f t="shared" si="247"/>
        <v>0</v>
      </c>
      <c r="M1188" s="4">
        <f t="shared" si="247"/>
        <v>2</v>
      </c>
      <c r="N1188" s="4">
        <f t="shared" si="247"/>
        <v>6</v>
      </c>
      <c r="O1188" s="4">
        <f t="shared" si="248"/>
        <v>0</v>
      </c>
      <c r="P1188" s="4">
        <f t="shared" si="249"/>
        <v>0</v>
      </c>
      <c r="Q1188" s="4">
        <f t="shared" si="250"/>
        <v>12</v>
      </c>
      <c r="R1188" s="4">
        <f t="shared" si="251"/>
        <v>36</v>
      </c>
      <c r="S1188" s="4">
        <f>IF(AND(VLOOKUP(G1188,Dados!$D:$L,2,0)=VLOOKUP(I1188,Dados!$S:$V,2,0),VLOOKUP(G1188,Dados!$D:$L,3,0)=VLOOKUP(I1188,Dados!$S:$V,3,0)),0,1)</f>
        <v>0</v>
      </c>
      <c r="T1188" s="4">
        <f>IF(AND(VLOOKUP(G1188,Dados!$D:$L,3,0)&lt;=VLOOKUP(H1188,Dados!$X:$AB,2,0),VLOOKUP(G1188,Dados!$D:$L,4,0)&gt;=VLOOKUP(H1188,Dados!$X:$AB,3,0),VLOOKUP(G1188,Dados!$D:$L,4,0)&lt;=VLOOKUP(H1188,Dados!$X:$AB,4,0)),0,1)</f>
        <v>0</v>
      </c>
      <c r="U1188" s="4">
        <f>IF(COUNTIFS(F:F,F1188,H:H,H1188)&lt;=VLOOKUP(H1188,Dados!$X:$AB,5,0),0,1)</f>
        <v>0</v>
      </c>
    </row>
    <row r="1189" spans="6:21">
      <c r="F1189" s="4">
        <v>612</v>
      </c>
      <c r="G1189" s="4">
        <v>13</v>
      </c>
      <c r="H1189" s="4">
        <v>1</v>
      </c>
      <c r="I1189" s="4">
        <v>8</v>
      </c>
      <c r="J1189" s="4">
        <v>1</v>
      </c>
      <c r="K1189" s="4">
        <f t="shared" si="247"/>
        <v>0</v>
      </c>
      <c r="L1189" s="4">
        <f t="shared" si="247"/>
        <v>0</v>
      </c>
      <c r="M1189" s="4">
        <f t="shared" si="247"/>
        <v>0</v>
      </c>
      <c r="N1189" s="4">
        <f t="shared" si="247"/>
        <v>0</v>
      </c>
      <c r="O1189" s="4">
        <f t="shared" si="248"/>
        <v>0</v>
      </c>
      <c r="P1189" s="4">
        <f t="shared" si="249"/>
        <v>0</v>
      </c>
      <c r="Q1189" s="4">
        <f t="shared" si="250"/>
        <v>0</v>
      </c>
      <c r="R1189" s="4">
        <f t="shared" si="251"/>
        <v>0</v>
      </c>
      <c r="S1189" s="4">
        <f>IF(AND(VLOOKUP(G1189,Dados!$D:$L,2,0)=VLOOKUP(I1189,Dados!$S:$V,2,0),VLOOKUP(G1189,Dados!$D:$L,3,0)=VLOOKUP(I1189,Dados!$S:$V,3,0)),0,1)</f>
        <v>0</v>
      </c>
      <c r="T1189" s="4">
        <f>IF(AND(VLOOKUP(G1189,Dados!$D:$L,3,0)&lt;=VLOOKUP(H1189,Dados!$X:$AB,2,0),VLOOKUP(G1189,Dados!$D:$L,4,0)&gt;=VLOOKUP(H1189,Dados!$X:$AB,3,0),VLOOKUP(G1189,Dados!$D:$L,4,0)&lt;=VLOOKUP(H1189,Dados!$X:$AB,4,0)),0,1)</f>
        <v>0</v>
      </c>
      <c r="U1189" s="4">
        <f>IF(COUNTIFS(F:F,F1189,H:H,H1189)&lt;=VLOOKUP(H1189,Dados!$X:$AB,5,0),0,1)</f>
        <v>0</v>
      </c>
    </row>
    <row r="1190" spans="6:21">
      <c r="F1190" s="4">
        <v>612</v>
      </c>
      <c r="G1190" s="4">
        <v>14</v>
      </c>
      <c r="H1190" s="4">
        <v>1</v>
      </c>
      <c r="I1190" s="4">
        <v>8</v>
      </c>
      <c r="J1190" s="4">
        <v>2</v>
      </c>
      <c r="K1190" s="4">
        <f t="shared" si="247"/>
        <v>0</v>
      </c>
      <c r="L1190" s="4">
        <f t="shared" si="247"/>
        <v>0</v>
      </c>
      <c r="M1190" s="4">
        <f t="shared" si="247"/>
        <v>0</v>
      </c>
      <c r="N1190" s="4">
        <f t="shared" ref="K1190:N1253" si="252">SUMIFS($X:$X,$W:$W,$F1190,$Z:$Z,$I1190,$AA:$AA,$H1190,$AB:$AB,N$2)</f>
        <v>0</v>
      </c>
      <c r="O1190" s="4">
        <f t="shared" si="248"/>
        <v>0</v>
      </c>
      <c r="P1190" s="4">
        <f t="shared" si="249"/>
        <v>0</v>
      </c>
      <c r="Q1190" s="4">
        <f t="shared" si="250"/>
        <v>0</v>
      </c>
      <c r="R1190" s="4">
        <f t="shared" si="251"/>
        <v>0</v>
      </c>
      <c r="S1190" s="4">
        <f>IF(AND(VLOOKUP(G1190,Dados!$D:$L,2,0)=VLOOKUP(I1190,Dados!$S:$V,2,0),VLOOKUP(G1190,Dados!$D:$L,3,0)=VLOOKUP(I1190,Dados!$S:$V,3,0)),0,1)</f>
        <v>0</v>
      </c>
      <c r="T1190" s="4">
        <f>IF(AND(VLOOKUP(G1190,Dados!$D:$L,3,0)&lt;=VLOOKUP(H1190,Dados!$X:$AB,2,0),VLOOKUP(G1190,Dados!$D:$L,4,0)&gt;=VLOOKUP(H1190,Dados!$X:$AB,3,0),VLOOKUP(G1190,Dados!$D:$L,4,0)&lt;=VLOOKUP(H1190,Dados!$X:$AB,4,0)),0,1)</f>
        <v>0</v>
      </c>
      <c r="U1190" s="4">
        <f>IF(COUNTIFS(F:F,F1190,H:H,H1190)&lt;=VLOOKUP(H1190,Dados!$X:$AB,5,0),0,1)</f>
        <v>0</v>
      </c>
    </row>
    <row r="1191" spans="6:21">
      <c r="F1191" s="4">
        <v>612</v>
      </c>
      <c r="G1191" s="4">
        <v>15</v>
      </c>
      <c r="H1191" s="4">
        <v>1</v>
      </c>
      <c r="I1191" s="4">
        <v>8</v>
      </c>
      <c r="J1191" s="4">
        <v>6</v>
      </c>
      <c r="K1191" s="4">
        <f t="shared" si="252"/>
        <v>0</v>
      </c>
      <c r="L1191" s="4">
        <f t="shared" si="252"/>
        <v>0</v>
      </c>
      <c r="M1191" s="4">
        <f t="shared" si="252"/>
        <v>0</v>
      </c>
      <c r="N1191" s="4">
        <f t="shared" si="252"/>
        <v>0</v>
      </c>
      <c r="O1191" s="4">
        <f t="shared" ref="O1191:O1254" si="253">$J1191*K1191</f>
        <v>0</v>
      </c>
      <c r="P1191" s="4">
        <f t="shared" ref="P1191:P1254" si="254">$J1191*L1191</f>
        <v>0</v>
      </c>
      <c r="Q1191" s="4">
        <f t="shared" ref="Q1191:Q1254" si="255">$J1191*M1191</f>
        <v>0</v>
      </c>
      <c r="R1191" s="4">
        <f t="shared" ref="R1191:R1254" si="256">$J1191*N1191</f>
        <v>0</v>
      </c>
      <c r="S1191" s="4">
        <f>IF(AND(VLOOKUP(G1191,Dados!$D:$L,2,0)=VLOOKUP(I1191,Dados!$S:$V,2,0),VLOOKUP(G1191,Dados!$D:$L,3,0)=VLOOKUP(I1191,Dados!$S:$V,3,0)),0,1)</f>
        <v>0</v>
      </c>
      <c r="T1191" s="4">
        <f>IF(AND(VLOOKUP(G1191,Dados!$D:$L,3,0)&lt;=VLOOKUP(H1191,Dados!$X:$AB,2,0),VLOOKUP(G1191,Dados!$D:$L,4,0)&gt;=VLOOKUP(H1191,Dados!$X:$AB,3,0),VLOOKUP(G1191,Dados!$D:$L,4,0)&lt;=VLOOKUP(H1191,Dados!$X:$AB,4,0)),0,1)</f>
        <v>0</v>
      </c>
      <c r="U1191" s="4">
        <f>IF(COUNTIFS(F:F,F1191,H:H,H1191)&lt;=VLOOKUP(H1191,Dados!$X:$AB,5,0),0,1)</f>
        <v>0</v>
      </c>
    </row>
    <row r="1192" spans="6:21">
      <c r="F1192" s="4">
        <v>613</v>
      </c>
      <c r="G1192" s="4">
        <v>13</v>
      </c>
      <c r="H1192" s="4">
        <v>3</v>
      </c>
      <c r="I1192" s="4">
        <v>8</v>
      </c>
      <c r="J1192" s="4">
        <v>1</v>
      </c>
      <c r="K1192" s="4">
        <f t="shared" si="252"/>
        <v>0</v>
      </c>
      <c r="L1192" s="4">
        <f t="shared" si="252"/>
        <v>0</v>
      </c>
      <c r="M1192" s="4">
        <f t="shared" si="252"/>
        <v>0</v>
      </c>
      <c r="N1192" s="4">
        <f t="shared" si="252"/>
        <v>0</v>
      </c>
      <c r="O1192" s="4">
        <f t="shared" si="253"/>
        <v>0</v>
      </c>
      <c r="P1192" s="4">
        <f t="shared" si="254"/>
        <v>0</v>
      </c>
      <c r="Q1192" s="4">
        <f t="shared" si="255"/>
        <v>0</v>
      </c>
      <c r="R1192" s="4">
        <f t="shared" si="256"/>
        <v>0</v>
      </c>
      <c r="S1192" s="4">
        <f>IF(AND(VLOOKUP(G1192,Dados!$D:$L,2,0)=VLOOKUP(I1192,Dados!$S:$V,2,0),VLOOKUP(G1192,Dados!$D:$L,3,0)=VLOOKUP(I1192,Dados!$S:$V,3,0)),0,1)</f>
        <v>0</v>
      </c>
      <c r="T1192" s="4">
        <f>IF(AND(VLOOKUP(G1192,Dados!$D:$L,3,0)&lt;=VLOOKUP(H1192,Dados!$X:$AB,2,0),VLOOKUP(G1192,Dados!$D:$L,4,0)&gt;=VLOOKUP(H1192,Dados!$X:$AB,3,0),VLOOKUP(G1192,Dados!$D:$L,4,0)&lt;=VLOOKUP(H1192,Dados!$X:$AB,4,0)),0,1)</f>
        <v>0</v>
      </c>
      <c r="U1192" s="4">
        <f>IF(COUNTIFS(F:F,F1192,H:H,H1192)&lt;=VLOOKUP(H1192,Dados!$X:$AB,5,0),0,1)</f>
        <v>0</v>
      </c>
    </row>
    <row r="1193" spans="6:21">
      <c r="F1193" s="4">
        <v>613</v>
      </c>
      <c r="G1193" s="4">
        <v>14</v>
      </c>
      <c r="H1193" s="4">
        <v>3</v>
      </c>
      <c r="I1193" s="4">
        <v>8</v>
      </c>
      <c r="J1193" s="4">
        <v>2</v>
      </c>
      <c r="K1193" s="4">
        <f t="shared" si="252"/>
        <v>0</v>
      </c>
      <c r="L1193" s="4">
        <f t="shared" si="252"/>
        <v>0</v>
      </c>
      <c r="M1193" s="4">
        <f t="shared" si="252"/>
        <v>0</v>
      </c>
      <c r="N1193" s="4">
        <f t="shared" si="252"/>
        <v>0</v>
      </c>
      <c r="O1193" s="4">
        <f t="shared" si="253"/>
        <v>0</v>
      </c>
      <c r="P1193" s="4">
        <f t="shared" si="254"/>
        <v>0</v>
      </c>
      <c r="Q1193" s="4">
        <f t="shared" si="255"/>
        <v>0</v>
      </c>
      <c r="R1193" s="4">
        <f t="shared" si="256"/>
        <v>0</v>
      </c>
      <c r="S1193" s="4">
        <f>IF(AND(VLOOKUP(G1193,Dados!$D:$L,2,0)=VLOOKUP(I1193,Dados!$S:$V,2,0),VLOOKUP(G1193,Dados!$D:$L,3,0)=VLOOKUP(I1193,Dados!$S:$V,3,0)),0,1)</f>
        <v>0</v>
      </c>
      <c r="T1193" s="4">
        <f>IF(AND(VLOOKUP(G1193,Dados!$D:$L,3,0)&lt;=VLOOKUP(H1193,Dados!$X:$AB,2,0),VLOOKUP(G1193,Dados!$D:$L,4,0)&gt;=VLOOKUP(H1193,Dados!$X:$AB,3,0),VLOOKUP(G1193,Dados!$D:$L,4,0)&lt;=VLOOKUP(H1193,Dados!$X:$AB,4,0)),0,1)</f>
        <v>0</v>
      </c>
      <c r="U1193" s="4">
        <f>IF(COUNTIFS(F:F,F1193,H:H,H1193)&lt;=VLOOKUP(H1193,Dados!$X:$AB,5,0),0,1)</f>
        <v>0</v>
      </c>
    </row>
    <row r="1194" spans="6:21">
      <c r="F1194" s="4">
        <v>613</v>
      </c>
      <c r="G1194" s="4">
        <v>15</v>
      </c>
      <c r="H1194" s="4">
        <v>3</v>
      </c>
      <c r="I1194" s="4">
        <v>8</v>
      </c>
      <c r="J1194" s="4">
        <v>6</v>
      </c>
      <c r="K1194" s="4">
        <f t="shared" si="252"/>
        <v>0</v>
      </c>
      <c r="L1194" s="4">
        <f t="shared" si="252"/>
        <v>0</v>
      </c>
      <c r="M1194" s="4">
        <f t="shared" si="252"/>
        <v>0</v>
      </c>
      <c r="N1194" s="4">
        <f t="shared" si="252"/>
        <v>0</v>
      </c>
      <c r="O1194" s="4">
        <f t="shared" si="253"/>
        <v>0</v>
      </c>
      <c r="P1194" s="4">
        <f t="shared" si="254"/>
        <v>0</v>
      </c>
      <c r="Q1194" s="4">
        <f t="shared" si="255"/>
        <v>0</v>
      </c>
      <c r="R1194" s="4">
        <f t="shared" si="256"/>
        <v>0</v>
      </c>
      <c r="S1194" s="4">
        <f>IF(AND(VLOOKUP(G1194,Dados!$D:$L,2,0)=VLOOKUP(I1194,Dados!$S:$V,2,0),VLOOKUP(G1194,Dados!$D:$L,3,0)=VLOOKUP(I1194,Dados!$S:$V,3,0)),0,1)</f>
        <v>0</v>
      </c>
      <c r="T1194" s="4">
        <f>IF(AND(VLOOKUP(G1194,Dados!$D:$L,3,0)&lt;=VLOOKUP(H1194,Dados!$X:$AB,2,0),VLOOKUP(G1194,Dados!$D:$L,4,0)&gt;=VLOOKUP(H1194,Dados!$X:$AB,3,0),VLOOKUP(G1194,Dados!$D:$L,4,0)&lt;=VLOOKUP(H1194,Dados!$X:$AB,4,0)),0,1)</f>
        <v>0</v>
      </c>
      <c r="U1194" s="4">
        <f>IF(COUNTIFS(F:F,F1194,H:H,H1194)&lt;=VLOOKUP(H1194,Dados!$X:$AB,5,0),0,1)</f>
        <v>0</v>
      </c>
    </row>
    <row r="1195" spans="6:21">
      <c r="F1195" s="4">
        <v>614</v>
      </c>
      <c r="G1195" s="4">
        <v>13</v>
      </c>
      <c r="H1195" s="4">
        <v>1</v>
      </c>
      <c r="I1195" s="4">
        <v>9</v>
      </c>
      <c r="J1195" s="4">
        <v>1</v>
      </c>
      <c r="K1195" s="4">
        <f t="shared" si="252"/>
        <v>0</v>
      </c>
      <c r="L1195" s="4">
        <f t="shared" si="252"/>
        <v>0</v>
      </c>
      <c r="M1195" s="4">
        <f t="shared" si="252"/>
        <v>0</v>
      </c>
      <c r="N1195" s="4">
        <f t="shared" si="252"/>
        <v>0</v>
      </c>
      <c r="O1195" s="4">
        <f t="shared" si="253"/>
        <v>0</v>
      </c>
      <c r="P1195" s="4">
        <f t="shared" si="254"/>
        <v>0</v>
      </c>
      <c r="Q1195" s="4">
        <f t="shared" si="255"/>
        <v>0</v>
      </c>
      <c r="R1195" s="4">
        <f t="shared" si="256"/>
        <v>0</v>
      </c>
      <c r="S1195" s="4">
        <f>IF(AND(VLOOKUP(G1195,Dados!$D:$L,2,0)=VLOOKUP(I1195,Dados!$S:$V,2,0),VLOOKUP(G1195,Dados!$D:$L,3,0)=VLOOKUP(I1195,Dados!$S:$V,3,0)),0,1)</f>
        <v>0</v>
      </c>
      <c r="T1195" s="4">
        <f>IF(AND(VLOOKUP(G1195,Dados!$D:$L,3,0)&lt;=VLOOKUP(H1195,Dados!$X:$AB,2,0),VLOOKUP(G1195,Dados!$D:$L,4,0)&gt;=VLOOKUP(H1195,Dados!$X:$AB,3,0),VLOOKUP(G1195,Dados!$D:$L,4,0)&lt;=VLOOKUP(H1195,Dados!$X:$AB,4,0)),0,1)</f>
        <v>0</v>
      </c>
      <c r="U1195" s="4">
        <f>IF(COUNTIFS(F:F,F1195,H:H,H1195)&lt;=VLOOKUP(H1195,Dados!$X:$AB,5,0),0,1)</f>
        <v>0</v>
      </c>
    </row>
    <row r="1196" spans="6:21">
      <c r="F1196" s="4">
        <v>614</v>
      </c>
      <c r="G1196" s="4">
        <v>14</v>
      </c>
      <c r="H1196" s="4">
        <v>1</v>
      </c>
      <c r="I1196" s="4">
        <v>9</v>
      </c>
      <c r="J1196" s="4">
        <v>3</v>
      </c>
      <c r="K1196" s="4">
        <f t="shared" si="252"/>
        <v>0</v>
      </c>
      <c r="L1196" s="4">
        <f t="shared" si="252"/>
        <v>0</v>
      </c>
      <c r="M1196" s="4">
        <f t="shared" si="252"/>
        <v>0</v>
      </c>
      <c r="N1196" s="4">
        <f t="shared" si="252"/>
        <v>0</v>
      </c>
      <c r="O1196" s="4">
        <f t="shared" si="253"/>
        <v>0</v>
      </c>
      <c r="P1196" s="4">
        <f t="shared" si="254"/>
        <v>0</v>
      </c>
      <c r="Q1196" s="4">
        <f t="shared" si="255"/>
        <v>0</v>
      </c>
      <c r="R1196" s="4">
        <f t="shared" si="256"/>
        <v>0</v>
      </c>
      <c r="S1196" s="4">
        <f>IF(AND(VLOOKUP(G1196,Dados!$D:$L,2,0)=VLOOKUP(I1196,Dados!$S:$V,2,0),VLOOKUP(G1196,Dados!$D:$L,3,0)=VLOOKUP(I1196,Dados!$S:$V,3,0)),0,1)</f>
        <v>0</v>
      </c>
      <c r="T1196" s="4">
        <f>IF(AND(VLOOKUP(G1196,Dados!$D:$L,3,0)&lt;=VLOOKUP(H1196,Dados!$X:$AB,2,0),VLOOKUP(G1196,Dados!$D:$L,4,0)&gt;=VLOOKUP(H1196,Dados!$X:$AB,3,0),VLOOKUP(G1196,Dados!$D:$L,4,0)&lt;=VLOOKUP(H1196,Dados!$X:$AB,4,0)),0,1)</f>
        <v>0</v>
      </c>
      <c r="U1196" s="4">
        <f>IF(COUNTIFS(F:F,F1196,H:H,H1196)&lt;=VLOOKUP(H1196,Dados!$X:$AB,5,0),0,1)</f>
        <v>0</v>
      </c>
    </row>
    <row r="1197" spans="6:21">
      <c r="F1197" s="4">
        <v>614</v>
      </c>
      <c r="G1197" s="4">
        <v>15</v>
      </c>
      <c r="H1197" s="4">
        <v>1</v>
      </c>
      <c r="I1197" s="4">
        <v>9</v>
      </c>
      <c r="J1197" s="4">
        <v>5</v>
      </c>
      <c r="K1197" s="4">
        <f t="shared" si="252"/>
        <v>0</v>
      </c>
      <c r="L1197" s="4">
        <f t="shared" si="252"/>
        <v>0</v>
      </c>
      <c r="M1197" s="4">
        <f t="shared" si="252"/>
        <v>0</v>
      </c>
      <c r="N1197" s="4">
        <f t="shared" si="252"/>
        <v>0</v>
      </c>
      <c r="O1197" s="4">
        <f t="shared" si="253"/>
        <v>0</v>
      </c>
      <c r="P1197" s="4">
        <f t="shared" si="254"/>
        <v>0</v>
      </c>
      <c r="Q1197" s="4">
        <f t="shared" si="255"/>
        <v>0</v>
      </c>
      <c r="R1197" s="4">
        <f t="shared" si="256"/>
        <v>0</v>
      </c>
      <c r="S1197" s="4">
        <f>IF(AND(VLOOKUP(G1197,Dados!$D:$L,2,0)=VLOOKUP(I1197,Dados!$S:$V,2,0),VLOOKUP(G1197,Dados!$D:$L,3,0)=VLOOKUP(I1197,Dados!$S:$V,3,0)),0,1)</f>
        <v>0</v>
      </c>
      <c r="T1197" s="4">
        <f>IF(AND(VLOOKUP(G1197,Dados!$D:$L,3,0)&lt;=VLOOKUP(H1197,Dados!$X:$AB,2,0),VLOOKUP(G1197,Dados!$D:$L,4,0)&gt;=VLOOKUP(H1197,Dados!$X:$AB,3,0),VLOOKUP(G1197,Dados!$D:$L,4,0)&lt;=VLOOKUP(H1197,Dados!$X:$AB,4,0)),0,1)</f>
        <v>0</v>
      </c>
      <c r="U1197" s="4">
        <f>IF(COUNTIFS(F:F,F1197,H:H,H1197)&lt;=VLOOKUP(H1197,Dados!$X:$AB,5,0),0,1)</f>
        <v>0</v>
      </c>
    </row>
    <row r="1198" spans="6:21">
      <c r="F1198" s="4">
        <v>615</v>
      </c>
      <c r="G1198" s="4">
        <v>13</v>
      </c>
      <c r="H1198" s="4">
        <v>3</v>
      </c>
      <c r="I1198" s="4">
        <v>9</v>
      </c>
      <c r="J1198" s="4">
        <v>1</v>
      </c>
      <c r="K1198" s="4">
        <f t="shared" si="252"/>
        <v>0</v>
      </c>
      <c r="L1198" s="4">
        <f t="shared" si="252"/>
        <v>0</v>
      </c>
      <c r="M1198" s="4">
        <f t="shared" si="252"/>
        <v>0</v>
      </c>
      <c r="N1198" s="4">
        <f t="shared" si="252"/>
        <v>0</v>
      </c>
      <c r="O1198" s="4">
        <f t="shared" si="253"/>
        <v>0</v>
      </c>
      <c r="P1198" s="4">
        <f t="shared" si="254"/>
        <v>0</v>
      </c>
      <c r="Q1198" s="4">
        <f t="shared" si="255"/>
        <v>0</v>
      </c>
      <c r="R1198" s="4">
        <f t="shared" si="256"/>
        <v>0</v>
      </c>
      <c r="S1198" s="4">
        <f>IF(AND(VLOOKUP(G1198,Dados!$D:$L,2,0)=VLOOKUP(I1198,Dados!$S:$V,2,0),VLOOKUP(G1198,Dados!$D:$L,3,0)=VLOOKUP(I1198,Dados!$S:$V,3,0)),0,1)</f>
        <v>0</v>
      </c>
      <c r="T1198" s="4">
        <f>IF(AND(VLOOKUP(G1198,Dados!$D:$L,3,0)&lt;=VLOOKUP(H1198,Dados!$X:$AB,2,0),VLOOKUP(G1198,Dados!$D:$L,4,0)&gt;=VLOOKUP(H1198,Dados!$X:$AB,3,0),VLOOKUP(G1198,Dados!$D:$L,4,0)&lt;=VLOOKUP(H1198,Dados!$X:$AB,4,0)),0,1)</f>
        <v>0</v>
      </c>
      <c r="U1198" s="4">
        <f>IF(COUNTIFS(F:F,F1198,H:H,H1198)&lt;=VLOOKUP(H1198,Dados!$X:$AB,5,0),0,1)</f>
        <v>0</v>
      </c>
    </row>
    <row r="1199" spans="6:21">
      <c r="F1199" s="4">
        <v>615</v>
      </c>
      <c r="G1199" s="4">
        <v>14</v>
      </c>
      <c r="H1199" s="4">
        <v>3</v>
      </c>
      <c r="I1199" s="4">
        <v>9</v>
      </c>
      <c r="J1199" s="4">
        <v>3</v>
      </c>
      <c r="K1199" s="4">
        <f t="shared" si="252"/>
        <v>0</v>
      </c>
      <c r="L1199" s="4">
        <f t="shared" si="252"/>
        <v>0</v>
      </c>
      <c r="M1199" s="4">
        <f t="shared" si="252"/>
        <v>0</v>
      </c>
      <c r="N1199" s="4">
        <f t="shared" si="252"/>
        <v>0</v>
      </c>
      <c r="O1199" s="4">
        <f t="shared" si="253"/>
        <v>0</v>
      </c>
      <c r="P1199" s="4">
        <f t="shared" si="254"/>
        <v>0</v>
      </c>
      <c r="Q1199" s="4">
        <f t="shared" si="255"/>
        <v>0</v>
      </c>
      <c r="R1199" s="4">
        <f t="shared" si="256"/>
        <v>0</v>
      </c>
      <c r="S1199" s="4">
        <f>IF(AND(VLOOKUP(G1199,Dados!$D:$L,2,0)=VLOOKUP(I1199,Dados!$S:$V,2,0),VLOOKUP(G1199,Dados!$D:$L,3,0)=VLOOKUP(I1199,Dados!$S:$V,3,0)),0,1)</f>
        <v>0</v>
      </c>
      <c r="T1199" s="4">
        <f>IF(AND(VLOOKUP(G1199,Dados!$D:$L,3,0)&lt;=VLOOKUP(H1199,Dados!$X:$AB,2,0),VLOOKUP(G1199,Dados!$D:$L,4,0)&gt;=VLOOKUP(H1199,Dados!$X:$AB,3,0),VLOOKUP(G1199,Dados!$D:$L,4,0)&lt;=VLOOKUP(H1199,Dados!$X:$AB,4,0)),0,1)</f>
        <v>0</v>
      </c>
      <c r="U1199" s="4">
        <f>IF(COUNTIFS(F:F,F1199,H:H,H1199)&lt;=VLOOKUP(H1199,Dados!$X:$AB,5,0),0,1)</f>
        <v>0</v>
      </c>
    </row>
    <row r="1200" spans="6:21">
      <c r="F1200" s="4">
        <v>615</v>
      </c>
      <c r="G1200" s="4">
        <v>15</v>
      </c>
      <c r="H1200" s="4">
        <v>3</v>
      </c>
      <c r="I1200" s="4">
        <v>9</v>
      </c>
      <c r="J1200" s="4">
        <v>5</v>
      </c>
      <c r="K1200" s="4">
        <f t="shared" si="252"/>
        <v>0</v>
      </c>
      <c r="L1200" s="4">
        <f t="shared" si="252"/>
        <v>0</v>
      </c>
      <c r="M1200" s="4">
        <f t="shared" si="252"/>
        <v>0</v>
      </c>
      <c r="N1200" s="4">
        <f t="shared" si="252"/>
        <v>0</v>
      </c>
      <c r="O1200" s="4">
        <f t="shared" si="253"/>
        <v>0</v>
      </c>
      <c r="P1200" s="4">
        <f t="shared" si="254"/>
        <v>0</v>
      </c>
      <c r="Q1200" s="4">
        <f t="shared" si="255"/>
        <v>0</v>
      </c>
      <c r="R1200" s="4">
        <f t="shared" si="256"/>
        <v>0</v>
      </c>
      <c r="S1200" s="4">
        <f>IF(AND(VLOOKUP(G1200,Dados!$D:$L,2,0)=VLOOKUP(I1200,Dados!$S:$V,2,0),VLOOKUP(G1200,Dados!$D:$L,3,0)=VLOOKUP(I1200,Dados!$S:$V,3,0)),0,1)</f>
        <v>0</v>
      </c>
      <c r="T1200" s="4">
        <f>IF(AND(VLOOKUP(G1200,Dados!$D:$L,3,0)&lt;=VLOOKUP(H1200,Dados!$X:$AB,2,0),VLOOKUP(G1200,Dados!$D:$L,4,0)&gt;=VLOOKUP(H1200,Dados!$X:$AB,3,0),VLOOKUP(G1200,Dados!$D:$L,4,0)&lt;=VLOOKUP(H1200,Dados!$X:$AB,4,0)),0,1)</f>
        <v>0</v>
      </c>
      <c r="U1200" s="4">
        <f>IF(COUNTIFS(F:F,F1200,H:H,H1200)&lt;=VLOOKUP(H1200,Dados!$X:$AB,5,0),0,1)</f>
        <v>0</v>
      </c>
    </row>
    <row r="1201" spans="6:21">
      <c r="F1201" s="4">
        <v>616</v>
      </c>
      <c r="G1201" s="4">
        <v>14</v>
      </c>
      <c r="H1201" s="4">
        <v>1</v>
      </c>
      <c r="I1201" s="4">
        <v>10</v>
      </c>
      <c r="J1201" s="4">
        <v>1</v>
      </c>
      <c r="K1201" s="4">
        <f t="shared" si="252"/>
        <v>0</v>
      </c>
      <c r="L1201" s="4">
        <f t="shared" si="252"/>
        <v>0</v>
      </c>
      <c r="M1201" s="4">
        <f t="shared" si="252"/>
        <v>0</v>
      </c>
      <c r="N1201" s="4">
        <f t="shared" si="252"/>
        <v>0</v>
      </c>
      <c r="O1201" s="4">
        <f t="shared" si="253"/>
        <v>0</v>
      </c>
      <c r="P1201" s="4">
        <f t="shared" si="254"/>
        <v>0</v>
      </c>
      <c r="Q1201" s="4">
        <f t="shared" si="255"/>
        <v>0</v>
      </c>
      <c r="R1201" s="4">
        <f t="shared" si="256"/>
        <v>0</v>
      </c>
      <c r="S1201" s="4">
        <f>IF(AND(VLOOKUP(G1201,Dados!$D:$L,2,0)=VLOOKUP(I1201,Dados!$S:$V,2,0),VLOOKUP(G1201,Dados!$D:$L,3,0)=VLOOKUP(I1201,Dados!$S:$V,3,0)),0,1)</f>
        <v>0</v>
      </c>
      <c r="T1201" s="4">
        <f>IF(AND(VLOOKUP(G1201,Dados!$D:$L,3,0)&lt;=VLOOKUP(H1201,Dados!$X:$AB,2,0),VLOOKUP(G1201,Dados!$D:$L,4,0)&gt;=VLOOKUP(H1201,Dados!$X:$AB,3,0),VLOOKUP(G1201,Dados!$D:$L,4,0)&lt;=VLOOKUP(H1201,Dados!$X:$AB,4,0)),0,1)</f>
        <v>0</v>
      </c>
      <c r="U1201" s="4">
        <f>IF(COUNTIFS(F:F,F1201,H:H,H1201)&lt;=VLOOKUP(H1201,Dados!$X:$AB,5,0),0,1)</f>
        <v>0</v>
      </c>
    </row>
    <row r="1202" spans="6:21">
      <c r="F1202" s="4">
        <v>616</v>
      </c>
      <c r="G1202" s="4">
        <v>15</v>
      </c>
      <c r="H1202" s="4">
        <v>1</v>
      </c>
      <c r="I1202" s="4">
        <v>10</v>
      </c>
      <c r="J1202" s="4">
        <v>7</v>
      </c>
      <c r="K1202" s="4">
        <f t="shared" si="252"/>
        <v>0</v>
      </c>
      <c r="L1202" s="4">
        <f t="shared" si="252"/>
        <v>0</v>
      </c>
      <c r="M1202" s="4">
        <f t="shared" si="252"/>
        <v>0</v>
      </c>
      <c r="N1202" s="4">
        <f t="shared" si="252"/>
        <v>0</v>
      </c>
      <c r="O1202" s="4">
        <f t="shared" si="253"/>
        <v>0</v>
      </c>
      <c r="P1202" s="4">
        <f t="shared" si="254"/>
        <v>0</v>
      </c>
      <c r="Q1202" s="4">
        <f t="shared" si="255"/>
        <v>0</v>
      </c>
      <c r="R1202" s="4">
        <f t="shared" si="256"/>
        <v>0</v>
      </c>
      <c r="S1202" s="4">
        <f>IF(AND(VLOOKUP(G1202,Dados!$D:$L,2,0)=VLOOKUP(I1202,Dados!$S:$V,2,0),VLOOKUP(G1202,Dados!$D:$L,3,0)=VLOOKUP(I1202,Dados!$S:$V,3,0)),0,1)</f>
        <v>0</v>
      </c>
      <c r="T1202" s="4">
        <f>IF(AND(VLOOKUP(G1202,Dados!$D:$L,3,0)&lt;=VLOOKUP(H1202,Dados!$X:$AB,2,0),VLOOKUP(G1202,Dados!$D:$L,4,0)&gt;=VLOOKUP(H1202,Dados!$X:$AB,3,0),VLOOKUP(G1202,Dados!$D:$L,4,0)&lt;=VLOOKUP(H1202,Dados!$X:$AB,4,0)),0,1)</f>
        <v>0</v>
      </c>
      <c r="U1202" s="4">
        <f>IF(COUNTIFS(F:F,F1202,H:H,H1202)&lt;=VLOOKUP(H1202,Dados!$X:$AB,5,0),0,1)</f>
        <v>0</v>
      </c>
    </row>
    <row r="1203" spans="6:21">
      <c r="F1203" s="4">
        <v>617</v>
      </c>
      <c r="G1203" s="4">
        <v>14</v>
      </c>
      <c r="H1203" s="4">
        <v>3</v>
      </c>
      <c r="I1203" s="4">
        <v>10</v>
      </c>
      <c r="J1203" s="4">
        <v>1</v>
      </c>
      <c r="K1203" s="4">
        <f t="shared" si="252"/>
        <v>1</v>
      </c>
      <c r="L1203" s="4">
        <f t="shared" si="252"/>
        <v>0</v>
      </c>
      <c r="M1203" s="4">
        <f t="shared" si="252"/>
        <v>0</v>
      </c>
      <c r="N1203" s="4">
        <f t="shared" si="252"/>
        <v>0</v>
      </c>
      <c r="O1203" s="4">
        <f t="shared" si="253"/>
        <v>1</v>
      </c>
      <c r="P1203" s="4">
        <f t="shared" si="254"/>
        <v>0</v>
      </c>
      <c r="Q1203" s="4">
        <f t="shared" si="255"/>
        <v>0</v>
      </c>
      <c r="R1203" s="4">
        <f t="shared" si="256"/>
        <v>0</v>
      </c>
      <c r="S1203" s="4">
        <f>IF(AND(VLOOKUP(G1203,Dados!$D:$L,2,0)=VLOOKUP(I1203,Dados!$S:$V,2,0),VLOOKUP(G1203,Dados!$D:$L,3,0)=VLOOKUP(I1203,Dados!$S:$V,3,0)),0,1)</f>
        <v>0</v>
      </c>
      <c r="T1203" s="4">
        <f>IF(AND(VLOOKUP(G1203,Dados!$D:$L,3,0)&lt;=VLOOKUP(H1203,Dados!$X:$AB,2,0),VLOOKUP(G1203,Dados!$D:$L,4,0)&gt;=VLOOKUP(H1203,Dados!$X:$AB,3,0),VLOOKUP(G1203,Dados!$D:$L,4,0)&lt;=VLOOKUP(H1203,Dados!$X:$AB,4,0)),0,1)</f>
        <v>0</v>
      </c>
      <c r="U1203" s="4">
        <f>IF(COUNTIFS(F:F,F1203,H:H,H1203)&lt;=VLOOKUP(H1203,Dados!$X:$AB,5,0),0,1)</f>
        <v>0</v>
      </c>
    </row>
    <row r="1204" spans="6:21">
      <c r="F1204" s="4">
        <v>617</v>
      </c>
      <c r="G1204" s="4">
        <v>15</v>
      </c>
      <c r="H1204" s="4">
        <v>3</v>
      </c>
      <c r="I1204" s="4">
        <v>10</v>
      </c>
      <c r="J1204" s="4">
        <v>7</v>
      </c>
      <c r="K1204" s="4">
        <f t="shared" si="252"/>
        <v>1</v>
      </c>
      <c r="L1204" s="4">
        <f t="shared" si="252"/>
        <v>0</v>
      </c>
      <c r="M1204" s="4">
        <f t="shared" si="252"/>
        <v>0</v>
      </c>
      <c r="N1204" s="4">
        <f t="shared" si="252"/>
        <v>0</v>
      </c>
      <c r="O1204" s="4">
        <f t="shared" si="253"/>
        <v>7</v>
      </c>
      <c r="P1204" s="4">
        <f t="shared" si="254"/>
        <v>0</v>
      </c>
      <c r="Q1204" s="4">
        <f t="shared" si="255"/>
        <v>0</v>
      </c>
      <c r="R1204" s="4">
        <f t="shared" si="256"/>
        <v>0</v>
      </c>
      <c r="S1204" s="4">
        <f>IF(AND(VLOOKUP(G1204,Dados!$D:$L,2,0)=VLOOKUP(I1204,Dados!$S:$V,2,0),VLOOKUP(G1204,Dados!$D:$L,3,0)=VLOOKUP(I1204,Dados!$S:$V,3,0)),0,1)</f>
        <v>0</v>
      </c>
      <c r="T1204" s="4">
        <f>IF(AND(VLOOKUP(G1204,Dados!$D:$L,3,0)&lt;=VLOOKUP(H1204,Dados!$X:$AB,2,0),VLOOKUP(G1204,Dados!$D:$L,4,0)&gt;=VLOOKUP(H1204,Dados!$X:$AB,3,0),VLOOKUP(G1204,Dados!$D:$L,4,0)&lt;=VLOOKUP(H1204,Dados!$X:$AB,4,0)),0,1)</f>
        <v>0</v>
      </c>
      <c r="U1204" s="4">
        <f>IF(COUNTIFS(F:F,F1204,H:H,H1204)&lt;=VLOOKUP(H1204,Dados!$X:$AB,5,0),0,1)</f>
        <v>0</v>
      </c>
    </row>
    <row r="1205" spans="6:21">
      <c r="F1205" s="4">
        <v>618</v>
      </c>
      <c r="G1205" s="4">
        <v>14</v>
      </c>
      <c r="H1205" s="4">
        <v>1</v>
      </c>
      <c r="I1205" s="4">
        <v>11</v>
      </c>
      <c r="J1205" s="4">
        <v>3</v>
      </c>
      <c r="K1205" s="4">
        <f t="shared" si="252"/>
        <v>0</v>
      </c>
      <c r="L1205" s="4">
        <f t="shared" si="252"/>
        <v>0</v>
      </c>
      <c r="M1205" s="4">
        <f t="shared" si="252"/>
        <v>0</v>
      </c>
      <c r="N1205" s="4">
        <f t="shared" si="252"/>
        <v>0</v>
      </c>
      <c r="O1205" s="4">
        <f t="shared" si="253"/>
        <v>0</v>
      </c>
      <c r="P1205" s="4">
        <f t="shared" si="254"/>
        <v>0</v>
      </c>
      <c r="Q1205" s="4">
        <f t="shared" si="255"/>
        <v>0</v>
      </c>
      <c r="R1205" s="4">
        <f t="shared" si="256"/>
        <v>0</v>
      </c>
      <c r="S1205" s="4">
        <f>IF(AND(VLOOKUP(G1205,Dados!$D:$L,2,0)=VLOOKUP(I1205,Dados!$S:$V,2,0),VLOOKUP(G1205,Dados!$D:$L,3,0)=VLOOKUP(I1205,Dados!$S:$V,3,0)),0,1)</f>
        <v>0</v>
      </c>
      <c r="T1205" s="4">
        <f>IF(AND(VLOOKUP(G1205,Dados!$D:$L,3,0)&lt;=VLOOKUP(H1205,Dados!$X:$AB,2,0),VLOOKUP(G1205,Dados!$D:$L,4,0)&gt;=VLOOKUP(H1205,Dados!$X:$AB,3,0),VLOOKUP(G1205,Dados!$D:$L,4,0)&lt;=VLOOKUP(H1205,Dados!$X:$AB,4,0)),0,1)</f>
        <v>0</v>
      </c>
      <c r="U1205" s="4">
        <f>IF(COUNTIFS(F:F,F1205,H:H,H1205)&lt;=VLOOKUP(H1205,Dados!$X:$AB,5,0),0,1)</f>
        <v>0</v>
      </c>
    </row>
    <row r="1206" spans="6:21">
      <c r="F1206" s="4">
        <v>618</v>
      </c>
      <c r="G1206" s="4">
        <v>15</v>
      </c>
      <c r="H1206" s="4">
        <v>1</v>
      </c>
      <c r="I1206" s="4">
        <v>11</v>
      </c>
      <c r="J1206" s="4">
        <v>5</v>
      </c>
      <c r="K1206" s="4">
        <f t="shared" si="252"/>
        <v>0</v>
      </c>
      <c r="L1206" s="4">
        <f t="shared" si="252"/>
        <v>0</v>
      </c>
      <c r="M1206" s="4">
        <f t="shared" si="252"/>
        <v>0</v>
      </c>
      <c r="N1206" s="4">
        <f t="shared" si="252"/>
        <v>0</v>
      </c>
      <c r="O1206" s="4">
        <f t="shared" si="253"/>
        <v>0</v>
      </c>
      <c r="P1206" s="4">
        <f t="shared" si="254"/>
        <v>0</v>
      </c>
      <c r="Q1206" s="4">
        <f t="shared" si="255"/>
        <v>0</v>
      </c>
      <c r="R1206" s="4">
        <f t="shared" si="256"/>
        <v>0</v>
      </c>
      <c r="S1206" s="4">
        <f>IF(AND(VLOOKUP(G1206,Dados!$D:$L,2,0)=VLOOKUP(I1206,Dados!$S:$V,2,0),VLOOKUP(G1206,Dados!$D:$L,3,0)=VLOOKUP(I1206,Dados!$S:$V,3,0)),0,1)</f>
        <v>0</v>
      </c>
      <c r="T1206" s="4">
        <f>IF(AND(VLOOKUP(G1206,Dados!$D:$L,3,0)&lt;=VLOOKUP(H1206,Dados!$X:$AB,2,0),VLOOKUP(G1206,Dados!$D:$L,4,0)&gt;=VLOOKUP(H1206,Dados!$X:$AB,3,0),VLOOKUP(G1206,Dados!$D:$L,4,0)&lt;=VLOOKUP(H1206,Dados!$X:$AB,4,0)),0,1)</f>
        <v>0</v>
      </c>
      <c r="U1206" s="4">
        <f>IF(COUNTIFS(F:F,F1206,H:H,H1206)&lt;=VLOOKUP(H1206,Dados!$X:$AB,5,0),0,1)</f>
        <v>0</v>
      </c>
    </row>
    <row r="1207" spans="6:21">
      <c r="F1207" s="4">
        <v>619</v>
      </c>
      <c r="G1207" s="4">
        <v>14</v>
      </c>
      <c r="H1207" s="4">
        <v>3</v>
      </c>
      <c r="I1207" s="4">
        <v>11</v>
      </c>
      <c r="J1207" s="4">
        <v>3</v>
      </c>
      <c r="K1207" s="4">
        <f t="shared" si="252"/>
        <v>0</v>
      </c>
      <c r="L1207" s="4">
        <f t="shared" si="252"/>
        <v>0</v>
      </c>
      <c r="M1207" s="4">
        <f t="shared" si="252"/>
        <v>0</v>
      </c>
      <c r="N1207" s="4">
        <f t="shared" si="252"/>
        <v>0</v>
      </c>
      <c r="O1207" s="4">
        <f t="shared" si="253"/>
        <v>0</v>
      </c>
      <c r="P1207" s="4">
        <f t="shared" si="254"/>
        <v>0</v>
      </c>
      <c r="Q1207" s="4">
        <f t="shared" si="255"/>
        <v>0</v>
      </c>
      <c r="R1207" s="4">
        <f t="shared" si="256"/>
        <v>0</v>
      </c>
      <c r="S1207" s="4">
        <f>IF(AND(VLOOKUP(G1207,Dados!$D:$L,2,0)=VLOOKUP(I1207,Dados!$S:$V,2,0),VLOOKUP(G1207,Dados!$D:$L,3,0)=VLOOKUP(I1207,Dados!$S:$V,3,0)),0,1)</f>
        <v>0</v>
      </c>
      <c r="T1207" s="4">
        <f>IF(AND(VLOOKUP(G1207,Dados!$D:$L,3,0)&lt;=VLOOKUP(H1207,Dados!$X:$AB,2,0),VLOOKUP(G1207,Dados!$D:$L,4,0)&gt;=VLOOKUP(H1207,Dados!$X:$AB,3,0),VLOOKUP(G1207,Dados!$D:$L,4,0)&lt;=VLOOKUP(H1207,Dados!$X:$AB,4,0)),0,1)</f>
        <v>0</v>
      </c>
      <c r="U1207" s="4">
        <f>IF(COUNTIFS(F:F,F1207,H:H,H1207)&lt;=VLOOKUP(H1207,Dados!$X:$AB,5,0),0,1)</f>
        <v>0</v>
      </c>
    </row>
    <row r="1208" spans="6:21">
      <c r="F1208" s="4">
        <v>619</v>
      </c>
      <c r="G1208" s="4">
        <v>15</v>
      </c>
      <c r="H1208" s="4">
        <v>3</v>
      </c>
      <c r="I1208" s="4">
        <v>11</v>
      </c>
      <c r="J1208" s="4">
        <v>5</v>
      </c>
      <c r="K1208" s="4">
        <f t="shared" si="252"/>
        <v>0</v>
      </c>
      <c r="L1208" s="4">
        <f t="shared" si="252"/>
        <v>0</v>
      </c>
      <c r="M1208" s="4">
        <f t="shared" si="252"/>
        <v>0</v>
      </c>
      <c r="N1208" s="4">
        <f t="shared" si="252"/>
        <v>0</v>
      </c>
      <c r="O1208" s="4">
        <f t="shared" si="253"/>
        <v>0</v>
      </c>
      <c r="P1208" s="4">
        <f t="shared" si="254"/>
        <v>0</v>
      </c>
      <c r="Q1208" s="4">
        <f t="shared" si="255"/>
        <v>0</v>
      </c>
      <c r="R1208" s="4">
        <f t="shared" si="256"/>
        <v>0</v>
      </c>
      <c r="S1208" s="4">
        <f>IF(AND(VLOOKUP(G1208,Dados!$D:$L,2,0)=VLOOKUP(I1208,Dados!$S:$V,2,0),VLOOKUP(G1208,Dados!$D:$L,3,0)=VLOOKUP(I1208,Dados!$S:$V,3,0)),0,1)</f>
        <v>0</v>
      </c>
      <c r="T1208" s="4">
        <f>IF(AND(VLOOKUP(G1208,Dados!$D:$L,3,0)&lt;=VLOOKUP(H1208,Dados!$X:$AB,2,0),VLOOKUP(G1208,Dados!$D:$L,4,0)&gt;=VLOOKUP(H1208,Dados!$X:$AB,3,0),VLOOKUP(G1208,Dados!$D:$L,4,0)&lt;=VLOOKUP(H1208,Dados!$X:$AB,4,0)),0,1)</f>
        <v>0</v>
      </c>
      <c r="U1208" s="4">
        <f>IF(COUNTIFS(F:F,F1208,H:H,H1208)&lt;=VLOOKUP(H1208,Dados!$X:$AB,5,0),0,1)</f>
        <v>0</v>
      </c>
    </row>
    <row r="1209" spans="6:21">
      <c r="F1209" s="4">
        <v>620</v>
      </c>
      <c r="G1209" s="4">
        <v>20</v>
      </c>
      <c r="H1209" s="4">
        <v>1</v>
      </c>
      <c r="I1209" s="4">
        <v>13</v>
      </c>
      <c r="J1209" s="4">
        <v>5</v>
      </c>
      <c r="K1209" s="4">
        <f t="shared" si="252"/>
        <v>0</v>
      </c>
      <c r="L1209" s="4">
        <f t="shared" si="252"/>
        <v>0</v>
      </c>
      <c r="M1209" s="4">
        <f t="shared" si="252"/>
        <v>0</v>
      </c>
      <c r="N1209" s="4">
        <f t="shared" si="252"/>
        <v>0</v>
      </c>
      <c r="O1209" s="4">
        <f t="shared" si="253"/>
        <v>0</v>
      </c>
      <c r="P1209" s="4">
        <f t="shared" si="254"/>
        <v>0</v>
      </c>
      <c r="Q1209" s="4">
        <f t="shared" si="255"/>
        <v>0</v>
      </c>
      <c r="R1209" s="4">
        <f t="shared" si="256"/>
        <v>0</v>
      </c>
      <c r="S1209" s="4">
        <f>IF(AND(VLOOKUP(G1209,Dados!$D:$L,2,0)=VLOOKUP(I1209,Dados!$S:$V,2,0),VLOOKUP(G1209,Dados!$D:$L,3,0)=VLOOKUP(I1209,Dados!$S:$V,3,0)),0,1)</f>
        <v>0</v>
      </c>
      <c r="T1209" s="4">
        <f>IF(AND(VLOOKUP(G1209,Dados!$D:$L,3,0)&lt;=VLOOKUP(H1209,Dados!$X:$AB,2,0),VLOOKUP(G1209,Dados!$D:$L,4,0)&gt;=VLOOKUP(H1209,Dados!$X:$AB,3,0),VLOOKUP(G1209,Dados!$D:$L,4,0)&lt;=VLOOKUP(H1209,Dados!$X:$AB,4,0)),0,1)</f>
        <v>0</v>
      </c>
      <c r="U1209" s="4">
        <f>IF(COUNTIFS(F:F,F1209,H:H,H1209)&lt;=VLOOKUP(H1209,Dados!$X:$AB,5,0),0,1)</f>
        <v>0</v>
      </c>
    </row>
    <row r="1210" spans="6:21">
      <c r="F1210" s="4">
        <v>620</v>
      </c>
      <c r="G1210" s="4">
        <v>21</v>
      </c>
      <c r="H1210" s="4">
        <v>1</v>
      </c>
      <c r="I1210" s="4">
        <v>13</v>
      </c>
      <c r="J1210" s="4">
        <v>1</v>
      </c>
      <c r="K1210" s="4">
        <f t="shared" si="252"/>
        <v>0</v>
      </c>
      <c r="L1210" s="4">
        <f t="shared" si="252"/>
        <v>0</v>
      </c>
      <c r="M1210" s="4">
        <f t="shared" si="252"/>
        <v>0</v>
      </c>
      <c r="N1210" s="4">
        <f t="shared" si="252"/>
        <v>0</v>
      </c>
      <c r="O1210" s="4">
        <f t="shared" si="253"/>
        <v>0</v>
      </c>
      <c r="P1210" s="4">
        <f t="shared" si="254"/>
        <v>0</v>
      </c>
      <c r="Q1210" s="4">
        <f t="shared" si="255"/>
        <v>0</v>
      </c>
      <c r="R1210" s="4">
        <f t="shared" si="256"/>
        <v>0</v>
      </c>
      <c r="S1210" s="4">
        <f>IF(AND(VLOOKUP(G1210,Dados!$D:$L,2,0)=VLOOKUP(I1210,Dados!$S:$V,2,0),VLOOKUP(G1210,Dados!$D:$L,3,0)=VLOOKUP(I1210,Dados!$S:$V,3,0)),0,1)</f>
        <v>0</v>
      </c>
      <c r="T1210" s="4">
        <f>IF(AND(VLOOKUP(G1210,Dados!$D:$L,3,0)&lt;=VLOOKUP(H1210,Dados!$X:$AB,2,0),VLOOKUP(G1210,Dados!$D:$L,4,0)&gt;=VLOOKUP(H1210,Dados!$X:$AB,3,0),VLOOKUP(G1210,Dados!$D:$L,4,0)&lt;=VLOOKUP(H1210,Dados!$X:$AB,4,0)),0,1)</f>
        <v>0</v>
      </c>
      <c r="U1210" s="4">
        <f>IF(COUNTIFS(F:F,F1210,H:H,H1210)&lt;=VLOOKUP(H1210,Dados!$X:$AB,5,0),0,1)</f>
        <v>0</v>
      </c>
    </row>
    <row r="1211" spans="6:21">
      <c r="F1211" s="4">
        <v>620</v>
      </c>
      <c r="G1211" s="4">
        <v>22</v>
      </c>
      <c r="H1211" s="4">
        <v>1</v>
      </c>
      <c r="I1211" s="4">
        <v>13</v>
      </c>
      <c r="J1211" s="4">
        <v>2</v>
      </c>
      <c r="K1211" s="4">
        <f t="shared" si="252"/>
        <v>0</v>
      </c>
      <c r="L1211" s="4">
        <f t="shared" si="252"/>
        <v>0</v>
      </c>
      <c r="M1211" s="4">
        <f t="shared" si="252"/>
        <v>0</v>
      </c>
      <c r="N1211" s="4">
        <f t="shared" si="252"/>
        <v>0</v>
      </c>
      <c r="O1211" s="4">
        <f t="shared" si="253"/>
        <v>0</v>
      </c>
      <c r="P1211" s="4">
        <f t="shared" si="254"/>
        <v>0</v>
      </c>
      <c r="Q1211" s="4">
        <f t="shared" si="255"/>
        <v>0</v>
      </c>
      <c r="R1211" s="4">
        <f t="shared" si="256"/>
        <v>0</v>
      </c>
      <c r="S1211" s="4">
        <f>IF(AND(VLOOKUP(G1211,Dados!$D:$L,2,0)=VLOOKUP(I1211,Dados!$S:$V,2,0),VLOOKUP(G1211,Dados!$D:$L,3,0)=VLOOKUP(I1211,Dados!$S:$V,3,0)),0,1)</f>
        <v>0</v>
      </c>
      <c r="T1211" s="4">
        <f>IF(AND(VLOOKUP(G1211,Dados!$D:$L,3,0)&lt;=VLOOKUP(H1211,Dados!$X:$AB,2,0),VLOOKUP(G1211,Dados!$D:$L,4,0)&gt;=VLOOKUP(H1211,Dados!$X:$AB,3,0),VLOOKUP(G1211,Dados!$D:$L,4,0)&lt;=VLOOKUP(H1211,Dados!$X:$AB,4,0)),0,1)</f>
        <v>0</v>
      </c>
      <c r="U1211" s="4">
        <f>IF(COUNTIFS(F:F,F1211,H:H,H1211)&lt;=VLOOKUP(H1211,Dados!$X:$AB,5,0),0,1)</f>
        <v>0</v>
      </c>
    </row>
    <row r="1212" spans="6:21">
      <c r="F1212" s="4">
        <v>621</v>
      </c>
      <c r="G1212" s="4">
        <v>20</v>
      </c>
      <c r="H1212" s="4">
        <v>2</v>
      </c>
      <c r="I1212" s="4">
        <v>13</v>
      </c>
      <c r="J1212" s="4">
        <v>5</v>
      </c>
      <c r="K1212" s="4">
        <f t="shared" si="252"/>
        <v>0</v>
      </c>
      <c r="L1212" s="4">
        <f t="shared" si="252"/>
        <v>0</v>
      </c>
      <c r="M1212" s="4">
        <f t="shared" si="252"/>
        <v>0</v>
      </c>
      <c r="N1212" s="4">
        <f t="shared" si="252"/>
        <v>4</v>
      </c>
      <c r="O1212" s="4">
        <f t="shared" si="253"/>
        <v>0</v>
      </c>
      <c r="P1212" s="4">
        <f t="shared" si="254"/>
        <v>0</v>
      </c>
      <c r="Q1212" s="4">
        <f t="shared" si="255"/>
        <v>0</v>
      </c>
      <c r="R1212" s="4">
        <f t="shared" si="256"/>
        <v>20</v>
      </c>
      <c r="S1212" s="4">
        <f>IF(AND(VLOOKUP(G1212,Dados!$D:$L,2,0)=VLOOKUP(I1212,Dados!$S:$V,2,0),VLOOKUP(G1212,Dados!$D:$L,3,0)=VLOOKUP(I1212,Dados!$S:$V,3,0)),0,1)</f>
        <v>0</v>
      </c>
      <c r="T1212" s="4">
        <f>IF(AND(VLOOKUP(G1212,Dados!$D:$L,3,0)&lt;=VLOOKUP(H1212,Dados!$X:$AB,2,0),VLOOKUP(G1212,Dados!$D:$L,4,0)&gt;=VLOOKUP(H1212,Dados!$X:$AB,3,0),VLOOKUP(G1212,Dados!$D:$L,4,0)&lt;=VLOOKUP(H1212,Dados!$X:$AB,4,0)),0,1)</f>
        <v>0</v>
      </c>
      <c r="U1212" s="4">
        <f>IF(COUNTIFS(F:F,F1212,H:H,H1212)&lt;=VLOOKUP(H1212,Dados!$X:$AB,5,0),0,1)</f>
        <v>0</v>
      </c>
    </row>
    <row r="1213" spans="6:21">
      <c r="F1213" s="4">
        <v>621</v>
      </c>
      <c r="G1213" s="4">
        <v>21</v>
      </c>
      <c r="H1213" s="4">
        <v>2</v>
      </c>
      <c r="I1213" s="4">
        <v>13</v>
      </c>
      <c r="J1213" s="4">
        <v>1</v>
      </c>
      <c r="K1213" s="4">
        <f t="shared" si="252"/>
        <v>0</v>
      </c>
      <c r="L1213" s="4">
        <f t="shared" si="252"/>
        <v>0</v>
      </c>
      <c r="M1213" s="4">
        <f t="shared" si="252"/>
        <v>0</v>
      </c>
      <c r="N1213" s="4">
        <f t="shared" si="252"/>
        <v>4</v>
      </c>
      <c r="O1213" s="4">
        <f t="shared" si="253"/>
        <v>0</v>
      </c>
      <c r="P1213" s="4">
        <f t="shared" si="254"/>
        <v>0</v>
      </c>
      <c r="Q1213" s="4">
        <f t="shared" si="255"/>
        <v>0</v>
      </c>
      <c r="R1213" s="4">
        <f t="shared" si="256"/>
        <v>4</v>
      </c>
      <c r="S1213" s="4">
        <f>IF(AND(VLOOKUP(G1213,Dados!$D:$L,2,0)=VLOOKUP(I1213,Dados!$S:$V,2,0),VLOOKUP(G1213,Dados!$D:$L,3,0)=VLOOKUP(I1213,Dados!$S:$V,3,0)),0,1)</f>
        <v>0</v>
      </c>
      <c r="T1213" s="4">
        <f>IF(AND(VLOOKUP(G1213,Dados!$D:$L,3,0)&lt;=VLOOKUP(H1213,Dados!$X:$AB,2,0),VLOOKUP(G1213,Dados!$D:$L,4,0)&gt;=VLOOKUP(H1213,Dados!$X:$AB,3,0),VLOOKUP(G1213,Dados!$D:$L,4,0)&lt;=VLOOKUP(H1213,Dados!$X:$AB,4,0)),0,1)</f>
        <v>0</v>
      </c>
      <c r="U1213" s="4">
        <f>IF(COUNTIFS(F:F,F1213,H:H,H1213)&lt;=VLOOKUP(H1213,Dados!$X:$AB,5,0),0,1)</f>
        <v>0</v>
      </c>
    </row>
    <row r="1214" spans="6:21">
      <c r="F1214" s="4">
        <v>621</v>
      </c>
      <c r="G1214" s="4">
        <v>22</v>
      </c>
      <c r="H1214" s="4">
        <v>2</v>
      </c>
      <c r="I1214" s="4">
        <v>13</v>
      </c>
      <c r="J1214" s="4">
        <v>2</v>
      </c>
      <c r="K1214" s="4">
        <f t="shared" si="252"/>
        <v>0</v>
      </c>
      <c r="L1214" s="4">
        <f t="shared" si="252"/>
        <v>0</v>
      </c>
      <c r="M1214" s="4">
        <f t="shared" si="252"/>
        <v>0</v>
      </c>
      <c r="N1214" s="4">
        <f t="shared" si="252"/>
        <v>4</v>
      </c>
      <c r="O1214" s="4">
        <f t="shared" si="253"/>
        <v>0</v>
      </c>
      <c r="P1214" s="4">
        <f t="shared" si="254"/>
        <v>0</v>
      </c>
      <c r="Q1214" s="4">
        <f t="shared" si="255"/>
        <v>0</v>
      </c>
      <c r="R1214" s="4">
        <f t="shared" si="256"/>
        <v>8</v>
      </c>
      <c r="S1214" s="4">
        <f>IF(AND(VLOOKUP(G1214,Dados!$D:$L,2,0)=VLOOKUP(I1214,Dados!$S:$V,2,0),VLOOKUP(G1214,Dados!$D:$L,3,0)=VLOOKUP(I1214,Dados!$S:$V,3,0)),0,1)</f>
        <v>0</v>
      </c>
      <c r="T1214" s="4">
        <f>IF(AND(VLOOKUP(G1214,Dados!$D:$L,3,0)&lt;=VLOOKUP(H1214,Dados!$X:$AB,2,0),VLOOKUP(G1214,Dados!$D:$L,4,0)&gt;=VLOOKUP(H1214,Dados!$X:$AB,3,0),VLOOKUP(G1214,Dados!$D:$L,4,0)&lt;=VLOOKUP(H1214,Dados!$X:$AB,4,0)),0,1)</f>
        <v>0</v>
      </c>
      <c r="U1214" s="4">
        <f>IF(COUNTIFS(F:F,F1214,H:H,H1214)&lt;=VLOOKUP(H1214,Dados!$X:$AB,5,0),0,1)</f>
        <v>0</v>
      </c>
    </row>
    <row r="1215" spans="6:21">
      <c r="F1215" s="4">
        <v>622</v>
      </c>
      <c r="G1215" s="4">
        <v>20</v>
      </c>
      <c r="H1215" s="4">
        <v>3</v>
      </c>
      <c r="I1215" s="4">
        <v>13</v>
      </c>
      <c r="J1215" s="4">
        <v>5</v>
      </c>
      <c r="K1215" s="4">
        <f t="shared" si="252"/>
        <v>1</v>
      </c>
      <c r="L1215" s="4">
        <f t="shared" si="252"/>
        <v>0</v>
      </c>
      <c r="M1215" s="4">
        <f t="shared" si="252"/>
        <v>0</v>
      </c>
      <c r="N1215" s="4">
        <f t="shared" si="252"/>
        <v>0</v>
      </c>
      <c r="O1215" s="4">
        <f t="shared" si="253"/>
        <v>5</v>
      </c>
      <c r="P1215" s="4">
        <f t="shared" si="254"/>
        <v>0</v>
      </c>
      <c r="Q1215" s="4">
        <f t="shared" si="255"/>
        <v>0</v>
      </c>
      <c r="R1215" s="4">
        <f t="shared" si="256"/>
        <v>0</v>
      </c>
      <c r="S1215" s="4">
        <f>IF(AND(VLOOKUP(G1215,Dados!$D:$L,2,0)=VLOOKUP(I1215,Dados!$S:$V,2,0),VLOOKUP(G1215,Dados!$D:$L,3,0)=VLOOKUP(I1215,Dados!$S:$V,3,0)),0,1)</f>
        <v>0</v>
      </c>
      <c r="T1215" s="4">
        <f>IF(AND(VLOOKUP(G1215,Dados!$D:$L,3,0)&lt;=VLOOKUP(H1215,Dados!$X:$AB,2,0),VLOOKUP(G1215,Dados!$D:$L,4,0)&gt;=VLOOKUP(H1215,Dados!$X:$AB,3,0),VLOOKUP(G1215,Dados!$D:$L,4,0)&lt;=VLOOKUP(H1215,Dados!$X:$AB,4,0)),0,1)</f>
        <v>0</v>
      </c>
      <c r="U1215" s="4">
        <f>IF(COUNTIFS(F:F,F1215,H:H,H1215)&lt;=VLOOKUP(H1215,Dados!$X:$AB,5,0),0,1)</f>
        <v>0</v>
      </c>
    </row>
    <row r="1216" spans="6:21">
      <c r="F1216" s="4">
        <v>622</v>
      </c>
      <c r="G1216" s="4">
        <v>21</v>
      </c>
      <c r="H1216" s="4">
        <v>3</v>
      </c>
      <c r="I1216" s="4">
        <v>13</v>
      </c>
      <c r="J1216" s="4">
        <v>1</v>
      </c>
      <c r="K1216" s="4">
        <f t="shared" si="252"/>
        <v>1</v>
      </c>
      <c r="L1216" s="4">
        <f t="shared" si="252"/>
        <v>0</v>
      </c>
      <c r="M1216" s="4">
        <f t="shared" si="252"/>
        <v>0</v>
      </c>
      <c r="N1216" s="4">
        <f t="shared" si="252"/>
        <v>0</v>
      </c>
      <c r="O1216" s="4">
        <f t="shared" si="253"/>
        <v>1</v>
      </c>
      <c r="P1216" s="4">
        <f t="shared" si="254"/>
        <v>0</v>
      </c>
      <c r="Q1216" s="4">
        <f t="shared" si="255"/>
        <v>0</v>
      </c>
      <c r="R1216" s="4">
        <f t="shared" si="256"/>
        <v>0</v>
      </c>
      <c r="S1216" s="4">
        <f>IF(AND(VLOOKUP(G1216,Dados!$D:$L,2,0)=VLOOKUP(I1216,Dados!$S:$V,2,0),VLOOKUP(G1216,Dados!$D:$L,3,0)=VLOOKUP(I1216,Dados!$S:$V,3,0)),0,1)</f>
        <v>0</v>
      </c>
      <c r="T1216" s="4">
        <f>IF(AND(VLOOKUP(G1216,Dados!$D:$L,3,0)&lt;=VLOOKUP(H1216,Dados!$X:$AB,2,0),VLOOKUP(G1216,Dados!$D:$L,4,0)&gt;=VLOOKUP(H1216,Dados!$X:$AB,3,0),VLOOKUP(G1216,Dados!$D:$L,4,0)&lt;=VLOOKUP(H1216,Dados!$X:$AB,4,0)),0,1)</f>
        <v>0</v>
      </c>
      <c r="U1216" s="4">
        <f>IF(COUNTIFS(F:F,F1216,H:H,H1216)&lt;=VLOOKUP(H1216,Dados!$X:$AB,5,0),0,1)</f>
        <v>0</v>
      </c>
    </row>
    <row r="1217" spans="6:21">
      <c r="F1217" s="4">
        <v>622</v>
      </c>
      <c r="G1217" s="4">
        <v>22</v>
      </c>
      <c r="H1217" s="4">
        <v>3</v>
      </c>
      <c r="I1217" s="4">
        <v>13</v>
      </c>
      <c r="J1217" s="4">
        <v>2</v>
      </c>
      <c r="K1217" s="4">
        <f t="shared" si="252"/>
        <v>1</v>
      </c>
      <c r="L1217" s="4">
        <f t="shared" si="252"/>
        <v>0</v>
      </c>
      <c r="M1217" s="4">
        <f t="shared" si="252"/>
        <v>0</v>
      </c>
      <c r="N1217" s="4">
        <f t="shared" si="252"/>
        <v>0</v>
      </c>
      <c r="O1217" s="4">
        <f t="shared" si="253"/>
        <v>2</v>
      </c>
      <c r="P1217" s="4">
        <f t="shared" si="254"/>
        <v>0</v>
      </c>
      <c r="Q1217" s="4">
        <f t="shared" si="255"/>
        <v>0</v>
      </c>
      <c r="R1217" s="4">
        <f t="shared" si="256"/>
        <v>0</v>
      </c>
      <c r="S1217" s="4">
        <f>IF(AND(VLOOKUP(G1217,Dados!$D:$L,2,0)=VLOOKUP(I1217,Dados!$S:$V,2,0),VLOOKUP(G1217,Dados!$D:$L,3,0)=VLOOKUP(I1217,Dados!$S:$V,3,0)),0,1)</f>
        <v>0</v>
      </c>
      <c r="T1217" s="4">
        <f>IF(AND(VLOOKUP(G1217,Dados!$D:$L,3,0)&lt;=VLOOKUP(H1217,Dados!$X:$AB,2,0),VLOOKUP(G1217,Dados!$D:$L,4,0)&gt;=VLOOKUP(H1217,Dados!$X:$AB,3,0),VLOOKUP(G1217,Dados!$D:$L,4,0)&lt;=VLOOKUP(H1217,Dados!$X:$AB,4,0)),0,1)</f>
        <v>0</v>
      </c>
      <c r="U1217" s="4">
        <f>IF(COUNTIFS(F:F,F1217,H:H,H1217)&lt;=VLOOKUP(H1217,Dados!$X:$AB,5,0),0,1)</f>
        <v>0</v>
      </c>
    </row>
    <row r="1218" spans="6:21">
      <c r="F1218" s="4">
        <v>623</v>
      </c>
      <c r="G1218" s="4">
        <v>24</v>
      </c>
      <c r="H1218" s="4">
        <v>1</v>
      </c>
      <c r="I1218" s="4">
        <v>15</v>
      </c>
      <c r="J1218" s="4">
        <v>2</v>
      </c>
      <c r="K1218" s="4">
        <f t="shared" si="252"/>
        <v>0</v>
      </c>
      <c r="L1218" s="4">
        <f t="shared" si="252"/>
        <v>0</v>
      </c>
      <c r="M1218" s="4">
        <f t="shared" si="252"/>
        <v>0</v>
      </c>
      <c r="N1218" s="4">
        <f t="shared" si="252"/>
        <v>0</v>
      </c>
      <c r="O1218" s="4">
        <f t="shared" si="253"/>
        <v>0</v>
      </c>
      <c r="P1218" s="4">
        <f t="shared" si="254"/>
        <v>0</v>
      </c>
      <c r="Q1218" s="4">
        <f t="shared" si="255"/>
        <v>0</v>
      </c>
      <c r="R1218" s="4">
        <f t="shared" si="256"/>
        <v>0</v>
      </c>
      <c r="S1218" s="4">
        <f>IF(AND(VLOOKUP(G1218,Dados!$D:$L,2,0)=VLOOKUP(I1218,Dados!$S:$V,2,0),VLOOKUP(G1218,Dados!$D:$L,3,0)=VLOOKUP(I1218,Dados!$S:$V,3,0)),0,1)</f>
        <v>0</v>
      </c>
      <c r="T1218" s="4">
        <f>IF(AND(VLOOKUP(G1218,Dados!$D:$L,3,0)&lt;=VLOOKUP(H1218,Dados!$X:$AB,2,0),VLOOKUP(G1218,Dados!$D:$L,4,0)&gt;=VLOOKUP(H1218,Dados!$X:$AB,3,0),VLOOKUP(G1218,Dados!$D:$L,4,0)&lt;=VLOOKUP(H1218,Dados!$X:$AB,4,0)),0,1)</f>
        <v>0</v>
      </c>
      <c r="U1218" s="4">
        <f>IF(COUNTIFS(F:F,F1218,H:H,H1218)&lt;=VLOOKUP(H1218,Dados!$X:$AB,5,0),0,1)</f>
        <v>0</v>
      </c>
    </row>
    <row r="1219" spans="6:21">
      <c r="F1219" s="4">
        <v>623</v>
      </c>
      <c r="G1219" s="4">
        <v>25</v>
      </c>
      <c r="H1219" s="4">
        <v>1</v>
      </c>
      <c r="I1219" s="4">
        <v>15</v>
      </c>
      <c r="J1219" s="4">
        <v>3</v>
      </c>
      <c r="K1219" s="4">
        <f t="shared" si="252"/>
        <v>0</v>
      </c>
      <c r="L1219" s="4">
        <f t="shared" si="252"/>
        <v>0</v>
      </c>
      <c r="M1219" s="4">
        <f t="shared" si="252"/>
        <v>0</v>
      </c>
      <c r="N1219" s="4">
        <f t="shared" si="252"/>
        <v>0</v>
      </c>
      <c r="O1219" s="4">
        <f t="shared" si="253"/>
        <v>0</v>
      </c>
      <c r="P1219" s="4">
        <f t="shared" si="254"/>
        <v>0</v>
      </c>
      <c r="Q1219" s="4">
        <f t="shared" si="255"/>
        <v>0</v>
      </c>
      <c r="R1219" s="4">
        <f t="shared" si="256"/>
        <v>0</v>
      </c>
      <c r="S1219" s="4">
        <f>IF(AND(VLOOKUP(G1219,Dados!$D:$L,2,0)=VLOOKUP(I1219,Dados!$S:$V,2,0),VLOOKUP(G1219,Dados!$D:$L,3,0)=VLOOKUP(I1219,Dados!$S:$V,3,0)),0,1)</f>
        <v>0</v>
      </c>
      <c r="T1219" s="4">
        <f>IF(AND(VLOOKUP(G1219,Dados!$D:$L,3,0)&lt;=VLOOKUP(H1219,Dados!$X:$AB,2,0),VLOOKUP(G1219,Dados!$D:$L,4,0)&gt;=VLOOKUP(H1219,Dados!$X:$AB,3,0),VLOOKUP(G1219,Dados!$D:$L,4,0)&lt;=VLOOKUP(H1219,Dados!$X:$AB,4,0)),0,1)</f>
        <v>0</v>
      </c>
      <c r="U1219" s="4">
        <f>IF(COUNTIFS(F:F,F1219,H:H,H1219)&lt;=VLOOKUP(H1219,Dados!$X:$AB,5,0),0,1)</f>
        <v>0</v>
      </c>
    </row>
    <row r="1220" spans="6:21">
      <c r="F1220" s="4">
        <v>623</v>
      </c>
      <c r="G1220" s="4">
        <v>27</v>
      </c>
      <c r="H1220" s="4">
        <v>1</v>
      </c>
      <c r="I1220" s="4">
        <v>15</v>
      </c>
      <c r="J1220" s="4">
        <v>2</v>
      </c>
      <c r="K1220" s="4">
        <f t="shared" si="252"/>
        <v>0</v>
      </c>
      <c r="L1220" s="4">
        <f t="shared" si="252"/>
        <v>0</v>
      </c>
      <c r="M1220" s="4">
        <f t="shared" si="252"/>
        <v>0</v>
      </c>
      <c r="N1220" s="4">
        <f t="shared" si="252"/>
        <v>0</v>
      </c>
      <c r="O1220" s="4">
        <f t="shared" si="253"/>
        <v>0</v>
      </c>
      <c r="P1220" s="4">
        <f t="shared" si="254"/>
        <v>0</v>
      </c>
      <c r="Q1220" s="4">
        <f t="shared" si="255"/>
        <v>0</v>
      </c>
      <c r="R1220" s="4">
        <f t="shared" si="256"/>
        <v>0</v>
      </c>
      <c r="S1220" s="4">
        <f>IF(AND(VLOOKUP(G1220,Dados!$D:$L,2,0)=VLOOKUP(I1220,Dados!$S:$V,2,0),VLOOKUP(G1220,Dados!$D:$L,3,0)=VLOOKUP(I1220,Dados!$S:$V,3,0)),0,1)</f>
        <v>0</v>
      </c>
      <c r="T1220" s="4">
        <f>IF(AND(VLOOKUP(G1220,Dados!$D:$L,3,0)&lt;=VLOOKUP(H1220,Dados!$X:$AB,2,0),VLOOKUP(G1220,Dados!$D:$L,4,0)&gt;=VLOOKUP(H1220,Dados!$X:$AB,3,0),VLOOKUP(G1220,Dados!$D:$L,4,0)&lt;=VLOOKUP(H1220,Dados!$X:$AB,4,0)),0,1)</f>
        <v>0</v>
      </c>
      <c r="U1220" s="4">
        <f>IF(COUNTIFS(F:F,F1220,H:H,H1220)&lt;=VLOOKUP(H1220,Dados!$X:$AB,5,0),0,1)</f>
        <v>0</v>
      </c>
    </row>
    <row r="1221" spans="6:21">
      <c r="F1221" s="4">
        <v>624</v>
      </c>
      <c r="G1221" s="4">
        <v>24</v>
      </c>
      <c r="H1221" s="4">
        <v>3</v>
      </c>
      <c r="I1221" s="4">
        <v>15</v>
      </c>
      <c r="J1221" s="4">
        <v>2</v>
      </c>
      <c r="K1221" s="4">
        <f t="shared" si="252"/>
        <v>0</v>
      </c>
      <c r="L1221" s="4">
        <f t="shared" si="252"/>
        <v>0</v>
      </c>
      <c r="M1221" s="4">
        <f t="shared" si="252"/>
        <v>0</v>
      </c>
      <c r="N1221" s="4">
        <f t="shared" si="252"/>
        <v>0</v>
      </c>
      <c r="O1221" s="4">
        <f t="shared" si="253"/>
        <v>0</v>
      </c>
      <c r="P1221" s="4">
        <f t="shared" si="254"/>
        <v>0</v>
      </c>
      <c r="Q1221" s="4">
        <f t="shared" si="255"/>
        <v>0</v>
      </c>
      <c r="R1221" s="4">
        <f t="shared" si="256"/>
        <v>0</v>
      </c>
      <c r="S1221" s="4">
        <f>IF(AND(VLOOKUP(G1221,Dados!$D:$L,2,0)=VLOOKUP(I1221,Dados!$S:$V,2,0),VLOOKUP(G1221,Dados!$D:$L,3,0)=VLOOKUP(I1221,Dados!$S:$V,3,0)),0,1)</f>
        <v>0</v>
      </c>
      <c r="T1221" s="4">
        <f>IF(AND(VLOOKUP(G1221,Dados!$D:$L,3,0)&lt;=VLOOKUP(H1221,Dados!$X:$AB,2,0),VLOOKUP(G1221,Dados!$D:$L,4,0)&gt;=VLOOKUP(H1221,Dados!$X:$AB,3,0),VLOOKUP(G1221,Dados!$D:$L,4,0)&lt;=VLOOKUP(H1221,Dados!$X:$AB,4,0)),0,1)</f>
        <v>0</v>
      </c>
      <c r="U1221" s="4">
        <f>IF(COUNTIFS(F:F,F1221,H:H,H1221)&lt;=VLOOKUP(H1221,Dados!$X:$AB,5,0),0,1)</f>
        <v>0</v>
      </c>
    </row>
    <row r="1222" spans="6:21">
      <c r="F1222" s="4">
        <v>624</v>
      </c>
      <c r="G1222" s="4">
        <v>25</v>
      </c>
      <c r="H1222" s="4">
        <v>3</v>
      </c>
      <c r="I1222" s="4">
        <v>15</v>
      </c>
      <c r="J1222" s="4">
        <v>3</v>
      </c>
      <c r="K1222" s="4">
        <f t="shared" si="252"/>
        <v>0</v>
      </c>
      <c r="L1222" s="4">
        <f t="shared" si="252"/>
        <v>0</v>
      </c>
      <c r="M1222" s="4">
        <f t="shared" si="252"/>
        <v>0</v>
      </c>
      <c r="N1222" s="4">
        <f t="shared" si="252"/>
        <v>0</v>
      </c>
      <c r="O1222" s="4">
        <f t="shared" si="253"/>
        <v>0</v>
      </c>
      <c r="P1222" s="4">
        <f t="shared" si="254"/>
        <v>0</v>
      </c>
      <c r="Q1222" s="4">
        <f t="shared" si="255"/>
        <v>0</v>
      </c>
      <c r="R1222" s="4">
        <f t="shared" si="256"/>
        <v>0</v>
      </c>
      <c r="S1222" s="4">
        <f>IF(AND(VLOOKUP(G1222,Dados!$D:$L,2,0)=VLOOKUP(I1222,Dados!$S:$V,2,0),VLOOKUP(G1222,Dados!$D:$L,3,0)=VLOOKUP(I1222,Dados!$S:$V,3,0)),0,1)</f>
        <v>0</v>
      </c>
      <c r="T1222" s="4">
        <f>IF(AND(VLOOKUP(G1222,Dados!$D:$L,3,0)&lt;=VLOOKUP(H1222,Dados!$X:$AB,2,0),VLOOKUP(G1222,Dados!$D:$L,4,0)&gt;=VLOOKUP(H1222,Dados!$X:$AB,3,0),VLOOKUP(G1222,Dados!$D:$L,4,0)&lt;=VLOOKUP(H1222,Dados!$X:$AB,4,0)),0,1)</f>
        <v>0</v>
      </c>
      <c r="U1222" s="4">
        <f>IF(COUNTIFS(F:F,F1222,H:H,H1222)&lt;=VLOOKUP(H1222,Dados!$X:$AB,5,0),0,1)</f>
        <v>0</v>
      </c>
    </row>
    <row r="1223" spans="6:21">
      <c r="F1223" s="4">
        <v>624</v>
      </c>
      <c r="G1223" s="4">
        <v>27</v>
      </c>
      <c r="H1223" s="4">
        <v>3</v>
      </c>
      <c r="I1223" s="4">
        <v>15</v>
      </c>
      <c r="J1223" s="4">
        <v>2</v>
      </c>
      <c r="K1223" s="4">
        <f t="shared" si="252"/>
        <v>0</v>
      </c>
      <c r="L1223" s="4">
        <f t="shared" si="252"/>
        <v>0</v>
      </c>
      <c r="M1223" s="4">
        <f t="shared" si="252"/>
        <v>0</v>
      </c>
      <c r="N1223" s="4">
        <f t="shared" si="252"/>
        <v>0</v>
      </c>
      <c r="O1223" s="4">
        <f t="shared" si="253"/>
        <v>0</v>
      </c>
      <c r="P1223" s="4">
        <f t="shared" si="254"/>
        <v>0</v>
      </c>
      <c r="Q1223" s="4">
        <f t="shared" si="255"/>
        <v>0</v>
      </c>
      <c r="R1223" s="4">
        <f t="shared" si="256"/>
        <v>0</v>
      </c>
      <c r="S1223" s="4">
        <f>IF(AND(VLOOKUP(G1223,Dados!$D:$L,2,0)=VLOOKUP(I1223,Dados!$S:$V,2,0),VLOOKUP(G1223,Dados!$D:$L,3,0)=VLOOKUP(I1223,Dados!$S:$V,3,0)),0,1)</f>
        <v>0</v>
      </c>
      <c r="T1223" s="4">
        <f>IF(AND(VLOOKUP(G1223,Dados!$D:$L,3,0)&lt;=VLOOKUP(H1223,Dados!$X:$AB,2,0),VLOOKUP(G1223,Dados!$D:$L,4,0)&gt;=VLOOKUP(H1223,Dados!$X:$AB,3,0),VLOOKUP(G1223,Dados!$D:$L,4,0)&lt;=VLOOKUP(H1223,Dados!$X:$AB,4,0)),0,1)</f>
        <v>0</v>
      </c>
      <c r="U1223" s="4">
        <f>IF(COUNTIFS(F:F,F1223,H:H,H1223)&lt;=VLOOKUP(H1223,Dados!$X:$AB,5,0),0,1)</f>
        <v>0</v>
      </c>
    </row>
    <row r="1224" spans="6:21">
      <c r="F1224" s="4">
        <v>625</v>
      </c>
      <c r="G1224" s="4">
        <v>31</v>
      </c>
      <c r="H1224" s="4">
        <v>1</v>
      </c>
      <c r="I1224" s="4">
        <v>16</v>
      </c>
      <c r="J1224" s="4">
        <v>9</v>
      </c>
      <c r="K1224" s="4">
        <f t="shared" si="252"/>
        <v>0</v>
      </c>
      <c r="L1224" s="4">
        <f t="shared" si="252"/>
        <v>0</v>
      </c>
      <c r="M1224" s="4">
        <f t="shared" si="252"/>
        <v>0</v>
      </c>
      <c r="N1224" s="4">
        <f t="shared" si="252"/>
        <v>0</v>
      </c>
      <c r="O1224" s="4">
        <f t="shared" si="253"/>
        <v>0</v>
      </c>
      <c r="P1224" s="4">
        <f t="shared" si="254"/>
        <v>0</v>
      </c>
      <c r="Q1224" s="4">
        <f t="shared" si="255"/>
        <v>0</v>
      </c>
      <c r="R1224" s="4">
        <f t="shared" si="256"/>
        <v>0</v>
      </c>
      <c r="S1224" s="4">
        <f>IF(AND(VLOOKUP(G1224,Dados!$D:$L,2,0)=VLOOKUP(I1224,Dados!$S:$V,2,0),VLOOKUP(G1224,Dados!$D:$L,3,0)=VLOOKUP(I1224,Dados!$S:$V,3,0)),0,1)</f>
        <v>0</v>
      </c>
      <c r="T1224" s="4">
        <f>IF(AND(VLOOKUP(G1224,Dados!$D:$L,3,0)&lt;=VLOOKUP(H1224,Dados!$X:$AB,2,0),VLOOKUP(G1224,Dados!$D:$L,4,0)&gt;=VLOOKUP(H1224,Dados!$X:$AB,3,0),VLOOKUP(G1224,Dados!$D:$L,4,0)&lt;=VLOOKUP(H1224,Dados!$X:$AB,4,0)),0,1)</f>
        <v>0</v>
      </c>
      <c r="U1224" s="4">
        <f>IF(COUNTIFS(F:F,F1224,H:H,H1224)&lt;=VLOOKUP(H1224,Dados!$X:$AB,5,0),0,1)</f>
        <v>0</v>
      </c>
    </row>
    <row r="1225" spans="6:21">
      <c r="F1225" s="4">
        <v>625</v>
      </c>
      <c r="G1225" s="4">
        <v>36</v>
      </c>
      <c r="H1225" s="4">
        <v>1</v>
      </c>
      <c r="I1225" s="4">
        <v>16</v>
      </c>
      <c r="J1225" s="4">
        <v>1</v>
      </c>
      <c r="K1225" s="4">
        <f t="shared" si="252"/>
        <v>0</v>
      </c>
      <c r="L1225" s="4">
        <f t="shared" si="252"/>
        <v>0</v>
      </c>
      <c r="M1225" s="4">
        <f t="shared" si="252"/>
        <v>0</v>
      </c>
      <c r="N1225" s="4">
        <f t="shared" si="252"/>
        <v>0</v>
      </c>
      <c r="O1225" s="4">
        <f t="shared" si="253"/>
        <v>0</v>
      </c>
      <c r="P1225" s="4">
        <f t="shared" si="254"/>
        <v>0</v>
      </c>
      <c r="Q1225" s="4">
        <f t="shared" si="255"/>
        <v>0</v>
      </c>
      <c r="R1225" s="4">
        <f t="shared" si="256"/>
        <v>0</v>
      </c>
      <c r="S1225" s="4">
        <f>IF(AND(VLOOKUP(G1225,Dados!$D:$L,2,0)=VLOOKUP(I1225,Dados!$S:$V,2,0),VLOOKUP(G1225,Dados!$D:$L,3,0)=VLOOKUP(I1225,Dados!$S:$V,3,0)),0,1)</f>
        <v>0</v>
      </c>
      <c r="T1225" s="4">
        <f>IF(AND(VLOOKUP(G1225,Dados!$D:$L,3,0)&lt;=VLOOKUP(H1225,Dados!$X:$AB,2,0),VLOOKUP(G1225,Dados!$D:$L,4,0)&gt;=VLOOKUP(H1225,Dados!$X:$AB,3,0),VLOOKUP(G1225,Dados!$D:$L,4,0)&lt;=VLOOKUP(H1225,Dados!$X:$AB,4,0)),0,1)</f>
        <v>0</v>
      </c>
      <c r="U1225" s="4">
        <f>IF(COUNTIFS(F:F,F1225,H:H,H1225)&lt;=VLOOKUP(H1225,Dados!$X:$AB,5,0),0,1)</f>
        <v>0</v>
      </c>
    </row>
    <row r="1226" spans="6:21">
      <c r="F1226" s="4">
        <v>626</v>
      </c>
      <c r="G1226" s="4">
        <v>31</v>
      </c>
      <c r="H1226" s="4">
        <v>2</v>
      </c>
      <c r="I1226" s="4">
        <v>16</v>
      </c>
      <c r="J1226" s="4">
        <v>9</v>
      </c>
      <c r="K1226" s="4">
        <f t="shared" si="252"/>
        <v>0</v>
      </c>
      <c r="L1226" s="4">
        <f t="shared" si="252"/>
        <v>0</v>
      </c>
      <c r="M1226" s="4">
        <f t="shared" si="252"/>
        <v>0</v>
      </c>
      <c r="N1226" s="4">
        <f t="shared" si="252"/>
        <v>0</v>
      </c>
      <c r="O1226" s="4">
        <f t="shared" si="253"/>
        <v>0</v>
      </c>
      <c r="P1226" s="4">
        <f t="shared" si="254"/>
        <v>0</v>
      </c>
      <c r="Q1226" s="4">
        <f t="shared" si="255"/>
        <v>0</v>
      </c>
      <c r="R1226" s="4">
        <f t="shared" si="256"/>
        <v>0</v>
      </c>
      <c r="S1226" s="4">
        <f>IF(AND(VLOOKUP(G1226,Dados!$D:$L,2,0)=VLOOKUP(I1226,Dados!$S:$V,2,0),VLOOKUP(G1226,Dados!$D:$L,3,0)=VLOOKUP(I1226,Dados!$S:$V,3,0)),0,1)</f>
        <v>0</v>
      </c>
      <c r="T1226" s="4">
        <f>IF(AND(VLOOKUP(G1226,Dados!$D:$L,3,0)&lt;=VLOOKUP(H1226,Dados!$X:$AB,2,0),VLOOKUP(G1226,Dados!$D:$L,4,0)&gt;=VLOOKUP(H1226,Dados!$X:$AB,3,0),VLOOKUP(G1226,Dados!$D:$L,4,0)&lt;=VLOOKUP(H1226,Dados!$X:$AB,4,0)),0,1)</f>
        <v>0</v>
      </c>
      <c r="U1226" s="4">
        <f>IF(COUNTIFS(F:F,F1226,H:H,H1226)&lt;=VLOOKUP(H1226,Dados!$X:$AB,5,0),0,1)</f>
        <v>0</v>
      </c>
    </row>
    <row r="1227" spans="6:21">
      <c r="F1227" s="4">
        <v>626</v>
      </c>
      <c r="G1227" s="4">
        <v>36</v>
      </c>
      <c r="H1227" s="4">
        <v>2</v>
      </c>
      <c r="I1227" s="4">
        <v>16</v>
      </c>
      <c r="J1227" s="4">
        <v>1</v>
      </c>
      <c r="K1227" s="4">
        <f t="shared" si="252"/>
        <v>0</v>
      </c>
      <c r="L1227" s="4">
        <f t="shared" si="252"/>
        <v>0</v>
      </c>
      <c r="M1227" s="4">
        <f t="shared" si="252"/>
        <v>0</v>
      </c>
      <c r="N1227" s="4">
        <f t="shared" si="252"/>
        <v>0</v>
      </c>
      <c r="O1227" s="4">
        <f t="shared" si="253"/>
        <v>0</v>
      </c>
      <c r="P1227" s="4">
        <f t="shared" si="254"/>
        <v>0</v>
      </c>
      <c r="Q1227" s="4">
        <f t="shared" si="255"/>
        <v>0</v>
      </c>
      <c r="R1227" s="4">
        <f t="shared" si="256"/>
        <v>0</v>
      </c>
      <c r="S1227" s="4">
        <f>IF(AND(VLOOKUP(G1227,Dados!$D:$L,2,0)=VLOOKUP(I1227,Dados!$S:$V,2,0),VLOOKUP(G1227,Dados!$D:$L,3,0)=VLOOKUP(I1227,Dados!$S:$V,3,0)),0,1)</f>
        <v>0</v>
      </c>
      <c r="T1227" s="4">
        <f>IF(AND(VLOOKUP(G1227,Dados!$D:$L,3,0)&lt;=VLOOKUP(H1227,Dados!$X:$AB,2,0),VLOOKUP(G1227,Dados!$D:$L,4,0)&gt;=VLOOKUP(H1227,Dados!$X:$AB,3,0),VLOOKUP(G1227,Dados!$D:$L,4,0)&lt;=VLOOKUP(H1227,Dados!$X:$AB,4,0)),0,1)</f>
        <v>0</v>
      </c>
      <c r="U1227" s="4">
        <f>IF(COUNTIFS(F:F,F1227,H:H,H1227)&lt;=VLOOKUP(H1227,Dados!$X:$AB,5,0),0,1)</f>
        <v>0</v>
      </c>
    </row>
    <row r="1228" spans="6:21">
      <c r="F1228" s="4">
        <v>627</v>
      </c>
      <c r="G1228" s="4">
        <v>31</v>
      </c>
      <c r="H1228" s="4">
        <v>3</v>
      </c>
      <c r="I1228" s="4">
        <v>16</v>
      </c>
      <c r="J1228" s="4">
        <v>9</v>
      </c>
      <c r="K1228" s="4">
        <f t="shared" si="252"/>
        <v>0</v>
      </c>
      <c r="L1228" s="4">
        <f t="shared" si="252"/>
        <v>0</v>
      </c>
      <c r="M1228" s="4">
        <f t="shared" si="252"/>
        <v>0</v>
      </c>
      <c r="N1228" s="4">
        <f t="shared" si="252"/>
        <v>0</v>
      </c>
      <c r="O1228" s="4">
        <f t="shared" si="253"/>
        <v>0</v>
      </c>
      <c r="P1228" s="4">
        <f t="shared" si="254"/>
        <v>0</v>
      </c>
      <c r="Q1228" s="4">
        <f t="shared" si="255"/>
        <v>0</v>
      </c>
      <c r="R1228" s="4">
        <f t="shared" si="256"/>
        <v>0</v>
      </c>
      <c r="S1228" s="4">
        <f>IF(AND(VLOOKUP(G1228,Dados!$D:$L,2,0)=VLOOKUP(I1228,Dados!$S:$V,2,0),VLOOKUP(G1228,Dados!$D:$L,3,0)=VLOOKUP(I1228,Dados!$S:$V,3,0)),0,1)</f>
        <v>0</v>
      </c>
      <c r="T1228" s="4">
        <f>IF(AND(VLOOKUP(G1228,Dados!$D:$L,3,0)&lt;=VLOOKUP(H1228,Dados!$X:$AB,2,0),VLOOKUP(G1228,Dados!$D:$L,4,0)&gt;=VLOOKUP(H1228,Dados!$X:$AB,3,0),VLOOKUP(G1228,Dados!$D:$L,4,0)&lt;=VLOOKUP(H1228,Dados!$X:$AB,4,0)),0,1)</f>
        <v>0</v>
      </c>
      <c r="U1228" s="4">
        <f>IF(COUNTIFS(F:F,F1228,H:H,H1228)&lt;=VLOOKUP(H1228,Dados!$X:$AB,5,0),0,1)</f>
        <v>0</v>
      </c>
    </row>
    <row r="1229" spans="6:21">
      <c r="F1229" s="4">
        <v>627</v>
      </c>
      <c r="G1229" s="4">
        <v>36</v>
      </c>
      <c r="H1229" s="4">
        <v>3</v>
      </c>
      <c r="I1229" s="4">
        <v>16</v>
      </c>
      <c r="J1229" s="4">
        <v>1</v>
      </c>
      <c r="K1229" s="4">
        <f t="shared" si="252"/>
        <v>0</v>
      </c>
      <c r="L1229" s="4">
        <f t="shared" si="252"/>
        <v>0</v>
      </c>
      <c r="M1229" s="4">
        <f t="shared" si="252"/>
        <v>0</v>
      </c>
      <c r="N1229" s="4">
        <f t="shared" si="252"/>
        <v>0</v>
      </c>
      <c r="O1229" s="4">
        <f t="shared" si="253"/>
        <v>0</v>
      </c>
      <c r="P1229" s="4">
        <f t="shared" si="254"/>
        <v>0</v>
      </c>
      <c r="Q1229" s="4">
        <f t="shared" si="255"/>
        <v>0</v>
      </c>
      <c r="R1229" s="4">
        <f t="shared" si="256"/>
        <v>0</v>
      </c>
      <c r="S1229" s="4">
        <f>IF(AND(VLOOKUP(G1229,Dados!$D:$L,2,0)=VLOOKUP(I1229,Dados!$S:$V,2,0),VLOOKUP(G1229,Dados!$D:$L,3,0)=VLOOKUP(I1229,Dados!$S:$V,3,0)),0,1)</f>
        <v>0</v>
      </c>
      <c r="T1229" s="4">
        <f>IF(AND(VLOOKUP(G1229,Dados!$D:$L,3,0)&lt;=VLOOKUP(H1229,Dados!$X:$AB,2,0),VLOOKUP(G1229,Dados!$D:$L,4,0)&gt;=VLOOKUP(H1229,Dados!$X:$AB,3,0),VLOOKUP(G1229,Dados!$D:$L,4,0)&lt;=VLOOKUP(H1229,Dados!$X:$AB,4,0)),0,1)</f>
        <v>0</v>
      </c>
      <c r="U1229" s="4">
        <f>IF(COUNTIFS(F:F,F1229,H:H,H1229)&lt;=VLOOKUP(H1229,Dados!$X:$AB,5,0),0,1)</f>
        <v>0</v>
      </c>
    </row>
    <row r="1230" spans="6:21">
      <c r="F1230" s="4">
        <v>628</v>
      </c>
      <c r="G1230" s="4">
        <v>42</v>
      </c>
      <c r="H1230" s="4">
        <v>1</v>
      </c>
      <c r="I1230" s="4">
        <v>17</v>
      </c>
      <c r="J1230" s="4">
        <v>4</v>
      </c>
      <c r="K1230" s="4">
        <f t="shared" si="252"/>
        <v>3</v>
      </c>
      <c r="L1230" s="4">
        <f t="shared" si="252"/>
        <v>0</v>
      </c>
      <c r="M1230" s="4">
        <f t="shared" si="252"/>
        <v>0</v>
      </c>
      <c r="N1230" s="4">
        <f t="shared" si="252"/>
        <v>0</v>
      </c>
      <c r="O1230" s="4">
        <f t="shared" si="253"/>
        <v>12</v>
      </c>
      <c r="P1230" s="4">
        <f t="shared" si="254"/>
        <v>0</v>
      </c>
      <c r="Q1230" s="4">
        <f t="shared" si="255"/>
        <v>0</v>
      </c>
      <c r="R1230" s="4">
        <f t="shared" si="256"/>
        <v>0</v>
      </c>
      <c r="S1230" s="4">
        <f>IF(AND(VLOOKUP(G1230,Dados!$D:$L,2,0)=VLOOKUP(I1230,Dados!$S:$V,2,0),VLOOKUP(G1230,Dados!$D:$L,3,0)=VLOOKUP(I1230,Dados!$S:$V,3,0)),0,1)</f>
        <v>0</v>
      </c>
      <c r="T1230" s="4">
        <f>IF(AND(VLOOKUP(G1230,Dados!$D:$L,3,0)&lt;=VLOOKUP(H1230,Dados!$X:$AB,2,0),VLOOKUP(G1230,Dados!$D:$L,4,0)&gt;=VLOOKUP(H1230,Dados!$X:$AB,3,0),VLOOKUP(G1230,Dados!$D:$L,4,0)&lt;=VLOOKUP(H1230,Dados!$X:$AB,4,0)),0,1)</f>
        <v>0</v>
      </c>
      <c r="U1230" s="4">
        <f>IF(COUNTIFS(F:F,F1230,H:H,H1230)&lt;=VLOOKUP(H1230,Dados!$X:$AB,5,0),0,1)</f>
        <v>0</v>
      </c>
    </row>
    <row r="1231" spans="6:21">
      <c r="F1231" s="4">
        <v>628</v>
      </c>
      <c r="G1231" s="4">
        <v>45</v>
      </c>
      <c r="H1231" s="4">
        <v>1</v>
      </c>
      <c r="I1231" s="4">
        <v>17</v>
      </c>
      <c r="J1231" s="4">
        <v>4</v>
      </c>
      <c r="K1231" s="4">
        <f t="shared" si="252"/>
        <v>3</v>
      </c>
      <c r="L1231" s="4">
        <f t="shared" si="252"/>
        <v>0</v>
      </c>
      <c r="M1231" s="4">
        <f t="shared" si="252"/>
        <v>0</v>
      </c>
      <c r="N1231" s="4">
        <f t="shared" si="252"/>
        <v>0</v>
      </c>
      <c r="O1231" s="4">
        <f t="shared" si="253"/>
        <v>12</v>
      </c>
      <c r="P1231" s="4">
        <f t="shared" si="254"/>
        <v>0</v>
      </c>
      <c r="Q1231" s="4">
        <f t="shared" si="255"/>
        <v>0</v>
      </c>
      <c r="R1231" s="4">
        <f t="shared" si="256"/>
        <v>0</v>
      </c>
      <c r="S1231" s="4">
        <f>IF(AND(VLOOKUP(G1231,Dados!$D:$L,2,0)=VLOOKUP(I1231,Dados!$S:$V,2,0),VLOOKUP(G1231,Dados!$D:$L,3,0)=VLOOKUP(I1231,Dados!$S:$V,3,0)),0,1)</f>
        <v>0</v>
      </c>
      <c r="T1231" s="4">
        <f>IF(AND(VLOOKUP(G1231,Dados!$D:$L,3,0)&lt;=VLOOKUP(H1231,Dados!$X:$AB,2,0),VLOOKUP(G1231,Dados!$D:$L,4,0)&gt;=VLOOKUP(H1231,Dados!$X:$AB,3,0),VLOOKUP(G1231,Dados!$D:$L,4,0)&lt;=VLOOKUP(H1231,Dados!$X:$AB,4,0)),0,1)</f>
        <v>0</v>
      </c>
      <c r="U1231" s="4">
        <f>IF(COUNTIFS(F:F,F1231,H:H,H1231)&lt;=VLOOKUP(H1231,Dados!$X:$AB,5,0),0,1)</f>
        <v>0</v>
      </c>
    </row>
    <row r="1232" spans="6:21">
      <c r="F1232" s="4">
        <v>629</v>
      </c>
      <c r="G1232" s="4">
        <v>42</v>
      </c>
      <c r="H1232" s="4">
        <v>2</v>
      </c>
      <c r="I1232" s="4">
        <v>17</v>
      </c>
      <c r="J1232" s="4">
        <v>4</v>
      </c>
      <c r="K1232" s="4">
        <f t="shared" si="252"/>
        <v>0</v>
      </c>
      <c r="L1232" s="4">
        <f t="shared" si="252"/>
        <v>0</v>
      </c>
      <c r="M1232" s="4">
        <f t="shared" si="252"/>
        <v>0</v>
      </c>
      <c r="N1232" s="4">
        <f t="shared" si="252"/>
        <v>0</v>
      </c>
      <c r="O1232" s="4">
        <f t="shared" si="253"/>
        <v>0</v>
      </c>
      <c r="P1232" s="4">
        <f t="shared" si="254"/>
        <v>0</v>
      </c>
      <c r="Q1232" s="4">
        <f t="shared" si="255"/>
        <v>0</v>
      </c>
      <c r="R1232" s="4">
        <f t="shared" si="256"/>
        <v>0</v>
      </c>
      <c r="S1232" s="4">
        <f>IF(AND(VLOOKUP(G1232,Dados!$D:$L,2,0)=VLOOKUP(I1232,Dados!$S:$V,2,0),VLOOKUP(G1232,Dados!$D:$L,3,0)=VLOOKUP(I1232,Dados!$S:$V,3,0)),0,1)</f>
        <v>0</v>
      </c>
      <c r="T1232" s="4">
        <f>IF(AND(VLOOKUP(G1232,Dados!$D:$L,3,0)&lt;=VLOOKUP(H1232,Dados!$X:$AB,2,0),VLOOKUP(G1232,Dados!$D:$L,4,0)&gt;=VLOOKUP(H1232,Dados!$X:$AB,3,0),VLOOKUP(G1232,Dados!$D:$L,4,0)&lt;=VLOOKUP(H1232,Dados!$X:$AB,4,0)),0,1)</f>
        <v>0</v>
      </c>
      <c r="U1232" s="4">
        <f>IF(COUNTIFS(F:F,F1232,H:H,H1232)&lt;=VLOOKUP(H1232,Dados!$X:$AB,5,0),0,1)</f>
        <v>0</v>
      </c>
    </row>
    <row r="1233" spans="6:21">
      <c r="F1233" s="4">
        <v>629</v>
      </c>
      <c r="G1233" s="4">
        <v>45</v>
      </c>
      <c r="H1233" s="4">
        <v>2</v>
      </c>
      <c r="I1233" s="4">
        <v>17</v>
      </c>
      <c r="J1233" s="4">
        <v>4</v>
      </c>
      <c r="K1233" s="4">
        <f t="shared" si="252"/>
        <v>0</v>
      </c>
      <c r="L1233" s="4">
        <f t="shared" si="252"/>
        <v>0</v>
      </c>
      <c r="M1233" s="4">
        <f t="shared" si="252"/>
        <v>0</v>
      </c>
      <c r="N1233" s="4">
        <f t="shared" si="252"/>
        <v>0</v>
      </c>
      <c r="O1233" s="4">
        <f t="shared" si="253"/>
        <v>0</v>
      </c>
      <c r="P1233" s="4">
        <f t="shared" si="254"/>
        <v>0</v>
      </c>
      <c r="Q1233" s="4">
        <f t="shared" si="255"/>
        <v>0</v>
      </c>
      <c r="R1233" s="4">
        <f t="shared" si="256"/>
        <v>0</v>
      </c>
      <c r="S1233" s="4">
        <f>IF(AND(VLOOKUP(G1233,Dados!$D:$L,2,0)=VLOOKUP(I1233,Dados!$S:$V,2,0),VLOOKUP(G1233,Dados!$D:$L,3,0)=VLOOKUP(I1233,Dados!$S:$V,3,0)),0,1)</f>
        <v>0</v>
      </c>
      <c r="T1233" s="4">
        <f>IF(AND(VLOOKUP(G1233,Dados!$D:$L,3,0)&lt;=VLOOKUP(H1233,Dados!$X:$AB,2,0),VLOOKUP(G1233,Dados!$D:$L,4,0)&gt;=VLOOKUP(H1233,Dados!$X:$AB,3,0),VLOOKUP(G1233,Dados!$D:$L,4,0)&lt;=VLOOKUP(H1233,Dados!$X:$AB,4,0)),0,1)</f>
        <v>0</v>
      </c>
      <c r="U1233" s="4">
        <f>IF(COUNTIFS(F:F,F1233,H:H,H1233)&lt;=VLOOKUP(H1233,Dados!$X:$AB,5,0),0,1)</f>
        <v>0</v>
      </c>
    </row>
    <row r="1234" spans="6:21">
      <c r="F1234" s="4">
        <v>630</v>
      </c>
      <c r="G1234" s="4">
        <v>42</v>
      </c>
      <c r="H1234" s="4">
        <v>3</v>
      </c>
      <c r="I1234" s="4">
        <v>17</v>
      </c>
      <c r="J1234" s="4">
        <v>4</v>
      </c>
      <c r="K1234" s="4">
        <f t="shared" si="252"/>
        <v>0</v>
      </c>
      <c r="L1234" s="4">
        <f t="shared" si="252"/>
        <v>0</v>
      </c>
      <c r="M1234" s="4">
        <f t="shared" si="252"/>
        <v>0</v>
      </c>
      <c r="N1234" s="4">
        <f t="shared" si="252"/>
        <v>0</v>
      </c>
      <c r="O1234" s="4">
        <f t="shared" si="253"/>
        <v>0</v>
      </c>
      <c r="P1234" s="4">
        <f t="shared" si="254"/>
        <v>0</v>
      </c>
      <c r="Q1234" s="4">
        <f t="shared" si="255"/>
        <v>0</v>
      </c>
      <c r="R1234" s="4">
        <f t="shared" si="256"/>
        <v>0</v>
      </c>
      <c r="S1234" s="4">
        <f>IF(AND(VLOOKUP(G1234,Dados!$D:$L,2,0)=VLOOKUP(I1234,Dados!$S:$V,2,0),VLOOKUP(G1234,Dados!$D:$L,3,0)=VLOOKUP(I1234,Dados!$S:$V,3,0)),0,1)</f>
        <v>0</v>
      </c>
      <c r="T1234" s="4">
        <f>IF(AND(VLOOKUP(G1234,Dados!$D:$L,3,0)&lt;=VLOOKUP(H1234,Dados!$X:$AB,2,0),VLOOKUP(G1234,Dados!$D:$L,4,0)&gt;=VLOOKUP(H1234,Dados!$X:$AB,3,0),VLOOKUP(G1234,Dados!$D:$L,4,0)&lt;=VLOOKUP(H1234,Dados!$X:$AB,4,0)),0,1)</f>
        <v>0</v>
      </c>
      <c r="U1234" s="4">
        <f>IF(COUNTIFS(F:F,F1234,H:H,H1234)&lt;=VLOOKUP(H1234,Dados!$X:$AB,5,0),0,1)</f>
        <v>0</v>
      </c>
    </row>
    <row r="1235" spans="6:21">
      <c r="F1235" s="4">
        <v>630</v>
      </c>
      <c r="G1235" s="4">
        <v>45</v>
      </c>
      <c r="H1235" s="4">
        <v>3</v>
      </c>
      <c r="I1235" s="4">
        <v>17</v>
      </c>
      <c r="J1235" s="4">
        <v>4</v>
      </c>
      <c r="K1235" s="4">
        <f t="shared" si="252"/>
        <v>0</v>
      </c>
      <c r="L1235" s="4">
        <f t="shared" si="252"/>
        <v>0</v>
      </c>
      <c r="M1235" s="4">
        <f t="shared" si="252"/>
        <v>0</v>
      </c>
      <c r="N1235" s="4">
        <f t="shared" si="252"/>
        <v>0</v>
      </c>
      <c r="O1235" s="4">
        <f t="shared" si="253"/>
        <v>0</v>
      </c>
      <c r="P1235" s="4">
        <f t="shared" si="254"/>
        <v>0</v>
      </c>
      <c r="Q1235" s="4">
        <f t="shared" si="255"/>
        <v>0</v>
      </c>
      <c r="R1235" s="4">
        <f t="shared" si="256"/>
        <v>0</v>
      </c>
      <c r="S1235" s="4">
        <f>IF(AND(VLOOKUP(G1235,Dados!$D:$L,2,0)=VLOOKUP(I1235,Dados!$S:$V,2,0),VLOOKUP(G1235,Dados!$D:$L,3,0)=VLOOKUP(I1235,Dados!$S:$V,3,0)),0,1)</f>
        <v>0</v>
      </c>
      <c r="T1235" s="4">
        <f>IF(AND(VLOOKUP(G1235,Dados!$D:$L,3,0)&lt;=VLOOKUP(H1235,Dados!$X:$AB,2,0),VLOOKUP(G1235,Dados!$D:$L,4,0)&gt;=VLOOKUP(H1235,Dados!$X:$AB,3,0),VLOOKUP(G1235,Dados!$D:$L,4,0)&lt;=VLOOKUP(H1235,Dados!$X:$AB,4,0)),0,1)</f>
        <v>0</v>
      </c>
      <c r="U1235" s="4">
        <f>IF(COUNTIFS(F:F,F1235,H:H,H1235)&lt;=VLOOKUP(H1235,Dados!$X:$AB,5,0),0,1)</f>
        <v>0</v>
      </c>
    </row>
    <row r="1236" spans="6:21">
      <c r="F1236" s="4">
        <v>631</v>
      </c>
      <c r="G1236" s="4">
        <v>46</v>
      </c>
      <c r="H1236" s="4">
        <v>1</v>
      </c>
      <c r="I1236" s="4">
        <v>19</v>
      </c>
      <c r="J1236" s="4">
        <v>6</v>
      </c>
      <c r="K1236" s="4">
        <f t="shared" si="252"/>
        <v>0</v>
      </c>
      <c r="L1236" s="4">
        <f t="shared" si="252"/>
        <v>11</v>
      </c>
      <c r="M1236" s="4">
        <f t="shared" si="252"/>
        <v>0</v>
      </c>
      <c r="N1236" s="4">
        <f t="shared" si="252"/>
        <v>0</v>
      </c>
      <c r="O1236" s="4">
        <f t="shared" si="253"/>
        <v>0</v>
      </c>
      <c r="P1236" s="4">
        <f t="shared" si="254"/>
        <v>66</v>
      </c>
      <c r="Q1236" s="4">
        <f t="shared" si="255"/>
        <v>0</v>
      </c>
      <c r="R1236" s="4">
        <f t="shared" si="256"/>
        <v>0</v>
      </c>
      <c r="S1236" s="4">
        <f>IF(AND(VLOOKUP(G1236,Dados!$D:$L,2,0)=VLOOKUP(I1236,Dados!$S:$V,2,0),VLOOKUP(G1236,Dados!$D:$L,3,0)=VLOOKUP(I1236,Dados!$S:$V,3,0)),0,1)</f>
        <v>0</v>
      </c>
      <c r="T1236" s="4">
        <f>IF(AND(VLOOKUP(G1236,Dados!$D:$L,3,0)&lt;=VLOOKUP(H1236,Dados!$X:$AB,2,0),VLOOKUP(G1236,Dados!$D:$L,4,0)&gt;=VLOOKUP(H1236,Dados!$X:$AB,3,0),VLOOKUP(G1236,Dados!$D:$L,4,0)&lt;=VLOOKUP(H1236,Dados!$X:$AB,4,0)),0,1)</f>
        <v>0</v>
      </c>
      <c r="U1236" s="4">
        <f>IF(COUNTIFS(F:F,F1236,H:H,H1236)&lt;=VLOOKUP(H1236,Dados!$X:$AB,5,0),0,1)</f>
        <v>0</v>
      </c>
    </row>
    <row r="1237" spans="6:21">
      <c r="F1237" s="4">
        <v>632</v>
      </c>
      <c r="G1237" s="4">
        <v>46</v>
      </c>
      <c r="H1237" s="4">
        <v>3</v>
      </c>
      <c r="I1237" s="4">
        <v>19</v>
      </c>
      <c r="J1237" s="4">
        <v>6</v>
      </c>
      <c r="K1237" s="4">
        <f t="shared" si="252"/>
        <v>0</v>
      </c>
      <c r="L1237" s="4">
        <f t="shared" si="252"/>
        <v>3</v>
      </c>
      <c r="M1237" s="4">
        <f t="shared" si="252"/>
        <v>0</v>
      </c>
      <c r="N1237" s="4">
        <f t="shared" si="252"/>
        <v>0</v>
      </c>
      <c r="O1237" s="4">
        <f t="shared" si="253"/>
        <v>0</v>
      </c>
      <c r="P1237" s="4">
        <f t="shared" si="254"/>
        <v>18</v>
      </c>
      <c r="Q1237" s="4">
        <f t="shared" si="255"/>
        <v>0</v>
      </c>
      <c r="R1237" s="4">
        <f t="shared" si="256"/>
        <v>0</v>
      </c>
      <c r="S1237" s="4">
        <f>IF(AND(VLOOKUP(G1237,Dados!$D:$L,2,0)=VLOOKUP(I1237,Dados!$S:$V,2,0),VLOOKUP(G1237,Dados!$D:$L,3,0)=VLOOKUP(I1237,Dados!$S:$V,3,0)),0,1)</f>
        <v>0</v>
      </c>
      <c r="T1237" s="4">
        <f>IF(AND(VLOOKUP(G1237,Dados!$D:$L,3,0)&lt;=VLOOKUP(H1237,Dados!$X:$AB,2,0),VLOOKUP(G1237,Dados!$D:$L,4,0)&gt;=VLOOKUP(H1237,Dados!$X:$AB,3,0),VLOOKUP(G1237,Dados!$D:$L,4,0)&lt;=VLOOKUP(H1237,Dados!$X:$AB,4,0)),0,1)</f>
        <v>0</v>
      </c>
      <c r="U1237" s="4">
        <f>IF(COUNTIFS(F:F,F1237,H:H,H1237)&lt;=VLOOKUP(H1237,Dados!$X:$AB,5,0),0,1)</f>
        <v>0</v>
      </c>
    </row>
    <row r="1238" spans="6:21">
      <c r="F1238" s="4">
        <v>633</v>
      </c>
      <c r="G1238" s="4">
        <v>54</v>
      </c>
      <c r="H1238" s="4">
        <v>1</v>
      </c>
      <c r="I1238" s="4">
        <v>20</v>
      </c>
      <c r="J1238" s="4">
        <v>3</v>
      </c>
      <c r="K1238" s="4">
        <f t="shared" si="252"/>
        <v>0</v>
      </c>
      <c r="L1238" s="4">
        <f t="shared" si="252"/>
        <v>1</v>
      </c>
      <c r="M1238" s="4">
        <f t="shared" si="252"/>
        <v>0</v>
      </c>
      <c r="N1238" s="4">
        <f t="shared" si="252"/>
        <v>0</v>
      </c>
      <c r="O1238" s="4">
        <f t="shared" si="253"/>
        <v>0</v>
      </c>
      <c r="P1238" s="4">
        <f t="shared" si="254"/>
        <v>3</v>
      </c>
      <c r="Q1238" s="4">
        <f t="shared" si="255"/>
        <v>0</v>
      </c>
      <c r="R1238" s="4">
        <f t="shared" si="256"/>
        <v>0</v>
      </c>
      <c r="S1238" s="4">
        <f>IF(AND(VLOOKUP(G1238,Dados!$D:$L,2,0)=VLOOKUP(I1238,Dados!$S:$V,2,0),VLOOKUP(G1238,Dados!$D:$L,3,0)=VLOOKUP(I1238,Dados!$S:$V,3,0)),0,1)</f>
        <v>0</v>
      </c>
      <c r="T1238" s="4">
        <f>IF(AND(VLOOKUP(G1238,Dados!$D:$L,3,0)&lt;=VLOOKUP(H1238,Dados!$X:$AB,2,0),VLOOKUP(G1238,Dados!$D:$L,4,0)&gt;=VLOOKUP(H1238,Dados!$X:$AB,3,0),VLOOKUP(G1238,Dados!$D:$L,4,0)&lt;=VLOOKUP(H1238,Dados!$X:$AB,4,0)),0,1)</f>
        <v>0</v>
      </c>
      <c r="U1238" s="4">
        <f>IF(COUNTIFS(F:F,F1238,H:H,H1238)&lt;=VLOOKUP(H1238,Dados!$X:$AB,5,0),0,1)</f>
        <v>0</v>
      </c>
    </row>
    <row r="1239" spans="6:21">
      <c r="F1239" s="4">
        <v>633</v>
      </c>
      <c r="G1239" s="4">
        <v>55</v>
      </c>
      <c r="H1239" s="4">
        <v>1</v>
      </c>
      <c r="I1239" s="4">
        <v>20</v>
      </c>
      <c r="J1239" s="4">
        <v>2</v>
      </c>
      <c r="K1239" s="4">
        <f t="shared" si="252"/>
        <v>0</v>
      </c>
      <c r="L1239" s="4">
        <f t="shared" si="252"/>
        <v>1</v>
      </c>
      <c r="M1239" s="4">
        <f t="shared" si="252"/>
        <v>0</v>
      </c>
      <c r="N1239" s="4">
        <f t="shared" si="252"/>
        <v>0</v>
      </c>
      <c r="O1239" s="4">
        <f t="shared" si="253"/>
        <v>0</v>
      </c>
      <c r="P1239" s="4">
        <f t="shared" si="254"/>
        <v>2</v>
      </c>
      <c r="Q1239" s="4">
        <f t="shared" si="255"/>
        <v>0</v>
      </c>
      <c r="R1239" s="4">
        <f t="shared" si="256"/>
        <v>0</v>
      </c>
      <c r="S1239" s="4">
        <f>IF(AND(VLOOKUP(G1239,Dados!$D:$L,2,0)=VLOOKUP(I1239,Dados!$S:$V,2,0),VLOOKUP(G1239,Dados!$D:$L,3,0)=VLOOKUP(I1239,Dados!$S:$V,3,0)),0,1)</f>
        <v>0</v>
      </c>
      <c r="T1239" s="4">
        <f>IF(AND(VLOOKUP(G1239,Dados!$D:$L,3,0)&lt;=VLOOKUP(H1239,Dados!$X:$AB,2,0),VLOOKUP(G1239,Dados!$D:$L,4,0)&gt;=VLOOKUP(H1239,Dados!$X:$AB,3,0),VLOOKUP(G1239,Dados!$D:$L,4,0)&lt;=VLOOKUP(H1239,Dados!$X:$AB,4,0)),0,1)</f>
        <v>0</v>
      </c>
      <c r="U1239" s="4">
        <f>IF(COUNTIFS(F:F,F1239,H:H,H1239)&lt;=VLOOKUP(H1239,Dados!$X:$AB,5,0),0,1)</f>
        <v>0</v>
      </c>
    </row>
    <row r="1240" spans="6:21">
      <c r="F1240" s="4">
        <v>633</v>
      </c>
      <c r="G1240" s="4">
        <v>58</v>
      </c>
      <c r="H1240" s="4">
        <v>1</v>
      </c>
      <c r="I1240" s="4">
        <v>20</v>
      </c>
      <c r="J1240" s="4">
        <v>3</v>
      </c>
      <c r="K1240" s="4">
        <f t="shared" si="252"/>
        <v>0</v>
      </c>
      <c r="L1240" s="4">
        <f t="shared" si="252"/>
        <v>1</v>
      </c>
      <c r="M1240" s="4">
        <f t="shared" si="252"/>
        <v>0</v>
      </c>
      <c r="N1240" s="4">
        <f t="shared" si="252"/>
        <v>0</v>
      </c>
      <c r="O1240" s="4">
        <f t="shared" si="253"/>
        <v>0</v>
      </c>
      <c r="P1240" s="4">
        <f t="shared" si="254"/>
        <v>3</v>
      </c>
      <c r="Q1240" s="4">
        <f t="shared" si="255"/>
        <v>0</v>
      </c>
      <c r="R1240" s="4">
        <f t="shared" si="256"/>
        <v>0</v>
      </c>
      <c r="S1240" s="4">
        <f>IF(AND(VLOOKUP(G1240,Dados!$D:$L,2,0)=VLOOKUP(I1240,Dados!$S:$V,2,0),VLOOKUP(G1240,Dados!$D:$L,3,0)=VLOOKUP(I1240,Dados!$S:$V,3,0)),0,1)</f>
        <v>0</v>
      </c>
      <c r="T1240" s="4">
        <f>IF(AND(VLOOKUP(G1240,Dados!$D:$L,3,0)&lt;=VLOOKUP(H1240,Dados!$X:$AB,2,0),VLOOKUP(G1240,Dados!$D:$L,4,0)&gt;=VLOOKUP(H1240,Dados!$X:$AB,3,0),VLOOKUP(G1240,Dados!$D:$L,4,0)&lt;=VLOOKUP(H1240,Dados!$X:$AB,4,0)),0,1)</f>
        <v>0</v>
      </c>
      <c r="U1240" s="4">
        <f>IF(COUNTIFS(F:F,F1240,H:H,H1240)&lt;=VLOOKUP(H1240,Dados!$X:$AB,5,0),0,1)</f>
        <v>0</v>
      </c>
    </row>
    <row r="1241" spans="6:21">
      <c r="F1241" s="4">
        <v>634</v>
      </c>
      <c r="G1241" s="4">
        <v>54</v>
      </c>
      <c r="H1241" s="4">
        <v>3</v>
      </c>
      <c r="I1241" s="4">
        <v>20</v>
      </c>
      <c r="J1241" s="4">
        <v>3</v>
      </c>
      <c r="K1241" s="4">
        <f t="shared" si="252"/>
        <v>0</v>
      </c>
      <c r="L1241" s="4">
        <f t="shared" si="252"/>
        <v>0</v>
      </c>
      <c r="M1241" s="4">
        <f t="shared" si="252"/>
        <v>0</v>
      </c>
      <c r="N1241" s="4">
        <f t="shared" si="252"/>
        <v>0</v>
      </c>
      <c r="O1241" s="4">
        <f t="shared" si="253"/>
        <v>0</v>
      </c>
      <c r="P1241" s="4">
        <f t="shared" si="254"/>
        <v>0</v>
      </c>
      <c r="Q1241" s="4">
        <f t="shared" si="255"/>
        <v>0</v>
      </c>
      <c r="R1241" s="4">
        <f t="shared" si="256"/>
        <v>0</v>
      </c>
      <c r="S1241" s="4">
        <f>IF(AND(VLOOKUP(G1241,Dados!$D:$L,2,0)=VLOOKUP(I1241,Dados!$S:$V,2,0),VLOOKUP(G1241,Dados!$D:$L,3,0)=VLOOKUP(I1241,Dados!$S:$V,3,0)),0,1)</f>
        <v>0</v>
      </c>
      <c r="T1241" s="4">
        <f>IF(AND(VLOOKUP(G1241,Dados!$D:$L,3,0)&lt;=VLOOKUP(H1241,Dados!$X:$AB,2,0),VLOOKUP(G1241,Dados!$D:$L,4,0)&gt;=VLOOKUP(H1241,Dados!$X:$AB,3,0),VLOOKUP(G1241,Dados!$D:$L,4,0)&lt;=VLOOKUP(H1241,Dados!$X:$AB,4,0)),0,1)</f>
        <v>0</v>
      </c>
      <c r="U1241" s="4">
        <f>IF(COUNTIFS(F:F,F1241,H:H,H1241)&lt;=VLOOKUP(H1241,Dados!$X:$AB,5,0),0,1)</f>
        <v>0</v>
      </c>
    </row>
    <row r="1242" spans="6:21">
      <c r="F1242" s="4">
        <v>634</v>
      </c>
      <c r="G1242" s="4">
        <v>55</v>
      </c>
      <c r="H1242" s="4">
        <v>3</v>
      </c>
      <c r="I1242" s="4">
        <v>20</v>
      </c>
      <c r="J1242" s="4">
        <v>2</v>
      </c>
      <c r="K1242" s="4">
        <f t="shared" si="252"/>
        <v>0</v>
      </c>
      <c r="L1242" s="4">
        <f t="shared" si="252"/>
        <v>0</v>
      </c>
      <c r="M1242" s="4">
        <f t="shared" si="252"/>
        <v>0</v>
      </c>
      <c r="N1242" s="4">
        <f t="shared" si="252"/>
        <v>0</v>
      </c>
      <c r="O1242" s="4">
        <f t="shared" si="253"/>
        <v>0</v>
      </c>
      <c r="P1242" s="4">
        <f t="shared" si="254"/>
        <v>0</v>
      </c>
      <c r="Q1242" s="4">
        <f t="shared" si="255"/>
        <v>0</v>
      </c>
      <c r="R1242" s="4">
        <f t="shared" si="256"/>
        <v>0</v>
      </c>
      <c r="S1242" s="4">
        <f>IF(AND(VLOOKUP(G1242,Dados!$D:$L,2,0)=VLOOKUP(I1242,Dados!$S:$V,2,0),VLOOKUP(G1242,Dados!$D:$L,3,0)=VLOOKUP(I1242,Dados!$S:$V,3,0)),0,1)</f>
        <v>0</v>
      </c>
      <c r="T1242" s="4">
        <f>IF(AND(VLOOKUP(G1242,Dados!$D:$L,3,0)&lt;=VLOOKUP(H1242,Dados!$X:$AB,2,0),VLOOKUP(G1242,Dados!$D:$L,4,0)&gt;=VLOOKUP(H1242,Dados!$X:$AB,3,0),VLOOKUP(G1242,Dados!$D:$L,4,0)&lt;=VLOOKUP(H1242,Dados!$X:$AB,4,0)),0,1)</f>
        <v>0</v>
      </c>
      <c r="U1242" s="4">
        <f>IF(COUNTIFS(F:F,F1242,H:H,H1242)&lt;=VLOOKUP(H1242,Dados!$X:$AB,5,0),0,1)</f>
        <v>0</v>
      </c>
    </row>
    <row r="1243" spans="6:21">
      <c r="F1243" s="4">
        <v>634</v>
      </c>
      <c r="G1243" s="4">
        <v>58</v>
      </c>
      <c r="H1243" s="4">
        <v>3</v>
      </c>
      <c r="I1243" s="4">
        <v>20</v>
      </c>
      <c r="J1243" s="4">
        <v>3</v>
      </c>
      <c r="K1243" s="4">
        <f t="shared" si="252"/>
        <v>0</v>
      </c>
      <c r="L1243" s="4">
        <f t="shared" si="252"/>
        <v>0</v>
      </c>
      <c r="M1243" s="4">
        <f t="shared" si="252"/>
        <v>0</v>
      </c>
      <c r="N1243" s="4">
        <f t="shared" si="252"/>
        <v>0</v>
      </c>
      <c r="O1243" s="4">
        <f t="shared" si="253"/>
        <v>0</v>
      </c>
      <c r="P1243" s="4">
        <f t="shared" si="254"/>
        <v>0</v>
      </c>
      <c r="Q1243" s="4">
        <f t="shared" si="255"/>
        <v>0</v>
      </c>
      <c r="R1243" s="4">
        <f t="shared" si="256"/>
        <v>0</v>
      </c>
      <c r="S1243" s="4">
        <f>IF(AND(VLOOKUP(G1243,Dados!$D:$L,2,0)=VLOOKUP(I1243,Dados!$S:$V,2,0),VLOOKUP(G1243,Dados!$D:$L,3,0)=VLOOKUP(I1243,Dados!$S:$V,3,0)),0,1)</f>
        <v>0</v>
      </c>
      <c r="T1243" s="4">
        <f>IF(AND(VLOOKUP(G1243,Dados!$D:$L,3,0)&lt;=VLOOKUP(H1243,Dados!$X:$AB,2,0),VLOOKUP(G1243,Dados!$D:$L,4,0)&gt;=VLOOKUP(H1243,Dados!$X:$AB,3,0),VLOOKUP(G1243,Dados!$D:$L,4,0)&lt;=VLOOKUP(H1243,Dados!$X:$AB,4,0)),0,1)</f>
        <v>0</v>
      </c>
      <c r="U1243" s="4">
        <f>IF(COUNTIFS(F:F,F1243,H:H,H1243)&lt;=VLOOKUP(H1243,Dados!$X:$AB,5,0),0,1)</f>
        <v>0</v>
      </c>
    </row>
    <row r="1244" spans="6:21">
      <c r="F1244" s="4">
        <v>635</v>
      </c>
      <c r="G1244" s="4">
        <v>59</v>
      </c>
      <c r="H1244" s="4">
        <v>1</v>
      </c>
      <c r="I1244" s="4">
        <v>21</v>
      </c>
      <c r="J1244" s="4">
        <v>2</v>
      </c>
      <c r="K1244" s="4">
        <f t="shared" si="252"/>
        <v>0</v>
      </c>
      <c r="L1244" s="4">
        <f t="shared" si="252"/>
        <v>0</v>
      </c>
      <c r="M1244" s="4">
        <f t="shared" si="252"/>
        <v>0</v>
      </c>
      <c r="N1244" s="4">
        <f t="shared" si="252"/>
        <v>0</v>
      </c>
      <c r="O1244" s="4">
        <f t="shared" si="253"/>
        <v>0</v>
      </c>
      <c r="P1244" s="4">
        <f t="shared" si="254"/>
        <v>0</v>
      </c>
      <c r="Q1244" s="4">
        <f t="shared" si="255"/>
        <v>0</v>
      </c>
      <c r="R1244" s="4">
        <f t="shared" si="256"/>
        <v>0</v>
      </c>
      <c r="S1244" s="4">
        <f>IF(AND(VLOOKUP(G1244,Dados!$D:$L,2,0)=VLOOKUP(I1244,Dados!$S:$V,2,0),VLOOKUP(G1244,Dados!$D:$L,3,0)=VLOOKUP(I1244,Dados!$S:$V,3,0)),0,1)</f>
        <v>0</v>
      </c>
      <c r="T1244" s="4">
        <f>IF(AND(VLOOKUP(G1244,Dados!$D:$L,3,0)&lt;=VLOOKUP(H1244,Dados!$X:$AB,2,0),VLOOKUP(G1244,Dados!$D:$L,4,0)&gt;=VLOOKUP(H1244,Dados!$X:$AB,3,0),VLOOKUP(G1244,Dados!$D:$L,4,0)&lt;=VLOOKUP(H1244,Dados!$X:$AB,4,0)),0,1)</f>
        <v>0</v>
      </c>
      <c r="U1244" s="4">
        <f>IF(COUNTIFS(F:F,F1244,H:H,H1244)&lt;=VLOOKUP(H1244,Dados!$X:$AB,5,0),0,1)</f>
        <v>0</v>
      </c>
    </row>
    <row r="1245" spans="6:21">
      <c r="F1245" s="4">
        <v>635</v>
      </c>
      <c r="G1245" s="4">
        <v>61</v>
      </c>
      <c r="H1245" s="4">
        <v>1</v>
      </c>
      <c r="I1245" s="4">
        <v>21</v>
      </c>
      <c r="J1245" s="4">
        <v>6</v>
      </c>
      <c r="K1245" s="4">
        <f t="shared" si="252"/>
        <v>0</v>
      </c>
      <c r="L1245" s="4">
        <f t="shared" si="252"/>
        <v>0</v>
      </c>
      <c r="M1245" s="4">
        <f t="shared" si="252"/>
        <v>0</v>
      </c>
      <c r="N1245" s="4">
        <f t="shared" si="252"/>
        <v>0</v>
      </c>
      <c r="O1245" s="4">
        <f t="shared" si="253"/>
        <v>0</v>
      </c>
      <c r="P1245" s="4">
        <f t="shared" si="254"/>
        <v>0</v>
      </c>
      <c r="Q1245" s="4">
        <f t="shared" si="255"/>
        <v>0</v>
      </c>
      <c r="R1245" s="4">
        <f t="shared" si="256"/>
        <v>0</v>
      </c>
      <c r="S1245" s="4">
        <f>IF(AND(VLOOKUP(G1245,Dados!$D:$L,2,0)=VLOOKUP(I1245,Dados!$S:$V,2,0),VLOOKUP(G1245,Dados!$D:$L,3,0)=VLOOKUP(I1245,Dados!$S:$V,3,0)),0,1)</f>
        <v>0</v>
      </c>
      <c r="T1245" s="4">
        <f>IF(AND(VLOOKUP(G1245,Dados!$D:$L,3,0)&lt;=VLOOKUP(H1245,Dados!$X:$AB,2,0),VLOOKUP(G1245,Dados!$D:$L,4,0)&gt;=VLOOKUP(H1245,Dados!$X:$AB,3,0),VLOOKUP(G1245,Dados!$D:$L,4,0)&lt;=VLOOKUP(H1245,Dados!$X:$AB,4,0)),0,1)</f>
        <v>0</v>
      </c>
      <c r="U1245" s="4">
        <f>IF(COUNTIFS(F:F,F1245,H:H,H1245)&lt;=VLOOKUP(H1245,Dados!$X:$AB,5,0),0,1)</f>
        <v>0</v>
      </c>
    </row>
    <row r="1246" spans="6:21">
      <c r="F1246" s="4">
        <v>636</v>
      </c>
      <c r="G1246" s="4">
        <v>59</v>
      </c>
      <c r="H1246" s="4">
        <v>2</v>
      </c>
      <c r="I1246" s="4">
        <v>21</v>
      </c>
      <c r="J1246" s="4">
        <v>2</v>
      </c>
      <c r="K1246" s="4">
        <f t="shared" si="252"/>
        <v>0</v>
      </c>
      <c r="L1246" s="4">
        <f t="shared" si="252"/>
        <v>0</v>
      </c>
      <c r="M1246" s="4">
        <f t="shared" si="252"/>
        <v>0</v>
      </c>
      <c r="N1246" s="4">
        <f t="shared" si="252"/>
        <v>0</v>
      </c>
      <c r="O1246" s="4">
        <f t="shared" si="253"/>
        <v>0</v>
      </c>
      <c r="P1246" s="4">
        <f t="shared" si="254"/>
        <v>0</v>
      </c>
      <c r="Q1246" s="4">
        <f t="shared" si="255"/>
        <v>0</v>
      </c>
      <c r="R1246" s="4">
        <f t="shared" si="256"/>
        <v>0</v>
      </c>
      <c r="S1246" s="4">
        <f>IF(AND(VLOOKUP(G1246,Dados!$D:$L,2,0)=VLOOKUP(I1246,Dados!$S:$V,2,0),VLOOKUP(G1246,Dados!$D:$L,3,0)=VLOOKUP(I1246,Dados!$S:$V,3,0)),0,1)</f>
        <v>0</v>
      </c>
      <c r="T1246" s="4">
        <f>IF(AND(VLOOKUP(G1246,Dados!$D:$L,3,0)&lt;=VLOOKUP(H1246,Dados!$X:$AB,2,0),VLOOKUP(G1246,Dados!$D:$L,4,0)&gt;=VLOOKUP(H1246,Dados!$X:$AB,3,0),VLOOKUP(G1246,Dados!$D:$L,4,0)&lt;=VLOOKUP(H1246,Dados!$X:$AB,4,0)),0,1)</f>
        <v>0</v>
      </c>
      <c r="U1246" s="4">
        <f>IF(COUNTIFS(F:F,F1246,H:H,H1246)&lt;=VLOOKUP(H1246,Dados!$X:$AB,5,0),0,1)</f>
        <v>0</v>
      </c>
    </row>
    <row r="1247" spans="6:21">
      <c r="F1247" s="4">
        <v>636</v>
      </c>
      <c r="G1247" s="4">
        <v>61</v>
      </c>
      <c r="H1247" s="4">
        <v>2</v>
      </c>
      <c r="I1247" s="4">
        <v>21</v>
      </c>
      <c r="J1247" s="4">
        <v>6</v>
      </c>
      <c r="K1247" s="4">
        <f t="shared" si="252"/>
        <v>0</v>
      </c>
      <c r="L1247" s="4">
        <f t="shared" si="252"/>
        <v>0</v>
      </c>
      <c r="M1247" s="4">
        <f t="shared" si="252"/>
        <v>0</v>
      </c>
      <c r="N1247" s="4">
        <f t="shared" si="252"/>
        <v>0</v>
      </c>
      <c r="O1247" s="4">
        <f t="shared" si="253"/>
        <v>0</v>
      </c>
      <c r="P1247" s="4">
        <f t="shared" si="254"/>
        <v>0</v>
      </c>
      <c r="Q1247" s="4">
        <f t="shared" si="255"/>
        <v>0</v>
      </c>
      <c r="R1247" s="4">
        <f t="shared" si="256"/>
        <v>0</v>
      </c>
      <c r="S1247" s="4">
        <f>IF(AND(VLOOKUP(G1247,Dados!$D:$L,2,0)=VLOOKUP(I1247,Dados!$S:$V,2,0),VLOOKUP(G1247,Dados!$D:$L,3,0)=VLOOKUP(I1247,Dados!$S:$V,3,0)),0,1)</f>
        <v>0</v>
      </c>
      <c r="T1247" s="4">
        <f>IF(AND(VLOOKUP(G1247,Dados!$D:$L,3,0)&lt;=VLOOKUP(H1247,Dados!$X:$AB,2,0),VLOOKUP(G1247,Dados!$D:$L,4,0)&gt;=VLOOKUP(H1247,Dados!$X:$AB,3,0),VLOOKUP(G1247,Dados!$D:$L,4,0)&lt;=VLOOKUP(H1247,Dados!$X:$AB,4,0)),0,1)</f>
        <v>0</v>
      </c>
      <c r="U1247" s="4">
        <f>IF(COUNTIFS(F:F,F1247,H:H,H1247)&lt;=VLOOKUP(H1247,Dados!$X:$AB,5,0),0,1)</f>
        <v>0</v>
      </c>
    </row>
    <row r="1248" spans="6:21">
      <c r="F1248" s="4">
        <v>637</v>
      </c>
      <c r="G1248" s="4">
        <v>59</v>
      </c>
      <c r="H1248" s="4">
        <v>3</v>
      </c>
      <c r="I1248" s="4">
        <v>21</v>
      </c>
      <c r="J1248" s="4">
        <v>2</v>
      </c>
      <c r="K1248" s="4">
        <f t="shared" si="252"/>
        <v>0</v>
      </c>
      <c r="L1248" s="4">
        <f t="shared" si="252"/>
        <v>0</v>
      </c>
      <c r="M1248" s="4">
        <f t="shared" si="252"/>
        <v>0</v>
      </c>
      <c r="N1248" s="4">
        <f t="shared" si="252"/>
        <v>0</v>
      </c>
      <c r="O1248" s="4">
        <f t="shared" si="253"/>
        <v>0</v>
      </c>
      <c r="P1248" s="4">
        <f t="shared" si="254"/>
        <v>0</v>
      </c>
      <c r="Q1248" s="4">
        <f t="shared" si="255"/>
        <v>0</v>
      </c>
      <c r="R1248" s="4">
        <f t="shared" si="256"/>
        <v>0</v>
      </c>
      <c r="S1248" s="4">
        <f>IF(AND(VLOOKUP(G1248,Dados!$D:$L,2,0)=VLOOKUP(I1248,Dados!$S:$V,2,0),VLOOKUP(G1248,Dados!$D:$L,3,0)=VLOOKUP(I1248,Dados!$S:$V,3,0)),0,1)</f>
        <v>0</v>
      </c>
      <c r="T1248" s="4">
        <f>IF(AND(VLOOKUP(G1248,Dados!$D:$L,3,0)&lt;=VLOOKUP(H1248,Dados!$X:$AB,2,0),VLOOKUP(G1248,Dados!$D:$L,4,0)&gt;=VLOOKUP(H1248,Dados!$X:$AB,3,0),VLOOKUP(G1248,Dados!$D:$L,4,0)&lt;=VLOOKUP(H1248,Dados!$X:$AB,4,0)),0,1)</f>
        <v>0</v>
      </c>
      <c r="U1248" s="4">
        <f>IF(COUNTIFS(F:F,F1248,H:H,H1248)&lt;=VLOOKUP(H1248,Dados!$X:$AB,5,0),0,1)</f>
        <v>0</v>
      </c>
    </row>
    <row r="1249" spans="6:21">
      <c r="F1249" s="4">
        <v>637</v>
      </c>
      <c r="G1249" s="4">
        <v>61</v>
      </c>
      <c r="H1249" s="4">
        <v>3</v>
      </c>
      <c r="I1249" s="4">
        <v>21</v>
      </c>
      <c r="J1249" s="4">
        <v>6</v>
      </c>
      <c r="K1249" s="4">
        <f t="shared" si="252"/>
        <v>0</v>
      </c>
      <c r="L1249" s="4">
        <f t="shared" si="252"/>
        <v>0</v>
      </c>
      <c r="M1249" s="4">
        <f t="shared" si="252"/>
        <v>0</v>
      </c>
      <c r="N1249" s="4">
        <f t="shared" si="252"/>
        <v>0</v>
      </c>
      <c r="O1249" s="4">
        <f t="shared" si="253"/>
        <v>0</v>
      </c>
      <c r="P1249" s="4">
        <f t="shared" si="254"/>
        <v>0</v>
      </c>
      <c r="Q1249" s="4">
        <f t="shared" si="255"/>
        <v>0</v>
      </c>
      <c r="R1249" s="4">
        <f t="shared" si="256"/>
        <v>0</v>
      </c>
      <c r="S1249" s="4">
        <f>IF(AND(VLOOKUP(G1249,Dados!$D:$L,2,0)=VLOOKUP(I1249,Dados!$S:$V,2,0),VLOOKUP(G1249,Dados!$D:$L,3,0)=VLOOKUP(I1249,Dados!$S:$V,3,0)),0,1)</f>
        <v>0</v>
      </c>
      <c r="T1249" s="4">
        <f>IF(AND(VLOOKUP(G1249,Dados!$D:$L,3,0)&lt;=VLOOKUP(H1249,Dados!$X:$AB,2,0),VLOOKUP(G1249,Dados!$D:$L,4,0)&gt;=VLOOKUP(H1249,Dados!$X:$AB,3,0),VLOOKUP(G1249,Dados!$D:$L,4,0)&lt;=VLOOKUP(H1249,Dados!$X:$AB,4,0)),0,1)</f>
        <v>0</v>
      </c>
      <c r="U1249" s="4">
        <f>IF(COUNTIFS(F:F,F1249,H:H,H1249)&lt;=VLOOKUP(H1249,Dados!$X:$AB,5,0),0,1)</f>
        <v>0</v>
      </c>
    </row>
    <row r="1250" spans="6:21">
      <c r="F1250" s="4">
        <v>638</v>
      </c>
      <c r="G1250" s="4">
        <v>61</v>
      </c>
      <c r="H1250" s="4">
        <v>1</v>
      </c>
      <c r="I1250" s="4">
        <v>22</v>
      </c>
      <c r="J1250" s="4">
        <v>4</v>
      </c>
      <c r="K1250" s="4">
        <f t="shared" si="252"/>
        <v>0</v>
      </c>
      <c r="L1250" s="4">
        <f t="shared" si="252"/>
        <v>0</v>
      </c>
      <c r="M1250" s="4">
        <f t="shared" si="252"/>
        <v>0</v>
      </c>
      <c r="N1250" s="4">
        <f t="shared" si="252"/>
        <v>0</v>
      </c>
      <c r="O1250" s="4">
        <f t="shared" si="253"/>
        <v>0</v>
      </c>
      <c r="P1250" s="4">
        <f t="shared" si="254"/>
        <v>0</v>
      </c>
      <c r="Q1250" s="4">
        <f t="shared" si="255"/>
        <v>0</v>
      </c>
      <c r="R1250" s="4">
        <f t="shared" si="256"/>
        <v>0</v>
      </c>
      <c r="S1250" s="4">
        <f>IF(AND(VLOOKUP(G1250,Dados!$D:$L,2,0)=VLOOKUP(I1250,Dados!$S:$V,2,0),VLOOKUP(G1250,Dados!$D:$L,3,0)=VLOOKUP(I1250,Dados!$S:$V,3,0)),0,1)</f>
        <v>0</v>
      </c>
      <c r="T1250" s="4">
        <f>IF(AND(VLOOKUP(G1250,Dados!$D:$L,3,0)&lt;=VLOOKUP(H1250,Dados!$X:$AB,2,0),VLOOKUP(G1250,Dados!$D:$L,4,0)&gt;=VLOOKUP(H1250,Dados!$X:$AB,3,0),VLOOKUP(G1250,Dados!$D:$L,4,0)&lt;=VLOOKUP(H1250,Dados!$X:$AB,4,0)),0,1)</f>
        <v>0</v>
      </c>
      <c r="U1250" s="4">
        <f>IF(COUNTIFS(F:F,F1250,H:H,H1250)&lt;=VLOOKUP(H1250,Dados!$X:$AB,5,0),0,1)</f>
        <v>0</v>
      </c>
    </row>
    <row r="1251" spans="6:21">
      <c r="F1251" s="4">
        <v>638</v>
      </c>
      <c r="G1251" s="4">
        <v>62</v>
      </c>
      <c r="H1251" s="4">
        <v>1</v>
      </c>
      <c r="I1251" s="4">
        <v>22</v>
      </c>
      <c r="J1251" s="4">
        <v>1</v>
      </c>
      <c r="K1251" s="4">
        <f t="shared" si="252"/>
        <v>0</v>
      </c>
      <c r="L1251" s="4">
        <f t="shared" si="252"/>
        <v>0</v>
      </c>
      <c r="M1251" s="4">
        <f t="shared" si="252"/>
        <v>0</v>
      </c>
      <c r="N1251" s="4">
        <f t="shared" si="252"/>
        <v>0</v>
      </c>
      <c r="O1251" s="4">
        <f t="shared" si="253"/>
        <v>0</v>
      </c>
      <c r="P1251" s="4">
        <f t="shared" si="254"/>
        <v>0</v>
      </c>
      <c r="Q1251" s="4">
        <f t="shared" si="255"/>
        <v>0</v>
      </c>
      <c r="R1251" s="4">
        <f t="shared" si="256"/>
        <v>0</v>
      </c>
      <c r="S1251" s="4">
        <f>IF(AND(VLOOKUP(G1251,Dados!$D:$L,2,0)=VLOOKUP(I1251,Dados!$S:$V,2,0),VLOOKUP(G1251,Dados!$D:$L,3,0)=VLOOKUP(I1251,Dados!$S:$V,3,0)),0,1)</f>
        <v>0</v>
      </c>
      <c r="T1251" s="4">
        <f>IF(AND(VLOOKUP(G1251,Dados!$D:$L,3,0)&lt;=VLOOKUP(H1251,Dados!$X:$AB,2,0),VLOOKUP(G1251,Dados!$D:$L,4,0)&gt;=VLOOKUP(H1251,Dados!$X:$AB,3,0),VLOOKUP(G1251,Dados!$D:$L,4,0)&lt;=VLOOKUP(H1251,Dados!$X:$AB,4,0)),0,1)</f>
        <v>0</v>
      </c>
      <c r="U1251" s="4">
        <f>IF(COUNTIFS(F:F,F1251,H:H,H1251)&lt;=VLOOKUP(H1251,Dados!$X:$AB,5,0),0,1)</f>
        <v>0</v>
      </c>
    </row>
    <row r="1252" spans="6:21">
      <c r="F1252" s="4">
        <v>638</v>
      </c>
      <c r="G1252" s="4">
        <v>63</v>
      </c>
      <c r="H1252" s="4">
        <v>1</v>
      </c>
      <c r="I1252" s="4">
        <v>22</v>
      </c>
      <c r="J1252" s="4">
        <v>2</v>
      </c>
      <c r="K1252" s="4">
        <f t="shared" si="252"/>
        <v>0</v>
      </c>
      <c r="L1252" s="4">
        <f t="shared" si="252"/>
        <v>0</v>
      </c>
      <c r="M1252" s="4">
        <f t="shared" si="252"/>
        <v>0</v>
      </c>
      <c r="N1252" s="4">
        <f t="shared" si="252"/>
        <v>0</v>
      </c>
      <c r="O1252" s="4">
        <f t="shared" si="253"/>
        <v>0</v>
      </c>
      <c r="P1252" s="4">
        <f t="shared" si="254"/>
        <v>0</v>
      </c>
      <c r="Q1252" s="4">
        <f t="shared" si="255"/>
        <v>0</v>
      </c>
      <c r="R1252" s="4">
        <f t="shared" si="256"/>
        <v>0</v>
      </c>
      <c r="S1252" s="4">
        <f>IF(AND(VLOOKUP(G1252,Dados!$D:$L,2,0)=VLOOKUP(I1252,Dados!$S:$V,2,0),VLOOKUP(G1252,Dados!$D:$L,3,0)=VLOOKUP(I1252,Dados!$S:$V,3,0)),0,1)</f>
        <v>0</v>
      </c>
      <c r="T1252" s="4">
        <f>IF(AND(VLOOKUP(G1252,Dados!$D:$L,3,0)&lt;=VLOOKUP(H1252,Dados!$X:$AB,2,0),VLOOKUP(G1252,Dados!$D:$L,4,0)&gt;=VLOOKUP(H1252,Dados!$X:$AB,3,0),VLOOKUP(G1252,Dados!$D:$L,4,0)&lt;=VLOOKUP(H1252,Dados!$X:$AB,4,0)),0,1)</f>
        <v>0</v>
      </c>
      <c r="U1252" s="4">
        <f>IF(COUNTIFS(F:F,F1252,H:H,H1252)&lt;=VLOOKUP(H1252,Dados!$X:$AB,5,0),0,1)</f>
        <v>0</v>
      </c>
    </row>
    <row r="1253" spans="6:21">
      <c r="F1253" s="4">
        <v>639</v>
      </c>
      <c r="G1253" s="4">
        <v>61</v>
      </c>
      <c r="H1253" s="4">
        <v>2</v>
      </c>
      <c r="I1253" s="4">
        <v>22</v>
      </c>
      <c r="J1253" s="4">
        <v>4</v>
      </c>
      <c r="K1253" s="4">
        <f t="shared" si="252"/>
        <v>0</v>
      </c>
      <c r="L1253" s="4">
        <f t="shared" si="252"/>
        <v>0</v>
      </c>
      <c r="M1253" s="4">
        <f t="shared" si="252"/>
        <v>0</v>
      </c>
      <c r="N1253" s="4">
        <f t="shared" si="252"/>
        <v>0</v>
      </c>
      <c r="O1253" s="4">
        <f t="shared" si="253"/>
        <v>0</v>
      </c>
      <c r="P1253" s="4">
        <f t="shared" si="254"/>
        <v>0</v>
      </c>
      <c r="Q1253" s="4">
        <f t="shared" si="255"/>
        <v>0</v>
      </c>
      <c r="R1253" s="4">
        <f t="shared" si="256"/>
        <v>0</v>
      </c>
      <c r="S1253" s="4">
        <f>IF(AND(VLOOKUP(G1253,Dados!$D:$L,2,0)=VLOOKUP(I1253,Dados!$S:$V,2,0),VLOOKUP(G1253,Dados!$D:$L,3,0)=VLOOKUP(I1253,Dados!$S:$V,3,0)),0,1)</f>
        <v>0</v>
      </c>
      <c r="T1253" s="4">
        <f>IF(AND(VLOOKUP(G1253,Dados!$D:$L,3,0)&lt;=VLOOKUP(H1253,Dados!$X:$AB,2,0),VLOOKUP(G1253,Dados!$D:$L,4,0)&gt;=VLOOKUP(H1253,Dados!$X:$AB,3,0),VLOOKUP(G1253,Dados!$D:$L,4,0)&lt;=VLOOKUP(H1253,Dados!$X:$AB,4,0)),0,1)</f>
        <v>0</v>
      </c>
      <c r="U1253" s="4">
        <f>IF(COUNTIFS(F:F,F1253,H:H,H1253)&lt;=VLOOKUP(H1253,Dados!$X:$AB,5,0),0,1)</f>
        <v>0</v>
      </c>
    </row>
    <row r="1254" spans="6:21">
      <c r="F1254" s="4">
        <v>639</v>
      </c>
      <c r="G1254" s="4">
        <v>62</v>
      </c>
      <c r="H1254" s="4">
        <v>2</v>
      </c>
      <c r="I1254" s="4">
        <v>22</v>
      </c>
      <c r="J1254" s="4">
        <v>1</v>
      </c>
      <c r="K1254" s="4">
        <f t="shared" ref="K1254:N1317" si="257">SUMIFS($X:$X,$W:$W,$F1254,$Z:$Z,$I1254,$AA:$AA,$H1254,$AB:$AB,K$2)</f>
        <v>0</v>
      </c>
      <c r="L1254" s="4">
        <f t="shared" si="257"/>
        <v>0</v>
      </c>
      <c r="M1254" s="4">
        <f t="shared" si="257"/>
        <v>0</v>
      </c>
      <c r="N1254" s="4">
        <f t="shared" si="257"/>
        <v>0</v>
      </c>
      <c r="O1254" s="4">
        <f t="shared" si="253"/>
        <v>0</v>
      </c>
      <c r="P1254" s="4">
        <f t="shared" si="254"/>
        <v>0</v>
      </c>
      <c r="Q1254" s="4">
        <f t="shared" si="255"/>
        <v>0</v>
      </c>
      <c r="R1254" s="4">
        <f t="shared" si="256"/>
        <v>0</v>
      </c>
      <c r="S1254" s="4">
        <f>IF(AND(VLOOKUP(G1254,Dados!$D:$L,2,0)=VLOOKUP(I1254,Dados!$S:$V,2,0),VLOOKUP(G1254,Dados!$D:$L,3,0)=VLOOKUP(I1254,Dados!$S:$V,3,0)),0,1)</f>
        <v>0</v>
      </c>
      <c r="T1254" s="4">
        <f>IF(AND(VLOOKUP(G1254,Dados!$D:$L,3,0)&lt;=VLOOKUP(H1254,Dados!$X:$AB,2,0),VLOOKUP(G1254,Dados!$D:$L,4,0)&gt;=VLOOKUP(H1254,Dados!$X:$AB,3,0),VLOOKUP(G1254,Dados!$D:$L,4,0)&lt;=VLOOKUP(H1254,Dados!$X:$AB,4,0)),0,1)</f>
        <v>0</v>
      </c>
      <c r="U1254" s="4">
        <f>IF(COUNTIFS(F:F,F1254,H:H,H1254)&lt;=VLOOKUP(H1254,Dados!$X:$AB,5,0),0,1)</f>
        <v>0</v>
      </c>
    </row>
    <row r="1255" spans="6:21">
      <c r="F1255" s="4">
        <v>639</v>
      </c>
      <c r="G1255" s="4">
        <v>63</v>
      </c>
      <c r="H1255" s="4">
        <v>2</v>
      </c>
      <c r="I1255" s="4">
        <v>22</v>
      </c>
      <c r="J1255" s="4">
        <v>2</v>
      </c>
      <c r="K1255" s="4">
        <f t="shared" si="257"/>
        <v>0</v>
      </c>
      <c r="L1255" s="4">
        <f t="shared" si="257"/>
        <v>0</v>
      </c>
      <c r="M1255" s="4">
        <f t="shared" si="257"/>
        <v>0</v>
      </c>
      <c r="N1255" s="4">
        <f t="shared" si="257"/>
        <v>0</v>
      </c>
      <c r="O1255" s="4">
        <f t="shared" ref="O1255:O1318" si="258">$J1255*K1255</f>
        <v>0</v>
      </c>
      <c r="P1255" s="4">
        <f t="shared" ref="P1255:P1318" si="259">$J1255*L1255</f>
        <v>0</v>
      </c>
      <c r="Q1255" s="4">
        <f t="shared" ref="Q1255:Q1318" si="260">$J1255*M1255</f>
        <v>0</v>
      </c>
      <c r="R1255" s="4">
        <f t="shared" ref="R1255:R1318" si="261">$J1255*N1255</f>
        <v>0</v>
      </c>
      <c r="S1255" s="4">
        <f>IF(AND(VLOOKUP(G1255,Dados!$D:$L,2,0)=VLOOKUP(I1255,Dados!$S:$V,2,0),VLOOKUP(G1255,Dados!$D:$L,3,0)=VLOOKUP(I1255,Dados!$S:$V,3,0)),0,1)</f>
        <v>0</v>
      </c>
      <c r="T1255" s="4">
        <f>IF(AND(VLOOKUP(G1255,Dados!$D:$L,3,0)&lt;=VLOOKUP(H1255,Dados!$X:$AB,2,0),VLOOKUP(G1255,Dados!$D:$L,4,0)&gt;=VLOOKUP(H1255,Dados!$X:$AB,3,0),VLOOKUP(G1255,Dados!$D:$L,4,0)&lt;=VLOOKUP(H1255,Dados!$X:$AB,4,0)),0,1)</f>
        <v>0</v>
      </c>
      <c r="U1255" s="4">
        <f>IF(COUNTIFS(F:F,F1255,H:H,H1255)&lt;=VLOOKUP(H1255,Dados!$X:$AB,5,0),0,1)</f>
        <v>0</v>
      </c>
    </row>
    <row r="1256" spans="6:21">
      <c r="F1256" s="4">
        <v>640</v>
      </c>
      <c r="G1256" s="4">
        <v>61</v>
      </c>
      <c r="H1256" s="4">
        <v>3</v>
      </c>
      <c r="I1256" s="4">
        <v>22</v>
      </c>
      <c r="J1256" s="4">
        <v>4</v>
      </c>
      <c r="K1256" s="4">
        <f t="shared" si="257"/>
        <v>0</v>
      </c>
      <c r="L1256" s="4">
        <f t="shared" si="257"/>
        <v>0</v>
      </c>
      <c r="M1256" s="4">
        <f t="shared" si="257"/>
        <v>0</v>
      </c>
      <c r="N1256" s="4">
        <f t="shared" si="257"/>
        <v>0</v>
      </c>
      <c r="O1256" s="4">
        <f t="shared" si="258"/>
        <v>0</v>
      </c>
      <c r="P1256" s="4">
        <f t="shared" si="259"/>
        <v>0</v>
      </c>
      <c r="Q1256" s="4">
        <f t="shared" si="260"/>
        <v>0</v>
      </c>
      <c r="R1256" s="4">
        <f t="shared" si="261"/>
        <v>0</v>
      </c>
      <c r="S1256" s="4">
        <f>IF(AND(VLOOKUP(G1256,Dados!$D:$L,2,0)=VLOOKUP(I1256,Dados!$S:$V,2,0),VLOOKUP(G1256,Dados!$D:$L,3,0)=VLOOKUP(I1256,Dados!$S:$V,3,0)),0,1)</f>
        <v>0</v>
      </c>
      <c r="T1256" s="4">
        <f>IF(AND(VLOOKUP(G1256,Dados!$D:$L,3,0)&lt;=VLOOKUP(H1256,Dados!$X:$AB,2,0),VLOOKUP(G1256,Dados!$D:$L,4,0)&gt;=VLOOKUP(H1256,Dados!$X:$AB,3,0),VLOOKUP(G1256,Dados!$D:$L,4,0)&lt;=VLOOKUP(H1256,Dados!$X:$AB,4,0)),0,1)</f>
        <v>0</v>
      </c>
      <c r="U1256" s="4">
        <f>IF(COUNTIFS(F:F,F1256,H:H,H1256)&lt;=VLOOKUP(H1256,Dados!$X:$AB,5,0),0,1)</f>
        <v>0</v>
      </c>
    </row>
    <row r="1257" spans="6:21">
      <c r="F1257" s="4">
        <v>640</v>
      </c>
      <c r="G1257" s="4">
        <v>62</v>
      </c>
      <c r="H1257" s="4">
        <v>3</v>
      </c>
      <c r="I1257" s="4">
        <v>22</v>
      </c>
      <c r="J1257" s="4">
        <v>1</v>
      </c>
      <c r="K1257" s="4">
        <f t="shared" si="257"/>
        <v>0</v>
      </c>
      <c r="L1257" s="4">
        <f t="shared" si="257"/>
        <v>0</v>
      </c>
      <c r="M1257" s="4">
        <f t="shared" si="257"/>
        <v>0</v>
      </c>
      <c r="N1257" s="4">
        <f t="shared" si="257"/>
        <v>0</v>
      </c>
      <c r="O1257" s="4">
        <f t="shared" si="258"/>
        <v>0</v>
      </c>
      <c r="P1257" s="4">
        <f t="shared" si="259"/>
        <v>0</v>
      </c>
      <c r="Q1257" s="4">
        <f t="shared" si="260"/>
        <v>0</v>
      </c>
      <c r="R1257" s="4">
        <f t="shared" si="261"/>
        <v>0</v>
      </c>
      <c r="S1257" s="4">
        <f>IF(AND(VLOOKUP(G1257,Dados!$D:$L,2,0)=VLOOKUP(I1257,Dados!$S:$V,2,0),VLOOKUP(G1257,Dados!$D:$L,3,0)=VLOOKUP(I1257,Dados!$S:$V,3,0)),0,1)</f>
        <v>0</v>
      </c>
      <c r="T1257" s="4">
        <f>IF(AND(VLOOKUP(G1257,Dados!$D:$L,3,0)&lt;=VLOOKUP(H1257,Dados!$X:$AB,2,0),VLOOKUP(G1257,Dados!$D:$L,4,0)&gt;=VLOOKUP(H1257,Dados!$X:$AB,3,0),VLOOKUP(G1257,Dados!$D:$L,4,0)&lt;=VLOOKUP(H1257,Dados!$X:$AB,4,0)),0,1)</f>
        <v>0</v>
      </c>
      <c r="U1257" s="4">
        <f>IF(COUNTIFS(F:F,F1257,H:H,H1257)&lt;=VLOOKUP(H1257,Dados!$X:$AB,5,0),0,1)</f>
        <v>0</v>
      </c>
    </row>
    <row r="1258" spans="6:21">
      <c r="F1258" s="4">
        <v>640</v>
      </c>
      <c r="G1258" s="4">
        <v>63</v>
      </c>
      <c r="H1258" s="4">
        <v>3</v>
      </c>
      <c r="I1258" s="4">
        <v>22</v>
      </c>
      <c r="J1258" s="4">
        <v>2</v>
      </c>
      <c r="K1258" s="4">
        <f t="shared" si="257"/>
        <v>0</v>
      </c>
      <c r="L1258" s="4">
        <f t="shared" si="257"/>
        <v>0</v>
      </c>
      <c r="M1258" s="4">
        <f t="shared" si="257"/>
        <v>0</v>
      </c>
      <c r="N1258" s="4">
        <f t="shared" si="257"/>
        <v>0</v>
      </c>
      <c r="O1258" s="4">
        <f t="shared" si="258"/>
        <v>0</v>
      </c>
      <c r="P1258" s="4">
        <f t="shared" si="259"/>
        <v>0</v>
      </c>
      <c r="Q1258" s="4">
        <f t="shared" si="260"/>
        <v>0</v>
      </c>
      <c r="R1258" s="4">
        <f t="shared" si="261"/>
        <v>0</v>
      </c>
      <c r="S1258" s="4">
        <f>IF(AND(VLOOKUP(G1258,Dados!$D:$L,2,0)=VLOOKUP(I1258,Dados!$S:$V,2,0),VLOOKUP(G1258,Dados!$D:$L,3,0)=VLOOKUP(I1258,Dados!$S:$V,3,0)),0,1)</f>
        <v>0</v>
      </c>
      <c r="T1258" s="4">
        <f>IF(AND(VLOOKUP(G1258,Dados!$D:$L,3,0)&lt;=VLOOKUP(H1258,Dados!$X:$AB,2,0),VLOOKUP(G1258,Dados!$D:$L,4,0)&gt;=VLOOKUP(H1258,Dados!$X:$AB,3,0),VLOOKUP(G1258,Dados!$D:$L,4,0)&lt;=VLOOKUP(H1258,Dados!$X:$AB,4,0)),0,1)</f>
        <v>0</v>
      </c>
      <c r="U1258" s="4">
        <f>IF(COUNTIFS(F:F,F1258,H:H,H1258)&lt;=VLOOKUP(H1258,Dados!$X:$AB,5,0),0,1)</f>
        <v>0</v>
      </c>
    </row>
    <row r="1259" spans="6:21">
      <c r="F1259" s="4">
        <v>641</v>
      </c>
      <c r="G1259" s="4">
        <v>59</v>
      </c>
      <c r="H1259" s="4">
        <v>1</v>
      </c>
      <c r="I1259" s="4">
        <v>23</v>
      </c>
      <c r="J1259" s="4">
        <v>2</v>
      </c>
      <c r="K1259" s="4">
        <f t="shared" si="257"/>
        <v>0</v>
      </c>
      <c r="L1259" s="4">
        <f t="shared" si="257"/>
        <v>0</v>
      </c>
      <c r="M1259" s="4">
        <f t="shared" si="257"/>
        <v>0</v>
      </c>
      <c r="N1259" s="4">
        <f t="shared" si="257"/>
        <v>0</v>
      </c>
      <c r="O1259" s="4">
        <f t="shared" si="258"/>
        <v>0</v>
      </c>
      <c r="P1259" s="4">
        <f t="shared" si="259"/>
        <v>0</v>
      </c>
      <c r="Q1259" s="4">
        <f t="shared" si="260"/>
        <v>0</v>
      </c>
      <c r="R1259" s="4">
        <f t="shared" si="261"/>
        <v>0</v>
      </c>
      <c r="S1259" s="4">
        <f>IF(AND(VLOOKUP(G1259,Dados!$D:$L,2,0)=VLOOKUP(I1259,Dados!$S:$V,2,0),VLOOKUP(G1259,Dados!$D:$L,3,0)=VLOOKUP(I1259,Dados!$S:$V,3,0)),0,1)</f>
        <v>0</v>
      </c>
      <c r="T1259" s="4">
        <f>IF(AND(VLOOKUP(G1259,Dados!$D:$L,3,0)&lt;=VLOOKUP(H1259,Dados!$X:$AB,2,0),VLOOKUP(G1259,Dados!$D:$L,4,0)&gt;=VLOOKUP(H1259,Dados!$X:$AB,3,0),VLOOKUP(G1259,Dados!$D:$L,4,0)&lt;=VLOOKUP(H1259,Dados!$X:$AB,4,0)),0,1)</f>
        <v>0</v>
      </c>
      <c r="U1259" s="4">
        <f>IF(COUNTIFS(F:F,F1259,H:H,H1259)&lt;=VLOOKUP(H1259,Dados!$X:$AB,5,0),0,1)</f>
        <v>0</v>
      </c>
    </row>
    <row r="1260" spans="6:21">
      <c r="F1260" s="4">
        <v>641</v>
      </c>
      <c r="G1260" s="4">
        <v>61</v>
      </c>
      <c r="H1260" s="4">
        <v>1</v>
      </c>
      <c r="I1260" s="4">
        <v>23</v>
      </c>
      <c r="J1260" s="4">
        <v>5</v>
      </c>
      <c r="K1260" s="4">
        <f t="shared" si="257"/>
        <v>0</v>
      </c>
      <c r="L1260" s="4">
        <f t="shared" si="257"/>
        <v>0</v>
      </c>
      <c r="M1260" s="4">
        <f t="shared" si="257"/>
        <v>0</v>
      </c>
      <c r="N1260" s="4">
        <f t="shared" si="257"/>
        <v>0</v>
      </c>
      <c r="O1260" s="4">
        <f t="shared" si="258"/>
        <v>0</v>
      </c>
      <c r="P1260" s="4">
        <f t="shared" si="259"/>
        <v>0</v>
      </c>
      <c r="Q1260" s="4">
        <f t="shared" si="260"/>
        <v>0</v>
      </c>
      <c r="R1260" s="4">
        <f t="shared" si="261"/>
        <v>0</v>
      </c>
      <c r="S1260" s="4">
        <f>IF(AND(VLOOKUP(G1260,Dados!$D:$L,2,0)=VLOOKUP(I1260,Dados!$S:$V,2,0),VLOOKUP(G1260,Dados!$D:$L,3,0)=VLOOKUP(I1260,Dados!$S:$V,3,0)),0,1)</f>
        <v>0</v>
      </c>
      <c r="T1260" s="4">
        <f>IF(AND(VLOOKUP(G1260,Dados!$D:$L,3,0)&lt;=VLOOKUP(H1260,Dados!$X:$AB,2,0),VLOOKUP(G1260,Dados!$D:$L,4,0)&gt;=VLOOKUP(H1260,Dados!$X:$AB,3,0),VLOOKUP(G1260,Dados!$D:$L,4,0)&lt;=VLOOKUP(H1260,Dados!$X:$AB,4,0)),0,1)</f>
        <v>0</v>
      </c>
      <c r="U1260" s="4">
        <f>IF(COUNTIFS(F:F,F1260,H:H,H1260)&lt;=VLOOKUP(H1260,Dados!$X:$AB,5,0),0,1)</f>
        <v>0</v>
      </c>
    </row>
    <row r="1261" spans="6:21">
      <c r="F1261" s="4">
        <v>642</v>
      </c>
      <c r="G1261" s="4">
        <v>59</v>
      </c>
      <c r="H1261" s="4">
        <v>2</v>
      </c>
      <c r="I1261" s="4">
        <v>23</v>
      </c>
      <c r="J1261" s="4">
        <v>2</v>
      </c>
      <c r="K1261" s="4">
        <f t="shared" si="257"/>
        <v>0</v>
      </c>
      <c r="L1261" s="4">
        <f t="shared" si="257"/>
        <v>0</v>
      </c>
      <c r="M1261" s="4">
        <f t="shared" si="257"/>
        <v>0</v>
      </c>
      <c r="N1261" s="4">
        <f t="shared" si="257"/>
        <v>0</v>
      </c>
      <c r="O1261" s="4">
        <f t="shared" si="258"/>
        <v>0</v>
      </c>
      <c r="P1261" s="4">
        <f t="shared" si="259"/>
        <v>0</v>
      </c>
      <c r="Q1261" s="4">
        <f t="shared" si="260"/>
        <v>0</v>
      </c>
      <c r="R1261" s="4">
        <f t="shared" si="261"/>
        <v>0</v>
      </c>
      <c r="S1261" s="4">
        <f>IF(AND(VLOOKUP(G1261,Dados!$D:$L,2,0)=VLOOKUP(I1261,Dados!$S:$V,2,0),VLOOKUP(G1261,Dados!$D:$L,3,0)=VLOOKUP(I1261,Dados!$S:$V,3,0)),0,1)</f>
        <v>0</v>
      </c>
      <c r="T1261" s="4">
        <f>IF(AND(VLOOKUP(G1261,Dados!$D:$L,3,0)&lt;=VLOOKUP(H1261,Dados!$X:$AB,2,0),VLOOKUP(G1261,Dados!$D:$L,4,0)&gt;=VLOOKUP(H1261,Dados!$X:$AB,3,0),VLOOKUP(G1261,Dados!$D:$L,4,0)&lt;=VLOOKUP(H1261,Dados!$X:$AB,4,0)),0,1)</f>
        <v>0</v>
      </c>
      <c r="U1261" s="4">
        <f>IF(COUNTIFS(F:F,F1261,H:H,H1261)&lt;=VLOOKUP(H1261,Dados!$X:$AB,5,0),0,1)</f>
        <v>0</v>
      </c>
    </row>
    <row r="1262" spans="6:21">
      <c r="F1262" s="4">
        <v>642</v>
      </c>
      <c r="G1262" s="4">
        <v>61</v>
      </c>
      <c r="H1262" s="4">
        <v>2</v>
      </c>
      <c r="I1262" s="4">
        <v>23</v>
      </c>
      <c r="J1262" s="4">
        <v>5</v>
      </c>
      <c r="K1262" s="4">
        <f t="shared" si="257"/>
        <v>0</v>
      </c>
      <c r="L1262" s="4">
        <f t="shared" si="257"/>
        <v>0</v>
      </c>
      <c r="M1262" s="4">
        <f t="shared" si="257"/>
        <v>0</v>
      </c>
      <c r="N1262" s="4">
        <f t="shared" si="257"/>
        <v>0</v>
      </c>
      <c r="O1262" s="4">
        <f t="shared" si="258"/>
        <v>0</v>
      </c>
      <c r="P1262" s="4">
        <f t="shared" si="259"/>
        <v>0</v>
      </c>
      <c r="Q1262" s="4">
        <f t="shared" si="260"/>
        <v>0</v>
      </c>
      <c r="R1262" s="4">
        <f t="shared" si="261"/>
        <v>0</v>
      </c>
      <c r="S1262" s="4">
        <f>IF(AND(VLOOKUP(G1262,Dados!$D:$L,2,0)=VLOOKUP(I1262,Dados!$S:$V,2,0),VLOOKUP(G1262,Dados!$D:$L,3,0)=VLOOKUP(I1262,Dados!$S:$V,3,0)),0,1)</f>
        <v>0</v>
      </c>
      <c r="T1262" s="4">
        <f>IF(AND(VLOOKUP(G1262,Dados!$D:$L,3,0)&lt;=VLOOKUP(H1262,Dados!$X:$AB,2,0),VLOOKUP(G1262,Dados!$D:$L,4,0)&gt;=VLOOKUP(H1262,Dados!$X:$AB,3,0),VLOOKUP(G1262,Dados!$D:$L,4,0)&lt;=VLOOKUP(H1262,Dados!$X:$AB,4,0)),0,1)</f>
        <v>0</v>
      </c>
      <c r="U1262" s="4">
        <f>IF(COUNTIFS(F:F,F1262,H:H,H1262)&lt;=VLOOKUP(H1262,Dados!$X:$AB,5,0),0,1)</f>
        <v>0</v>
      </c>
    </row>
    <row r="1263" spans="6:21">
      <c r="F1263" s="4">
        <v>643</v>
      </c>
      <c r="G1263" s="4">
        <v>59</v>
      </c>
      <c r="H1263" s="4">
        <v>3</v>
      </c>
      <c r="I1263" s="4">
        <v>23</v>
      </c>
      <c r="J1263" s="4">
        <v>2</v>
      </c>
      <c r="K1263" s="4">
        <f t="shared" si="257"/>
        <v>0</v>
      </c>
      <c r="L1263" s="4">
        <f t="shared" si="257"/>
        <v>0</v>
      </c>
      <c r="M1263" s="4">
        <f t="shared" si="257"/>
        <v>0</v>
      </c>
      <c r="N1263" s="4">
        <f t="shared" si="257"/>
        <v>0</v>
      </c>
      <c r="O1263" s="4">
        <f t="shared" si="258"/>
        <v>0</v>
      </c>
      <c r="P1263" s="4">
        <f t="shared" si="259"/>
        <v>0</v>
      </c>
      <c r="Q1263" s="4">
        <f t="shared" si="260"/>
        <v>0</v>
      </c>
      <c r="R1263" s="4">
        <f t="shared" si="261"/>
        <v>0</v>
      </c>
      <c r="S1263" s="4">
        <f>IF(AND(VLOOKUP(G1263,Dados!$D:$L,2,0)=VLOOKUP(I1263,Dados!$S:$V,2,0),VLOOKUP(G1263,Dados!$D:$L,3,0)=VLOOKUP(I1263,Dados!$S:$V,3,0)),0,1)</f>
        <v>0</v>
      </c>
      <c r="T1263" s="4">
        <f>IF(AND(VLOOKUP(G1263,Dados!$D:$L,3,0)&lt;=VLOOKUP(H1263,Dados!$X:$AB,2,0),VLOOKUP(G1263,Dados!$D:$L,4,0)&gt;=VLOOKUP(H1263,Dados!$X:$AB,3,0),VLOOKUP(G1263,Dados!$D:$L,4,0)&lt;=VLOOKUP(H1263,Dados!$X:$AB,4,0)),0,1)</f>
        <v>0</v>
      </c>
      <c r="U1263" s="4">
        <f>IF(COUNTIFS(F:F,F1263,H:H,H1263)&lt;=VLOOKUP(H1263,Dados!$X:$AB,5,0),0,1)</f>
        <v>0</v>
      </c>
    </row>
    <row r="1264" spans="6:21">
      <c r="F1264" s="4">
        <v>643</v>
      </c>
      <c r="G1264" s="4">
        <v>61</v>
      </c>
      <c r="H1264" s="4">
        <v>3</v>
      </c>
      <c r="I1264" s="4">
        <v>23</v>
      </c>
      <c r="J1264" s="4">
        <v>5</v>
      </c>
      <c r="K1264" s="4">
        <f t="shared" si="257"/>
        <v>0</v>
      </c>
      <c r="L1264" s="4">
        <f t="shared" si="257"/>
        <v>0</v>
      </c>
      <c r="M1264" s="4">
        <f t="shared" si="257"/>
        <v>0</v>
      </c>
      <c r="N1264" s="4">
        <f t="shared" si="257"/>
        <v>0</v>
      </c>
      <c r="O1264" s="4">
        <f t="shared" si="258"/>
        <v>0</v>
      </c>
      <c r="P1264" s="4">
        <f t="shared" si="259"/>
        <v>0</v>
      </c>
      <c r="Q1264" s="4">
        <f t="shared" si="260"/>
        <v>0</v>
      </c>
      <c r="R1264" s="4">
        <f t="shared" si="261"/>
        <v>0</v>
      </c>
      <c r="S1264" s="4">
        <f>IF(AND(VLOOKUP(G1264,Dados!$D:$L,2,0)=VLOOKUP(I1264,Dados!$S:$V,2,0),VLOOKUP(G1264,Dados!$D:$L,3,0)=VLOOKUP(I1264,Dados!$S:$V,3,0)),0,1)</f>
        <v>0</v>
      </c>
      <c r="T1264" s="4">
        <f>IF(AND(VLOOKUP(G1264,Dados!$D:$L,3,0)&lt;=VLOOKUP(H1264,Dados!$X:$AB,2,0),VLOOKUP(G1264,Dados!$D:$L,4,0)&gt;=VLOOKUP(H1264,Dados!$X:$AB,3,0),VLOOKUP(G1264,Dados!$D:$L,4,0)&lt;=VLOOKUP(H1264,Dados!$X:$AB,4,0)),0,1)</f>
        <v>0</v>
      </c>
      <c r="U1264" s="4">
        <f>IF(COUNTIFS(F:F,F1264,H:H,H1264)&lt;=VLOOKUP(H1264,Dados!$X:$AB,5,0),0,1)</f>
        <v>0</v>
      </c>
    </row>
    <row r="1265" spans="6:21">
      <c r="F1265" s="4">
        <v>644</v>
      </c>
      <c r="G1265" s="4">
        <v>61</v>
      </c>
      <c r="H1265" s="4">
        <v>1</v>
      </c>
      <c r="I1265" s="4">
        <v>24</v>
      </c>
      <c r="J1265" s="4">
        <v>4</v>
      </c>
      <c r="K1265" s="4">
        <f t="shared" si="257"/>
        <v>0</v>
      </c>
      <c r="L1265" s="4">
        <f t="shared" si="257"/>
        <v>0</v>
      </c>
      <c r="M1265" s="4">
        <f t="shared" si="257"/>
        <v>0</v>
      </c>
      <c r="N1265" s="4">
        <f t="shared" si="257"/>
        <v>0</v>
      </c>
      <c r="O1265" s="4">
        <f t="shared" si="258"/>
        <v>0</v>
      </c>
      <c r="P1265" s="4">
        <f t="shared" si="259"/>
        <v>0</v>
      </c>
      <c r="Q1265" s="4">
        <f t="shared" si="260"/>
        <v>0</v>
      </c>
      <c r="R1265" s="4">
        <f t="shared" si="261"/>
        <v>0</v>
      </c>
      <c r="S1265" s="4">
        <f>IF(AND(VLOOKUP(G1265,Dados!$D:$L,2,0)=VLOOKUP(I1265,Dados!$S:$V,2,0),VLOOKUP(G1265,Dados!$D:$L,3,0)=VLOOKUP(I1265,Dados!$S:$V,3,0)),0,1)</f>
        <v>0</v>
      </c>
      <c r="T1265" s="4">
        <f>IF(AND(VLOOKUP(G1265,Dados!$D:$L,3,0)&lt;=VLOOKUP(H1265,Dados!$X:$AB,2,0),VLOOKUP(G1265,Dados!$D:$L,4,0)&gt;=VLOOKUP(H1265,Dados!$X:$AB,3,0),VLOOKUP(G1265,Dados!$D:$L,4,0)&lt;=VLOOKUP(H1265,Dados!$X:$AB,4,0)),0,1)</f>
        <v>0</v>
      </c>
      <c r="U1265" s="4">
        <f>IF(COUNTIFS(F:F,F1265,H:H,H1265)&lt;=VLOOKUP(H1265,Dados!$X:$AB,5,0),0,1)</f>
        <v>0</v>
      </c>
    </row>
    <row r="1266" spans="6:21">
      <c r="F1266" s="4">
        <v>644</v>
      </c>
      <c r="G1266" s="4">
        <v>64</v>
      </c>
      <c r="H1266" s="4">
        <v>1</v>
      </c>
      <c r="I1266" s="4">
        <v>24</v>
      </c>
      <c r="J1266" s="4">
        <v>1</v>
      </c>
      <c r="K1266" s="4">
        <f t="shared" si="257"/>
        <v>0</v>
      </c>
      <c r="L1266" s="4">
        <f t="shared" si="257"/>
        <v>0</v>
      </c>
      <c r="M1266" s="4">
        <f t="shared" si="257"/>
        <v>0</v>
      </c>
      <c r="N1266" s="4">
        <f t="shared" si="257"/>
        <v>0</v>
      </c>
      <c r="O1266" s="4">
        <f t="shared" si="258"/>
        <v>0</v>
      </c>
      <c r="P1266" s="4">
        <f t="shared" si="259"/>
        <v>0</v>
      </c>
      <c r="Q1266" s="4">
        <f t="shared" si="260"/>
        <v>0</v>
      </c>
      <c r="R1266" s="4">
        <f t="shared" si="261"/>
        <v>0</v>
      </c>
      <c r="S1266" s="4">
        <f>IF(AND(VLOOKUP(G1266,Dados!$D:$L,2,0)=VLOOKUP(I1266,Dados!$S:$V,2,0),VLOOKUP(G1266,Dados!$D:$L,3,0)=VLOOKUP(I1266,Dados!$S:$V,3,0)),0,1)</f>
        <v>0</v>
      </c>
      <c r="T1266" s="4">
        <f>IF(AND(VLOOKUP(G1266,Dados!$D:$L,3,0)&lt;=VLOOKUP(H1266,Dados!$X:$AB,2,0),VLOOKUP(G1266,Dados!$D:$L,4,0)&gt;=VLOOKUP(H1266,Dados!$X:$AB,3,0),VLOOKUP(G1266,Dados!$D:$L,4,0)&lt;=VLOOKUP(H1266,Dados!$X:$AB,4,0)),0,1)</f>
        <v>0</v>
      </c>
      <c r="U1266" s="4">
        <f>IF(COUNTIFS(F:F,F1266,H:H,H1266)&lt;=VLOOKUP(H1266,Dados!$X:$AB,5,0),0,1)</f>
        <v>0</v>
      </c>
    </row>
    <row r="1267" spans="6:21">
      <c r="F1267" s="4">
        <v>644</v>
      </c>
      <c r="G1267" s="4">
        <v>67</v>
      </c>
      <c r="H1267" s="4">
        <v>1</v>
      </c>
      <c r="I1267" s="4">
        <v>24</v>
      </c>
      <c r="J1267" s="4">
        <v>1</v>
      </c>
      <c r="K1267" s="4">
        <f t="shared" si="257"/>
        <v>0</v>
      </c>
      <c r="L1267" s="4">
        <f t="shared" si="257"/>
        <v>0</v>
      </c>
      <c r="M1267" s="4">
        <f t="shared" si="257"/>
        <v>0</v>
      </c>
      <c r="N1267" s="4">
        <f t="shared" si="257"/>
        <v>0</v>
      </c>
      <c r="O1267" s="4">
        <f t="shared" si="258"/>
        <v>0</v>
      </c>
      <c r="P1267" s="4">
        <f t="shared" si="259"/>
        <v>0</v>
      </c>
      <c r="Q1267" s="4">
        <f t="shared" si="260"/>
        <v>0</v>
      </c>
      <c r="R1267" s="4">
        <f t="shared" si="261"/>
        <v>0</v>
      </c>
      <c r="S1267" s="4">
        <f>IF(AND(VLOOKUP(G1267,Dados!$D:$L,2,0)=VLOOKUP(I1267,Dados!$S:$V,2,0),VLOOKUP(G1267,Dados!$D:$L,3,0)=VLOOKUP(I1267,Dados!$S:$V,3,0)),0,1)</f>
        <v>0</v>
      </c>
      <c r="T1267" s="4">
        <f>IF(AND(VLOOKUP(G1267,Dados!$D:$L,3,0)&lt;=VLOOKUP(H1267,Dados!$X:$AB,2,0),VLOOKUP(G1267,Dados!$D:$L,4,0)&gt;=VLOOKUP(H1267,Dados!$X:$AB,3,0),VLOOKUP(G1267,Dados!$D:$L,4,0)&lt;=VLOOKUP(H1267,Dados!$X:$AB,4,0)),0,1)</f>
        <v>0</v>
      </c>
      <c r="U1267" s="4">
        <f>IF(COUNTIFS(F:F,F1267,H:H,H1267)&lt;=VLOOKUP(H1267,Dados!$X:$AB,5,0),0,1)</f>
        <v>0</v>
      </c>
    </row>
    <row r="1268" spans="6:21">
      <c r="F1268" s="4">
        <v>645</v>
      </c>
      <c r="G1268" s="4">
        <v>61</v>
      </c>
      <c r="H1268" s="4">
        <v>2</v>
      </c>
      <c r="I1268" s="4">
        <v>24</v>
      </c>
      <c r="J1268" s="4">
        <v>4</v>
      </c>
      <c r="K1268" s="4">
        <f t="shared" si="257"/>
        <v>0</v>
      </c>
      <c r="L1268" s="4">
        <f t="shared" si="257"/>
        <v>0</v>
      </c>
      <c r="M1268" s="4">
        <f t="shared" si="257"/>
        <v>0</v>
      </c>
      <c r="N1268" s="4">
        <f t="shared" si="257"/>
        <v>0</v>
      </c>
      <c r="O1268" s="4">
        <f t="shared" si="258"/>
        <v>0</v>
      </c>
      <c r="P1268" s="4">
        <f t="shared" si="259"/>
        <v>0</v>
      </c>
      <c r="Q1268" s="4">
        <f t="shared" si="260"/>
        <v>0</v>
      </c>
      <c r="R1268" s="4">
        <f t="shared" si="261"/>
        <v>0</v>
      </c>
      <c r="S1268" s="4">
        <f>IF(AND(VLOOKUP(G1268,Dados!$D:$L,2,0)=VLOOKUP(I1268,Dados!$S:$V,2,0),VLOOKUP(G1268,Dados!$D:$L,3,0)=VLOOKUP(I1268,Dados!$S:$V,3,0)),0,1)</f>
        <v>0</v>
      </c>
      <c r="T1268" s="4">
        <f>IF(AND(VLOOKUP(G1268,Dados!$D:$L,3,0)&lt;=VLOOKUP(H1268,Dados!$X:$AB,2,0),VLOOKUP(G1268,Dados!$D:$L,4,0)&gt;=VLOOKUP(H1268,Dados!$X:$AB,3,0),VLOOKUP(G1268,Dados!$D:$L,4,0)&lt;=VLOOKUP(H1268,Dados!$X:$AB,4,0)),0,1)</f>
        <v>0</v>
      </c>
      <c r="U1268" s="4">
        <f>IF(COUNTIFS(F:F,F1268,H:H,H1268)&lt;=VLOOKUP(H1268,Dados!$X:$AB,5,0),0,1)</f>
        <v>0</v>
      </c>
    </row>
    <row r="1269" spans="6:21">
      <c r="F1269" s="4">
        <v>645</v>
      </c>
      <c r="G1269" s="4">
        <v>64</v>
      </c>
      <c r="H1269" s="4">
        <v>2</v>
      </c>
      <c r="I1269" s="4">
        <v>24</v>
      </c>
      <c r="J1269" s="4">
        <v>1</v>
      </c>
      <c r="K1269" s="4">
        <f t="shared" si="257"/>
        <v>0</v>
      </c>
      <c r="L1269" s="4">
        <f t="shared" si="257"/>
        <v>0</v>
      </c>
      <c r="M1269" s="4">
        <f t="shared" si="257"/>
        <v>0</v>
      </c>
      <c r="N1269" s="4">
        <f t="shared" si="257"/>
        <v>0</v>
      </c>
      <c r="O1269" s="4">
        <f t="shared" si="258"/>
        <v>0</v>
      </c>
      <c r="P1269" s="4">
        <f t="shared" si="259"/>
        <v>0</v>
      </c>
      <c r="Q1269" s="4">
        <f t="shared" si="260"/>
        <v>0</v>
      </c>
      <c r="R1269" s="4">
        <f t="shared" si="261"/>
        <v>0</v>
      </c>
      <c r="S1269" s="4">
        <f>IF(AND(VLOOKUP(G1269,Dados!$D:$L,2,0)=VLOOKUP(I1269,Dados!$S:$V,2,0),VLOOKUP(G1269,Dados!$D:$L,3,0)=VLOOKUP(I1269,Dados!$S:$V,3,0)),0,1)</f>
        <v>0</v>
      </c>
      <c r="T1269" s="4">
        <f>IF(AND(VLOOKUP(G1269,Dados!$D:$L,3,0)&lt;=VLOOKUP(H1269,Dados!$X:$AB,2,0),VLOOKUP(G1269,Dados!$D:$L,4,0)&gt;=VLOOKUP(H1269,Dados!$X:$AB,3,0),VLOOKUP(G1269,Dados!$D:$L,4,0)&lt;=VLOOKUP(H1269,Dados!$X:$AB,4,0)),0,1)</f>
        <v>0</v>
      </c>
      <c r="U1269" s="4">
        <f>IF(COUNTIFS(F:F,F1269,H:H,H1269)&lt;=VLOOKUP(H1269,Dados!$X:$AB,5,0),0,1)</f>
        <v>0</v>
      </c>
    </row>
    <row r="1270" spans="6:21">
      <c r="F1270" s="4">
        <v>645</v>
      </c>
      <c r="G1270" s="4">
        <v>67</v>
      </c>
      <c r="H1270" s="4">
        <v>2</v>
      </c>
      <c r="I1270" s="4">
        <v>24</v>
      </c>
      <c r="J1270" s="4">
        <v>1</v>
      </c>
      <c r="K1270" s="4">
        <f t="shared" si="257"/>
        <v>0</v>
      </c>
      <c r="L1270" s="4">
        <f t="shared" si="257"/>
        <v>0</v>
      </c>
      <c r="M1270" s="4">
        <f t="shared" si="257"/>
        <v>0</v>
      </c>
      <c r="N1270" s="4">
        <f t="shared" si="257"/>
        <v>0</v>
      </c>
      <c r="O1270" s="4">
        <f t="shared" si="258"/>
        <v>0</v>
      </c>
      <c r="P1270" s="4">
        <f t="shared" si="259"/>
        <v>0</v>
      </c>
      <c r="Q1270" s="4">
        <f t="shared" si="260"/>
        <v>0</v>
      </c>
      <c r="R1270" s="4">
        <f t="shared" si="261"/>
        <v>0</v>
      </c>
      <c r="S1270" s="4">
        <f>IF(AND(VLOOKUP(G1270,Dados!$D:$L,2,0)=VLOOKUP(I1270,Dados!$S:$V,2,0),VLOOKUP(G1270,Dados!$D:$L,3,0)=VLOOKUP(I1270,Dados!$S:$V,3,0)),0,1)</f>
        <v>0</v>
      </c>
      <c r="T1270" s="4">
        <f>IF(AND(VLOOKUP(G1270,Dados!$D:$L,3,0)&lt;=VLOOKUP(H1270,Dados!$X:$AB,2,0),VLOOKUP(G1270,Dados!$D:$L,4,0)&gt;=VLOOKUP(H1270,Dados!$X:$AB,3,0),VLOOKUP(G1270,Dados!$D:$L,4,0)&lt;=VLOOKUP(H1270,Dados!$X:$AB,4,0)),0,1)</f>
        <v>0</v>
      </c>
      <c r="U1270" s="4">
        <f>IF(COUNTIFS(F:F,F1270,H:H,H1270)&lt;=VLOOKUP(H1270,Dados!$X:$AB,5,0),0,1)</f>
        <v>0</v>
      </c>
    </row>
    <row r="1271" spans="6:21">
      <c r="F1271" s="4">
        <v>646</v>
      </c>
      <c r="G1271" s="4">
        <v>61</v>
      </c>
      <c r="H1271" s="4">
        <v>3</v>
      </c>
      <c r="I1271" s="4">
        <v>24</v>
      </c>
      <c r="J1271" s="4">
        <v>4</v>
      </c>
      <c r="K1271" s="4">
        <f t="shared" si="257"/>
        <v>0</v>
      </c>
      <c r="L1271" s="4">
        <f t="shared" si="257"/>
        <v>0</v>
      </c>
      <c r="M1271" s="4">
        <f t="shared" si="257"/>
        <v>0</v>
      </c>
      <c r="N1271" s="4">
        <f t="shared" si="257"/>
        <v>0</v>
      </c>
      <c r="O1271" s="4">
        <f t="shared" si="258"/>
        <v>0</v>
      </c>
      <c r="P1271" s="4">
        <f t="shared" si="259"/>
        <v>0</v>
      </c>
      <c r="Q1271" s="4">
        <f t="shared" si="260"/>
        <v>0</v>
      </c>
      <c r="R1271" s="4">
        <f t="shared" si="261"/>
        <v>0</v>
      </c>
      <c r="S1271" s="4">
        <f>IF(AND(VLOOKUP(G1271,Dados!$D:$L,2,0)=VLOOKUP(I1271,Dados!$S:$V,2,0),VLOOKUP(G1271,Dados!$D:$L,3,0)=VLOOKUP(I1271,Dados!$S:$V,3,0)),0,1)</f>
        <v>0</v>
      </c>
      <c r="T1271" s="4">
        <f>IF(AND(VLOOKUP(G1271,Dados!$D:$L,3,0)&lt;=VLOOKUP(H1271,Dados!$X:$AB,2,0),VLOOKUP(G1271,Dados!$D:$L,4,0)&gt;=VLOOKUP(H1271,Dados!$X:$AB,3,0),VLOOKUP(G1271,Dados!$D:$L,4,0)&lt;=VLOOKUP(H1271,Dados!$X:$AB,4,0)),0,1)</f>
        <v>0</v>
      </c>
      <c r="U1271" s="4">
        <f>IF(COUNTIFS(F:F,F1271,H:H,H1271)&lt;=VLOOKUP(H1271,Dados!$X:$AB,5,0),0,1)</f>
        <v>0</v>
      </c>
    </row>
    <row r="1272" spans="6:21">
      <c r="F1272" s="4">
        <v>646</v>
      </c>
      <c r="G1272" s="4">
        <v>64</v>
      </c>
      <c r="H1272" s="4">
        <v>3</v>
      </c>
      <c r="I1272" s="4">
        <v>24</v>
      </c>
      <c r="J1272" s="4">
        <v>1</v>
      </c>
      <c r="K1272" s="4">
        <f t="shared" si="257"/>
        <v>0</v>
      </c>
      <c r="L1272" s="4">
        <f t="shared" si="257"/>
        <v>0</v>
      </c>
      <c r="M1272" s="4">
        <f t="shared" si="257"/>
        <v>0</v>
      </c>
      <c r="N1272" s="4">
        <f t="shared" si="257"/>
        <v>0</v>
      </c>
      <c r="O1272" s="4">
        <f t="shared" si="258"/>
        <v>0</v>
      </c>
      <c r="P1272" s="4">
        <f t="shared" si="259"/>
        <v>0</v>
      </c>
      <c r="Q1272" s="4">
        <f t="shared" si="260"/>
        <v>0</v>
      </c>
      <c r="R1272" s="4">
        <f t="shared" si="261"/>
        <v>0</v>
      </c>
      <c r="S1272" s="4">
        <f>IF(AND(VLOOKUP(G1272,Dados!$D:$L,2,0)=VLOOKUP(I1272,Dados!$S:$V,2,0),VLOOKUP(G1272,Dados!$D:$L,3,0)=VLOOKUP(I1272,Dados!$S:$V,3,0)),0,1)</f>
        <v>0</v>
      </c>
      <c r="T1272" s="4">
        <f>IF(AND(VLOOKUP(G1272,Dados!$D:$L,3,0)&lt;=VLOOKUP(H1272,Dados!$X:$AB,2,0),VLOOKUP(G1272,Dados!$D:$L,4,0)&gt;=VLOOKUP(H1272,Dados!$X:$AB,3,0),VLOOKUP(G1272,Dados!$D:$L,4,0)&lt;=VLOOKUP(H1272,Dados!$X:$AB,4,0)),0,1)</f>
        <v>0</v>
      </c>
      <c r="U1272" s="4">
        <f>IF(COUNTIFS(F:F,F1272,H:H,H1272)&lt;=VLOOKUP(H1272,Dados!$X:$AB,5,0),0,1)</f>
        <v>0</v>
      </c>
    </row>
    <row r="1273" spans="6:21">
      <c r="F1273" s="4">
        <v>646</v>
      </c>
      <c r="G1273" s="4">
        <v>67</v>
      </c>
      <c r="H1273" s="4">
        <v>3</v>
      </c>
      <c r="I1273" s="4">
        <v>24</v>
      </c>
      <c r="J1273" s="4">
        <v>1</v>
      </c>
      <c r="K1273" s="4">
        <f t="shared" si="257"/>
        <v>0</v>
      </c>
      <c r="L1273" s="4">
        <f t="shared" si="257"/>
        <v>0</v>
      </c>
      <c r="M1273" s="4">
        <f t="shared" si="257"/>
        <v>0</v>
      </c>
      <c r="N1273" s="4">
        <f t="shared" si="257"/>
        <v>0</v>
      </c>
      <c r="O1273" s="4">
        <f t="shared" si="258"/>
        <v>0</v>
      </c>
      <c r="P1273" s="4">
        <f t="shared" si="259"/>
        <v>0</v>
      </c>
      <c r="Q1273" s="4">
        <f t="shared" si="260"/>
        <v>0</v>
      </c>
      <c r="R1273" s="4">
        <f t="shared" si="261"/>
        <v>0</v>
      </c>
      <c r="S1273" s="4">
        <f>IF(AND(VLOOKUP(G1273,Dados!$D:$L,2,0)=VLOOKUP(I1273,Dados!$S:$V,2,0),VLOOKUP(G1273,Dados!$D:$L,3,0)=VLOOKUP(I1273,Dados!$S:$V,3,0)),0,1)</f>
        <v>0</v>
      </c>
      <c r="T1273" s="4">
        <f>IF(AND(VLOOKUP(G1273,Dados!$D:$L,3,0)&lt;=VLOOKUP(H1273,Dados!$X:$AB,2,0),VLOOKUP(G1273,Dados!$D:$L,4,0)&gt;=VLOOKUP(H1273,Dados!$X:$AB,3,0),VLOOKUP(G1273,Dados!$D:$L,4,0)&lt;=VLOOKUP(H1273,Dados!$X:$AB,4,0)),0,1)</f>
        <v>0</v>
      </c>
      <c r="U1273" s="4">
        <f>IF(COUNTIFS(F:F,F1273,H:H,H1273)&lt;=VLOOKUP(H1273,Dados!$X:$AB,5,0),0,1)</f>
        <v>0</v>
      </c>
    </row>
    <row r="1274" spans="6:21">
      <c r="F1274" s="4">
        <v>647</v>
      </c>
      <c r="G1274" s="4">
        <v>59</v>
      </c>
      <c r="H1274" s="4">
        <v>1</v>
      </c>
      <c r="I1274" s="4">
        <v>25</v>
      </c>
      <c r="J1274" s="4">
        <v>1</v>
      </c>
      <c r="K1274" s="4">
        <f t="shared" si="257"/>
        <v>0</v>
      </c>
      <c r="L1274" s="4">
        <f t="shared" si="257"/>
        <v>0</v>
      </c>
      <c r="M1274" s="4">
        <f t="shared" si="257"/>
        <v>0</v>
      </c>
      <c r="N1274" s="4">
        <f t="shared" si="257"/>
        <v>0</v>
      </c>
      <c r="O1274" s="4">
        <f t="shared" si="258"/>
        <v>0</v>
      </c>
      <c r="P1274" s="4">
        <f t="shared" si="259"/>
        <v>0</v>
      </c>
      <c r="Q1274" s="4">
        <f t="shared" si="260"/>
        <v>0</v>
      </c>
      <c r="R1274" s="4">
        <f t="shared" si="261"/>
        <v>0</v>
      </c>
      <c r="S1274" s="4">
        <f>IF(AND(VLOOKUP(G1274,Dados!$D:$L,2,0)=VLOOKUP(I1274,Dados!$S:$V,2,0),VLOOKUP(G1274,Dados!$D:$L,3,0)=VLOOKUP(I1274,Dados!$S:$V,3,0)),0,1)</f>
        <v>0</v>
      </c>
      <c r="T1274" s="4">
        <f>IF(AND(VLOOKUP(G1274,Dados!$D:$L,3,0)&lt;=VLOOKUP(H1274,Dados!$X:$AB,2,0),VLOOKUP(G1274,Dados!$D:$L,4,0)&gt;=VLOOKUP(H1274,Dados!$X:$AB,3,0),VLOOKUP(G1274,Dados!$D:$L,4,0)&lt;=VLOOKUP(H1274,Dados!$X:$AB,4,0)),0,1)</f>
        <v>0</v>
      </c>
      <c r="U1274" s="4">
        <f>IF(COUNTIFS(F:F,F1274,H:H,H1274)&lt;=VLOOKUP(H1274,Dados!$X:$AB,5,0),0,1)</f>
        <v>0</v>
      </c>
    </row>
    <row r="1275" spans="6:21">
      <c r="F1275" s="4">
        <v>647</v>
      </c>
      <c r="G1275" s="4">
        <v>61</v>
      </c>
      <c r="H1275" s="4">
        <v>1</v>
      </c>
      <c r="I1275" s="4">
        <v>25</v>
      </c>
      <c r="J1275" s="4">
        <v>4</v>
      </c>
      <c r="K1275" s="4">
        <f t="shared" si="257"/>
        <v>0</v>
      </c>
      <c r="L1275" s="4">
        <f t="shared" si="257"/>
        <v>0</v>
      </c>
      <c r="M1275" s="4">
        <f t="shared" si="257"/>
        <v>0</v>
      </c>
      <c r="N1275" s="4">
        <f t="shared" si="257"/>
        <v>0</v>
      </c>
      <c r="O1275" s="4">
        <f t="shared" si="258"/>
        <v>0</v>
      </c>
      <c r="P1275" s="4">
        <f t="shared" si="259"/>
        <v>0</v>
      </c>
      <c r="Q1275" s="4">
        <f t="shared" si="260"/>
        <v>0</v>
      </c>
      <c r="R1275" s="4">
        <f t="shared" si="261"/>
        <v>0</v>
      </c>
      <c r="S1275" s="4">
        <f>IF(AND(VLOOKUP(G1275,Dados!$D:$L,2,0)=VLOOKUP(I1275,Dados!$S:$V,2,0),VLOOKUP(G1275,Dados!$D:$L,3,0)=VLOOKUP(I1275,Dados!$S:$V,3,0)),0,1)</f>
        <v>0</v>
      </c>
      <c r="T1275" s="4">
        <f>IF(AND(VLOOKUP(G1275,Dados!$D:$L,3,0)&lt;=VLOOKUP(H1275,Dados!$X:$AB,2,0),VLOOKUP(G1275,Dados!$D:$L,4,0)&gt;=VLOOKUP(H1275,Dados!$X:$AB,3,0),VLOOKUP(G1275,Dados!$D:$L,4,0)&lt;=VLOOKUP(H1275,Dados!$X:$AB,4,0)),0,1)</f>
        <v>0</v>
      </c>
      <c r="U1275" s="4">
        <f>IF(COUNTIFS(F:F,F1275,H:H,H1275)&lt;=VLOOKUP(H1275,Dados!$X:$AB,5,0),0,1)</f>
        <v>0</v>
      </c>
    </row>
    <row r="1276" spans="6:21">
      <c r="F1276" s="4">
        <v>647</v>
      </c>
      <c r="G1276" s="4">
        <v>63</v>
      </c>
      <c r="H1276" s="4">
        <v>1</v>
      </c>
      <c r="I1276" s="4">
        <v>25</v>
      </c>
      <c r="J1276" s="4">
        <v>4</v>
      </c>
      <c r="K1276" s="4">
        <f t="shared" si="257"/>
        <v>0</v>
      </c>
      <c r="L1276" s="4">
        <f t="shared" si="257"/>
        <v>0</v>
      </c>
      <c r="M1276" s="4">
        <f t="shared" si="257"/>
        <v>0</v>
      </c>
      <c r="N1276" s="4">
        <f t="shared" si="257"/>
        <v>0</v>
      </c>
      <c r="O1276" s="4">
        <f t="shared" si="258"/>
        <v>0</v>
      </c>
      <c r="P1276" s="4">
        <f t="shared" si="259"/>
        <v>0</v>
      </c>
      <c r="Q1276" s="4">
        <f t="shared" si="260"/>
        <v>0</v>
      </c>
      <c r="R1276" s="4">
        <f t="shared" si="261"/>
        <v>0</v>
      </c>
      <c r="S1276" s="4">
        <f>IF(AND(VLOOKUP(G1276,Dados!$D:$L,2,0)=VLOOKUP(I1276,Dados!$S:$V,2,0),VLOOKUP(G1276,Dados!$D:$L,3,0)=VLOOKUP(I1276,Dados!$S:$V,3,0)),0,1)</f>
        <v>0</v>
      </c>
      <c r="T1276" s="4">
        <f>IF(AND(VLOOKUP(G1276,Dados!$D:$L,3,0)&lt;=VLOOKUP(H1276,Dados!$X:$AB,2,0),VLOOKUP(G1276,Dados!$D:$L,4,0)&gt;=VLOOKUP(H1276,Dados!$X:$AB,3,0),VLOOKUP(G1276,Dados!$D:$L,4,0)&lt;=VLOOKUP(H1276,Dados!$X:$AB,4,0)),0,1)</f>
        <v>0</v>
      </c>
      <c r="U1276" s="4">
        <f>IF(COUNTIFS(F:F,F1276,H:H,H1276)&lt;=VLOOKUP(H1276,Dados!$X:$AB,5,0),0,1)</f>
        <v>0</v>
      </c>
    </row>
    <row r="1277" spans="6:21">
      <c r="F1277" s="4">
        <v>648</v>
      </c>
      <c r="G1277" s="4">
        <v>59</v>
      </c>
      <c r="H1277" s="4">
        <v>2</v>
      </c>
      <c r="I1277" s="4">
        <v>25</v>
      </c>
      <c r="J1277" s="4">
        <v>1</v>
      </c>
      <c r="K1277" s="4">
        <f t="shared" si="257"/>
        <v>0</v>
      </c>
      <c r="L1277" s="4">
        <f t="shared" si="257"/>
        <v>0</v>
      </c>
      <c r="M1277" s="4">
        <f t="shared" si="257"/>
        <v>0</v>
      </c>
      <c r="N1277" s="4">
        <f t="shared" si="257"/>
        <v>0</v>
      </c>
      <c r="O1277" s="4">
        <f t="shared" si="258"/>
        <v>0</v>
      </c>
      <c r="P1277" s="4">
        <f t="shared" si="259"/>
        <v>0</v>
      </c>
      <c r="Q1277" s="4">
        <f t="shared" si="260"/>
        <v>0</v>
      </c>
      <c r="R1277" s="4">
        <f t="shared" si="261"/>
        <v>0</v>
      </c>
      <c r="S1277" s="4">
        <f>IF(AND(VLOOKUP(G1277,Dados!$D:$L,2,0)=VLOOKUP(I1277,Dados!$S:$V,2,0),VLOOKUP(G1277,Dados!$D:$L,3,0)=VLOOKUP(I1277,Dados!$S:$V,3,0)),0,1)</f>
        <v>0</v>
      </c>
      <c r="T1277" s="4">
        <f>IF(AND(VLOOKUP(G1277,Dados!$D:$L,3,0)&lt;=VLOOKUP(H1277,Dados!$X:$AB,2,0),VLOOKUP(G1277,Dados!$D:$L,4,0)&gt;=VLOOKUP(H1277,Dados!$X:$AB,3,0),VLOOKUP(G1277,Dados!$D:$L,4,0)&lt;=VLOOKUP(H1277,Dados!$X:$AB,4,0)),0,1)</f>
        <v>0</v>
      </c>
      <c r="U1277" s="4">
        <f>IF(COUNTIFS(F:F,F1277,H:H,H1277)&lt;=VLOOKUP(H1277,Dados!$X:$AB,5,0),0,1)</f>
        <v>0</v>
      </c>
    </row>
    <row r="1278" spans="6:21">
      <c r="F1278" s="4">
        <v>648</v>
      </c>
      <c r="G1278" s="4">
        <v>61</v>
      </c>
      <c r="H1278" s="4">
        <v>2</v>
      </c>
      <c r="I1278" s="4">
        <v>25</v>
      </c>
      <c r="J1278" s="4">
        <v>4</v>
      </c>
      <c r="K1278" s="4">
        <f t="shared" si="257"/>
        <v>0</v>
      </c>
      <c r="L1278" s="4">
        <f t="shared" si="257"/>
        <v>0</v>
      </c>
      <c r="M1278" s="4">
        <f t="shared" si="257"/>
        <v>0</v>
      </c>
      <c r="N1278" s="4">
        <f t="shared" si="257"/>
        <v>0</v>
      </c>
      <c r="O1278" s="4">
        <f t="shared" si="258"/>
        <v>0</v>
      </c>
      <c r="P1278" s="4">
        <f t="shared" si="259"/>
        <v>0</v>
      </c>
      <c r="Q1278" s="4">
        <f t="shared" si="260"/>
        <v>0</v>
      </c>
      <c r="R1278" s="4">
        <f t="shared" si="261"/>
        <v>0</v>
      </c>
      <c r="S1278" s="4">
        <f>IF(AND(VLOOKUP(G1278,Dados!$D:$L,2,0)=VLOOKUP(I1278,Dados!$S:$V,2,0),VLOOKUP(G1278,Dados!$D:$L,3,0)=VLOOKUP(I1278,Dados!$S:$V,3,0)),0,1)</f>
        <v>0</v>
      </c>
      <c r="T1278" s="4">
        <f>IF(AND(VLOOKUP(G1278,Dados!$D:$L,3,0)&lt;=VLOOKUP(H1278,Dados!$X:$AB,2,0),VLOOKUP(G1278,Dados!$D:$L,4,0)&gt;=VLOOKUP(H1278,Dados!$X:$AB,3,0),VLOOKUP(G1278,Dados!$D:$L,4,0)&lt;=VLOOKUP(H1278,Dados!$X:$AB,4,0)),0,1)</f>
        <v>0</v>
      </c>
      <c r="U1278" s="4">
        <f>IF(COUNTIFS(F:F,F1278,H:H,H1278)&lt;=VLOOKUP(H1278,Dados!$X:$AB,5,0),0,1)</f>
        <v>0</v>
      </c>
    </row>
    <row r="1279" spans="6:21">
      <c r="F1279" s="4">
        <v>648</v>
      </c>
      <c r="G1279" s="4">
        <v>63</v>
      </c>
      <c r="H1279" s="4">
        <v>2</v>
      </c>
      <c r="I1279" s="4">
        <v>25</v>
      </c>
      <c r="J1279" s="4">
        <v>4</v>
      </c>
      <c r="K1279" s="4">
        <f t="shared" si="257"/>
        <v>0</v>
      </c>
      <c r="L1279" s="4">
        <f t="shared" si="257"/>
        <v>0</v>
      </c>
      <c r="M1279" s="4">
        <f t="shared" si="257"/>
        <v>0</v>
      </c>
      <c r="N1279" s="4">
        <f t="shared" si="257"/>
        <v>0</v>
      </c>
      <c r="O1279" s="4">
        <f t="shared" si="258"/>
        <v>0</v>
      </c>
      <c r="P1279" s="4">
        <f t="shared" si="259"/>
        <v>0</v>
      </c>
      <c r="Q1279" s="4">
        <f t="shared" si="260"/>
        <v>0</v>
      </c>
      <c r="R1279" s="4">
        <f t="shared" si="261"/>
        <v>0</v>
      </c>
      <c r="S1279" s="4">
        <f>IF(AND(VLOOKUP(G1279,Dados!$D:$L,2,0)=VLOOKUP(I1279,Dados!$S:$V,2,0),VLOOKUP(G1279,Dados!$D:$L,3,0)=VLOOKUP(I1279,Dados!$S:$V,3,0)),0,1)</f>
        <v>0</v>
      </c>
      <c r="T1279" s="4">
        <f>IF(AND(VLOOKUP(G1279,Dados!$D:$L,3,0)&lt;=VLOOKUP(H1279,Dados!$X:$AB,2,0),VLOOKUP(G1279,Dados!$D:$L,4,0)&gt;=VLOOKUP(H1279,Dados!$X:$AB,3,0),VLOOKUP(G1279,Dados!$D:$L,4,0)&lt;=VLOOKUP(H1279,Dados!$X:$AB,4,0)),0,1)</f>
        <v>0</v>
      </c>
      <c r="U1279" s="4">
        <f>IF(COUNTIFS(F:F,F1279,H:H,H1279)&lt;=VLOOKUP(H1279,Dados!$X:$AB,5,0),0,1)</f>
        <v>0</v>
      </c>
    </row>
    <row r="1280" spans="6:21">
      <c r="F1280" s="4">
        <v>649</v>
      </c>
      <c r="G1280" s="4">
        <v>59</v>
      </c>
      <c r="H1280" s="4">
        <v>3</v>
      </c>
      <c r="I1280" s="4">
        <v>25</v>
      </c>
      <c r="J1280" s="4">
        <v>1</v>
      </c>
      <c r="K1280" s="4">
        <f t="shared" si="257"/>
        <v>0</v>
      </c>
      <c r="L1280" s="4">
        <f t="shared" si="257"/>
        <v>0</v>
      </c>
      <c r="M1280" s="4">
        <f t="shared" si="257"/>
        <v>0</v>
      </c>
      <c r="N1280" s="4">
        <f t="shared" si="257"/>
        <v>0</v>
      </c>
      <c r="O1280" s="4">
        <f t="shared" si="258"/>
        <v>0</v>
      </c>
      <c r="P1280" s="4">
        <f t="shared" si="259"/>
        <v>0</v>
      </c>
      <c r="Q1280" s="4">
        <f t="shared" si="260"/>
        <v>0</v>
      </c>
      <c r="R1280" s="4">
        <f t="shared" si="261"/>
        <v>0</v>
      </c>
      <c r="S1280" s="4">
        <f>IF(AND(VLOOKUP(G1280,Dados!$D:$L,2,0)=VLOOKUP(I1280,Dados!$S:$V,2,0),VLOOKUP(G1280,Dados!$D:$L,3,0)=VLOOKUP(I1280,Dados!$S:$V,3,0)),0,1)</f>
        <v>0</v>
      </c>
      <c r="T1280" s="4">
        <f>IF(AND(VLOOKUP(G1280,Dados!$D:$L,3,0)&lt;=VLOOKUP(H1280,Dados!$X:$AB,2,0),VLOOKUP(G1280,Dados!$D:$L,4,0)&gt;=VLOOKUP(H1280,Dados!$X:$AB,3,0),VLOOKUP(G1280,Dados!$D:$L,4,0)&lt;=VLOOKUP(H1280,Dados!$X:$AB,4,0)),0,1)</f>
        <v>0</v>
      </c>
      <c r="U1280" s="4">
        <f>IF(COUNTIFS(F:F,F1280,H:H,H1280)&lt;=VLOOKUP(H1280,Dados!$X:$AB,5,0),0,1)</f>
        <v>0</v>
      </c>
    </row>
    <row r="1281" spans="6:21">
      <c r="F1281" s="4">
        <v>649</v>
      </c>
      <c r="G1281" s="4">
        <v>61</v>
      </c>
      <c r="H1281" s="4">
        <v>3</v>
      </c>
      <c r="I1281" s="4">
        <v>25</v>
      </c>
      <c r="J1281" s="4">
        <v>4</v>
      </c>
      <c r="K1281" s="4">
        <f t="shared" si="257"/>
        <v>0</v>
      </c>
      <c r="L1281" s="4">
        <f t="shared" si="257"/>
        <v>0</v>
      </c>
      <c r="M1281" s="4">
        <f t="shared" si="257"/>
        <v>0</v>
      </c>
      <c r="N1281" s="4">
        <f t="shared" si="257"/>
        <v>0</v>
      </c>
      <c r="O1281" s="4">
        <f t="shared" si="258"/>
        <v>0</v>
      </c>
      <c r="P1281" s="4">
        <f t="shared" si="259"/>
        <v>0</v>
      </c>
      <c r="Q1281" s="4">
        <f t="shared" si="260"/>
        <v>0</v>
      </c>
      <c r="R1281" s="4">
        <f t="shared" si="261"/>
        <v>0</v>
      </c>
      <c r="S1281" s="4">
        <f>IF(AND(VLOOKUP(G1281,Dados!$D:$L,2,0)=VLOOKUP(I1281,Dados!$S:$V,2,0),VLOOKUP(G1281,Dados!$D:$L,3,0)=VLOOKUP(I1281,Dados!$S:$V,3,0)),0,1)</f>
        <v>0</v>
      </c>
      <c r="T1281" s="4">
        <f>IF(AND(VLOOKUP(G1281,Dados!$D:$L,3,0)&lt;=VLOOKUP(H1281,Dados!$X:$AB,2,0),VLOOKUP(G1281,Dados!$D:$L,4,0)&gt;=VLOOKUP(H1281,Dados!$X:$AB,3,0),VLOOKUP(G1281,Dados!$D:$L,4,0)&lt;=VLOOKUP(H1281,Dados!$X:$AB,4,0)),0,1)</f>
        <v>0</v>
      </c>
      <c r="U1281" s="4">
        <f>IF(COUNTIFS(F:F,F1281,H:H,H1281)&lt;=VLOOKUP(H1281,Dados!$X:$AB,5,0),0,1)</f>
        <v>0</v>
      </c>
    </row>
    <row r="1282" spans="6:21">
      <c r="F1282" s="4">
        <v>649</v>
      </c>
      <c r="G1282" s="4">
        <v>63</v>
      </c>
      <c r="H1282" s="4">
        <v>3</v>
      </c>
      <c r="I1282" s="4">
        <v>25</v>
      </c>
      <c r="J1282" s="4">
        <v>4</v>
      </c>
      <c r="K1282" s="4">
        <f t="shared" si="257"/>
        <v>0</v>
      </c>
      <c r="L1282" s="4">
        <f t="shared" si="257"/>
        <v>0</v>
      </c>
      <c r="M1282" s="4">
        <f t="shared" si="257"/>
        <v>0</v>
      </c>
      <c r="N1282" s="4">
        <f t="shared" si="257"/>
        <v>0</v>
      </c>
      <c r="O1282" s="4">
        <f t="shared" si="258"/>
        <v>0</v>
      </c>
      <c r="P1282" s="4">
        <f t="shared" si="259"/>
        <v>0</v>
      </c>
      <c r="Q1282" s="4">
        <f t="shared" si="260"/>
        <v>0</v>
      </c>
      <c r="R1282" s="4">
        <f t="shared" si="261"/>
        <v>0</v>
      </c>
      <c r="S1282" s="4">
        <f>IF(AND(VLOOKUP(G1282,Dados!$D:$L,2,0)=VLOOKUP(I1282,Dados!$S:$V,2,0),VLOOKUP(G1282,Dados!$D:$L,3,0)=VLOOKUP(I1282,Dados!$S:$V,3,0)),0,1)</f>
        <v>0</v>
      </c>
      <c r="T1282" s="4">
        <f>IF(AND(VLOOKUP(G1282,Dados!$D:$L,3,0)&lt;=VLOOKUP(H1282,Dados!$X:$AB,2,0),VLOOKUP(G1282,Dados!$D:$L,4,0)&gt;=VLOOKUP(H1282,Dados!$X:$AB,3,0),VLOOKUP(G1282,Dados!$D:$L,4,0)&lt;=VLOOKUP(H1282,Dados!$X:$AB,4,0)),0,1)</f>
        <v>0</v>
      </c>
      <c r="U1282" s="4">
        <f>IF(COUNTIFS(F:F,F1282,H:H,H1282)&lt;=VLOOKUP(H1282,Dados!$X:$AB,5,0),0,1)</f>
        <v>0</v>
      </c>
    </row>
    <row r="1283" spans="6:21">
      <c r="F1283" s="4">
        <v>650</v>
      </c>
      <c r="G1283" s="4">
        <v>59</v>
      </c>
      <c r="H1283" s="4">
        <v>1</v>
      </c>
      <c r="I1283" s="4">
        <v>26</v>
      </c>
      <c r="J1283" s="4">
        <v>2</v>
      </c>
      <c r="K1283" s="4">
        <f t="shared" si="257"/>
        <v>0</v>
      </c>
      <c r="L1283" s="4">
        <f t="shared" si="257"/>
        <v>0</v>
      </c>
      <c r="M1283" s="4">
        <f t="shared" si="257"/>
        <v>0</v>
      </c>
      <c r="N1283" s="4">
        <f t="shared" si="257"/>
        <v>0</v>
      </c>
      <c r="O1283" s="4">
        <f t="shared" si="258"/>
        <v>0</v>
      </c>
      <c r="P1283" s="4">
        <f t="shared" si="259"/>
        <v>0</v>
      </c>
      <c r="Q1283" s="4">
        <f t="shared" si="260"/>
        <v>0</v>
      </c>
      <c r="R1283" s="4">
        <f t="shared" si="261"/>
        <v>0</v>
      </c>
      <c r="S1283" s="4">
        <f>IF(AND(VLOOKUP(G1283,Dados!$D:$L,2,0)=VLOOKUP(I1283,Dados!$S:$V,2,0),VLOOKUP(G1283,Dados!$D:$L,3,0)=VLOOKUP(I1283,Dados!$S:$V,3,0)),0,1)</f>
        <v>0</v>
      </c>
      <c r="T1283" s="4">
        <f>IF(AND(VLOOKUP(G1283,Dados!$D:$L,3,0)&lt;=VLOOKUP(H1283,Dados!$X:$AB,2,0),VLOOKUP(G1283,Dados!$D:$L,4,0)&gt;=VLOOKUP(H1283,Dados!$X:$AB,3,0),VLOOKUP(G1283,Dados!$D:$L,4,0)&lt;=VLOOKUP(H1283,Dados!$X:$AB,4,0)),0,1)</f>
        <v>0</v>
      </c>
      <c r="U1283" s="4">
        <f>IF(COUNTIFS(F:F,F1283,H:H,H1283)&lt;=VLOOKUP(H1283,Dados!$X:$AB,5,0),0,1)</f>
        <v>0</v>
      </c>
    </row>
    <row r="1284" spans="6:21">
      <c r="F1284" s="4">
        <v>650</v>
      </c>
      <c r="G1284" s="4">
        <v>61</v>
      </c>
      <c r="H1284" s="4">
        <v>1</v>
      </c>
      <c r="I1284" s="4">
        <v>26</v>
      </c>
      <c r="J1284" s="4">
        <v>5</v>
      </c>
      <c r="K1284" s="4">
        <f t="shared" si="257"/>
        <v>0</v>
      </c>
      <c r="L1284" s="4">
        <f t="shared" si="257"/>
        <v>0</v>
      </c>
      <c r="M1284" s="4">
        <f t="shared" si="257"/>
        <v>0</v>
      </c>
      <c r="N1284" s="4">
        <f t="shared" si="257"/>
        <v>0</v>
      </c>
      <c r="O1284" s="4">
        <f t="shared" si="258"/>
        <v>0</v>
      </c>
      <c r="P1284" s="4">
        <f t="shared" si="259"/>
        <v>0</v>
      </c>
      <c r="Q1284" s="4">
        <f t="shared" si="260"/>
        <v>0</v>
      </c>
      <c r="R1284" s="4">
        <f t="shared" si="261"/>
        <v>0</v>
      </c>
      <c r="S1284" s="4">
        <f>IF(AND(VLOOKUP(G1284,Dados!$D:$L,2,0)=VLOOKUP(I1284,Dados!$S:$V,2,0),VLOOKUP(G1284,Dados!$D:$L,3,0)=VLOOKUP(I1284,Dados!$S:$V,3,0)),0,1)</f>
        <v>0</v>
      </c>
      <c r="T1284" s="4">
        <f>IF(AND(VLOOKUP(G1284,Dados!$D:$L,3,0)&lt;=VLOOKUP(H1284,Dados!$X:$AB,2,0),VLOOKUP(G1284,Dados!$D:$L,4,0)&gt;=VLOOKUP(H1284,Dados!$X:$AB,3,0),VLOOKUP(G1284,Dados!$D:$L,4,0)&lt;=VLOOKUP(H1284,Dados!$X:$AB,4,0)),0,1)</f>
        <v>0</v>
      </c>
      <c r="U1284" s="4">
        <f>IF(COUNTIFS(F:F,F1284,H:H,H1284)&lt;=VLOOKUP(H1284,Dados!$X:$AB,5,0),0,1)</f>
        <v>0</v>
      </c>
    </row>
    <row r="1285" spans="6:21">
      <c r="F1285" s="4">
        <v>651</v>
      </c>
      <c r="G1285" s="4">
        <v>59</v>
      </c>
      <c r="H1285" s="4">
        <v>2</v>
      </c>
      <c r="I1285" s="4">
        <v>26</v>
      </c>
      <c r="J1285" s="4">
        <v>2</v>
      </c>
      <c r="K1285" s="4">
        <f t="shared" si="257"/>
        <v>0</v>
      </c>
      <c r="L1285" s="4">
        <f t="shared" si="257"/>
        <v>0</v>
      </c>
      <c r="M1285" s="4">
        <f t="shared" si="257"/>
        <v>0</v>
      </c>
      <c r="N1285" s="4">
        <f t="shared" si="257"/>
        <v>0</v>
      </c>
      <c r="O1285" s="4">
        <f t="shared" si="258"/>
        <v>0</v>
      </c>
      <c r="P1285" s="4">
        <f t="shared" si="259"/>
        <v>0</v>
      </c>
      <c r="Q1285" s="4">
        <f t="shared" si="260"/>
        <v>0</v>
      </c>
      <c r="R1285" s="4">
        <f t="shared" si="261"/>
        <v>0</v>
      </c>
      <c r="S1285" s="4">
        <f>IF(AND(VLOOKUP(G1285,Dados!$D:$L,2,0)=VLOOKUP(I1285,Dados!$S:$V,2,0),VLOOKUP(G1285,Dados!$D:$L,3,0)=VLOOKUP(I1285,Dados!$S:$V,3,0)),0,1)</f>
        <v>0</v>
      </c>
      <c r="T1285" s="4">
        <f>IF(AND(VLOOKUP(G1285,Dados!$D:$L,3,0)&lt;=VLOOKUP(H1285,Dados!$X:$AB,2,0),VLOOKUP(G1285,Dados!$D:$L,4,0)&gt;=VLOOKUP(H1285,Dados!$X:$AB,3,0),VLOOKUP(G1285,Dados!$D:$L,4,0)&lt;=VLOOKUP(H1285,Dados!$X:$AB,4,0)),0,1)</f>
        <v>0</v>
      </c>
      <c r="U1285" s="4">
        <f>IF(COUNTIFS(F:F,F1285,H:H,H1285)&lt;=VLOOKUP(H1285,Dados!$X:$AB,5,0),0,1)</f>
        <v>0</v>
      </c>
    </row>
    <row r="1286" spans="6:21">
      <c r="F1286" s="4">
        <v>651</v>
      </c>
      <c r="G1286" s="4">
        <v>61</v>
      </c>
      <c r="H1286" s="4">
        <v>2</v>
      </c>
      <c r="I1286" s="4">
        <v>26</v>
      </c>
      <c r="J1286" s="4">
        <v>5</v>
      </c>
      <c r="K1286" s="4">
        <f t="shared" si="257"/>
        <v>0</v>
      </c>
      <c r="L1286" s="4">
        <f t="shared" si="257"/>
        <v>0</v>
      </c>
      <c r="M1286" s="4">
        <f t="shared" si="257"/>
        <v>0</v>
      </c>
      <c r="N1286" s="4">
        <f t="shared" si="257"/>
        <v>0</v>
      </c>
      <c r="O1286" s="4">
        <f t="shared" si="258"/>
        <v>0</v>
      </c>
      <c r="P1286" s="4">
        <f t="shared" si="259"/>
        <v>0</v>
      </c>
      <c r="Q1286" s="4">
        <f t="shared" si="260"/>
        <v>0</v>
      </c>
      <c r="R1286" s="4">
        <f t="shared" si="261"/>
        <v>0</v>
      </c>
      <c r="S1286" s="4">
        <f>IF(AND(VLOOKUP(G1286,Dados!$D:$L,2,0)=VLOOKUP(I1286,Dados!$S:$V,2,0),VLOOKUP(G1286,Dados!$D:$L,3,0)=VLOOKUP(I1286,Dados!$S:$V,3,0)),0,1)</f>
        <v>0</v>
      </c>
      <c r="T1286" s="4">
        <f>IF(AND(VLOOKUP(G1286,Dados!$D:$L,3,0)&lt;=VLOOKUP(H1286,Dados!$X:$AB,2,0),VLOOKUP(G1286,Dados!$D:$L,4,0)&gt;=VLOOKUP(H1286,Dados!$X:$AB,3,0),VLOOKUP(G1286,Dados!$D:$L,4,0)&lt;=VLOOKUP(H1286,Dados!$X:$AB,4,0)),0,1)</f>
        <v>0</v>
      </c>
      <c r="U1286" s="4">
        <f>IF(COUNTIFS(F:F,F1286,H:H,H1286)&lt;=VLOOKUP(H1286,Dados!$X:$AB,5,0),0,1)</f>
        <v>0</v>
      </c>
    </row>
    <row r="1287" spans="6:21">
      <c r="F1287" s="4">
        <v>652</v>
      </c>
      <c r="G1287" s="4">
        <v>59</v>
      </c>
      <c r="H1287" s="4">
        <v>3</v>
      </c>
      <c r="I1287" s="4">
        <v>26</v>
      </c>
      <c r="J1287" s="4">
        <v>1</v>
      </c>
      <c r="K1287" s="4">
        <f t="shared" si="257"/>
        <v>0</v>
      </c>
      <c r="L1287" s="4">
        <f t="shared" si="257"/>
        <v>0</v>
      </c>
      <c r="M1287" s="4">
        <f t="shared" si="257"/>
        <v>0</v>
      </c>
      <c r="N1287" s="4">
        <f t="shared" si="257"/>
        <v>0</v>
      </c>
      <c r="O1287" s="4">
        <f t="shared" si="258"/>
        <v>0</v>
      </c>
      <c r="P1287" s="4">
        <f t="shared" si="259"/>
        <v>0</v>
      </c>
      <c r="Q1287" s="4">
        <f t="shared" si="260"/>
        <v>0</v>
      </c>
      <c r="R1287" s="4">
        <f t="shared" si="261"/>
        <v>0</v>
      </c>
      <c r="S1287" s="4">
        <f>IF(AND(VLOOKUP(G1287,Dados!$D:$L,2,0)=VLOOKUP(I1287,Dados!$S:$V,2,0),VLOOKUP(G1287,Dados!$D:$L,3,0)=VLOOKUP(I1287,Dados!$S:$V,3,0)),0,1)</f>
        <v>0</v>
      </c>
      <c r="T1287" s="4">
        <f>IF(AND(VLOOKUP(G1287,Dados!$D:$L,3,0)&lt;=VLOOKUP(H1287,Dados!$X:$AB,2,0),VLOOKUP(G1287,Dados!$D:$L,4,0)&gt;=VLOOKUP(H1287,Dados!$X:$AB,3,0),VLOOKUP(G1287,Dados!$D:$L,4,0)&lt;=VLOOKUP(H1287,Dados!$X:$AB,4,0)),0,1)</f>
        <v>0</v>
      </c>
      <c r="U1287" s="4">
        <f>IF(COUNTIFS(F:F,F1287,H:H,H1287)&lt;=VLOOKUP(H1287,Dados!$X:$AB,5,0),0,1)</f>
        <v>0</v>
      </c>
    </row>
    <row r="1288" spans="6:21">
      <c r="F1288" s="4">
        <v>652</v>
      </c>
      <c r="G1288" s="4">
        <v>61</v>
      </c>
      <c r="H1288" s="4">
        <v>3</v>
      </c>
      <c r="I1288" s="4">
        <v>26</v>
      </c>
      <c r="J1288" s="4">
        <v>4</v>
      </c>
      <c r="K1288" s="4">
        <f t="shared" si="257"/>
        <v>0</v>
      </c>
      <c r="L1288" s="4">
        <f t="shared" si="257"/>
        <v>0</v>
      </c>
      <c r="M1288" s="4">
        <f t="shared" si="257"/>
        <v>0</v>
      </c>
      <c r="N1288" s="4">
        <f t="shared" si="257"/>
        <v>0</v>
      </c>
      <c r="O1288" s="4">
        <f t="shared" si="258"/>
        <v>0</v>
      </c>
      <c r="P1288" s="4">
        <f t="shared" si="259"/>
        <v>0</v>
      </c>
      <c r="Q1288" s="4">
        <f t="shared" si="260"/>
        <v>0</v>
      </c>
      <c r="R1288" s="4">
        <f t="shared" si="261"/>
        <v>0</v>
      </c>
      <c r="S1288" s="4">
        <f>IF(AND(VLOOKUP(G1288,Dados!$D:$L,2,0)=VLOOKUP(I1288,Dados!$S:$V,2,0),VLOOKUP(G1288,Dados!$D:$L,3,0)=VLOOKUP(I1288,Dados!$S:$V,3,0)),0,1)</f>
        <v>0</v>
      </c>
      <c r="T1288" s="4">
        <f>IF(AND(VLOOKUP(G1288,Dados!$D:$L,3,0)&lt;=VLOOKUP(H1288,Dados!$X:$AB,2,0),VLOOKUP(G1288,Dados!$D:$L,4,0)&gt;=VLOOKUP(H1288,Dados!$X:$AB,3,0),VLOOKUP(G1288,Dados!$D:$L,4,0)&lt;=VLOOKUP(H1288,Dados!$X:$AB,4,0)),0,1)</f>
        <v>0</v>
      </c>
      <c r="U1288" s="4">
        <f>IF(COUNTIFS(F:F,F1288,H:H,H1288)&lt;=VLOOKUP(H1288,Dados!$X:$AB,5,0),0,1)</f>
        <v>0</v>
      </c>
    </row>
    <row r="1289" spans="6:21">
      <c r="F1289" s="4">
        <v>652</v>
      </c>
      <c r="G1289" s="4">
        <v>62</v>
      </c>
      <c r="H1289" s="4">
        <v>3</v>
      </c>
      <c r="I1289" s="4">
        <v>26</v>
      </c>
      <c r="J1289" s="4">
        <v>1</v>
      </c>
      <c r="K1289" s="4">
        <f t="shared" si="257"/>
        <v>0</v>
      </c>
      <c r="L1289" s="4">
        <f t="shared" si="257"/>
        <v>0</v>
      </c>
      <c r="M1289" s="4">
        <f t="shared" si="257"/>
        <v>0</v>
      </c>
      <c r="N1289" s="4">
        <f t="shared" si="257"/>
        <v>0</v>
      </c>
      <c r="O1289" s="4">
        <f t="shared" si="258"/>
        <v>0</v>
      </c>
      <c r="P1289" s="4">
        <f t="shared" si="259"/>
        <v>0</v>
      </c>
      <c r="Q1289" s="4">
        <f t="shared" si="260"/>
        <v>0</v>
      </c>
      <c r="R1289" s="4">
        <f t="shared" si="261"/>
        <v>0</v>
      </c>
      <c r="S1289" s="4">
        <f>IF(AND(VLOOKUP(G1289,Dados!$D:$L,2,0)=VLOOKUP(I1289,Dados!$S:$V,2,0),VLOOKUP(G1289,Dados!$D:$L,3,0)=VLOOKUP(I1289,Dados!$S:$V,3,0)),0,1)</f>
        <v>0</v>
      </c>
      <c r="T1289" s="4">
        <f>IF(AND(VLOOKUP(G1289,Dados!$D:$L,3,0)&lt;=VLOOKUP(H1289,Dados!$X:$AB,2,0),VLOOKUP(G1289,Dados!$D:$L,4,0)&gt;=VLOOKUP(H1289,Dados!$X:$AB,3,0),VLOOKUP(G1289,Dados!$D:$L,4,0)&lt;=VLOOKUP(H1289,Dados!$X:$AB,4,0)),0,1)</f>
        <v>0</v>
      </c>
      <c r="U1289" s="4">
        <f>IF(COUNTIFS(F:F,F1289,H:H,H1289)&lt;=VLOOKUP(H1289,Dados!$X:$AB,5,0),0,1)</f>
        <v>0</v>
      </c>
    </row>
    <row r="1290" spans="6:21">
      <c r="F1290" s="4">
        <v>652</v>
      </c>
      <c r="G1290" s="4">
        <v>67</v>
      </c>
      <c r="H1290" s="4">
        <v>3</v>
      </c>
      <c r="I1290" s="4">
        <v>26</v>
      </c>
      <c r="J1290" s="4">
        <v>1</v>
      </c>
      <c r="K1290" s="4">
        <f t="shared" si="257"/>
        <v>0</v>
      </c>
      <c r="L1290" s="4">
        <f t="shared" si="257"/>
        <v>0</v>
      </c>
      <c r="M1290" s="4">
        <f t="shared" si="257"/>
        <v>0</v>
      </c>
      <c r="N1290" s="4">
        <f t="shared" si="257"/>
        <v>0</v>
      </c>
      <c r="O1290" s="4">
        <f t="shared" si="258"/>
        <v>0</v>
      </c>
      <c r="P1290" s="4">
        <f t="shared" si="259"/>
        <v>0</v>
      </c>
      <c r="Q1290" s="4">
        <f t="shared" si="260"/>
        <v>0</v>
      </c>
      <c r="R1290" s="4">
        <f t="shared" si="261"/>
        <v>0</v>
      </c>
      <c r="S1290" s="4">
        <f>IF(AND(VLOOKUP(G1290,Dados!$D:$L,2,0)=VLOOKUP(I1290,Dados!$S:$V,2,0),VLOOKUP(G1290,Dados!$D:$L,3,0)=VLOOKUP(I1290,Dados!$S:$V,3,0)),0,1)</f>
        <v>0</v>
      </c>
      <c r="T1290" s="4">
        <f>IF(AND(VLOOKUP(G1290,Dados!$D:$L,3,0)&lt;=VLOOKUP(H1290,Dados!$X:$AB,2,0),VLOOKUP(G1290,Dados!$D:$L,4,0)&gt;=VLOOKUP(H1290,Dados!$X:$AB,3,0),VLOOKUP(G1290,Dados!$D:$L,4,0)&lt;=VLOOKUP(H1290,Dados!$X:$AB,4,0)),0,1)</f>
        <v>0</v>
      </c>
      <c r="U1290" s="4">
        <f>IF(COUNTIFS(F:F,F1290,H:H,H1290)&lt;=VLOOKUP(H1290,Dados!$X:$AB,5,0),0,1)</f>
        <v>0</v>
      </c>
    </row>
    <row r="1291" spans="6:21">
      <c r="F1291" s="4">
        <v>653</v>
      </c>
      <c r="G1291" s="4">
        <v>59</v>
      </c>
      <c r="H1291" s="4">
        <v>1</v>
      </c>
      <c r="I1291" s="4">
        <v>27</v>
      </c>
      <c r="J1291" s="4">
        <v>1</v>
      </c>
      <c r="K1291" s="4">
        <f t="shared" si="257"/>
        <v>0</v>
      </c>
      <c r="L1291" s="4">
        <f t="shared" si="257"/>
        <v>0</v>
      </c>
      <c r="M1291" s="4">
        <f t="shared" si="257"/>
        <v>0</v>
      </c>
      <c r="N1291" s="4">
        <f t="shared" si="257"/>
        <v>0</v>
      </c>
      <c r="O1291" s="4">
        <f t="shared" si="258"/>
        <v>0</v>
      </c>
      <c r="P1291" s="4">
        <f t="shared" si="259"/>
        <v>0</v>
      </c>
      <c r="Q1291" s="4">
        <f t="shared" si="260"/>
        <v>0</v>
      </c>
      <c r="R1291" s="4">
        <f t="shared" si="261"/>
        <v>0</v>
      </c>
      <c r="S1291" s="4">
        <f>IF(AND(VLOOKUP(G1291,Dados!$D:$L,2,0)=VLOOKUP(I1291,Dados!$S:$V,2,0),VLOOKUP(G1291,Dados!$D:$L,3,0)=VLOOKUP(I1291,Dados!$S:$V,3,0)),0,1)</f>
        <v>0</v>
      </c>
      <c r="T1291" s="4">
        <f>IF(AND(VLOOKUP(G1291,Dados!$D:$L,3,0)&lt;=VLOOKUP(H1291,Dados!$X:$AB,2,0),VLOOKUP(G1291,Dados!$D:$L,4,0)&gt;=VLOOKUP(H1291,Dados!$X:$AB,3,0),VLOOKUP(G1291,Dados!$D:$L,4,0)&lt;=VLOOKUP(H1291,Dados!$X:$AB,4,0)),0,1)</f>
        <v>0</v>
      </c>
      <c r="U1291" s="4">
        <f>IF(COUNTIFS(F:F,F1291,H:H,H1291)&lt;=VLOOKUP(H1291,Dados!$X:$AB,5,0),0,1)</f>
        <v>0</v>
      </c>
    </row>
    <row r="1292" spans="6:21">
      <c r="F1292" s="4">
        <v>653</v>
      </c>
      <c r="G1292" s="4">
        <v>61</v>
      </c>
      <c r="H1292" s="4">
        <v>1</v>
      </c>
      <c r="I1292" s="4">
        <v>27</v>
      </c>
      <c r="J1292" s="4">
        <v>5</v>
      </c>
      <c r="K1292" s="4">
        <f t="shared" si="257"/>
        <v>0</v>
      </c>
      <c r="L1292" s="4">
        <f t="shared" si="257"/>
        <v>0</v>
      </c>
      <c r="M1292" s="4">
        <f t="shared" si="257"/>
        <v>0</v>
      </c>
      <c r="N1292" s="4">
        <f t="shared" si="257"/>
        <v>0</v>
      </c>
      <c r="O1292" s="4">
        <f t="shared" si="258"/>
        <v>0</v>
      </c>
      <c r="P1292" s="4">
        <f t="shared" si="259"/>
        <v>0</v>
      </c>
      <c r="Q1292" s="4">
        <f t="shared" si="260"/>
        <v>0</v>
      </c>
      <c r="R1292" s="4">
        <f t="shared" si="261"/>
        <v>0</v>
      </c>
      <c r="S1292" s="4">
        <f>IF(AND(VLOOKUP(G1292,Dados!$D:$L,2,0)=VLOOKUP(I1292,Dados!$S:$V,2,0),VLOOKUP(G1292,Dados!$D:$L,3,0)=VLOOKUP(I1292,Dados!$S:$V,3,0)),0,1)</f>
        <v>0</v>
      </c>
      <c r="T1292" s="4">
        <f>IF(AND(VLOOKUP(G1292,Dados!$D:$L,3,0)&lt;=VLOOKUP(H1292,Dados!$X:$AB,2,0),VLOOKUP(G1292,Dados!$D:$L,4,0)&gt;=VLOOKUP(H1292,Dados!$X:$AB,3,0),VLOOKUP(G1292,Dados!$D:$L,4,0)&lt;=VLOOKUP(H1292,Dados!$X:$AB,4,0)),0,1)</f>
        <v>0</v>
      </c>
      <c r="U1292" s="4">
        <f>IF(COUNTIFS(F:F,F1292,H:H,H1292)&lt;=VLOOKUP(H1292,Dados!$X:$AB,5,0),0,1)</f>
        <v>0</v>
      </c>
    </row>
    <row r="1293" spans="6:21">
      <c r="F1293" s="4">
        <v>653</v>
      </c>
      <c r="G1293" s="4">
        <v>63</v>
      </c>
      <c r="H1293" s="4">
        <v>1</v>
      </c>
      <c r="I1293" s="4">
        <v>27</v>
      </c>
      <c r="J1293" s="4">
        <v>3</v>
      </c>
      <c r="K1293" s="4">
        <f t="shared" si="257"/>
        <v>0</v>
      </c>
      <c r="L1293" s="4">
        <f t="shared" si="257"/>
        <v>0</v>
      </c>
      <c r="M1293" s="4">
        <f t="shared" si="257"/>
        <v>0</v>
      </c>
      <c r="N1293" s="4">
        <f t="shared" si="257"/>
        <v>0</v>
      </c>
      <c r="O1293" s="4">
        <f t="shared" si="258"/>
        <v>0</v>
      </c>
      <c r="P1293" s="4">
        <f t="shared" si="259"/>
        <v>0</v>
      </c>
      <c r="Q1293" s="4">
        <f t="shared" si="260"/>
        <v>0</v>
      </c>
      <c r="R1293" s="4">
        <f t="shared" si="261"/>
        <v>0</v>
      </c>
      <c r="S1293" s="4">
        <f>IF(AND(VLOOKUP(G1293,Dados!$D:$L,2,0)=VLOOKUP(I1293,Dados!$S:$V,2,0),VLOOKUP(G1293,Dados!$D:$L,3,0)=VLOOKUP(I1293,Dados!$S:$V,3,0)),0,1)</f>
        <v>0</v>
      </c>
      <c r="T1293" s="4">
        <f>IF(AND(VLOOKUP(G1293,Dados!$D:$L,3,0)&lt;=VLOOKUP(H1293,Dados!$X:$AB,2,0),VLOOKUP(G1293,Dados!$D:$L,4,0)&gt;=VLOOKUP(H1293,Dados!$X:$AB,3,0),VLOOKUP(G1293,Dados!$D:$L,4,0)&lt;=VLOOKUP(H1293,Dados!$X:$AB,4,0)),0,1)</f>
        <v>0</v>
      </c>
      <c r="U1293" s="4">
        <f>IF(COUNTIFS(F:F,F1293,H:H,H1293)&lt;=VLOOKUP(H1293,Dados!$X:$AB,5,0),0,1)</f>
        <v>0</v>
      </c>
    </row>
    <row r="1294" spans="6:21">
      <c r="F1294" s="4">
        <v>654</v>
      </c>
      <c r="G1294" s="4">
        <v>59</v>
      </c>
      <c r="H1294" s="4">
        <v>2</v>
      </c>
      <c r="I1294" s="4">
        <v>27</v>
      </c>
      <c r="J1294" s="4">
        <v>1</v>
      </c>
      <c r="K1294" s="4">
        <f t="shared" si="257"/>
        <v>0</v>
      </c>
      <c r="L1294" s="4">
        <f t="shared" si="257"/>
        <v>0</v>
      </c>
      <c r="M1294" s="4">
        <f t="shared" si="257"/>
        <v>0</v>
      </c>
      <c r="N1294" s="4">
        <f t="shared" si="257"/>
        <v>0</v>
      </c>
      <c r="O1294" s="4">
        <f t="shared" si="258"/>
        <v>0</v>
      </c>
      <c r="P1294" s="4">
        <f t="shared" si="259"/>
        <v>0</v>
      </c>
      <c r="Q1294" s="4">
        <f t="shared" si="260"/>
        <v>0</v>
      </c>
      <c r="R1294" s="4">
        <f t="shared" si="261"/>
        <v>0</v>
      </c>
      <c r="S1294" s="4">
        <f>IF(AND(VLOOKUP(G1294,Dados!$D:$L,2,0)=VLOOKUP(I1294,Dados!$S:$V,2,0),VLOOKUP(G1294,Dados!$D:$L,3,0)=VLOOKUP(I1294,Dados!$S:$V,3,0)),0,1)</f>
        <v>0</v>
      </c>
      <c r="T1294" s="4">
        <f>IF(AND(VLOOKUP(G1294,Dados!$D:$L,3,0)&lt;=VLOOKUP(H1294,Dados!$X:$AB,2,0),VLOOKUP(G1294,Dados!$D:$L,4,0)&gt;=VLOOKUP(H1294,Dados!$X:$AB,3,0),VLOOKUP(G1294,Dados!$D:$L,4,0)&lt;=VLOOKUP(H1294,Dados!$X:$AB,4,0)),0,1)</f>
        <v>0</v>
      </c>
      <c r="U1294" s="4">
        <f>IF(COUNTIFS(F:F,F1294,H:H,H1294)&lt;=VLOOKUP(H1294,Dados!$X:$AB,5,0),0,1)</f>
        <v>0</v>
      </c>
    </row>
    <row r="1295" spans="6:21">
      <c r="F1295" s="4">
        <v>654</v>
      </c>
      <c r="G1295" s="4">
        <v>61</v>
      </c>
      <c r="H1295" s="4">
        <v>2</v>
      </c>
      <c r="I1295" s="4">
        <v>27</v>
      </c>
      <c r="J1295" s="4">
        <v>5</v>
      </c>
      <c r="K1295" s="4">
        <f t="shared" si="257"/>
        <v>0</v>
      </c>
      <c r="L1295" s="4">
        <f t="shared" si="257"/>
        <v>0</v>
      </c>
      <c r="M1295" s="4">
        <f t="shared" si="257"/>
        <v>0</v>
      </c>
      <c r="N1295" s="4">
        <f t="shared" si="257"/>
        <v>0</v>
      </c>
      <c r="O1295" s="4">
        <f t="shared" si="258"/>
        <v>0</v>
      </c>
      <c r="P1295" s="4">
        <f t="shared" si="259"/>
        <v>0</v>
      </c>
      <c r="Q1295" s="4">
        <f t="shared" si="260"/>
        <v>0</v>
      </c>
      <c r="R1295" s="4">
        <f t="shared" si="261"/>
        <v>0</v>
      </c>
      <c r="S1295" s="4">
        <f>IF(AND(VLOOKUP(G1295,Dados!$D:$L,2,0)=VLOOKUP(I1295,Dados!$S:$V,2,0),VLOOKUP(G1295,Dados!$D:$L,3,0)=VLOOKUP(I1295,Dados!$S:$V,3,0)),0,1)</f>
        <v>0</v>
      </c>
      <c r="T1295" s="4">
        <f>IF(AND(VLOOKUP(G1295,Dados!$D:$L,3,0)&lt;=VLOOKUP(H1295,Dados!$X:$AB,2,0),VLOOKUP(G1295,Dados!$D:$L,4,0)&gt;=VLOOKUP(H1295,Dados!$X:$AB,3,0),VLOOKUP(G1295,Dados!$D:$L,4,0)&lt;=VLOOKUP(H1295,Dados!$X:$AB,4,0)),0,1)</f>
        <v>0</v>
      </c>
      <c r="U1295" s="4">
        <f>IF(COUNTIFS(F:F,F1295,H:H,H1295)&lt;=VLOOKUP(H1295,Dados!$X:$AB,5,0),0,1)</f>
        <v>0</v>
      </c>
    </row>
    <row r="1296" spans="6:21">
      <c r="F1296" s="4">
        <v>654</v>
      </c>
      <c r="G1296" s="4">
        <v>63</v>
      </c>
      <c r="H1296" s="4">
        <v>2</v>
      </c>
      <c r="I1296" s="4">
        <v>27</v>
      </c>
      <c r="J1296" s="4">
        <v>3</v>
      </c>
      <c r="K1296" s="4">
        <f t="shared" si="257"/>
        <v>0</v>
      </c>
      <c r="L1296" s="4">
        <f t="shared" si="257"/>
        <v>0</v>
      </c>
      <c r="M1296" s="4">
        <f t="shared" si="257"/>
        <v>0</v>
      </c>
      <c r="N1296" s="4">
        <f t="shared" si="257"/>
        <v>0</v>
      </c>
      <c r="O1296" s="4">
        <f t="shared" si="258"/>
        <v>0</v>
      </c>
      <c r="P1296" s="4">
        <f t="shared" si="259"/>
        <v>0</v>
      </c>
      <c r="Q1296" s="4">
        <f t="shared" si="260"/>
        <v>0</v>
      </c>
      <c r="R1296" s="4">
        <f t="shared" si="261"/>
        <v>0</v>
      </c>
      <c r="S1296" s="4">
        <f>IF(AND(VLOOKUP(G1296,Dados!$D:$L,2,0)=VLOOKUP(I1296,Dados!$S:$V,2,0),VLOOKUP(G1296,Dados!$D:$L,3,0)=VLOOKUP(I1296,Dados!$S:$V,3,0)),0,1)</f>
        <v>0</v>
      </c>
      <c r="T1296" s="4">
        <f>IF(AND(VLOOKUP(G1296,Dados!$D:$L,3,0)&lt;=VLOOKUP(H1296,Dados!$X:$AB,2,0),VLOOKUP(G1296,Dados!$D:$L,4,0)&gt;=VLOOKUP(H1296,Dados!$X:$AB,3,0),VLOOKUP(G1296,Dados!$D:$L,4,0)&lt;=VLOOKUP(H1296,Dados!$X:$AB,4,0)),0,1)</f>
        <v>0</v>
      </c>
      <c r="U1296" s="4">
        <f>IF(COUNTIFS(F:F,F1296,H:H,H1296)&lt;=VLOOKUP(H1296,Dados!$X:$AB,5,0),0,1)</f>
        <v>0</v>
      </c>
    </row>
    <row r="1297" spans="6:21">
      <c r="F1297" s="4">
        <v>655</v>
      </c>
      <c r="G1297" s="4">
        <v>59</v>
      </c>
      <c r="H1297" s="4">
        <v>3</v>
      </c>
      <c r="I1297" s="4">
        <v>27</v>
      </c>
      <c r="J1297" s="4">
        <v>1</v>
      </c>
      <c r="K1297" s="4">
        <f t="shared" si="257"/>
        <v>0</v>
      </c>
      <c r="L1297" s="4">
        <f t="shared" si="257"/>
        <v>0</v>
      </c>
      <c r="M1297" s="4">
        <f t="shared" si="257"/>
        <v>0</v>
      </c>
      <c r="N1297" s="4">
        <f t="shared" si="257"/>
        <v>0</v>
      </c>
      <c r="O1297" s="4">
        <f t="shared" si="258"/>
        <v>0</v>
      </c>
      <c r="P1297" s="4">
        <f t="shared" si="259"/>
        <v>0</v>
      </c>
      <c r="Q1297" s="4">
        <f t="shared" si="260"/>
        <v>0</v>
      </c>
      <c r="R1297" s="4">
        <f t="shared" si="261"/>
        <v>0</v>
      </c>
      <c r="S1297" s="4">
        <f>IF(AND(VLOOKUP(G1297,Dados!$D:$L,2,0)=VLOOKUP(I1297,Dados!$S:$V,2,0),VLOOKUP(G1297,Dados!$D:$L,3,0)=VLOOKUP(I1297,Dados!$S:$V,3,0)),0,1)</f>
        <v>0</v>
      </c>
      <c r="T1297" s="4">
        <f>IF(AND(VLOOKUP(G1297,Dados!$D:$L,3,0)&lt;=VLOOKUP(H1297,Dados!$X:$AB,2,0),VLOOKUP(G1297,Dados!$D:$L,4,0)&gt;=VLOOKUP(H1297,Dados!$X:$AB,3,0),VLOOKUP(G1297,Dados!$D:$L,4,0)&lt;=VLOOKUP(H1297,Dados!$X:$AB,4,0)),0,1)</f>
        <v>0</v>
      </c>
      <c r="U1297" s="4">
        <f>IF(COUNTIFS(F:F,F1297,H:H,H1297)&lt;=VLOOKUP(H1297,Dados!$X:$AB,5,0),0,1)</f>
        <v>0</v>
      </c>
    </row>
    <row r="1298" spans="6:21">
      <c r="F1298" s="4">
        <v>655</v>
      </c>
      <c r="G1298" s="4">
        <v>61</v>
      </c>
      <c r="H1298" s="4">
        <v>3</v>
      </c>
      <c r="I1298" s="4">
        <v>27</v>
      </c>
      <c r="J1298" s="4">
        <v>5</v>
      </c>
      <c r="K1298" s="4">
        <f t="shared" si="257"/>
        <v>0</v>
      </c>
      <c r="L1298" s="4">
        <f t="shared" si="257"/>
        <v>0</v>
      </c>
      <c r="M1298" s="4">
        <f t="shared" si="257"/>
        <v>0</v>
      </c>
      <c r="N1298" s="4">
        <f t="shared" si="257"/>
        <v>0</v>
      </c>
      <c r="O1298" s="4">
        <f t="shared" si="258"/>
        <v>0</v>
      </c>
      <c r="P1298" s="4">
        <f t="shared" si="259"/>
        <v>0</v>
      </c>
      <c r="Q1298" s="4">
        <f t="shared" si="260"/>
        <v>0</v>
      </c>
      <c r="R1298" s="4">
        <f t="shared" si="261"/>
        <v>0</v>
      </c>
      <c r="S1298" s="4">
        <f>IF(AND(VLOOKUP(G1298,Dados!$D:$L,2,0)=VLOOKUP(I1298,Dados!$S:$V,2,0),VLOOKUP(G1298,Dados!$D:$L,3,0)=VLOOKUP(I1298,Dados!$S:$V,3,0)),0,1)</f>
        <v>0</v>
      </c>
      <c r="T1298" s="4">
        <f>IF(AND(VLOOKUP(G1298,Dados!$D:$L,3,0)&lt;=VLOOKUP(H1298,Dados!$X:$AB,2,0),VLOOKUP(G1298,Dados!$D:$L,4,0)&gt;=VLOOKUP(H1298,Dados!$X:$AB,3,0),VLOOKUP(G1298,Dados!$D:$L,4,0)&lt;=VLOOKUP(H1298,Dados!$X:$AB,4,0)),0,1)</f>
        <v>0</v>
      </c>
      <c r="U1298" s="4">
        <f>IF(COUNTIFS(F:F,F1298,H:H,H1298)&lt;=VLOOKUP(H1298,Dados!$X:$AB,5,0),0,1)</f>
        <v>0</v>
      </c>
    </row>
    <row r="1299" spans="6:21">
      <c r="F1299" s="4">
        <v>655</v>
      </c>
      <c r="G1299" s="4">
        <v>63</v>
      </c>
      <c r="H1299" s="4">
        <v>3</v>
      </c>
      <c r="I1299" s="4">
        <v>27</v>
      </c>
      <c r="J1299" s="4">
        <v>3</v>
      </c>
      <c r="K1299" s="4">
        <f t="shared" si="257"/>
        <v>0</v>
      </c>
      <c r="L1299" s="4">
        <f t="shared" si="257"/>
        <v>0</v>
      </c>
      <c r="M1299" s="4">
        <f t="shared" si="257"/>
        <v>0</v>
      </c>
      <c r="N1299" s="4">
        <f t="shared" si="257"/>
        <v>0</v>
      </c>
      <c r="O1299" s="4">
        <f t="shared" si="258"/>
        <v>0</v>
      </c>
      <c r="P1299" s="4">
        <f t="shared" si="259"/>
        <v>0</v>
      </c>
      <c r="Q1299" s="4">
        <f t="shared" si="260"/>
        <v>0</v>
      </c>
      <c r="R1299" s="4">
        <f t="shared" si="261"/>
        <v>0</v>
      </c>
      <c r="S1299" s="4">
        <f>IF(AND(VLOOKUP(G1299,Dados!$D:$L,2,0)=VLOOKUP(I1299,Dados!$S:$V,2,0),VLOOKUP(G1299,Dados!$D:$L,3,0)=VLOOKUP(I1299,Dados!$S:$V,3,0)),0,1)</f>
        <v>0</v>
      </c>
      <c r="T1299" s="4">
        <f>IF(AND(VLOOKUP(G1299,Dados!$D:$L,3,0)&lt;=VLOOKUP(H1299,Dados!$X:$AB,2,0),VLOOKUP(G1299,Dados!$D:$L,4,0)&gt;=VLOOKUP(H1299,Dados!$X:$AB,3,0),VLOOKUP(G1299,Dados!$D:$L,4,0)&lt;=VLOOKUP(H1299,Dados!$X:$AB,4,0)),0,1)</f>
        <v>0</v>
      </c>
      <c r="U1299" s="4">
        <f>IF(COUNTIFS(F:F,F1299,H:H,H1299)&lt;=VLOOKUP(H1299,Dados!$X:$AB,5,0),0,1)</f>
        <v>0</v>
      </c>
    </row>
    <row r="1300" spans="6:21">
      <c r="F1300" s="4">
        <v>656</v>
      </c>
      <c r="G1300" s="4">
        <v>61</v>
      </c>
      <c r="H1300" s="4">
        <v>1</v>
      </c>
      <c r="I1300" s="4">
        <v>28</v>
      </c>
      <c r="J1300" s="4">
        <v>7</v>
      </c>
      <c r="K1300" s="4">
        <f t="shared" si="257"/>
        <v>28</v>
      </c>
      <c r="L1300" s="4">
        <f t="shared" si="257"/>
        <v>0</v>
      </c>
      <c r="M1300" s="4">
        <f t="shared" si="257"/>
        <v>0</v>
      </c>
      <c r="N1300" s="4">
        <f t="shared" si="257"/>
        <v>0</v>
      </c>
      <c r="O1300" s="4">
        <f t="shared" si="258"/>
        <v>196</v>
      </c>
      <c r="P1300" s="4">
        <f t="shared" si="259"/>
        <v>0</v>
      </c>
      <c r="Q1300" s="4">
        <f t="shared" si="260"/>
        <v>0</v>
      </c>
      <c r="R1300" s="4">
        <f t="shared" si="261"/>
        <v>0</v>
      </c>
      <c r="S1300" s="4">
        <f>IF(AND(VLOOKUP(G1300,Dados!$D:$L,2,0)=VLOOKUP(I1300,Dados!$S:$V,2,0),VLOOKUP(G1300,Dados!$D:$L,3,0)=VLOOKUP(I1300,Dados!$S:$V,3,0)),0,1)</f>
        <v>0</v>
      </c>
      <c r="T1300" s="4">
        <f>IF(AND(VLOOKUP(G1300,Dados!$D:$L,3,0)&lt;=VLOOKUP(H1300,Dados!$X:$AB,2,0),VLOOKUP(G1300,Dados!$D:$L,4,0)&gt;=VLOOKUP(H1300,Dados!$X:$AB,3,0),VLOOKUP(G1300,Dados!$D:$L,4,0)&lt;=VLOOKUP(H1300,Dados!$X:$AB,4,0)),0,1)</f>
        <v>0</v>
      </c>
      <c r="U1300" s="4">
        <f>IF(COUNTIFS(F:F,F1300,H:H,H1300)&lt;=VLOOKUP(H1300,Dados!$X:$AB,5,0),0,1)</f>
        <v>0</v>
      </c>
    </row>
    <row r="1301" spans="6:21">
      <c r="F1301" s="4">
        <v>657</v>
      </c>
      <c r="G1301" s="4">
        <v>61</v>
      </c>
      <c r="H1301" s="4">
        <v>2</v>
      </c>
      <c r="I1301" s="4">
        <v>28</v>
      </c>
      <c r="J1301" s="4">
        <v>7</v>
      </c>
      <c r="K1301" s="4">
        <f t="shared" si="257"/>
        <v>10</v>
      </c>
      <c r="L1301" s="4">
        <f t="shared" si="257"/>
        <v>0</v>
      </c>
      <c r="M1301" s="4">
        <f t="shared" si="257"/>
        <v>0</v>
      </c>
      <c r="N1301" s="4">
        <f t="shared" si="257"/>
        <v>0</v>
      </c>
      <c r="O1301" s="4">
        <f t="shared" si="258"/>
        <v>70</v>
      </c>
      <c r="P1301" s="4">
        <f t="shared" si="259"/>
        <v>0</v>
      </c>
      <c r="Q1301" s="4">
        <f t="shared" si="260"/>
        <v>0</v>
      </c>
      <c r="R1301" s="4">
        <f t="shared" si="261"/>
        <v>0</v>
      </c>
      <c r="S1301" s="4">
        <f>IF(AND(VLOOKUP(G1301,Dados!$D:$L,2,0)=VLOOKUP(I1301,Dados!$S:$V,2,0),VLOOKUP(G1301,Dados!$D:$L,3,0)=VLOOKUP(I1301,Dados!$S:$V,3,0)),0,1)</f>
        <v>0</v>
      </c>
      <c r="T1301" s="4">
        <f>IF(AND(VLOOKUP(G1301,Dados!$D:$L,3,0)&lt;=VLOOKUP(H1301,Dados!$X:$AB,2,0),VLOOKUP(G1301,Dados!$D:$L,4,0)&gt;=VLOOKUP(H1301,Dados!$X:$AB,3,0),VLOOKUP(G1301,Dados!$D:$L,4,0)&lt;=VLOOKUP(H1301,Dados!$X:$AB,4,0)),0,1)</f>
        <v>0</v>
      </c>
      <c r="U1301" s="4">
        <f>IF(COUNTIFS(F:F,F1301,H:H,H1301)&lt;=VLOOKUP(H1301,Dados!$X:$AB,5,0),0,1)</f>
        <v>0</v>
      </c>
    </row>
    <row r="1302" spans="6:21">
      <c r="F1302" s="4">
        <v>658</v>
      </c>
      <c r="G1302" s="4">
        <v>61</v>
      </c>
      <c r="H1302" s="4">
        <v>3</v>
      </c>
      <c r="I1302" s="4">
        <v>28</v>
      </c>
      <c r="J1302" s="4">
        <v>7</v>
      </c>
      <c r="K1302" s="4">
        <f t="shared" si="257"/>
        <v>0</v>
      </c>
      <c r="L1302" s="4">
        <f t="shared" si="257"/>
        <v>0</v>
      </c>
      <c r="M1302" s="4">
        <f t="shared" si="257"/>
        <v>0</v>
      </c>
      <c r="N1302" s="4">
        <f t="shared" si="257"/>
        <v>0</v>
      </c>
      <c r="O1302" s="4">
        <f t="shared" si="258"/>
        <v>0</v>
      </c>
      <c r="P1302" s="4">
        <f t="shared" si="259"/>
        <v>0</v>
      </c>
      <c r="Q1302" s="4">
        <f t="shared" si="260"/>
        <v>0</v>
      </c>
      <c r="R1302" s="4">
        <f t="shared" si="261"/>
        <v>0</v>
      </c>
      <c r="S1302" s="4">
        <f>IF(AND(VLOOKUP(G1302,Dados!$D:$L,2,0)=VLOOKUP(I1302,Dados!$S:$V,2,0),VLOOKUP(G1302,Dados!$D:$L,3,0)=VLOOKUP(I1302,Dados!$S:$V,3,0)),0,1)</f>
        <v>0</v>
      </c>
      <c r="T1302" s="4">
        <f>IF(AND(VLOOKUP(G1302,Dados!$D:$L,3,0)&lt;=VLOOKUP(H1302,Dados!$X:$AB,2,0),VLOOKUP(G1302,Dados!$D:$L,4,0)&gt;=VLOOKUP(H1302,Dados!$X:$AB,3,0),VLOOKUP(G1302,Dados!$D:$L,4,0)&lt;=VLOOKUP(H1302,Dados!$X:$AB,4,0)),0,1)</f>
        <v>0</v>
      </c>
      <c r="U1302" s="4">
        <f>IF(COUNTIFS(F:F,F1302,H:H,H1302)&lt;=VLOOKUP(H1302,Dados!$X:$AB,5,0),0,1)</f>
        <v>0</v>
      </c>
    </row>
    <row r="1303" spans="6:21">
      <c r="F1303" s="4">
        <v>659</v>
      </c>
      <c r="G1303" s="4">
        <v>59</v>
      </c>
      <c r="H1303" s="4">
        <v>1</v>
      </c>
      <c r="I1303" s="4">
        <v>29</v>
      </c>
      <c r="J1303" s="4">
        <v>2</v>
      </c>
      <c r="K1303" s="4">
        <f t="shared" si="257"/>
        <v>0</v>
      </c>
      <c r="L1303" s="4">
        <f t="shared" si="257"/>
        <v>0</v>
      </c>
      <c r="M1303" s="4">
        <f t="shared" si="257"/>
        <v>0</v>
      </c>
      <c r="N1303" s="4">
        <f t="shared" si="257"/>
        <v>0</v>
      </c>
      <c r="O1303" s="4">
        <f t="shared" si="258"/>
        <v>0</v>
      </c>
      <c r="P1303" s="4">
        <f t="shared" si="259"/>
        <v>0</v>
      </c>
      <c r="Q1303" s="4">
        <f t="shared" si="260"/>
        <v>0</v>
      </c>
      <c r="R1303" s="4">
        <f t="shared" si="261"/>
        <v>0</v>
      </c>
      <c r="S1303" s="4">
        <f>IF(AND(VLOOKUP(G1303,Dados!$D:$L,2,0)=VLOOKUP(I1303,Dados!$S:$V,2,0),VLOOKUP(G1303,Dados!$D:$L,3,0)=VLOOKUP(I1303,Dados!$S:$V,3,0)),0,1)</f>
        <v>0</v>
      </c>
      <c r="T1303" s="4">
        <f>IF(AND(VLOOKUP(G1303,Dados!$D:$L,3,0)&lt;=VLOOKUP(H1303,Dados!$X:$AB,2,0),VLOOKUP(G1303,Dados!$D:$L,4,0)&gt;=VLOOKUP(H1303,Dados!$X:$AB,3,0),VLOOKUP(G1303,Dados!$D:$L,4,0)&lt;=VLOOKUP(H1303,Dados!$X:$AB,4,0)),0,1)</f>
        <v>0</v>
      </c>
      <c r="U1303" s="4">
        <f>IF(COUNTIFS(F:F,F1303,H:H,H1303)&lt;=VLOOKUP(H1303,Dados!$X:$AB,5,0),0,1)</f>
        <v>0</v>
      </c>
    </row>
    <row r="1304" spans="6:21">
      <c r="F1304" s="4">
        <v>659</v>
      </c>
      <c r="G1304" s="4">
        <v>61</v>
      </c>
      <c r="H1304" s="4">
        <v>1</v>
      </c>
      <c r="I1304" s="4">
        <v>29</v>
      </c>
      <c r="J1304" s="4">
        <v>5</v>
      </c>
      <c r="K1304" s="4">
        <f t="shared" si="257"/>
        <v>0</v>
      </c>
      <c r="L1304" s="4">
        <f t="shared" si="257"/>
        <v>0</v>
      </c>
      <c r="M1304" s="4">
        <f t="shared" si="257"/>
        <v>0</v>
      </c>
      <c r="N1304" s="4">
        <f t="shared" si="257"/>
        <v>0</v>
      </c>
      <c r="O1304" s="4">
        <f t="shared" si="258"/>
        <v>0</v>
      </c>
      <c r="P1304" s="4">
        <f t="shared" si="259"/>
        <v>0</v>
      </c>
      <c r="Q1304" s="4">
        <f t="shared" si="260"/>
        <v>0</v>
      </c>
      <c r="R1304" s="4">
        <f t="shared" si="261"/>
        <v>0</v>
      </c>
      <c r="S1304" s="4">
        <f>IF(AND(VLOOKUP(G1304,Dados!$D:$L,2,0)=VLOOKUP(I1304,Dados!$S:$V,2,0),VLOOKUP(G1304,Dados!$D:$L,3,0)=VLOOKUP(I1304,Dados!$S:$V,3,0)),0,1)</f>
        <v>0</v>
      </c>
      <c r="T1304" s="4">
        <f>IF(AND(VLOOKUP(G1304,Dados!$D:$L,3,0)&lt;=VLOOKUP(H1304,Dados!$X:$AB,2,0),VLOOKUP(G1304,Dados!$D:$L,4,0)&gt;=VLOOKUP(H1304,Dados!$X:$AB,3,0),VLOOKUP(G1304,Dados!$D:$L,4,0)&lt;=VLOOKUP(H1304,Dados!$X:$AB,4,0)),0,1)</f>
        <v>0</v>
      </c>
      <c r="U1304" s="4">
        <f>IF(COUNTIFS(F:F,F1304,H:H,H1304)&lt;=VLOOKUP(H1304,Dados!$X:$AB,5,0),0,1)</f>
        <v>0</v>
      </c>
    </row>
    <row r="1305" spans="6:21">
      <c r="F1305" s="4">
        <v>659</v>
      </c>
      <c r="G1305" s="4">
        <v>67</v>
      </c>
      <c r="H1305" s="4">
        <v>1</v>
      </c>
      <c r="I1305" s="4">
        <v>29</v>
      </c>
      <c r="J1305" s="4">
        <v>1</v>
      </c>
      <c r="K1305" s="4">
        <f t="shared" si="257"/>
        <v>0</v>
      </c>
      <c r="L1305" s="4">
        <f t="shared" si="257"/>
        <v>0</v>
      </c>
      <c r="M1305" s="4">
        <f t="shared" si="257"/>
        <v>0</v>
      </c>
      <c r="N1305" s="4">
        <f t="shared" si="257"/>
        <v>0</v>
      </c>
      <c r="O1305" s="4">
        <f t="shared" si="258"/>
        <v>0</v>
      </c>
      <c r="P1305" s="4">
        <f t="shared" si="259"/>
        <v>0</v>
      </c>
      <c r="Q1305" s="4">
        <f t="shared" si="260"/>
        <v>0</v>
      </c>
      <c r="R1305" s="4">
        <f t="shared" si="261"/>
        <v>0</v>
      </c>
      <c r="S1305" s="4">
        <f>IF(AND(VLOOKUP(G1305,Dados!$D:$L,2,0)=VLOOKUP(I1305,Dados!$S:$V,2,0),VLOOKUP(G1305,Dados!$D:$L,3,0)=VLOOKUP(I1305,Dados!$S:$V,3,0)),0,1)</f>
        <v>0</v>
      </c>
      <c r="T1305" s="4">
        <f>IF(AND(VLOOKUP(G1305,Dados!$D:$L,3,0)&lt;=VLOOKUP(H1305,Dados!$X:$AB,2,0),VLOOKUP(G1305,Dados!$D:$L,4,0)&gt;=VLOOKUP(H1305,Dados!$X:$AB,3,0),VLOOKUP(G1305,Dados!$D:$L,4,0)&lt;=VLOOKUP(H1305,Dados!$X:$AB,4,0)),0,1)</f>
        <v>0</v>
      </c>
      <c r="U1305" s="4">
        <f>IF(COUNTIFS(F:F,F1305,H:H,H1305)&lt;=VLOOKUP(H1305,Dados!$X:$AB,5,0),0,1)</f>
        <v>0</v>
      </c>
    </row>
    <row r="1306" spans="6:21">
      <c r="F1306" s="4">
        <v>660</v>
      </c>
      <c r="G1306" s="4">
        <v>59</v>
      </c>
      <c r="H1306" s="4">
        <v>2</v>
      </c>
      <c r="I1306" s="4">
        <v>29</v>
      </c>
      <c r="J1306" s="4">
        <v>2</v>
      </c>
      <c r="K1306" s="4">
        <f t="shared" si="257"/>
        <v>0</v>
      </c>
      <c r="L1306" s="4">
        <f t="shared" si="257"/>
        <v>0</v>
      </c>
      <c r="M1306" s="4">
        <f t="shared" si="257"/>
        <v>0</v>
      </c>
      <c r="N1306" s="4">
        <f t="shared" si="257"/>
        <v>0</v>
      </c>
      <c r="O1306" s="4">
        <f t="shared" si="258"/>
        <v>0</v>
      </c>
      <c r="P1306" s="4">
        <f t="shared" si="259"/>
        <v>0</v>
      </c>
      <c r="Q1306" s="4">
        <f t="shared" si="260"/>
        <v>0</v>
      </c>
      <c r="R1306" s="4">
        <f t="shared" si="261"/>
        <v>0</v>
      </c>
      <c r="S1306" s="4">
        <f>IF(AND(VLOOKUP(G1306,Dados!$D:$L,2,0)=VLOOKUP(I1306,Dados!$S:$V,2,0),VLOOKUP(G1306,Dados!$D:$L,3,0)=VLOOKUP(I1306,Dados!$S:$V,3,0)),0,1)</f>
        <v>0</v>
      </c>
      <c r="T1306" s="4">
        <f>IF(AND(VLOOKUP(G1306,Dados!$D:$L,3,0)&lt;=VLOOKUP(H1306,Dados!$X:$AB,2,0),VLOOKUP(G1306,Dados!$D:$L,4,0)&gt;=VLOOKUP(H1306,Dados!$X:$AB,3,0),VLOOKUP(G1306,Dados!$D:$L,4,0)&lt;=VLOOKUP(H1306,Dados!$X:$AB,4,0)),0,1)</f>
        <v>0</v>
      </c>
      <c r="U1306" s="4">
        <f>IF(COUNTIFS(F:F,F1306,H:H,H1306)&lt;=VLOOKUP(H1306,Dados!$X:$AB,5,0),0,1)</f>
        <v>0</v>
      </c>
    </row>
    <row r="1307" spans="6:21">
      <c r="F1307" s="4">
        <v>660</v>
      </c>
      <c r="G1307" s="4">
        <v>61</v>
      </c>
      <c r="H1307" s="4">
        <v>2</v>
      </c>
      <c r="I1307" s="4">
        <v>29</v>
      </c>
      <c r="J1307" s="4">
        <v>5</v>
      </c>
      <c r="K1307" s="4">
        <f t="shared" si="257"/>
        <v>0</v>
      </c>
      <c r="L1307" s="4">
        <f t="shared" si="257"/>
        <v>0</v>
      </c>
      <c r="M1307" s="4">
        <f t="shared" si="257"/>
        <v>0</v>
      </c>
      <c r="N1307" s="4">
        <f t="shared" si="257"/>
        <v>0</v>
      </c>
      <c r="O1307" s="4">
        <f t="shared" si="258"/>
        <v>0</v>
      </c>
      <c r="P1307" s="4">
        <f t="shared" si="259"/>
        <v>0</v>
      </c>
      <c r="Q1307" s="4">
        <f t="shared" si="260"/>
        <v>0</v>
      </c>
      <c r="R1307" s="4">
        <f t="shared" si="261"/>
        <v>0</v>
      </c>
      <c r="S1307" s="4">
        <f>IF(AND(VLOOKUP(G1307,Dados!$D:$L,2,0)=VLOOKUP(I1307,Dados!$S:$V,2,0),VLOOKUP(G1307,Dados!$D:$L,3,0)=VLOOKUP(I1307,Dados!$S:$V,3,0)),0,1)</f>
        <v>0</v>
      </c>
      <c r="T1307" s="4">
        <f>IF(AND(VLOOKUP(G1307,Dados!$D:$L,3,0)&lt;=VLOOKUP(H1307,Dados!$X:$AB,2,0),VLOOKUP(G1307,Dados!$D:$L,4,0)&gt;=VLOOKUP(H1307,Dados!$X:$AB,3,0),VLOOKUP(G1307,Dados!$D:$L,4,0)&lt;=VLOOKUP(H1307,Dados!$X:$AB,4,0)),0,1)</f>
        <v>0</v>
      </c>
      <c r="U1307" s="4">
        <f>IF(COUNTIFS(F:F,F1307,H:H,H1307)&lt;=VLOOKUP(H1307,Dados!$X:$AB,5,0),0,1)</f>
        <v>0</v>
      </c>
    </row>
    <row r="1308" spans="6:21">
      <c r="F1308" s="4">
        <v>660</v>
      </c>
      <c r="G1308" s="4">
        <v>67</v>
      </c>
      <c r="H1308" s="4">
        <v>2</v>
      </c>
      <c r="I1308" s="4">
        <v>29</v>
      </c>
      <c r="J1308" s="4">
        <v>1</v>
      </c>
      <c r="K1308" s="4">
        <f t="shared" si="257"/>
        <v>0</v>
      </c>
      <c r="L1308" s="4">
        <f t="shared" si="257"/>
        <v>0</v>
      </c>
      <c r="M1308" s="4">
        <f t="shared" si="257"/>
        <v>0</v>
      </c>
      <c r="N1308" s="4">
        <f t="shared" si="257"/>
        <v>0</v>
      </c>
      <c r="O1308" s="4">
        <f t="shared" si="258"/>
        <v>0</v>
      </c>
      <c r="P1308" s="4">
        <f t="shared" si="259"/>
        <v>0</v>
      </c>
      <c r="Q1308" s="4">
        <f t="shared" si="260"/>
        <v>0</v>
      </c>
      <c r="R1308" s="4">
        <f t="shared" si="261"/>
        <v>0</v>
      </c>
      <c r="S1308" s="4">
        <f>IF(AND(VLOOKUP(G1308,Dados!$D:$L,2,0)=VLOOKUP(I1308,Dados!$S:$V,2,0),VLOOKUP(G1308,Dados!$D:$L,3,0)=VLOOKUP(I1308,Dados!$S:$V,3,0)),0,1)</f>
        <v>0</v>
      </c>
      <c r="T1308" s="4">
        <f>IF(AND(VLOOKUP(G1308,Dados!$D:$L,3,0)&lt;=VLOOKUP(H1308,Dados!$X:$AB,2,0),VLOOKUP(G1308,Dados!$D:$L,4,0)&gt;=VLOOKUP(H1308,Dados!$X:$AB,3,0),VLOOKUP(G1308,Dados!$D:$L,4,0)&lt;=VLOOKUP(H1308,Dados!$X:$AB,4,0)),0,1)</f>
        <v>0</v>
      </c>
      <c r="U1308" s="4">
        <f>IF(COUNTIFS(F:F,F1308,H:H,H1308)&lt;=VLOOKUP(H1308,Dados!$X:$AB,5,0),0,1)</f>
        <v>0</v>
      </c>
    </row>
    <row r="1309" spans="6:21">
      <c r="F1309" s="4">
        <v>661</v>
      </c>
      <c r="G1309" s="4">
        <v>59</v>
      </c>
      <c r="H1309" s="4">
        <v>3</v>
      </c>
      <c r="I1309" s="4">
        <v>29</v>
      </c>
      <c r="J1309" s="4">
        <v>2</v>
      </c>
      <c r="K1309" s="4">
        <f t="shared" si="257"/>
        <v>0</v>
      </c>
      <c r="L1309" s="4">
        <f t="shared" si="257"/>
        <v>0</v>
      </c>
      <c r="M1309" s="4">
        <f t="shared" si="257"/>
        <v>0</v>
      </c>
      <c r="N1309" s="4">
        <f t="shared" si="257"/>
        <v>0</v>
      </c>
      <c r="O1309" s="4">
        <f t="shared" si="258"/>
        <v>0</v>
      </c>
      <c r="P1309" s="4">
        <f t="shared" si="259"/>
        <v>0</v>
      </c>
      <c r="Q1309" s="4">
        <f t="shared" si="260"/>
        <v>0</v>
      </c>
      <c r="R1309" s="4">
        <f t="shared" si="261"/>
        <v>0</v>
      </c>
      <c r="S1309" s="4">
        <f>IF(AND(VLOOKUP(G1309,Dados!$D:$L,2,0)=VLOOKUP(I1309,Dados!$S:$V,2,0),VLOOKUP(G1309,Dados!$D:$L,3,0)=VLOOKUP(I1309,Dados!$S:$V,3,0)),0,1)</f>
        <v>0</v>
      </c>
      <c r="T1309" s="4">
        <f>IF(AND(VLOOKUP(G1309,Dados!$D:$L,3,0)&lt;=VLOOKUP(H1309,Dados!$X:$AB,2,0),VLOOKUP(G1309,Dados!$D:$L,4,0)&gt;=VLOOKUP(H1309,Dados!$X:$AB,3,0),VLOOKUP(G1309,Dados!$D:$L,4,0)&lt;=VLOOKUP(H1309,Dados!$X:$AB,4,0)),0,1)</f>
        <v>0</v>
      </c>
      <c r="U1309" s="4">
        <f>IF(COUNTIFS(F:F,F1309,H:H,H1309)&lt;=VLOOKUP(H1309,Dados!$X:$AB,5,0),0,1)</f>
        <v>0</v>
      </c>
    </row>
    <row r="1310" spans="6:21">
      <c r="F1310" s="4">
        <v>661</v>
      </c>
      <c r="G1310" s="4">
        <v>61</v>
      </c>
      <c r="H1310" s="4">
        <v>3</v>
      </c>
      <c r="I1310" s="4">
        <v>29</v>
      </c>
      <c r="J1310" s="4">
        <v>5</v>
      </c>
      <c r="K1310" s="4">
        <f t="shared" si="257"/>
        <v>0</v>
      </c>
      <c r="L1310" s="4">
        <f t="shared" si="257"/>
        <v>0</v>
      </c>
      <c r="M1310" s="4">
        <f t="shared" si="257"/>
        <v>0</v>
      </c>
      <c r="N1310" s="4">
        <f t="shared" si="257"/>
        <v>0</v>
      </c>
      <c r="O1310" s="4">
        <f t="shared" si="258"/>
        <v>0</v>
      </c>
      <c r="P1310" s="4">
        <f t="shared" si="259"/>
        <v>0</v>
      </c>
      <c r="Q1310" s="4">
        <f t="shared" si="260"/>
        <v>0</v>
      </c>
      <c r="R1310" s="4">
        <f t="shared" si="261"/>
        <v>0</v>
      </c>
      <c r="S1310" s="4">
        <f>IF(AND(VLOOKUP(G1310,Dados!$D:$L,2,0)=VLOOKUP(I1310,Dados!$S:$V,2,0),VLOOKUP(G1310,Dados!$D:$L,3,0)=VLOOKUP(I1310,Dados!$S:$V,3,0)),0,1)</f>
        <v>0</v>
      </c>
      <c r="T1310" s="4">
        <f>IF(AND(VLOOKUP(G1310,Dados!$D:$L,3,0)&lt;=VLOOKUP(H1310,Dados!$X:$AB,2,0),VLOOKUP(G1310,Dados!$D:$L,4,0)&gt;=VLOOKUP(H1310,Dados!$X:$AB,3,0),VLOOKUP(G1310,Dados!$D:$L,4,0)&lt;=VLOOKUP(H1310,Dados!$X:$AB,4,0)),0,1)</f>
        <v>0</v>
      </c>
      <c r="U1310" s="4">
        <f>IF(COUNTIFS(F:F,F1310,H:H,H1310)&lt;=VLOOKUP(H1310,Dados!$X:$AB,5,0),0,1)</f>
        <v>0</v>
      </c>
    </row>
    <row r="1311" spans="6:21">
      <c r="F1311" s="4">
        <v>661</v>
      </c>
      <c r="G1311" s="4">
        <v>67</v>
      </c>
      <c r="H1311" s="4">
        <v>3</v>
      </c>
      <c r="I1311" s="4">
        <v>29</v>
      </c>
      <c r="J1311" s="4">
        <v>1</v>
      </c>
      <c r="K1311" s="4">
        <f t="shared" si="257"/>
        <v>0</v>
      </c>
      <c r="L1311" s="4">
        <f t="shared" si="257"/>
        <v>0</v>
      </c>
      <c r="M1311" s="4">
        <f t="shared" si="257"/>
        <v>0</v>
      </c>
      <c r="N1311" s="4">
        <f t="shared" si="257"/>
        <v>0</v>
      </c>
      <c r="O1311" s="4">
        <f t="shared" si="258"/>
        <v>0</v>
      </c>
      <c r="P1311" s="4">
        <f t="shared" si="259"/>
        <v>0</v>
      </c>
      <c r="Q1311" s="4">
        <f t="shared" si="260"/>
        <v>0</v>
      </c>
      <c r="R1311" s="4">
        <f t="shared" si="261"/>
        <v>0</v>
      </c>
      <c r="S1311" s="4">
        <f>IF(AND(VLOOKUP(G1311,Dados!$D:$L,2,0)=VLOOKUP(I1311,Dados!$S:$V,2,0),VLOOKUP(G1311,Dados!$D:$L,3,0)=VLOOKUP(I1311,Dados!$S:$V,3,0)),0,1)</f>
        <v>0</v>
      </c>
      <c r="T1311" s="4">
        <f>IF(AND(VLOOKUP(G1311,Dados!$D:$L,3,0)&lt;=VLOOKUP(H1311,Dados!$X:$AB,2,0),VLOOKUP(G1311,Dados!$D:$L,4,0)&gt;=VLOOKUP(H1311,Dados!$X:$AB,3,0),VLOOKUP(G1311,Dados!$D:$L,4,0)&lt;=VLOOKUP(H1311,Dados!$X:$AB,4,0)),0,1)</f>
        <v>0</v>
      </c>
      <c r="U1311" s="4">
        <f>IF(COUNTIFS(F:F,F1311,H:H,H1311)&lt;=VLOOKUP(H1311,Dados!$X:$AB,5,0),0,1)</f>
        <v>0</v>
      </c>
    </row>
    <row r="1312" spans="6:21">
      <c r="F1312" s="4">
        <v>662</v>
      </c>
      <c r="G1312" s="4">
        <v>68</v>
      </c>
      <c r="H1312" s="4">
        <v>1</v>
      </c>
      <c r="I1312" s="4">
        <v>30</v>
      </c>
      <c r="J1312" s="4">
        <v>6</v>
      </c>
      <c r="K1312" s="4">
        <f t="shared" si="257"/>
        <v>0</v>
      </c>
      <c r="L1312" s="4">
        <f t="shared" si="257"/>
        <v>0</v>
      </c>
      <c r="M1312" s="4">
        <f t="shared" si="257"/>
        <v>0</v>
      </c>
      <c r="N1312" s="4">
        <f t="shared" si="257"/>
        <v>0</v>
      </c>
      <c r="O1312" s="4">
        <f t="shared" si="258"/>
        <v>0</v>
      </c>
      <c r="P1312" s="4">
        <f t="shared" si="259"/>
        <v>0</v>
      </c>
      <c r="Q1312" s="4">
        <f t="shared" si="260"/>
        <v>0</v>
      </c>
      <c r="R1312" s="4">
        <f t="shared" si="261"/>
        <v>0</v>
      </c>
      <c r="S1312" s="4">
        <f>IF(AND(VLOOKUP(G1312,Dados!$D:$L,2,0)=VLOOKUP(I1312,Dados!$S:$V,2,0),VLOOKUP(G1312,Dados!$D:$L,3,0)=VLOOKUP(I1312,Dados!$S:$V,3,0)),0,1)</f>
        <v>0</v>
      </c>
      <c r="T1312" s="4">
        <f>IF(AND(VLOOKUP(G1312,Dados!$D:$L,3,0)&lt;=VLOOKUP(H1312,Dados!$X:$AB,2,0),VLOOKUP(G1312,Dados!$D:$L,4,0)&gt;=VLOOKUP(H1312,Dados!$X:$AB,3,0),VLOOKUP(G1312,Dados!$D:$L,4,0)&lt;=VLOOKUP(H1312,Dados!$X:$AB,4,0)),0,1)</f>
        <v>0</v>
      </c>
      <c r="U1312" s="4">
        <f>IF(COUNTIFS(F:F,F1312,H:H,H1312)&lt;=VLOOKUP(H1312,Dados!$X:$AB,5,0),0,1)</f>
        <v>0</v>
      </c>
    </row>
    <row r="1313" spans="6:21">
      <c r="F1313" s="4">
        <v>662</v>
      </c>
      <c r="G1313" s="4">
        <v>70</v>
      </c>
      <c r="H1313" s="4">
        <v>1</v>
      </c>
      <c r="I1313" s="4">
        <v>30</v>
      </c>
      <c r="J1313" s="4">
        <v>1</v>
      </c>
      <c r="K1313" s="4">
        <f t="shared" si="257"/>
        <v>0</v>
      </c>
      <c r="L1313" s="4">
        <f t="shared" si="257"/>
        <v>0</v>
      </c>
      <c r="M1313" s="4">
        <f t="shared" si="257"/>
        <v>0</v>
      </c>
      <c r="N1313" s="4">
        <f t="shared" si="257"/>
        <v>0</v>
      </c>
      <c r="O1313" s="4">
        <f t="shared" si="258"/>
        <v>0</v>
      </c>
      <c r="P1313" s="4">
        <f t="shared" si="259"/>
        <v>0</v>
      </c>
      <c r="Q1313" s="4">
        <f t="shared" si="260"/>
        <v>0</v>
      </c>
      <c r="R1313" s="4">
        <f t="shared" si="261"/>
        <v>0</v>
      </c>
      <c r="S1313" s="4">
        <f>IF(AND(VLOOKUP(G1313,Dados!$D:$L,2,0)=VLOOKUP(I1313,Dados!$S:$V,2,0),VLOOKUP(G1313,Dados!$D:$L,3,0)=VLOOKUP(I1313,Dados!$S:$V,3,0)),0,1)</f>
        <v>0</v>
      </c>
      <c r="T1313" s="4">
        <f>IF(AND(VLOOKUP(G1313,Dados!$D:$L,3,0)&lt;=VLOOKUP(H1313,Dados!$X:$AB,2,0),VLOOKUP(G1313,Dados!$D:$L,4,0)&gt;=VLOOKUP(H1313,Dados!$X:$AB,3,0),VLOOKUP(G1313,Dados!$D:$L,4,0)&lt;=VLOOKUP(H1313,Dados!$X:$AB,4,0)),0,1)</f>
        <v>0</v>
      </c>
      <c r="U1313" s="4">
        <f>IF(COUNTIFS(F:F,F1313,H:H,H1313)&lt;=VLOOKUP(H1313,Dados!$X:$AB,5,0),0,1)</f>
        <v>0</v>
      </c>
    </row>
    <row r="1314" spans="6:21">
      <c r="F1314" s="4">
        <v>663</v>
      </c>
      <c r="G1314" s="4">
        <v>68</v>
      </c>
      <c r="H1314" s="4">
        <v>3</v>
      </c>
      <c r="I1314" s="4">
        <v>30</v>
      </c>
      <c r="J1314" s="4">
        <v>6</v>
      </c>
      <c r="K1314" s="4">
        <f t="shared" si="257"/>
        <v>0</v>
      </c>
      <c r="L1314" s="4">
        <f t="shared" si="257"/>
        <v>0</v>
      </c>
      <c r="M1314" s="4">
        <f t="shared" si="257"/>
        <v>0</v>
      </c>
      <c r="N1314" s="4">
        <f t="shared" si="257"/>
        <v>5</v>
      </c>
      <c r="O1314" s="4">
        <f t="shared" si="258"/>
        <v>0</v>
      </c>
      <c r="P1314" s="4">
        <f t="shared" si="259"/>
        <v>0</v>
      </c>
      <c r="Q1314" s="4">
        <f t="shared" si="260"/>
        <v>0</v>
      </c>
      <c r="R1314" s="4">
        <f t="shared" si="261"/>
        <v>30</v>
      </c>
      <c r="S1314" s="4">
        <f>IF(AND(VLOOKUP(G1314,Dados!$D:$L,2,0)=VLOOKUP(I1314,Dados!$S:$V,2,0),VLOOKUP(G1314,Dados!$D:$L,3,0)=VLOOKUP(I1314,Dados!$S:$V,3,0)),0,1)</f>
        <v>0</v>
      </c>
      <c r="T1314" s="4">
        <f>IF(AND(VLOOKUP(G1314,Dados!$D:$L,3,0)&lt;=VLOOKUP(H1314,Dados!$X:$AB,2,0),VLOOKUP(G1314,Dados!$D:$L,4,0)&gt;=VLOOKUP(H1314,Dados!$X:$AB,3,0),VLOOKUP(G1314,Dados!$D:$L,4,0)&lt;=VLOOKUP(H1314,Dados!$X:$AB,4,0)),0,1)</f>
        <v>0</v>
      </c>
      <c r="U1314" s="4">
        <f>IF(COUNTIFS(F:F,F1314,H:H,H1314)&lt;=VLOOKUP(H1314,Dados!$X:$AB,5,0),0,1)</f>
        <v>0</v>
      </c>
    </row>
    <row r="1315" spans="6:21">
      <c r="F1315" s="4">
        <v>663</v>
      </c>
      <c r="G1315" s="4">
        <v>70</v>
      </c>
      <c r="H1315" s="4">
        <v>3</v>
      </c>
      <c r="I1315" s="4">
        <v>30</v>
      </c>
      <c r="J1315" s="4">
        <v>1</v>
      </c>
      <c r="K1315" s="4">
        <f t="shared" si="257"/>
        <v>0</v>
      </c>
      <c r="L1315" s="4">
        <f t="shared" si="257"/>
        <v>0</v>
      </c>
      <c r="M1315" s="4">
        <f t="shared" si="257"/>
        <v>0</v>
      </c>
      <c r="N1315" s="4">
        <f t="shared" si="257"/>
        <v>5</v>
      </c>
      <c r="O1315" s="4">
        <f t="shared" si="258"/>
        <v>0</v>
      </c>
      <c r="P1315" s="4">
        <f t="shared" si="259"/>
        <v>0</v>
      </c>
      <c r="Q1315" s="4">
        <f t="shared" si="260"/>
        <v>0</v>
      </c>
      <c r="R1315" s="4">
        <f t="shared" si="261"/>
        <v>5</v>
      </c>
      <c r="S1315" s="4">
        <f>IF(AND(VLOOKUP(G1315,Dados!$D:$L,2,0)=VLOOKUP(I1315,Dados!$S:$V,2,0),VLOOKUP(G1315,Dados!$D:$L,3,0)=VLOOKUP(I1315,Dados!$S:$V,3,0)),0,1)</f>
        <v>0</v>
      </c>
      <c r="T1315" s="4">
        <f>IF(AND(VLOOKUP(G1315,Dados!$D:$L,3,0)&lt;=VLOOKUP(H1315,Dados!$X:$AB,2,0),VLOOKUP(G1315,Dados!$D:$L,4,0)&gt;=VLOOKUP(H1315,Dados!$X:$AB,3,0),VLOOKUP(G1315,Dados!$D:$L,4,0)&lt;=VLOOKUP(H1315,Dados!$X:$AB,4,0)),0,1)</f>
        <v>0</v>
      </c>
      <c r="U1315" s="4">
        <f>IF(COUNTIFS(F:F,F1315,H:H,H1315)&lt;=VLOOKUP(H1315,Dados!$X:$AB,5,0),0,1)</f>
        <v>0</v>
      </c>
    </row>
    <row r="1316" spans="6:21">
      <c r="F1316" s="4">
        <v>664</v>
      </c>
      <c r="G1316" s="4">
        <v>2</v>
      </c>
      <c r="H1316" s="4">
        <v>1</v>
      </c>
      <c r="I1316" s="4">
        <v>1</v>
      </c>
      <c r="J1316" s="4">
        <v>2</v>
      </c>
      <c r="K1316" s="4">
        <f t="shared" si="257"/>
        <v>0</v>
      </c>
      <c r="L1316" s="4">
        <f t="shared" si="257"/>
        <v>0</v>
      </c>
      <c r="M1316" s="4">
        <f t="shared" si="257"/>
        <v>0</v>
      </c>
      <c r="N1316" s="4">
        <f t="shared" si="257"/>
        <v>0</v>
      </c>
      <c r="O1316" s="4">
        <f t="shared" si="258"/>
        <v>0</v>
      </c>
      <c r="P1316" s="4">
        <f t="shared" si="259"/>
        <v>0</v>
      </c>
      <c r="Q1316" s="4">
        <f t="shared" si="260"/>
        <v>0</v>
      </c>
      <c r="R1316" s="4">
        <f t="shared" si="261"/>
        <v>0</v>
      </c>
      <c r="S1316" s="4">
        <f>IF(AND(VLOOKUP(G1316,Dados!$D:$L,2,0)=VLOOKUP(I1316,Dados!$S:$V,2,0),VLOOKUP(G1316,Dados!$D:$L,3,0)=VLOOKUP(I1316,Dados!$S:$V,3,0)),0,1)</f>
        <v>0</v>
      </c>
      <c r="T1316" s="4">
        <f>IF(AND(VLOOKUP(G1316,Dados!$D:$L,3,0)&lt;=VLOOKUP(H1316,Dados!$X:$AB,2,0),VLOOKUP(G1316,Dados!$D:$L,4,0)&gt;=VLOOKUP(H1316,Dados!$X:$AB,3,0),VLOOKUP(G1316,Dados!$D:$L,4,0)&lt;=VLOOKUP(H1316,Dados!$X:$AB,4,0)),0,1)</f>
        <v>0</v>
      </c>
      <c r="U1316" s="4">
        <f>IF(COUNTIFS(F:F,F1316,H:H,H1316)&lt;=VLOOKUP(H1316,Dados!$X:$AB,5,0),0,1)</f>
        <v>0</v>
      </c>
    </row>
    <row r="1317" spans="6:21">
      <c r="F1317" s="4">
        <v>664</v>
      </c>
      <c r="G1317" s="4">
        <v>3</v>
      </c>
      <c r="H1317" s="4">
        <v>1</v>
      </c>
      <c r="I1317" s="4">
        <v>1</v>
      </c>
      <c r="J1317" s="4">
        <v>1</v>
      </c>
      <c r="K1317" s="4">
        <f t="shared" si="257"/>
        <v>0</v>
      </c>
      <c r="L1317" s="4">
        <f t="shared" si="257"/>
        <v>0</v>
      </c>
      <c r="M1317" s="4">
        <f t="shared" si="257"/>
        <v>0</v>
      </c>
      <c r="N1317" s="4">
        <f t="shared" ref="K1317:N1380" si="262">SUMIFS($X:$X,$W:$W,$F1317,$Z:$Z,$I1317,$AA:$AA,$H1317,$AB:$AB,N$2)</f>
        <v>0</v>
      </c>
      <c r="O1317" s="4">
        <f t="shared" si="258"/>
        <v>0</v>
      </c>
      <c r="P1317" s="4">
        <f t="shared" si="259"/>
        <v>0</v>
      </c>
      <c r="Q1317" s="4">
        <f t="shared" si="260"/>
        <v>0</v>
      </c>
      <c r="R1317" s="4">
        <f t="shared" si="261"/>
        <v>0</v>
      </c>
      <c r="S1317" s="4">
        <f>IF(AND(VLOOKUP(G1317,Dados!$D:$L,2,0)=VLOOKUP(I1317,Dados!$S:$V,2,0),VLOOKUP(G1317,Dados!$D:$L,3,0)=VLOOKUP(I1317,Dados!$S:$V,3,0)),0,1)</f>
        <v>0</v>
      </c>
      <c r="T1317" s="4">
        <f>IF(AND(VLOOKUP(G1317,Dados!$D:$L,3,0)&lt;=VLOOKUP(H1317,Dados!$X:$AB,2,0),VLOOKUP(G1317,Dados!$D:$L,4,0)&gt;=VLOOKUP(H1317,Dados!$X:$AB,3,0),VLOOKUP(G1317,Dados!$D:$L,4,0)&lt;=VLOOKUP(H1317,Dados!$X:$AB,4,0)),0,1)</f>
        <v>0</v>
      </c>
      <c r="U1317" s="4">
        <f>IF(COUNTIFS(F:F,F1317,H:H,H1317)&lt;=VLOOKUP(H1317,Dados!$X:$AB,5,0),0,1)</f>
        <v>0</v>
      </c>
    </row>
    <row r="1318" spans="6:21">
      <c r="F1318" s="4">
        <v>664</v>
      </c>
      <c r="G1318" s="4">
        <v>5</v>
      </c>
      <c r="H1318" s="4">
        <v>1</v>
      </c>
      <c r="I1318" s="4">
        <v>1</v>
      </c>
      <c r="J1318" s="4">
        <v>5</v>
      </c>
      <c r="K1318" s="4">
        <f t="shared" si="262"/>
        <v>0</v>
      </c>
      <c r="L1318" s="4">
        <f t="shared" si="262"/>
        <v>0</v>
      </c>
      <c r="M1318" s="4">
        <f t="shared" si="262"/>
        <v>0</v>
      </c>
      <c r="N1318" s="4">
        <f t="shared" si="262"/>
        <v>0</v>
      </c>
      <c r="O1318" s="4">
        <f t="shared" si="258"/>
        <v>0</v>
      </c>
      <c r="P1318" s="4">
        <f t="shared" si="259"/>
        <v>0</v>
      </c>
      <c r="Q1318" s="4">
        <f t="shared" si="260"/>
        <v>0</v>
      </c>
      <c r="R1318" s="4">
        <f t="shared" si="261"/>
        <v>0</v>
      </c>
      <c r="S1318" s="4">
        <f>IF(AND(VLOOKUP(G1318,Dados!$D:$L,2,0)=VLOOKUP(I1318,Dados!$S:$V,2,0),VLOOKUP(G1318,Dados!$D:$L,3,0)=VLOOKUP(I1318,Dados!$S:$V,3,0)),0,1)</f>
        <v>0</v>
      </c>
      <c r="T1318" s="4">
        <f>IF(AND(VLOOKUP(G1318,Dados!$D:$L,3,0)&lt;=VLOOKUP(H1318,Dados!$X:$AB,2,0),VLOOKUP(G1318,Dados!$D:$L,4,0)&gt;=VLOOKUP(H1318,Dados!$X:$AB,3,0),VLOOKUP(G1318,Dados!$D:$L,4,0)&lt;=VLOOKUP(H1318,Dados!$X:$AB,4,0)),0,1)</f>
        <v>0</v>
      </c>
      <c r="U1318" s="4">
        <f>IF(COUNTIFS(F:F,F1318,H:H,H1318)&lt;=VLOOKUP(H1318,Dados!$X:$AB,5,0),0,1)</f>
        <v>0</v>
      </c>
    </row>
    <row r="1319" spans="6:21">
      <c r="F1319" s="4">
        <v>665</v>
      </c>
      <c r="G1319" s="4">
        <v>2</v>
      </c>
      <c r="H1319" s="4">
        <v>2</v>
      </c>
      <c r="I1319" s="4">
        <v>1</v>
      </c>
      <c r="J1319" s="4">
        <v>2</v>
      </c>
      <c r="K1319" s="4">
        <f t="shared" si="262"/>
        <v>0</v>
      </c>
      <c r="L1319" s="4">
        <f t="shared" si="262"/>
        <v>0</v>
      </c>
      <c r="M1319" s="4">
        <f t="shared" si="262"/>
        <v>0</v>
      </c>
      <c r="N1319" s="4">
        <f t="shared" si="262"/>
        <v>0</v>
      </c>
      <c r="O1319" s="4">
        <f t="shared" ref="O1319:O1382" si="263">$J1319*K1319</f>
        <v>0</v>
      </c>
      <c r="P1319" s="4">
        <f t="shared" ref="P1319:P1382" si="264">$J1319*L1319</f>
        <v>0</v>
      </c>
      <c r="Q1319" s="4">
        <f t="shared" ref="Q1319:Q1382" si="265">$J1319*M1319</f>
        <v>0</v>
      </c>
      <c r="R1319" s="4">
        <f t="shared" ref="R1319:R1382" si="266">$J1319*N1319</f>
        <v>0</v>
      </c>
      <c r="S1319" s="4">
        <f>IF(AND(VLOOKUP(G1319,Dados!$D:$L,2,0)=VLOOKUP(I1319,Dados!$S:$V,2,0),VLOOKUP(G1319,Dados!$D:$L,3,0)=VLOOKUP(I1319,Dados!$S:$V,3,0)),0,1)</f>
        <v>0</v>
      </c>
      <c r="T1319" s="4">
        <f>IF(AND(VLOOKUP(G1319,Dados!$D:$L,3,0)&lt;=VLOOKUP(H1319,Dados!$X:$AB,2,0),VLOOKUP(G1319,Dados!$D:$L,4,0)&gt;=VLOOKUP(H1319,Dados!$X:$AB,3,0),VLOOKUP(G1319,Dados!$D:$L,4,0)&lt;=VLOOKUP(H1319,Dados!$X:$AB,4,0)),0,1)</f>
        <v>0</v>
      </c>
      <c r="U1319" s="4">
        <f>IF(COUNTIFS(F:F,F1319,H:H,H1319)&lt;=VLOOKUP(H1319,Dados!$X:$AB,5,0),0,1)</f>
        <v>0</v>
      </c>
    </row>
    <row r="1320" spans="6:21">
      <c r="F1320" s="4">
        <v>665</v>
      </c>
      <c r="G1320" s="4">
        <v>3</v>
      </c>
      <c r="H1320" s="4">
        <v>2</v>
      </c>
      <c r="I1320" s="4">
        <v>1</v>
      </c>
      <c r="J1320" s="4">
        <v>1</v>
      </c>
      <c r="K1320" s="4">
        <f t="shared" si="262"/>
        <v>0</v>
      </c>
      <c r="L1320" s="4">
        <f t="shared" si="262"/>
        <v>0</v>
      </c>
      <c r="M1320" s="4">
        <f t="shared" si="262"/>
        <v>0</v>
      </c>
      <c r="N1320" s="4">
        <f t="shared" si="262"/>
        <v>0</v>
      </c>
      <c r="O1320" s="4">
        <f t="shared" si="263"/>
        <v>0</v>
      </c>
      <c r="P1320" s="4">
        <f t="shared" si="264"/>
        <v>0</v>
      </c>
      <c r="Q1320" s="4">
        <f t="shared" si="265"/>
        <v>0</v>
      </c>
      <c r="R1320" s="4">
        <f t="shared" si="266"/>
        <v>0</v>
      </c>
      <c r="S1320" s="4">
        <f>IF(AND(VLOOKUP(G1320,Dados!$D:$L,2,0)=VLOOKUP(I1320,Dados!$S:$V,2,0),VLOOKUP(G1320,Dados!$D:$L,3,0)=VLOOKUP(I1320,Dados!$S:$V,3,0)),0,1)</f>
        <v>0</v>
      </c>
      <c r="T1320" s="4">
        <f>IF(AND(VLOOKUP(G1320,Dados!$D:$L,3,0)&lt;=VLOOKUP(H1320,Dados!$X:$AB,2,0),VLOOKUP(G1320,Dados!$D:$L,4,0)&gt;=VLOOKUP(H1320,Dados!$X:$AB,3,0),VLOOKUP(G1320,Dados!$D:$L,4,0)&lt;=VLOOKUP(H1320,Dados!$X:$AB,4,0)),0,1)</f>
        <v>0</v>
      </c>
      <c r="U1320" s="4">
        <f>IF(COUNTIFS(F:F,F1320,H:H,H1320)&lt;=VLOOKUP(H1320,Dados!$X:$AB,5,0),0,1)</f>
        <v>0</v>
      </c>
    </row>
    <row r="1321" spans="6:21">
      <c r="F1321" s="4">
        <v>665</v>
      </c>
      <c r="G1321" s="4">
        <v>5</v>
      </c>
      <c r="H1321" s="4">
        <v>2</v>
      </c>
      <c r="I1321" s="4">
        <v>1</v>
      </c>
      <c r="J1321" s="4">
        <v>5</v>
      </c>
      <c r="K1321" s="4">
        <f t="shared" si="262"/>
        <v>0</v>
      </c>
      <c r="L1321" s="4">
        <f t="shared" si="262"/>
        <v>0</v>
      </c>
      <c r="M1321" s="4">
        <f t="shared" si="262"/>
        <v>0</v>
      </c>
      <c r="N1321" s="4">
        <f t="shared" si="262"/>
        <v>0</v>
      </c>
      <c r="O1321" s="4">
        <f t="shared" si="263"/>
        <v>0</v>
      </c>
      <c r="P1321" s="4">
        <f t="shared" si="264"/>
        <v>0</v>
      </c>
      <c r="Q1321" s="4">
        <f t="shared" si="265"/>
        <v>0</v>
      </c>
      <c r="R1321" s="4">
        <f t="shared" si="266"/>
        <v>0</v>
      </c>
      <c r="S1321" s="4">
        <f>IF(AND(VLOOKUP(G1321,Dados!$D:$L,2,0)=VLOOKUP(I1321,Dados!$S:$V,2,0),VLOOKUP(G1321,Dados!$D:$L,3,0)=VLOOKUP(I1321,Dados!$S:$V,3,0)),0,1)</f>
        <v>0</v>
      </c>
      <c r="T1321" s="4">
        <f>IF(AND(VLOOKUP(G1321,Dados!$D:$L,3,0)&lt;=VLOOKUP(H1321,Dados!$X:$AB,2,0),VLOOKUP(G1321,Dados!$D:$L,4,0)&gt;=VLOOKUP(H1321,Dados!$X:$AB,3,0),VLOOKUP(G1321,Dados!$D:$L,4,0)&lt;=VLOOKUP(H1321,Dados!$X:$AB,4,0)),0,1)</f>
        <v>0</v>
      </c>
      <c r="U1321" s="4">
        <f>IF(COUNTIFS(F:F,F1321,H:H,H1321)&lt;=VLOOKUP(H1321,Dados!$X:$AB,5,0),0,1)</f>
        <v>0</v>
      </c>
    </row>
    <row r="1322" spans="6:21">
      <c r="F1322" s="4">
        <v>666</v>
      </c>
      <c r="G1322" s="4">
        <v>2</v>
      </c>
      <c r="H1322" s="4">
        <v>3</v>
      </c>
      <c r="I1322" s="4">
        <v>1</v>
      </c>
      <c r="J1322" s="4">
        <v>2</v>
      </c>
      <c r="K1322" s="4">
        <f t="shared" si="262"/>
        <v>0</v>
      </c>
      <c r="L1322" s="4">
        <f t="shared" si="262"/>
        <v>1</v>
      </c>
      <c r="M1322" s="4">
        <f t="shared" si="262"/>
        <v>0</v>
      </c>
      <c r="N1322" s="4">
        <f t="shared" si="262"/>
        <v>0</v>
      </c>
      <c r="O1322" s="4">
        <f t="shared" si="263"/>
        <v>0</v>
      </c>
      <c r="P1322" s="4">
        <f t="shared" si="264"/>
        <v>2</v>
      </c>
      <c r="Q1322" s="4">
        <f t="shared" si="265"/>
        <v>0</v>
      </c>
      <c r="R1322" s="4">
        <f t="shared" si="266"/>
        <v>0</v>
      </c>
      <c r="S1322" s="4">
        <f>IF(AND(VLOOKUP(G1322,Dados!$D:$L,2,0)=VLOOKUP(I1322,Dados!$S:$V,2,0),VLOOKUP(G1322,Dados!$D:$L,3,0)=VLOOKUP(I1322,Dados!$S:$V,3,0)),0,1)</f>
        <v>0</v>
      </c>
      <c r="T1322" s="4">
        <f>IF(AND(VLOOKUP(G1322,Dados!$D:$L,3,0)&lt;=VLOOKUP(H1322,Dados!$X:$AB,2,0),VLOOKUP(G1322,Dados!$D:$L,4,0)&gt;=VLOOKUP(H1322,Dados!$X:$AB,3,0),VLOOKUP(G1322,Dados!$D:$L,4,0)&lt;=VLOOKUP(H1322,Dados!$X:$AB,4,0)),0,1)</f>
        <v>0</v>
      </c>
      <c r="U1322" s="4">
        <f>IF(COUNTIFS(F:F,F1322,H:H,H1322)&lt;=VLOOKUP(H1322,Dados!$X:$AB,5,0),0,1)</f>
        <v>0</v>
      </c>
    </row>
    <row r="1323" spans="6:21">
      <c r="F1323" s="4">
        <v>666</v>
      </c>
      <c r="G1323" s="4">
        <v>3</v>
      </c>
      <c r="H1323" s="4">
        <v>3</v>
      </c>
      <c r="I1323" s="4">
        <v>1</v>
      </c>
      <c r="J1323" s="4">
        <v>1</v>
      </c>
      <c r="K1323" s="4">
        <f t="shared" si="262"/>
        <v>0</v>
      </c>
      <c r="L1323" s="4">
        <f t="shared" si="262"/>
        <v>1</v>
      </c>
      <c r="M1323" s="4">
        <f t="shared" si="262"/>
        <v>0</v>
      </c>
      <c r="N1323" s="4">
        <f t="shared" si="262"/>
        <v>0</v>
      </c>
      <c r="O1323" s="4">
        <f t="shared" si="263"/>
        <v>0</v>
      </c>
      <c r="P1323" s="4">
        <f t="shared" si="264"/>
        <v>1</v>
      </c>
      <c r="Q1323" s="4">
        <f t="shared" si="265"/>
        <v>0</v>
      </c>
      <c r="R1323" s="4">
        <f t="shared" si="266"/>
        <v>0</v>
      </c>
      <c r="S1323" s="4">
        <f>IF(AND(VLOOKUP(G1323,Dados!$D:$L,2,0)=VLOOKUP(I1323,Dados!$S:$V,2,0),VLOOKUP(G1323,Dados!$D:$L,3,0)=VLOOKUP(I1323,Dados!$S:$V,3,0)),0,1)</f>
        <v>0</v>
      </c>
      <c r="T1323" s="4">
        <f>IF(AND(VLOOKUP(G1323,Dados!$D:$L,3,0)&lt;=VLOOKUP(H1323,Dados!$X:$AB,2,0),VLOOKUP(G1323,Dados!$D:$L,4,0)&gt;=VLOOKUP(H1323,Dados!$X:$AB,3,0),VLOOKUP(G1323,Dados!$D:$L,4,0)&lt;=VLOOKUP(H1323,Dados!$X:$AB,4,0)),0,1)</f>
        <v>0</v>
      </c>
      <c r="U1323" s="4">
        <f>IF(COUNTIFS(F:F,F1323,H:H,H1323)&lt;=VLOOKUP(H1323,Dados!$X:$AB,5,0),0,1)</f>
        <v>0</v>
      </c>
    </row>
    <row r="1324" spans="6:21">
      <c r="F1324" s="4">
        <v>666</v>
      </c>
      <c r="G1324" s="4">
        <v>5</v>
      </c>
      <c r="H1324" s="4">
        <v>3</v>
      </c>
      <c r="I1324" s="4">
        <v>1</v>
      </c>
      <c r="J1324" s="4">
        <v>5</v>
      </c>
      <c r="K1324" s="4">
        <f t="shared" si="262"/>
        <v>0</v>
      </c>
      <c r="L1324" s="4">
        <f t="shared" si="262"/>
        <v>1</v>
      </c>
      <c r="M1324" s="4">
        <f t="shared" si="262"/>
        <v>0</v>
      </c>
      <c r="N1324" s="4">
        <f t="shared" si="262"/>
        <v>0</v>
      </c>
      <c r="O1324" s="4">
        <f t="shared" si="263"/>
        <v>0</v>
      </c>
      <c r="P1324" s="4">
        <f t="shared" si="264"/>
        <v>5</v>
      </c>
      <c r="Q1324" s="4">
        <f t="shared" si="265"/>
        <v>0</v>
      </c>
      <c r="R1324" s="4">
        <f t="shared" si="266"/>
        <v>0</v>
      </c>
      <c r="S1324" s="4">
        <f>IF(AND(VLOOKUP(G1324,Dados!$D:$L,2,0)=VLOOKUP(I1324,Dados!$S:$V,2,0),VLOOKUP(G1324,Dados!$D:$L,3,0)=VLOOKUP(I1324,Dados!$S:$V,3,0)),0,1)</f>
        <v>0</v>
      </c>
      <c r="T1324" s="4">
        <f>IF(AND(VLOOKUP(G1324,Dados!$D:$L,3,0)&lt;=VLOOKUP(H1324,Dados!$X:$AB,2,0),VLOOKUP(G1324,Dados!$D:$L,4,0)&gt;=VLOOKUP(H1324,Dados!$X:$AB,3,0),VLOOKUP(G1324,Dados!$D:$L,4,0)&lt;=VLOOKUP(H1324,Dados!$X:$AB,4,0)),0,1)</f>
        <v>0</v>
      </c>
      <c r="U1324" s="4">
        <f>IF(COUNTIFS(F:F,F1324,H:H,H1324)&lt;=VLOOKUP(H1324,Dados!$X:$AB,5,0),0,1)</f>
        <v>0</v>
      </c>
    </row>
    <row r="1325" spans="6:21">
      <c r="F1325" s="4">
        <v>667</v>
      </c>
      <c r="G1325" s="4">
        <v>13</v>
      </c>
      <c r="H1325" s="4">
        <v>1</v>
      </c>
      <c r="I1325" s="4">
        <v>8</v>
      </c>
      <c r="J1325" s="4">
        <v>2</v>
      </c>
      <c r="K1325" s="4">
        <f t="shared" si="262"/>
        <v>0</v>
      </c>
      <c r="L1325" s="4">
        <f t="shared" si="262"/>
        <v>0</v>
      </c>
      <c r="M1325" s="4">
        <f t="shared" si="262"/>
        <v>0</v>
      </c>
      <c r="N1325" s="4">
        <f t="shared" si="262"/>
        <v>0</v>
      </c>
      <c r="O1325" s="4">
        <f t="shared" si="263"/>
        <v>0</v>
      </c>
      <c r="P1325" s="4">
        <f t="shared" si="264"/>
        <v>0</v>
      </c>
      <c r="Q1325" s="4">
        <f t="shared" si="265"/>
        <v>0</v>
      </c>
      <c r="R1325" s="4">
        <f t="shared" si="266"/>
        <v>0</v>
      </c>
      <c r="S1325" s="4">
        <f>IF(AND(VLOOKUP(G1325,Dados!$D:$L,2,0)=VLOOKUP(I1325,Dados!$S:$V,2,0),VLOOKUP(G1325,Dados!$D:$L,3,0)=VLOOKUP(I1325,Dados!$S:$V,3,0)),0,1)</f>
        <v>0</v>
      </c>
      <c r="T1325" s="4">
        <f>IF(AND(VLOOKUP(G1325,Dados!$D:$L,3,0)&lt;=VLOOKUP(H1325,Dados!$X:$AB,2,0),VLOOKUP(G1325,Dados!$D:$L,4,0)&gt;=VLOOKUP(H1325,Dados!$X:$AB,3,0),VLOOKUP(G1325,Dados!$D:$L,4,0)&lt;=VLOOKUP(H1325,Dados!$X:$AB,4,0)),0,1)</f>
        <v>0</v>
      </c>
      <c r="U1325" s="4">
        <f>IF(COUNTIFS(F:F,F1325,H:H,H1325)&lt;=VLOOKUP(H1325,Dados!$X:$AB,5,0),0,1)</f>
        <v>0</v>
      </c>
    </row>
    <row r="1326" spans="6:21">
      <c r="F1326" s="4">
        <v>667</v>
      </c>
      <c r="G1326" s="4">
        <v>14</v>
      </c>
      <c r="H1326" s="4">
        <v>1</v>
      </c>
      <c r="I1326" s="4">
        <v>8</v>
      </c>
      <c r="J1326" s="4">
        <v>1</v>
      </c>
      <c r="K1326" s="4">
        <f t="shared" si="262"/>
        <v>0</v>
      </c>
      <c r="L1326" s="4">
        <f t="shared" si="262"/>
        <v>0</v>
      </c>
      <c r="M1326" s="4">
        <f t="shared" si="262"/>
        <v>0</v>
      </c>
      <c r="N1326" s="4">
        <f t="shared" si="262"/>
        <v>0</v>
      </c>
      <c r="O1326" s="4">
        <f t="shared" si="263"/>
        <v>0</v>
      </c>
      <c r="P1326" s="4">
        <f t="shared" si="264"/>
        <v>0</v>
      </c>
      <c r="Q1326" s="4">
        <f t="shared" si="265"/>
        <v>0</v>
      </c>
      <c r="R1326" s="4">
        <f t="shared" si="266"/>
        <v>0</v>
      </c>
      <c r="S1326" s="4">
        <f>IF(AND(VLOOKUP(G1326,Dados!$D:$L,2,0)=VLOOKUP(I1326,Dados!$S:$V,2,0),VLOOKUP(G1326,Dados!$D:$L,3,0)=VLOOKUP(I1326,Dados!$S:$V,3,0)),0,1)</f>
        <v>0</v>
      </c>
      <c r="T1326" s="4">
        <f>IF(AND(VLOOKUP(G1326,Dados!$D:$L,3,0)&lt;=VLOOKUP(H1326,Dados!$X:$AB,2,0),VLOOKUP(G1326,Dados!$D:$L,4,0)&gt;=VLOOKUP(H1326,Dados!$X:$AB,3,0),VLOOKUP(G1326,Dados!$D:$L,4,0)&lt;=VLOOKUP(H1326,Dados!$X:$AB,4,0)),0,1)</f>
        <v>0</v>
      </c>
      <c r="U1326" s="4">
        <f>IF(COUNTIFS(F:F,F1326,H:H,H1326)&lt;=VLOOKUP(H1326,Dados!$X:$AB,5,0),0,1)</f>
        <v>0</v>
      </c>
    </row>
    <row r="1327" spans="6:21">
      <c r="F1327" s="4">
        <v>667</v>
      </c>
      <c r="G1327" s="4">
        <v>16</v>
      </c>
      <c r="H1327" s="4">
        <v>1</v>
      </c>
      <c r="I1327" s="4">
        <v>8</v>
      </c>
      <c r="J1327" s="4">
        <v>5</v>
      </c>
      <c r="K1327" s="4">
        <f t="shared" si="262"/>
        <v>0</v>
      </c>
      <c r="L1327" s="4">
        <f t="shared" si="262"/>
        <v>0</v>
      </c>
      <c r="M1327" s="4">
        <f t="shared" si="262"/>
        <v>0</v>
      </c>
      <c r="N1327" s="4">
        <f t="shared" si="262"/>
        <v>0</v>
      </c>
      <c r="O1327" s="4">
        <f t="shared" si="263"/>
        <v>0</v>
      </c>
      <c r="P1327" s="4">
        <f t="shared" si="264"/>
        <v>0</v>
      </c>
      <c r="Q1327" s="4">
        <f t="shared" si="265"/>
        <v>0</v>
      </c>
      <c r="R1327" s="4">
        <f t="shared" si="266"/>
        <v>0</v>
      </c>
      <c r="S1327" s="4">
        <f>IF(AND(VLOOKUP(G1327,Dados!$D:$L,2,0)=VLOOKUP(I1327,Dados!$S:$V,2,0),VLOOKUP(G1327,Dados!$D:$L,3,0)=VLOOKUP(I1327,Dados!$S:$V,3,0)),0,1)</f>
        <v>0</v>
      </c>
      <c r="T1327" s="4">
        <f>IF(AND(VLOOKUP(G1327,Dados!$D:$L,3,0)&lt;=VLOOKUP(H1327,Dados!$X:$AB,2,0),VLOOKUP(G1327,Dados!$D:$L,4,0)&gt;=VLOOKUP(H1327,Dados!$X:$AB,3,0),VLOOKUP(G1327,Dados!$D:$L,4,0)&lt;=VLOOKUP(H1327,Dados!$X:$AB,4,0)),0,1)</f>
        <v>0</v>
      </c>
      <c r="U1327" s="4">
        <f>IF(COUNTIFS(F:F,F1327,H:H,H1327)&lt;=VLOOKUP(H1327,Dados!$X:$AB,5,0),0,1)</f>
        <v>0</v>
      </c>
    </row>
    <row r="1328" spans="6:21">
      <c r="F1328" s="4">
        <v>668</v>
      </c>
      <c r="G1328" s="4">
        <v>13</v>
      </c>
      <c r="H1328" s="4">
        <v>3</v>
      </c>
      <c r="I1328" s="4">
        <v>8</v>
      </c>
      <c r="J1328" s="4">
        <v>2</v>
      </c>
      <c r="K1328" s="4">
        <f t="shared" si="262"/>
        <v>0</v>
      </c>
      <c r="L1328" s="4">
        <f t="shared" si="262"/>
        <v>0</v>
      </c>
      <c r="M1328" s="4">
        <f t="shared" si="262"/>
        <v>0</v>
      </c>
      <c r="N1328" s="4">
        <f t="shared" si="262"/>
        <v>0</v>
      </c>
      <c r="O1328" s="4">
        <f t="shared" si="263"/>
        <v>0</v>
      </c>
      <c r="P1328" s="4">
        <f t="shared" si="264"/>
        <v>0</v>
      </c>
      <c r="Q1328" s="4">
        <f t="shared" si="265"/>
        <v>0</v>
      </c>
      <c r="R1328" s="4">
        <f t="shared" si="266"/>
        <v>0</v>
      </c>
      <c r="S1328" s="4">
        <f>IF(AND(VLOOKUP(G1328,Dados!$D:$L,2,0)=VLOOKUP(I1328,Dados!$S:$V,2,0),VLOOKUP(G1328,Dados!$D:$L,3,0)=VLOOKUP(I1328,Dados!$S:$V,3,0)),0,1)</f>
        <v>0</v>
      </c>
      <c r="T1328" s="4">
        <f>IF(AND(VLOOKUP(G1328,Dados!$D:$L,3,0)&lt;=VLOOKUP(H1328,Dados!$X:$AB,2,0),VLOOKUP(G1328,Dados!$D:$L,4,0)&gt;=VLOOKUP(H1328,Dados!$X:$AB,3,0),VLOOKUP(G1328,Dados!$D:$L,4,0)&lt;=VLOOKUP(H1328,Dados!$X:$AB,4,0)),0,1)</f>
        <v>0</v>
      </c>
      <c r="U1328" s="4">
        <f>IF(COUNTIFS(F:F,F1328,H:H,H1328)&lt;=VLOOKUP(H1328,Dados!$X:$AB,5,0),0,1)</f>
        <v>0</v>
      </c>
    </row>
    <row r="1329" spans="6:21">
      <c r="F1329" s="4">
        <v>668</v>
      </c>
      <c r="G1329" s="4">
        <v>14</v>
      </c>
      <c r="H1329" s="4">
        <v>3</v>
      </c>
      <c r="I1329" s="4">
        <v>8</v>
      </c>
      <c r="J1329" s="4">
        <v>1</v>
      </c>
      <c r="K1329" s="4">
        <f t="shared" si="262"/>
        <v>0</v>
      </c>
      <c r="L1329" s="4">
        <f t="shared" si="262"/>
        <v>0</v>
      </c>
      <c r="M1329" s="4">
        <f t="shared" si="262"/>
        <v>0</v>
      </c>
      <c r="N1329" s="4">
        <f t="shared" si="262"/>
        <v>0</v>
      </c>
      <c r="O1329" s="4">
        <f t="shared" si="263"/>
        <v>0</v>
      </c>
      <c r="P1329" s="4">
        <f t="shared" si="264"/>
        <v>0</v>
      </c>
      <c r="Q1329" s="4">
        <f t="shared" si="265"/>
        <v>0</v>
      </c>
      <c r="R1329" s="4">
        <f t="shared" si="266"/>
        <v>0</v>
      </c>
      <c r="S1329" s="4">
        <f>IF(AND(VLOOKUP(G1329,Dados!$D:$L,2,0)=VLOOKUP(I1329,Dados!$S:$V,2,0),VLOOKUP(G1329,Dados!$D:$L,3,0)=VLOOKUP(I1329,Dados!$S:$V,3,0)),0,1)</f>
        <v>0</v>
      </c>
      <c r="T1329" s="4">
        <f>IF(AND(VLOOKUP(G1329,Dados!$D:$L,3,0)&lt;=VLOOKUP(H1329,Dados!$X:$AB,2,0),VLOOKUP(G1329,Dados!$D:$L,4,0)&gt;=VLOOKUP(H1329,Dados!$X:$AB,3,0),VLOOKUP(G1329,Dados!$D:$L,4,0)&lt;=VLOOKUP(H1329,Dados!$X:$AB,4,0)),0,1)</f>
        <v>0</v>
      </c>
      <c r="U1329" s="4">
        <f>IF(COUNTIFS(F:F,F1329,H:H,H1329)&lt;=VLOOKUP(H1329,Dados!$X:$AB,5,0),0,1)</f>
        <v>0</v>
      </c>
    </row>
    <row r="1330" spans="6:21">
      <c r="F1330" s="4">
        <v>668</v>
      </c>
      <c r="G1330" s="4">
        <v>16</v>
      </c>
      <c r="H1330" s="4">
        <v>3</v>
      </c>
      <c r="I1330" s="4">
        <v>8</v>
      </c>
      <c r="J1330" s="4">
        <v>5</v>
      </c>
      <c r="K1330" s="4">
        <f t="shared" si="262"/>
        <v>0</v>
      </c>
      <c r="L1330" s="4">
        <f t="shared" si="262"/>
        <v>0</v>
      </c>
      <c r="M1330" s="4">
        <f t="shared" si="262"/>
        <v>0</v>
      </c>
      <c r="N1330" s="4">
        <f t="shared" si="262"/>
        <v>0</v>
      </c>
      <c r="O1330" s="4">
        <f t="shared" si="263"/>
        <v>0</v>
      </c>
      <c r="P1330" s="4">
        <f t="shared" si="264"/>
        <v>0</v>
      </c>
      <c r="Q1330" s="4">
        <f t="shared" si="265"/>
        <v>0</v>
      </c>
      <c r="R1330" s="4">
        <f t="shared" si="266"/>
        <v>0</v>
      </c>
      <c r="S1330" s="4">
        <f>IF(AND(VLOOKUP(G1330,Dados!$D:$L,2,0)=VLOOKUP(I1330,Dados!$S:$V,2,0),VLOOKUP(G1330,Dados!$D:$L,3,0)=VLOOKUP(I1330,Dados!$S:$V,3,0)),0,1)</f>
        <v>0</v>
      </c>
      <c r="T1330" s="4">
        <f>IF(AND(VLOOKUP(G1330,Dados!$D:$L,3,0)&lt;=VLOOKUP(H1330,Dados!$X:$AB,2,0),VLOOKUP(G1330,Dados!$D:$L,4,0)&gt;=VLOOKUP(H1330,Dados!$X:$AB,3,0),VLOOKUP(G1330,Dados!$D:$L,4,0)&lt;=VLOOKUP(H1330,Dados!$X:$AB,4,0)),0,1)</f>
        <v>0</v>
      </c>
      <c r="U1330" s="4">
        <f>IF(COUNTIFS(F:F,F1330,H:H,H1330)&lt;=VLOOKUP(H1330,Dados!$X:$AB,5,0),0,1)</f>
        <v>0</v>
      </c>
    </row>
    <row r="1331" spans="6:21">
      <c r="F1331" s="4">
        <v>669</v>
      </c>
      <c r="G1331" s="4">
        <v>14</v>
      </c>
      <c r="H1331" s="4">
        <v>1</v>
      </c>
      <c r="I1331" s="4">
        <v>9</v>
      </c>
      <c r="J1331" s="4">
        <v>6</v>
      </c>
      <c r="K1331" s="4">
        <f t="shared" si="262"/>
        <v>0</v>
      </c>
      <c r="L1331" s="4">
        <f t="shared" si="262"/>
        <v>0</v>
      </c>
      <c r="M1331" s="4">
        <f t="shared" si="262"/>
        <v>0</v>
      </c>
      <c r="N1331" s="4">
        <f t="shared" si="262"/>
        <v>0</v>
      </c>
      <c r="O1331" s="4">
        <f t="shared" si="263"/>
        <v>0</v>
      </c>
      <c r="P1331" s="4">
        <f t="shared" si="264"/>
        <v>0</v>
      </c>
      <c r="Q1331" s="4">
        <f t="shared" si="265"/>
        <v>0</v>
      </c>
      <c r="R1331" s="4">
        <f t="shared" si="266"/>
        <v>0</v>
      </c>
      <c r="S1331" s="4">
        <f>IF(AND(VLOOKUP(G1331,Dados!$D:$L,2,0)=VLOOKUP(I1331,Dados!$S:$V,2,0),VLOOKUP(G1331,Dados!$D:$L,3,0)=VLOOKUP(I1331,Dados!$S:$V,3,0)),0,1)</f>
        <v>0</v>
      </c>
      <c r="T1331" s="4">
        <f>IF(AND(VLOOKUP(G1331,Dados!$D:$L,3,0)&lt;=VLOOKUP(H1331,Dados!$X:$AB,2,0),VLOOKUP(G1331,Dados!$D:$L,4,0)&gt;=VLOOKUP(H1331,Dados!$X:$AB,3,0),VLOOKUP(G1331,Dados!$D:$L,4,0)&lt;=VLOOKUP(H1331,Dados!$X:$AB,4,0)),0,1)</f>
        <v>0</v>
      </c>
      <c r="U1331" s="4">
        <f>IF(COUNTIFS(F:F,F1331,H:H,H1331)&lt;=VLOOKUP(H1331,Dados!$X:$AB,5,0),0,1)</f>
        <v>0</v>
      </c>
    </row>
    <row r="1332" spans="6:21">
      <c r="F1332" s="4">
        <v>669</v>
      </c>
      <c r="G1332" s="4">
        <v>16</v>
      </c>
      <c r="H1332" s="4">
        <v>1</v>
      </c>
      <c r="I1332" s="4">
        <v>9</v>
      </c>
      <c r="J1332" s="4">
        <v>3</v>
      </c>
      <c r="K1332" s="4">
        <f t="shared" si="262"/>
        <v>0</v>
      </c>
      <c r="L1332" s="4">
        <f t="shared" si="262"/>
        <v>0</v>
      </c>
      <c r="M1332" s="4">
        <f t="shared" si="262"/>
        <v>0</v>
      </c>
      <c r="N1332" s="4">
        <f t="shared" si="262"/>
        <v>0</v>
      </c>
      <c r="O1332" s="4">
        <f t="shared" si="263"/>
        <v>0</v>
      </c>
      <c r="P1332" s="4">
        <f t="shared" si="264"/>
        <v>0</v>
      </c>
      <c r="Q1332" s="4">
        <f t="shared" si="265"/>
        <v>0</v>
      </c>
      <c r="R1332" s="4">
        <f t="shared" si="266"/>
        <v>0</v>
      </c>
      <c r="S1332" s="4">
        <f>IF(AND(VLOOKUP(G1332,Dados!$D:$L,2,0)=VLOOKUP(I1332,Dados!$S:$V,2,0),VLOOKUP(G1332,Dados!$D:$L,3,0)=VLOOKUP(I1332,Dados!$S:$V,3,0)),0,1)</f>
        <v>0</v>
      </c>
      <c r="T1332" s="4">
        <f>IF(AND(VLOOKUP(G1332,Dados!$D:$L,3,0)&lt;=VLOOKUP(H1332,Dados!$X:$AB,2,0),VLOOKUP(G1332,Dados!$D:$L,4,0)&gt;=VLOOKUP(H1332,Dados!$X:$AB,3,0),VLOOKUP(G1332,Dados!$D:$L,4,0)&lt;=VLOOKUP(H1332,Dados!$X:$AB,4,0)),0,1)</f>
        <v>0</v>
      </c>
      <c r="U1332" s="4">
        <f>IF(COUNTIFS(F:F,F1332,H:H,H1332)&lt;=VLOOKUP(H1332,Dados!$X:$AB,5,0),0,1)</f>
        <v>0</v>
      </c>
    </row>
    <row r="1333" spans="6:21">
      <c r="F1333" s="4">
        <v>670</v>
      </c>
      <c r="G1333" s="4">
        <v>14</v>
      </c>
      <c r="H1333" s="4">
        <v>3</v>
      </c>
      <c r="I1333" s="4">
        <v>9</v>
      </c>
      <c r="J1333" s="4">
        <v>6</v>
      </c>
      <c r="K1333" s="4">
        <f t="shared" si="262"/>
        <v>1</v>
      </c>
      <c r="L1333" s="4">
        <f t="shared" si="262"/>
        <v>0</v>
      </c>
      <c r="M1333" s="4">
        <f t="shared" si="262"/>
        <v>0</v>
      </c>
      <c r="N1333" s="4">
        <f t="shared" si="262"/>
        <v>0</v>
      </c>
      <c r="O1333" s="4">
        <f t="shared" si="263"/>
        <v>6</v>
      </c>
      <c r="P1333" s="4">
        <f t="shared" si="264"/>
        <v>0</v>
      </c>
      <c r="Q1333" s="4">
        <f t="shared" si="265"/>
        <v>0</v>
      </c>
      <c r="R1333" s="4">
        <f t="shared" si="266"/>
        <v>0</v>
      </c>
      <c r="S1333" s="4">
        <f>IF(AND(VLOOKUP(G1333,Dados!$D:$L,2,0)=VLOOKUP(I1333,Dados!$S:$V,2,0),VLOOKUP(G1333,Dados!$D:$L,3,0)=VLOOKUP(I1333,Dados!$S:$V,3,0)),0,1)</f>
        <v>0</v>
      </c>
      <c r="T1333" s="4">
        <f>IF(AND(VLOOKUP(G1333,Dados!$D:$L,3,0)&lt;=VLOOKUP(H1333,Dados!$X:$AB,2,0),VLOOKUP(G1333,Dados!$D:$L,4,0)&gt;=VLOOKUP(H1333,Dados!$X:$AB,3,0),VLOOKUP(G1333,Dados!$D:$L,4,0)&lt;=VLOOKUP(H1333,Dados!$X:$AB,4,0)),0,1)</f>
        <v>0</v>
      </c>
      <c r="U1333" s="4">
        <f>IF(COUNTIFS(F:F,F1333,H:H,H1333)&lt;=VLOOKUP(H1333,Dados!$X:$AB,5,0),0,1)</f>
        <v>0</v>
      </c>
    </row>
    <row r="1334" spans="6:21">
      <c r="F1334" s="4">
        <v>670</v>
      </c>
      <c r="G1334" s="4">
        <v>16</v>
      </c>
      <c r="H1334" s="4">
        <v>3</v>
      </c>
      <c r="I1334" s="4">
        <v>9</v>
      </c>
      <c r="J1334" s="4">
        <v>3</v>
      </c>
      <c r="K1334" s="4">
        <f t="shared" si="262"/>
        <v>1</v>
      </c>
      <c r="L1334" s="4">
        <f t="shared" si="262"/>
        <v>0</v>
      </c>
      <c r="M1334" s="4">
        <f t="shared" si="262"/>
        <v>0</v>
      </c>
      <c r="N1334" s="4">
        <f t="shared" si="262"/>
        <v>0</v>
      </c>
      <c r="O1334" s="4">
        <f t="shared" si="263"/>
        <v>3</v>
      </c>
      <c r="P1334" s="4">
        <f t="shared" si="264"/>
        <v>0</v>
      </c>
      <c r="Q1334" s="4">
        <f t="shared" si="265"/>
        <v>0</v>
      </c>
      <c r="R1334" s="4">
        <f t="shared" si="266"/>
        <v>0</v>
      </c>
      <c r="S1334" s="4">
        <f>IF(AND(VLOOKUP(G1334,Dados!$D:$L,2,0)=VLOOKUP(I1334,Dados!$S:$V,2,0),VLOOKUP(G1334,Dados!$D:$L,3,0)=VLOOKUP(I1334,Dados!$S:$V,3,0)),0,1)</f>
        <v>0</v>
      </c>
      <c r="T1334" s="4">
        <f>IF(AND(VLOOKUP(G1334,Dados!$D:$L,3,0)&lt;=VLOOKUP(H1334,Dados!$X:$AB,2,0),VLOOKUP(G1334,Dados!$D:$L,4,0)&gt;=VLOOKUP(H1334,Dados!$X:$AB,3,0),VLOOKUP(G1334,Dados!$D:$L,4,0)&lt;=VLOOKUP(H1334,Dados!$X:$AB,4,0)),0,1)</f>
        <v>0</v>
      </c>
      <c r="U1334" s="4">
        <f>IF(COUNTIFS(F:F,F1334,H:H,H1334)&lt;=VLOOKUP(H1334,Dados!$X:$AB,5,0),0,1)</f>
        <v>0</v>
      </c>
    </row>
    <row r="1335" spans="6:21">
      <c r="F1335" s="4">
        <v>671</v>
      </c>
      <c r="G1335" s="4">
        <v>14</v>
      </c>
      <c r="H1335" s="4">
        <v>1</v>
      </c>
      <c r="I1335" s="4">
        <v>10</v>
      </c>
      <c r="J1335" s="4">
        <v>1</v>
      </c>
      <c r="K1335" s="4">
        <f t="shared" si="262"/>
        <v>0</v>
      </c>
      <c r="L1335" s="4">
        <f t="shared" si="262"/>
        <v>0</v>
      </c>
      <c r="M1335" s="4">
        <f t="shared" si="262"/>
        <v>0</v>
      </c>
      <c r="N1335" s="4">
        <f t="shared" si="262"/>
        <v>0</v>
      </c>
      <c r="O1335" s="4">
        <f t="shared" si="263"/>
        <v>0</v>
      </c>
      <c r="P1335" s="4">
        <f t="shared" si="264"/>
        <v>0</v>
      </c>
      <c r="Q1335" s="4">
        <f t="shared" si="265"/>
        <v>0</v>
      </c>
      <c r="R1335" s="4">
        <f t="shared" si="266"/>
        <v>0</v>
      </c>
      <c r="S1335" s="4">
        <f>IF(AND(VLOOKUP(G1335,Dados!$D:$L,2,0)=VLOOKUP(I1335,Dados!$S:$V,2,0),VLOOKUP(G1335,Dados!$D:$L,3,0)=VLOOKUP(I1335,Dados!$S:$V,3,0)),0,1)</f>
        <v>0</v>
      </c>
      <c r="T1335" s="4">
        <f>IF(AND(VLOOKUP(G1335,Dados!$D:$L,3,0)&lt;=VLOOKUP(H1335,Dados!$X:$AB,2,0),VLOOKUP(G1335,Dados!$D:$L,4,0)&gt;=VLOOKUP(H1335,Dados!$X:$AB,3,0),VLOOKUP(G1335,Dados!$D:$L,4,0)&lt;=VLOOKUP(H1335,Dados!$X:$AB,4,0)),0,1)</f>
        <v>0</v>
      </c>
      <c r="U1335" s="4">
        <f>IF(COUNTIFS(F:F,F1335,H:H,H1335)&lt;=VLOOKUP(H1335,Dados!$X:$AB,5,0),0,1)</f>
        <v>0</v>
      </c>
    </row>
    <row r="1336" spans="6:21">
      <c r="F1336" s="4">
        <v>671</v>
      </c>
      <c r="G1336" s="4">
        <v>16</v>
      </c>
      <c r="H1336" s="4">
        <v>1</v>
      </c>
      <c r="I1336" s="4">
        <v>10</v>
      </c>
      <c r="J1336" s="4">
        <v>6</v>
      </c>
      <c r="K1336" s="4">
        <f t="shared" si="262"/>
        <v>0</v>
      </c>
      <c r="L1336" s="4">
        <f t="shared" si="262"/>
        <v>0</v>
      </c>
      <c r="M1336" s="4">
        <f t="shared" si="262"/>
        <v>0</v>
      </c>
      <c r="N1336" s="4">
        <f t="shared" si="262"/>
        <v>0</v>
      </c>
      <c r="O1336" s="4">
        <f t="shared" si="263"/>
        <v>0</v>
      </c>
      <c r="P1336" s="4">
        <f t="shared" si="264"/>
        <v>0</v>
      </c>
      <c r="Q1336" s="4">
        <f t="shared" si="265"/>
        <v>0</v>
      </c>
      <c r="R1336" s="4">
        <f t="shared" si="266"/>
        <v>0</v>
      </c>
      <c r="S1336" s="4">
        <f>IF(AND(VLOOKUP(G1336,Dados!$D:$L,2,0)=VLOOKUP(I1336,Dados!$S:$V,2,0),VLOOKUP(G1336,Dados!$D:$L,3,0)=VLOOKUP(I1336,Dados!$S:$V,3,0)),0,1)</f>
        <v>0</v>
      </c>
      <c r="T1336" s="4">
        <f>IF(AND(VLOOKUP(G1336,Dados!$D:$L,3,0)&lt;=VLOOKUP(H1336,Dados!$X:$AB,2,0),VLOOKUP(G1336,Dados!$D:$L,4,0)&gt;=VLOOKUP(H1336,Dados!$X:$AB,3,0),VLOOKUP(G1336,Dados!$D:$L,4,0)&lt;=VLOOKUP(H1336,Dados!$X:$AB,4,0)),0,1)</f>
        <v>0</v>
      </c>
      <c r="U1336" s="4">
        <f>IF(COUNTIFS(F:F,F1336,H:H,H1336)&lt;=VLOOKUP(H1336,Dados!$X:$AB,5,0),0,1)</f>
        <v>0</v>
      </c>
    </row>
    <row r="1337" spans="6:21">
      <c r="F1337" s="4">
        <v>672</v>
      </c>
      <c r="G1337" s="4">
        <v>14</v>
      </c>
      <c r="H1337" s="4">
        <v>3</v>
      </c>
      <c r="I1337" s="4">
        <v>10</v>
      </c>
      <c r="J1337" s="4">
        <v>1</v>
      </c>
      <c r="K1337" s="4">
        <f t="shared" si="262"/>
        <v>0</v>
      </c>
      <c r="L1337" s="4">
        <f t="shared" si="262"/>
        <v>0</v>
      </c>
      <c r="M1337" s="4">
        <f t="shared" si="262"/>
        <v>0</v>
      </c>
      <c r="N1337" s="4">
        <f t="shared" si="262"/>
        <v>0</v>
      </c>
      <c r="O1337" s="4">
        <f t="shared" si="263"/>
        <v>0</v>
      </c>
      <c r="P1337" s="4">
        <f t="shared" si="264"/>
        <v>0</v>
      </c>
      <c r="Q1337" s="4">
        <f t="shared" si="265"/>
        <v>0</v>
      </c>
      <c r="R1337" s="4">
        <f t="shared" si="266"/>
        <v>0</v>
      </c>
      <c r="S1337" s="4">
        <f>IF(AND(VLOOKUP(G1337,Dados!$D:$L,2,0)=VLOOKUP(I1337,Dados!$S:$V,2,0),VLOOKUP(G1337,Dados!$D:$L,3,0)=VLOOKUP(I1337,Dados!$S:$V,3,0)),0,1)</f>
        <v>0</v>
      </c>
      <c r="T1337" s="4">
        <f>IF(AND(VLOOKUP(G1337,Dados!$D:$L,3,0)&lt;=VLOOKUP(H1337,Dados!$X:$AB,2,0),VLOOKUP(G1337,Dados!$D:$L,4,0)&gt;=VLOOKUP(H1337,Dados!$X:$AB,3,0),VLOOKUP(G1337,Dados!$D:$L,4,0)&lt;=VLOOKUP(H1337,Dados!$X:$AB,4,0)),0,1)</f>
        <v>0</v>
      </c>
      <c r="U1337" s="4">
        <f>IF(COUNTIFS(F:F,F1337,H:H,H1337)&lt;=VLOOKUP(H1337,Dados!$X:$AB,5,0),0,1)</f>
        <v>0</v>
      </c>
    </row>
    <row r="1338" spans="6:21">
      <c r="F1338" s="4">
        <v>672</v>
      </c>
      <c r="G1338" s="4">
        <v>16</v>
      </c>
      <c r="H1338" s="4">
        <v>3</v>
      </c>
      <c r="I1338" s="4">
        <v>10</v>
      </c>
      <c r="J1338" s="4">
        <v>6</v>
      </c>
      <c r="K1338" s="4">
        <f t="shared" si="262"/>
        <v>0</v>
      </c>
      <c r="L1338" s="4">
        <f t="shared" si="262"/>
        <v>0</v>
      </c>
      <c r="M1338" s="4">
        <f t="shared" si="262"/>
        <v>0</v>
      </c>
      <c r="N1338" s="4">
        <f t="shared" si="262"/>
        <v>0</v>
      </c>
      <c r="O1338" s="4">
        <f t="shared" si="263"/>
        <v>0</v>
      </c>
      <c r="P1338" s="4">
        <f t="shared" si="264"/>
        <v>0</v>
      </c>
      <c r="Q1338" s="4">
        <f t="shared" si="265"/>
        <v>0</v>
      </c>
      <c r="R1338" s="4">
        <f t="shared" si="266"/>
        <v>0</v>
      </c>
      <c r="S1338" s="4">
        <f>IF(AND(VLOOKUP(G1338,Dados!$D:$L,2,0)=VLOOKUP(I1338,Dados!$S:$V,2,0),VLOOKUP(G1338,Dados!$D:$L,3,0)=VLOOKUP(I1338,Dados!$S:$V,3,0)),0,1)</f>
        <v>0</v>
      </c>
      <c r="T1338" s="4">
        <f>IF(AND(VLOOKUP(G1338,Dados!$D:$L,3,0)&lt;=VLOOKUP(H1338,Dados!$X:$AB,2,0),VLOOKUP(G1338,Dados!$D:$L,4,0)&gt;=VLOOKUP(H1338,Dados!$X:$AB,3,0),VLOOKUP(G1338,Dados!$D:$L,4,0)&lt;=VLOOKUP(H1338,Dados!$X:$AB,4,0)),0,1)</f>
        <v>0</v>
      </c>
      <c r="U1338" s="4">
        <f>IF(COUNTIFS(F:F,F1338,H:H,H1338)&lt;=VLOOKUP(H1338,Dados!$X:$AB,5,0),0,1)</f>
        <v>0</v>
      </c>
    </row>
    <row r="1339" spans="6:21">
      <c r="F1339" s="4">
        <v>673</v>
      </c>
      <c r="G1339" s="4">
        <v>14</v>
      </c>
      <c r="H1339" s="4">
        <v>1</v>
      </c>
      <c r="I1339" s="4">
        <v>11</v>
      </c>
      <c r="J1339" s="4">
        <v>2</v>
      </c>
      <c r="K1339" s="4">
        <f t="shared" si="262"/>
        <v>0</v>
      </c>
      <c r="L1339" s="4">
        <f t="shared" si="262"/>
        <v>0</v>
      </c>
      <c r="M1339" s="4">
        <f t="shared" si="262"/>
        <v>0</v>
      </c>
      <c r="N1339" s="4">
        <f t="shared" si="262"/>
        <v>0</v>
      </c>
      <c r="O1339" s="4">
        <f t="shared" si="263"/>
        <v>0</v>
      </c>
      <c r="P1339" s="4">
        <f t="shared" si="264"/>
        <v>0</v>
      </c>
      <c r="Q1339" s="4">
        <f t="shared" si="265"/>
        <v>0</v>
      </c>
      <c r="R1339" s="4">
        <f t="shared" si="266"/>
        <v>0</v>
      </c>
      <c r="S1339" s="4">
        <f>IF(AND(VLOOKUP(G1339,Dados!$D:$L,2,0)=VLOOKUP(I1339,Dados!$S:$V,2,0),VLOOKUP(G1339,Dados!$D:$L,3,0)=VLOOKUP(I1339,Dados!$S:$V,3,0)),0,1)</f>
        <v>0</v>
      </c>
      <c r="T1339" s="4">
        <f>IF(AND(VLOOKUP(G1339,Dados!$D:$L,3,0)&lt;=VLOOKUP(H1339,Dados!$X:$AB,2,0),VLOOKUP(G1339,Dados!$D:$L,4,0)&gt;=VLOOKUP(H1339,Dados!$X:$AB,3,0),VLOOKUP(G1339,Dados!$D:$L,4,0)&lt;=VLOOKUP(H1339,Dados!$X:$AB,4,0)),0,1)</f>
        <v>0</v>
      </c>
      <c r="U1339" s="4">
        <f>IF(COUNTIFS(F:F,F1339,H:H,H1339)&lt;=VLOOKUP(H1339,Dados!$X:$AB,5,0),0,1)</f>
        <v>0</v>
      </c>
    </row>
    <row r="1340" spans="6:21">
      <c r="F1340" s="4">
        <v>673</v>
      </c>
      <c r="G1340" s="4">
        <v>16</v>
      </c>
      <c r="H1340" s="4">
        <v>1</v>
      </c>
      <c r="I1340" s="4">
        <v>11</v>
      </c>
      <c r="J1340" s="4">
        <v>5</v>
      </c>
      <c r="K1340" s="4">
        <f t="shared" si="262"/>
        <v>0</v>
      </c>
      <c r="L1340" s="4">
        <f t="shared" si="262"/>
        <v>0</v>
      </c>
      <c r="M1340" s="4">
        <f t="shared" si="262"/>
        <v>0</v>
      </c>
      <c r="N1340" s="4">
        <f t="shared" si="262"/>
        <v>0</v>
      </c>
      <c r="O1340" s="4">
        <f t="shared" si="263"/>
        <v>0</v>
      </c>
      <c r="P1340" s="4">
        <f t="shared" si="264"/>
        <v>0</v>
      </c>
      <c r="Q1340" s="4">
        <f t="shared" si="265"/>
        <v>0</v>
      </c>
      <c r="R1340" s="4">
        <f t="shared" si="266"/>
        <v>0</v>
      </c>
      <c r="S1340" s="4">
        <f>IF(AND(VLOOKUP(G1340,Dados!$D:$L,2,0)=VLOOKUP(I1340,Dados!$S:$V,2,0),VLOOKUP(G1340,Dados!$D:$L,3,0)=VLOOKUP(I1340,Dados!$S:$V,3,0)),0,1)</f>
        <v>0</v>
      </c>
      <c r="T1340" s="4">
        <f>IF(AND(VLOOKUP(G1340,Dados!$D:$L,3,0)&lt;=VLOOKUP(H1340,Dados!$X:$AB,2,0),VLOOKUP(G1340,Dados!$D:$L,4,0)&gt;=VLOOKUP(H1340,Dados!$X:$AB,3,0),VLOOKUP(G1340,Dados!$D:$L,4,0)&lt;=VLOOKUP(H1340,Dados!$X:$AB,4,0)),0,1)</f>
        <v>0</v>
      </c>
      <c r="U1340" s="4">
        <f>IF(COUNTIFS(F:F,F1340,H:H,H1340)&lt;=VLOOKUP(H1340,Dados!$X:$AB,5,0),0,1)</f>
        <v>0</v>
      </c>
    </row>
    <row r="1341" spans="6:21">
      <c r="F1341" s="4">
        <v>674</v>
      </c>
      <c r="G1341" s="4">
        <v>14</v>
      </c>
      <c r="H1341" s="4">
        <v>3</v>
      </c>
      <c r="I1341" s="4">
        <v>11</v>
      </c>
      <c r="J1341" s="4">
        <v>2</v>
      </c>
      <c r="K1341" s="4">
        <f t="shared" si="262"/>
        <v>0</v>
      </c>
      <c r="L1341" s="4">
        <f t="shared" si="262"/>
        <v>0</v>
      </c>
      <c r="M1341" s="4">
        <f t="shared" si="262"/>
        <v>0</v>
      </c>
      <c r="N1341" s="4">
        <f t="shared" si="262"/>
        <v>0</v>
      </c>
      <c r="O1341" s="4">
        <f t="shared" si="263"/>
        <v>0</v>
      </c>
      <c r="P1341" s="4">
        <f t="shared" si="264"/>
        <v>0</v>
      </c>
      <c r="Q1341" s="4">
        <f t="shared" si="265"/>
        <v>0</v>
      </c>
      <c r="R1341" s="4">
        <f t="shared" si="266"/>
        <v>0</v>
      </c>
      <c r="S1341" s="4">
        <f>IF(AND(VLOOKUP(G1341,Dados!$D:$L,2,0)=VLOOKUP(I1341,Dados!$S:$V,2,0),VLOOKUP(G1341,Dados!$D:$L,3,0)=VLOOKUP(I1341,Dados!$S:$V,3,0)),0,1)</f>
        <v>0</v>
      </c>
      <c r="T1341" s="4">
        <f>IF(AND(VLOOKUP(G1341,Dados!$D:$L,3,0)&lt;=VLOOKUP(H1341,Dados!$X:$AB,2,0),VLOOKUP(G1341,Dados!$D:$L,4,0)&gt;=VLOOKUP(H1341,Dados!$X:$AB,3,0),VLOOKUP(G1341,Dados!$D:$L,4,0)&lt;=VLOOKUP(H1341,Dados!$X:$AB,4,0)),0,1)</f>
        <v>0</v>
      </c>
      <c r="U1341" s="4">
        <f>IF(COUNTIFS(F:F,F1341,H:H,H1341)&lt;=VLOOKUP(H1341,Dados!$X:$AB,5,0),0,1)</f>
        <v>0</v>
      </c>
    </row>
    <row r="1342" spans="6:21">
      <c r="F1342" s="4">
        <v>674</v>
      </c>
      <c r="G1342" s="4">
        <v>16</v>
      </c>
      <c r="H1342" s="4">
        <v>3</v>
      </c>
      <c r="I1342" s="4">
        <v>11</v>
      </c>
      <c r="J1342" s="4">
        <v>5</v>
      </c>
      <c r="K1342" s="4">
        <f t="shared" si="262"/>
        <v>0</v>
      </c>
      <c r="L1342" s="4">
        <f t="shared" si="262"/>
        <v>0</v>
      </c>
      <c r="M1342" s="4">
        <f t="shared" si="262"/>
        <v>0</v>
      </c>
      <c r="N1342" s="4">
        <f t="shared" si="262"/>
        <v>0</v>
      </c>
      <c r="O1342" s="4">
        <f t="shared" si="263"/>
        <v>0</v>
      </c>
      <c r="P1342" s="4">
        <f t="shared" si="264"/>
        <v>0</v>
      </c>
      <c r="Q1342" s="4">
        <f t="shared" si="265"/>
        <v>0</v>
      </c>
      <c r="R1342" s="4">
        <f t="shared" si="266"/>
        <v>0</v>
      </c>
      <c r="S1342" s="4">
        <f>IF(AND(VLOOKUP(G1342,Dados!$D:$L,2,0)=VLOOKUP(I1342,Dados!$S:$V,2,0),VLOOKUP(G1342,Dados!$D:$L,3,0)=VLOOKUP(I1342,Dados!$S:$V,3,0)),0,1)</f>
        <v>0</v>
      </c>
      <c r="T1342" s="4">
        <f>IF(AND(VLOOKUP(G1342,Dados!$D:$L,3,0)&lt;=VLOOKUP(H1342,Dados!$X:$AB,2,0),VLOOKUP(G1342,Dados!$D:$L,4,0)&gt;=VLOOKUP(H1342,Dados!$X:$AB,3,0),VLOOKUP(G1342,Dados!$D:$L,4,0)&lt;=VLOOKUP(H1342,Dados!$X:$AB,4,0)),0,1)</f>
        <v>0</v>
      </c>
      <c r="U1342" s="4">
        <f>IF(COUNTIFS(F:F,F1342,H:H,H1342)&lt;=VLOOKUP(H1342,Dados!$X:$AB,5,0),0,1)</f>
        <v>0</v>
      </c>
    </row>
    <row r="1343" spans="6:21">
      <c r="F1343" s="4">
        <v>675</v>
      </c>
      <c r="G1343" s="4">
        <v>21</v>
      </c>
      <c r="H1343" s="4">
        <v>1</v>
      </c>
      <c r="I1343" s="4">
        <v>13</v>
      </c>
      <c r="J1343" s="4">
        <v>7</v>
      </c>
      <c r="K1343" s="4">
        <f t="shared" si="262"/>
        <v>0</v>
      </c>
      <c r="L1343" s="4">
        <f t="shared" si="262"/>
        <v>0</v>
      </c>
      <c r="M1343" s="4">
        <f t="shared" si="262"/>
        <v>0</v>
      </c>
      <c r="N1343" s="4">
        <f t="shared" si="262"/>
        <v>0</v>
      </c>
      <c r="O1343" s="4">
        <f t="shared" si="263"/>
        <v>0</v>
      </c>
      <c r="P1343" s="4">
        <f t="shared" si="264"/>
        <v>0</v>
      </c>
      <c r="Q1343" s="4">
        <f t="shared" si="265"/>
        <v>0</v>
      </c>
      <c r="R1343" s="4">
        <f t="shared" si="266"/>
        <v>0</v>
      </c>
      <c r="S1343" s="4">
        <f>IF(AND(VLOOKUP(G1343,Dados!$D:$L,2,0)=VLOOKUP(I1343,Dados!$S:$V,2,0),VLOOKUP(G1343,Dados!$D:$L,3,0)=VLOOKUP(I1343,Dados!$S:$V,3,0)),0,1)</f>
        <v>0</v>
      </c>
      <c r="T1343" s="4">
        <f>IF(AND(VLOOKUP(G1343,Dados!$D:$L,3,0)&lt;=VLOOKUP(H1343,Dados!$X:$AB,2,0),VLOOKUP(G1343,Dados!$D:$L,4,0)&gt;=VLOOKUP(H1343,Dados!$X:$AB,3,0),VLOOKUP(G1343,Dados!$D:$L,4,0)&lt;=VLOOKUP(H1343,Dados!$X:$AB,4,0)),0,1)</f>
        <v>0</v>
      </c>
      <c r="U1343" s="4">
        <f>IF(COUNTIFS(F:F,F1343,H:H,H1343)&lt;=VLOOKUP(H1343,Dados!$X:$AB,5,0),0,1)</f>
        <v>0</v>
      </c>
    </row>
    <row r="1344" spans="6:21">
      <c r="F1344" s="4">
        <v>675</v>
      </c>
      <c r="G1344" s="4">
        <v>22</v>
      </c>
      <c r="H1344" s="4">
        <v>1</v>
      </c>
      <c r="I1344" s="4">
        <v>13</v>
      </c>
      <c r="J1344" s="4">
        <v>2</v>
      </c>
      <c r="K1344" s="4">
        <f t="shared" si="262"/>
        <v>0</v>
      </c>
      <c r="L1344" s="4">
        <f t="shared" si="262"/>
        <v>0</v>
      </c>
      <c r="M1344" s="4">
        <f t="shared" si="262"/>
        <v>0</v>
      </c>
      <c r="N1344" s="4">
        <f t="shared" si="262"/>
        <v>0</v>
      </c>
      <c r="O1344" s="4">
        <f t="shared" si="263"/>
        <v>0</v>
      </c>
      <c r="P1344" s="4">
        <f t="shared" si="264"/>
        <v>0</v>
      </c>
      <c r="Q1344" s="4">
        <f t="shared" si="265"/>
        <v>0</v>
      </c>
      <c r="R1344" s="4">
        <f t="shared" si="266"/>
        <v>0</v>
      </c>
      <c r="S1344" s="4">
        <f>IF(AND(VLOOKUP(G1344,Dados!$D:$L,2,0)=VLOOKUP(I1344,Dados!$S:$V,2,0),VLOOKUP(G1344,Dados!$D:$L,3,0)=VLOOKUP(I1344,Dados!$S:$V,3,0)),0,1)</f>
        <v>0</v>
      </c>
      <c r="T1344" s="4">
        <f>IF(AND(VLOOKUP(G1344,Dados!$D:$L,3,0)&lt;=VLOOKUP(H1344,Dados!$X:$AB,2,0),VLOOKUP(G1344,Dados!$D:$L,4,0)&gt;=VLOOKUP(H1344,Dados!$X:$AB,3,0),VLOOKUP(G1344,Dados!$D:$L,4,0)&lt;=VLOOKUP(H1344,Dados!$X:$AB,4,0)),0,1)</f>
        <v>0</v>
      </c>
      <c r="U1344" s="4">
        <f>IF(COUNTIFS(F:F,F1344,H:H,H1344)&lt;=VLOOKUP(H1344,Dados!$X:$AB,5,0),0,1)</f>
        <v>0</v>
      </c>
    </row>
    <row r="1345" spans="6:21">
      <c r="F1345" s="4">
        <v>676</v>
      </c>
      <c r="G1345" s="4">
        <v>21</v>
      </c>
      <c r="H1345" s="4">
        <v>2</v>
      </c>
      <c r="I1345" s="4">
        <v>13</v>
      </c>
      <c r="J1345" s="4">
        <v>7</v>
      </c>
      <c r="K1345" s="4">
        <f t="shared" si="262"/>
        <v>0</v>
      </c>
      <c r="L1345" s="4">
        <f t="shared" si="262"/>
        <v>4</v>
      </c>
      <c r="M1345" s="4">
        <f t="shared" si="262"/>
        <v>0</v>
      </c>
      <c r="N1345" s="4">
        <f t="shared" si="262"/>
        <v>0</v>
      </c>
      <c r="O1345" s="4">
        <f t="shared" si="263"/>
        <v>0</v>
      </c>
      <c r="P1345" s="4">
        <f t="shared" si="264"/>
        <v>28</v>
      </c>
      <c r="Q1345" s="4">
        <f t="shared" si="265"/>
        <v>0</v>
      </c>
      <c r="R1345" s="4">
        <f t="shared" si="266"/>
        <v>0</v>
      </c>
      <c r="S1345" s="4">
        <f>IF(AND(VLOOKUP(G1345,Dados!$D:$L,2,0)=VLOOKUP(I1345,Dados!$S:$V,2,0),VLOOKUP(G1345,Dados!$D:$L,3,0)=VLOOKUP(I1345,Dados!$S:$V,3,0)),0,1)</f>
        <v>0</v>
      </c>
      <c r="T1345" s="4">
        <f>IF(AND(VLOOKUP(G1345,Dados!$D:$L,3,0)&lt;=VLOOKUP(H1345,Dados!$X:$AB,2,0),VLOOKUP(G1345,Dados!$D:$L,4,0)&gt;=VLOOKUP(H1345,Dados!$X:$AB,3,0),VLOOKUP(G1345,Dados!$D:$L,4,0)&lt;=VLOOKUP(H1345,Dados!$X:$AB,4,0)),0,1)</f>
        <v>0</v>
      </c>
      <c r="U1345" s="4">
        <f>IF(COUNTIFS(F:F,F1345,H:H,H1345)&lt;=VLOOKUP(H1345,Dados!$X:$AB,5,0),0,1)</f>
        <v>0</v>
      </c>
    </row>
    <row r="1346" spans="6:21">
      <c r="F1346" s="4">
        <v>676</v>
      </c>
      <c r="G1346" s="4">
        <v>22</v>
      </c>
      <c r="H1346" s="4">
        <v>2</v>
      </c>
      <c r="I1346" s="4">
        <v>13</v>
      </c>
      <c r="J1346" s="4">
        <v>2</v>
      </c>
      <c r="K1346" s="4">
        <f t="shared" si="262"/>
        <v>0</v>
      </c>
      <c r="L1346" s="4">
        <f t="shared" si="262"/>
        <v>4</v>
      </c>
      <c r="M1346" s="4">
        <f t="shared" si="262"/>
        <v>0</v>
      </c>
      <c r="N1346" s="4">
        <f t="shared" si="262"/>
        <v>0</v>
      </c>
      <c r="O1346" s="4">
        <f t="shared" si="263"/>
        <v>0</v>
      </c>
      <c r="P1346" s="4">
        <f t="shared" si="264"/>
        <v>8</v>
      </c>
      <c r="Q1346" s="4">
        <f t="shared" si="265"/>
        <v>0</v>
      </c>
      <c r="R1346" s="4">
        <f t="shared" si="266"/>
        <v>0</v>
      </c>
      <c r="S1346" s="4">
        <f>IF(AND(VLOOKUP(G1346,Dados!$D:$L,2,0)=VLOOKUP(I1346,Dados!$S:$V,2,0),VLOOKUP(G1346,Dados!$D:$L,3,0)=VLOOKUP(I1346,Dados!$S:$V,3,0)),0,1)</f>
        <v>0</v>
      </c>
      <c r="T1346" s="4">
        <f>IF(AND(VLOOKUP(G1346,Dados!$D:$L,3,0)&lt;=VLOOKUP(H1346,Dados!$X:$AB,2,0),VLOOKUP(G1346,Dados!$D:$L,4,0)&gt;=VLOOKUP(H1346,Dados!$X:$AB,3,0),VLOOKUP(G1346,Dados!$D:$L,4,0)&lt;=VLOOKUP(H1346,Dados!$X:$AB,4,0)),0,1)</f>
        <v>0</v>
      </c>
      <c r="U1346" s="4">
        <f>IF(COUNTIFS(F:F,F1346,H:H,H1346)&lt;=VLOOKUP(H1346,Dados!$X:$AB,5,0),0,1)</f>
        <v>0</v>
      </c>
    </row>
    <row r="1347" spans="6:21">
      <c r="F1347" s="4">
        <v>677</v>
      </c>
      <c r="G1347" s="4">
        <v>21</v>
      </c>
      <c r="H1347" s="4">
        <v>3</v>
      </c>
      <c r="I1347" s="4">
        <v>13</v>
      </c>
      <c r="J1347" s="4">
        <v>7</v>
      </c>
      <c r="K1347" s="4">
        <f t="shared" si="262"/>
        <v>1</v>
      </c>
      <c r="L1347" s="4">
        <f t="shared" si="262"/>
        <v>0</v>
      </c>
      <c r="M1347" s="4">
        <f t="shared" si="262"/>
        <v>0</v>
      </c>
      <c r="N1347" s="4">
        <f t="shared" si="262"/>
        <v>0</v>
      </c>
      <c r="O1347" s="4">
        <f t="shared" si="263"/>
        <v>7</v>
      </c>
      <c r="P1347" s="4">
        <f t="shared" si="264"/>
        <v>0</v>
      </c>
      <c r="Q1347" s="4">
        <f t="shared" si="265"/>
        <v>0</v>
      </c>
      <c r="R1347" s="4">
        <f t="shared" si="266"/>
        <v>0</v>
      </c>
      <c r="S1347" s="4">
        <f>IF(AND(VLOOKUP(G1347,Dados!$D:$L,2,0)=VLOOKUP(I1347,Dados!$S:$V,2,0),VLOOKUP(G1347,Dados!$D:$L,3,0)=VLOOKUP(I1347,Dados!$S:$V,3,0)),0,1)</f>
        <v>0</v>
      </c>
      <c r="T1347" s="4">
        <f>IF(AND(VLOOKUP(G1347,Dados!$D:$L,3,0)&lt;=VLOOKUP(H1347,Dados!$X:$AB,2,0),VLOOKUP(G1347,Dados!$D:$L,4,0)&gt;=VLOOKUP(H1347,Dados!$X:$AB,3,0),VLOOKUP(G1347,Dados!$D:$L,4,0)&lt;=VLOOKUP(H1347,Dados!$X:$AB,4,0)),0,1)</f>
        <v>0</v>
      </c>
      <c r="U1347" s="4">
        <f>IF(COUNTIFS(F:F,F1347,H:H,H1347)&lt;=VLOOKUP(H1347,Dados!$X:$AB,5,0),0,1)</f>
        <v>0</v>
      </c>
    </row>
    <row r="1348" spans="6:21">
      <c r="F1348" s="4">
        <v>677</v>
      </c>
      <c r="G1348" s="4">
        <v>22</v>
      </c>
      <c r="H1348" s="4">
        <v>3</v>
      </c>
      <c r="I1348" s="4">
        <v>13</v>
      </c>
      <c r="J1348" s="4">
        <v>2</v>
      </c>
      <c r="K1348" s="4">
        <f t="shared" si="262"/>
        <v>1</v>
      </c>
      <c r="L1348" s="4">
        <f t="shared" si="262"/>
        <v>0</v>
      </c>
      <c r="M1348" s="4">
        <f t="shared" si="262"/>
        <v>0</v>
      </c>
      <c r="N1348" s="4">
        <f t="shared" si="262"/>
        <v>0</v>
      </c>
      <c r="O1348" s="4">
        <f t="shared" si="263"/>
        <v>2</v>
      </c>
      <c r="P1348" s="4">
        <f t="shared" si="264"/>
        <v>0</v>
      </c>
      <c r="Q1348" s="4">
        <f t="shared" si="265"/>
        <v>0</v>
      </c>
      <c r="R1348" s="4">
        <f t="shared" si="266"/>
        <v>0</v>
      </c>
      <c r="S1348" s="4">
        <f>IF(AND(VLOOKUP(G1348,Dados!$D:$L,2,0)=VLOOKUP(I1348,Dados!$S:$V,2,0),VLOOKUP(G1348,Dados!$D:$L,3,0)=VLOOKUP(I1348,Dados!$S:$V,3,0)),0,1)</f>
        <v>0</v>
      </c>
      <c r="T1348" s="4">
        <f>IF(AND(VLOOKUP(G1348,Dados!$D:$L,3,0)&lt;=VLOOKUP(H1348,Dados!$X:$AB,2,0),VLOOKUP(G1348,Dados!$D:$L,4,0)&gt;=VLOOKUP(H1348,Dados!$X:$AB,3,0),VLOOKUP(G1348,Dados!$D:$L,4,0)&lt;=VLOOKUP(H1348,Dados!$X:$AB,4,0)),0,1)</f>
        <v>0</v>
      </c>
      <c r="U1348" s="4">
        <f>IF(COUNTIFS(F:F,F1348,H:H,H1348)&lt;=VLOOKUP(H1348,Dados!$X:$AB,5,0),0,1)</f>
        <v>0</v>
      </c>
    </row>
    <row r="1349" spans="6:21">
      <c r="F1349" s="4">
        <v>678</v>
      </c>
      <c r="G1349" s="4">
        <v>24</v>
      </c>
      <c r="H1349" s="4">
        <v>1</v>
      </c>
      <c r="I1349" s="4">
        <v>15</v>
      </c>
      <c r="J1349" s="4">
        <v>8</v>
      </c>
      <c r="K1349" s="4">
        <f t="shared" si="262"/>
        <v>0</v>
      </c>
      <c r="L1349" s="4">
        <f t="shared" si="262"/>
        <v>0</v>
      </c>
      <c r="M1349" s="4">
        <f t="shared" si="262"/>
        <v>0</v>
      </c>
      <c r="N1349" s="4">
        <f t="shared" si="262"/>
        <v>0</v>
      </c>
      <c r="O1349" s="4">
        <f t="shared" si="263"/>
        <v>0</v>
      </c>
      <c r="P1349" s="4">
        <f t="shared" si="264"/>
        <v>0</v>
      </c>
      <c r="Q1349" s="4">
        <f t="shared" si="265"/>
        <v>0</v>
      </c>
      <c r="R1349" s="4">
        <f t="shared" si="266"/>
        <v>0</v>
      </c>
      <c r="S1349" s="4">
        <f>IF(AND(VLOOKUP(G1349,Dados!$D:$L,2,0)=VLOOKUP(I1349,Dados!$S:$V,2,0),VLOOKUP(G1349,Dados!$D:$L,3,0)=VLOOKUP(I1349,Dados!$S:$V,3,0)),0,1)</f>
        <v>0</v>
      </c>
      <c r="T1349" s="4">
        <f>IF(AND(VLOOKUP(G1349,Dados!$D:$L,3,0)&lt;=VLOOKUP(H1349,Dados!$X:$AB,2,0),VLOOKUP(G1349,Dados!$D:$L,4,0)&gt;=VLOOKUP(H1349,Dados!$X:$AB,3,0),VLOOKUP(G1349,Dados!$D:$L,4,0)&lt;=VLOOKUP(H1349,Dados!$X:$AB,4,0)),0,1)</f>
        <v>0</v>
      </c>
      <c r="U1349" s="4">
        <f>IF(COUNTIFS(F:F,F1349,H:H,H1349)&lt;=VLOOKUP(H1349,Dados!$X:$AB,5,0),0,1)</f>
        <v>0</v>
      </c>
    </row>
    <row r="1350" spans="6:21">
      <c r="F1350" s="4">
        <v>678</v>
      </c>
      <c r="G1350" s="4">
        <v>25</v>
      </c>
      <c r="H1350" s="4">
        <v>1</v>
      </c>
      <c r="I1350" s="4">
        <v>15</v>
      </c>
      <c r="J1350" s="4">
        <v>1</v>
      </c>
      <c r="K1350" s="4">
        <f t="shared" si="262"/>
        <v>0</v>
      </c>
      <c r="L1350" s="4">
        <f t="shared" si="262"/>
        <v>0</v>
      </c>
      <c r="M1350" s="4">
        <f t="shared" si="262"/>
        <v>0</v>
      </c>
      <c r="N1350" s="4">
        <f t="shared" si="262"/>
        <v>0</v>
      </c>
      <c r="O1350" s="4">
        <f t="shared" si="263"/>
        <v>0</v>
      </c>
      <c r="P1350" s="4">
        <f t="shared" si="264"/>
        <v>0</v>
      </c>
      <c r="Q1350" s="4">
        <f t="shared" si="265"/>
        <v>0</v>
      </c>
      <c r="R1350" s="4">
        <f t="shared" si="266"/>
        <v>0</v>
      </c>
      <c r="S1350" s="4">
        <f>IF(AND(VLOOKUP(G1350,Dados!$D:$L,2,0)=VLOOKUP(I1350,Dados!$S:$V,2,0),VLOOKUP(G1350,Dados!$D:$L,3,0)=VLOOKUP(I1350,Dados!$S:$V,3,0)),0,1)</f>
        <v>0</v>
      </c>
      <c r="T1350" s="4">
        <f>IF(AND(VLOOKUP(G1350,Dados!$D:$L,3,0)&lt;=VLOOKUP(H1350,Dados!$X:$AB,2,0),VLOOKUP(G1350,Dados!$D:$L,4,0)&gt;=VLOOKUP(H1350,Dados!$X:$AB,3,0),VLOOKUP(G1350,Dados!$D:$L,4,0)&lt;=VLOOKUP(H1350,Dados!$X:$AB,4,0)),0,1)</f>
        <v>0</v>
      </c>
      <c r="U1350" s="4">
        <f>IF(COUNTIFS(F:F,F1350,H:H,H1350)&lt;=VLOOKUP(H1350,Dados!$X:$AB,5,0),0,1)</f>
        <v>0</v>
      </c>
    </row>
    <row r="1351" spans="6:21">
      <c r="F1351" s="4">
        <v>679</v>
      </c>
      <c r="G1351" s="4">
        <v>24</v>
      </c>
      <c r="H1351" s="4">
        <v>3</v>
      </c>
      <c r="I1351" s="4">
        <v>15</v>
      </c>
      <c r="J1351" s="4">
        <v>8</v>
      </c>
      <c r="K1351" s="4">
        <f t="shared" si="262"/>
        <v>0</v>
      </c>
      <c r="L1351" s="4">
        <f t="shared" si="262"/>
        <v>20</v>
      </c>
      <c r="M1351" s="4">
        <f t="shared" si="262"/>
        <v>0</v>
      </c>
      <c r="N1351" s="4">
        <f t="shared" si="262"/>
        <v>0</v>
      </c>
      <c r="O1351" s="4">
        <f t="shared" si="263"/>
        <v>0</v>
      </c>
      <c r="P1351" s="4">
        <f t="shared" si="264"/>
        <v>160</v>
      </c>
      <c r="Q1351" s="4">
        <f t="shared" si="265"/>
        <v>0</v>
      </c>
      <c r="R1351" s="4">
        <f t="shared" si="266"/>
        <v>0</v>
      </c>
      <c r="S1351" s="4">
        <f>IF(AND(VLOOKUP(G1351,Dados!$D:$L,2,0)=VLOOKUP(I1351,Dados!$S:$V,2,0),VLOOKUP(G1351,Dados!$D:$L,3,0)=VLOOKUP(I1351,Dados!$S:$V,3,0)),0,1)</f>
        <v>0</v>
      </c>
      <c r="T1351" s="4">
        <f>IF(AND(VLOOKUP(G1351,Dados!$D:$L,3,0)&lt;=VLOOKUP(H1351,Dados!$X:$AB,2,0),VLOOKUP(G1351,Dados!$D:$L,4,0)&gt;=VLOOKUP(H1351,Dados!$X:$AB,3,0),VLOOKUP(G1351,Dados!$D:$L,4,0)&lt;=VLOOKUP(H1351,Dados!$X:$AB,4,0)),0,1)</f>
        <v>0</v>
      </c>
      <c r="U1351" s="4">
        <f>IF(COUNTIFS(F:F,F1351,H:H,H1351)&lt;=VLOOKUP(H1351,Dados!$X:$AB,5,0),0,1)</f>
        <v>0</v>
      </c>
    </row>
    <row r="1352" spans="6:21">
      <c r="F1352" s="4">
        <v>679</v>
      </c>
      <c r="G1352" s="4">
        <v>25</v>
      </c>
      <c r="H1352" s="4">
        <v>3</v>
      </c>
      <c r="I1352" s="4">
        <v>15</v>
      </c>
      <c r="J1352" s="4">
        <v>1</v>
      </c>
      <c r="K1352" s="4">
        <f t="shared" si="262"/>
        <v>0</v>
      </c>
      <c r="L1352" s="4">
        <f t="shared" si="262"/>
        <v>20</v>
      </c>
      <c r="M1352" s="4">
        <f t="shared" si="262"/>
        <v>0</v>
      </c>
      <c r="N1352" s="4">
        <f t="shared" si="262"/>
        <v>0</v>
      </c>
      <c r="O1352" s="4">
        <f t="shared" si="263"/>
        <v>0</v>
      </c>
      <c r="P1352" s="4">
        <f t="shared" si="264"/>
        <v>20</v>
      </c>
      <c r="Q1352" s="4">
        <f t="shared" si="265"/>
        <v>0</v>
      </c>
      <c r="R1352" s="4">
        <f t="shared" si="266"/>
        <v>0</v>
      </c>
      <c r="S1352" s="4">
        <f>IF(AND(VLOOKUP(G1352,Dados!$D:$L,2,0)=VLOOKUP(I1352,Dados!$S:$V,2,0),VLOOKUP(G1352,Dados!$D:$L,3,0)=VLOOKUP(I1352,Dados!$S:$V,3,0)),0,1)</f>
        <v>0</v>
      </c>
      <c r="T1352" s="4">
        <f>IF(AND(VLOOKUP(G1352,Dados!$D:$L,3,0)&lt;=VLOOKUP(H1352,Dados!$X:$AB,2,0),VLOOKUP(G1352,Dados!$D:$L,4,0)&gt;=VLOOKUP(H1352,Dados!$X:$AB,3,0),VLOOKUP(G1352,Dados!$D:$L,4,0)&lt;=VLOOKUP(H1352,Dados!$X:$AB,4,0)),0,1)</f>
        <v>0</v>
      </c>
      <c r="U1352" s="4">
        <f>IF(COUNTIFS(F:F,F1352,H:H,H1352)&lt;=VLOOKUP(H1352,Dados!$X:$AB,5,0),0,1)</f>
        <v>0</v>
      </c>
    </row>
    <row r="1353" spans="6:21">
      <c r="F1353" s="4">
        <v>680</v>
      </c>
      <c r="G1353" s="4">
        <v>32</v>
      </c>
      <c r="H1353" s="4">
        <v>1</v>
      </c>
      <c r="I1353" s="4">
        <v>16</v>
      </c>
      <c r="J1353" s="4">
        <v>4</v>
      </c>
      <c r="K1353" s="4">
        <f t="shared" si="262"/>
        <v>0</v>
      </c>
      <c r="L1353" s="4">
        <f t="shared" si="262"/>
        <v>2</v>
      </c>
      <c r="M1353" s="4">
        <f t="shared" si="262"/>
        <v>0</v>
      </c>
      <c r="N1353" s="4">
        <f t="shared" si="262"/>
        <v>0</v>
      </c>
      <c r="O1353" s="4">
        <f t="shared" si="263"/>
        <v>0</v>
      </c>
      <c r="P1353" s="4">
        <f t="shared" si="264"/>
        <v>8</v>
      </c>
      <c r="Q1353" s="4">
        <f t="shared" si="265"/>
        <v>0</v>
      </c>
      <c r="R1353" s="4">
        <f t="shared" si="266"/>
        <v>0</v>
      </c>
      <c r="S1353" s="4">
        <f>IF(AND(VLOOKUP(G1353,Dados!$D:$L,2,0)=VLOOKUP(I1353,Dados!$S:$V,2,0),VLOOKUP(G1353,Dados!$D:$L,3,0)=VLOOKUP(I1353,Dados!$S:$V,3,0)),0,1)</f>
        <v>0</v>
      </c>
      <c r="T1353" s="4">
        <f>IF(AND(VLOOKUP(G1353,Dados!$D:$L,3,0)&lt;=VLOOKUP(H1353,Dados!$X:$AB,2,0),VLOOKUP(G1353,Dados!$D:$L,4,0)&gt;=VLOOKUP(H1353,Dados!$X:$AB,3,0),VLOOKUP(G1353,Dados!$D:$L,4,0)&lt;=VLOOKUP(H1353,Dados!$X:$AB,4,0)),0,1)</f>
        <v>0</v>
      </c>
      <c r="U1353" s="4">
        <f>IF(COUNTIFS(F:F,F1353,H:H,H1353)&lt;=VLOOKUP(H1353,Dados!$X:$AB,5,0),0,1)</f>
        <v>0</v>
      </c>
    </row>
    <row r="1354" spans="6:21">
      <c r="F1354" s="4">
        <v>680</v>
      </c>
      <c r="G1354" s="4">
        <v>33</v>
      </c>
      <c r="H1354" s="4">
        <v>1</v>
      </c>
      <c r="I1354" s="4">
        <v>16</v>
      </c>
      <c r="J1354" s="4">
        <v>1</v>
      </c>
      <c r="K1354" s="4">
        <f t="shared" si="262"/>
        <v>0</v>
      </c>
      <c r="L1354" s="4">
        <f t="shared" si="262"/>
        <v>2</v>
      </c>
      <c r="M1354" s="4">
        <f t="shared" si="262"/>
        <v>0</v>
      </c>
      <c r="N1354" s="4">
        <f t="shared" si="262"/>
        <v>0</v>
      </c>
      <c r="O1354" s="4">
        <f t="shared" si="263"/>
        <v>0</v>
      </c>
      <c r="P1354" s="4">
        <f t="shared" si="264"/>
        <v>2</v>
      </c>
      <c r="Q1354" s="4">
        <f t="shared" si="265"/>
        <v>0</v>
      </c>
      <c r="R1354" s="4">
        <f t="shared" si="266"/>
        <v>0</v>
      </c>
      <c r="S1354" s="4">
        <f>IF(AND(VLOOKUP(G1354,Dados!$D:$L,2,0)=VLOOKUP(I1354,Dados!$S:$V,2,0),VLOOKUP(G1354,Dados!$D:$L,3,0)=VLOOKUP(I1354,Dados!$S:$V,3,0)),0,1)</f>
        <v>0</v>
      </c>
      <c r="T1354" s="4">
        <f>IF(AND(VLOOKUP(G1354,Dados!$D:$L,3,0)&lt;=VLOOKUP(H1354,Dados!$X:$AB,2,0),VLOOKUP(G1354,Dados!$D:$L,4,0)&gt;=VLOOKUP(H1354,Dados!$X:$AB,3,0),VLOOKUP(G1354,Dados!$D:$L,4,0)&lt;=VLOOKUP(H1354,Dados!$X:$AB,4,0)),0,1)</f>
        <v>0</v>
      </c>
      <c r="U1354" s="4">
        <f>IF(COUNTIFS(F:F,F1354,H:H,H1354)&lt;=VLOOKUP(H1354,Dados!$X:$AB,5,0),0,1)</f>
        <v>0</v>
      </c>
    </row>
    <row r="1355" spans="6:21">
      <c r="F1355" s="4">
        <v>680</v>
      </c>
      <c r="G1355" s="4">
        <v>35</v>
      </c>
      <c r="H1355" s="4">
        <v>1</v>
      </c>
      <c r="I1355" s="4">
        <v>16</v>
      </c>
      <c r="J1355" s="4">
        <v>1</v>
      </c>
      <c r="K1355" s="4">
        <f t="shared" si="262"/>
        <v>0</v>
      </c>
      <c r="L1355" s="4">
        <f t="shared" si="262"/>
        <v>2</v>
      </c>
      <c r="M1355" s="4">
        <f t="shared" si="262"/>
        <v>0</v>
      </c>
      <c r="N1355" s="4">
        <f t="shared" si="262"/>
        <v>0</v>
      </c>
      <c r="O1355" s="4">
        <f t="shared" si="263"/>
        <v>0</v>
      </c>
      <c r="P1355" s="4">
        <f t="shared" si="264"/>
        <v>2</v>
      </c>
      <c r="Q1355" s="4">
        <f t="shared" si="265"/>
        <v>0</v>
      </c>
      <c r="R1355" s="4">
        <f t="shared" si="266"/>
        <v>0</v>
      </c>
      <c r="S1355" s="4">
        <f>IF(AND(VLOOKUP(G1355,Dados!$D:$L,2,0)=VLOOKUP(I1355,Dados!$S:$V,2,0),VLOOKUP(G1355,Dados!$D:$L,3,0)=VLOOKUP(I1355,Dados!$S:$V,3,0)),0,1)</f>
        <v>0</v>
      </c>
      <c r="T1355" s="4">
        <f>IF(AND(VLOOKUP(G1355,Dados!$D:$L,3,0)&lt;=VLOOKUP(H1355,Dados!$X:$AB,2,0),VLOOKUP(G1355,Dados!$D:$L,4,0)&gt;=VLOOKUP(H1355,Dados!$X:$AB,3,0),VLOOKUP(G1355,Dados!$D:$L,4,0)&lt;=VLOOKUP(H1355,Dados!$X:$AB,4,0)),0,1)</f>
        <v>0</v>
      </c>
      <c r="U1355" s="4">
        <f>IF(COUNTIFS(F:F,F1355,H:H,H1355)&lt;=VLOOKUP(H1355,Dados!$X:$AB,5,0),0,1)</f>
        <v>0</v>
      </c>
    </row>
    <row r="1356" spans="6:21">
      <c r="F1356" s="4">
        <v>681</v>
      </c>
      <c r="G1356" s="4">
        <v>32</v>
      </c>
      <c r="H1356" s="4">
        <v>2</v>
      </c>
      <c r="I1356" s="4">
        <v>16</v>
      </c>
      <c r="J1356" s="4">
        <v>4</v>
      </c>
      <c r="K1356" s="4">
        <f t="shared" si="262"/>
        <v>0</v>
      </c>
      <c r="L1356" s="4">
        <f t="shared" si="262"/>
        <v>3</v>
      </c>
      <c r="M1356" s="4">
        <f t="shared" si="262"/>
        <v>0</v>
      </c>
      <c r="N1356" s="4">
        <f t="shared" si="262"/>
        <v>0</v>
      </c>
      <c r="O1356" s="4">
        <f t="shared" si="263"/>
        <v>0</v>
      </c>
      <c r="P1356" s="4">
        <f t="shared" si="264"/>
        <v>12</v>
      </c>
      <c r="Q1356" s="4">
        <f t="shared" si="265"/>
        <v>0</v>
      </c>
      <c r="R1356" s="4">
        <f t="shared" si="266"/>
        <v>0</v>
      </c>
      <c r="S1356" s="4">
        <f>IF(AND(VLOOKUP(G1356,Dados!$D:$L,2,0)=VLOOKUP(I1356,Dados!$S:$V,2,0),VLOOKUP(G1356,Dados!$D:$L,3,0)=VLOOKUP(I1356,Dados!$S:$V,3,0)),0,1)</f>
        <v>0</v>
      </c>
      <c r="T1356" s="4">
        <f>IF(AND(VLOOKUP(G1356,Dados!$D:$L,3,0)&lt;=VLOOKUP(H1356,Dados!$X:$AB,2,0),VLOOKUP(G1356,Dados!$D:$L,4,0)&gt;=VLOOKUP(H1356,Dados!$X:$AB,3,0),VLOOKUP(G1356,Dados!$D:$L,4,0)&lt;=VLOOKUP(H1356,Dados!$X:$AB,4,0)),0,1)</f>
        <v>0</v>
      </c>
      <c r="U1356" s="4">
        <f>IF(COUNTIFS(F:F,F1356,H:H,H1356)&lt;=VLOOKUP(H1356,Dados!$X:$AB,5,0),0,1)</f>
        <v>0</v>
      </c>
    </row>
    <row r="1357" spans="6:21">
      <c r="F1357" s="4">
        <v>681</v>
      </c>
      <c r="G1357" s="4">
        <v>33</v>
      </c>
      <c r="H1357" s="4">
        <v>2</v>
      </c>
      <c r="I1357" s="4">
        <v>16</v>
      </c>
      <c r="J1357" s="4">
        <v>1</v>
      </c>
      <c r="K1357" s="4">
        <f t="shared" si="262"/>
        <v>0</v>
      </c>
      <c r="L1357" s="4">
        <f t="shared" si="262"/>
        <v>3</v>
      </c>
      <c r="M1357" s="4">
        <f t="shared" si="262"/>
        <v>0</v>
      </c>
      <c r="N1357" s="4">
        <f t="shared" si="262"/>
        <v>0</v>
      </c>
      <c r="O1357" s="4">
        <f t="shared" si="263"/>
        <v>0</v>
      </c>
      <c r="P1357" s="4">
        <f t="shared" si="264"/>
        <v>3</v>
      </c>
      <c r="Q1357" s="4">
        <f t="shared" si="265"/>
        <v>0</v>
      </c>
      <c r="R1357" s="4">
        <f t="shared" si="266"/>
        <v>0</v>
      </c>
      <c r="S1357" s="4">
        <f>IF(AND(VLOOKUP(G1357,Dados!$D:$L,2,0)=VLOOKUP(I1357,Dados!$S:$V,2,0),VLOOKUP(G1357,Dados!$D:$L,3,0)=VLOOKUP(I1357,Dados!$S:$V,3,0)),0,1)</f>
        <v>0</v>
      </c>
      <c r="T1357" s="4">
        <f>IF(AND(VLOOKUP(G1357,Dados!$D:$L,3,0)&lt;=VLOOKUP(H1357,Dados!$X:$AB,2,0),VLOOKUP(G1357,Dados!$D:$L,4,0)&gt;=VLOOKUP(H1357,Dados!$X:$AB,3,0),VLOOKUP(G1357,Dados!$D:$L,4,0)&lt;=VLOOKUP(H1357,Dados!$X:$AB,4,0)),0,1)</f>
        <v>0</v>
      </c>
      <c r="U1357" s="4">
        <f>IF(COUNTIFS(F:F,F1357,H:H,H1357)&lt;=VLOOKUP(H1357,Dados!$X:$AB,5,0),0,1)</f>
        <v>0</v>
      </c>
    </row>
    <row r="1358" spans="6:21">
      <c r="F1358" s="4">
        <v>681</v>
      </c>
      <c r="G1358" s="4">
        <v>35</v>
      </c>
      <c r="H1358" s="4">
        <v>2</v>
      </c>
      <c r="I1358" s="4">
        <v>16</v>
      </c>
      <c r="J1358" s="4">
        <v>1</v>
      </c>
      <c r="K1358" s="4">
        <f t="shared" si="262"/>
        <v>0</v>
      </c>
      <c r="L1358" s="4">
        <f t="shared" si="262"/>
        <v>3</v>
      </c>
      <c r="M1358" s="4">
        <f t="shared" si="262"/>
        <v>0</v>
      </c>
      <c r="N1358" s="4">
        <f t="shared" si="262"/>
        <v>0</v>
      </c>
      <c r="O1358" s="4">
        <f t="shared" si="263"/>
        <v>0</v>
      </c>
      <c r="P1358" s="4">
        <f t="shared" si="264"/>
        <v>3</v>
      </c>
      <c r="Q1358" s="4">
        <f t="shared" si="265"/>
        <v>0</v>
      </c>
      <c r="R1358" s="4">
        <f t="shared" si="266"/>
        <v>0</v>
      </c>
      <c r="S1358" s="4">
        <f>IF(AND(VLOOKUP(G1358,Dados!$D:$L,2,0)=VLOOKUP(I1358,Dados!$S:$V,2,0),VLOOKUP(G1358,Dados!$D:$L,3,0)=VLOOKUP(I1358,Dados!$S:$V,3,0)),0,1)</f>
        <v>0</v>
      </c>
      <c r="T1358" s="4">
        <f>IF(AND(VLOOKUP(G1358,Dados!$D:$L,3,0)&lt;=VLOOKUP(H1358,Dados!$X:$AB,2,0),VLOOKUP(G1358,Dados!$D:$L,4,0)&gt;=VLOOKUP(H1358,Dados!$X:$AB,3,0),VLOOKUP(G1358,Dados!$D:$L,4,0)&lt;=VLOOKUP(H1358,Dados!$X:$AB,4,0)),0,1)</f>
        <v>0</v>
      </c>
      <c r="U1358" s="4">
        <f>IF(COUNTIFS(F:F,F1358,H:H,H1358)&lt;=VLOOKUP(H1358,Dados!$X:$AB,5,0),0,1)</f>
        <v>0</v>
      </c>
    </row>
    <row r="1359" spans="6:21">
      <c r="F1359" s="4">
        <v>682</v>
      </c>
      <c r="G1359" s="4">
        <v>32</v>
      </c>
      <c r="H1359" s="4">
        <v>3</v>
      </c>
      <c r="I1359" s="4">
        <v>16</v>
      </c>
      <c r="J1359" s="4">
        <v>4</v>
      </c>
      <c r="K1359" s="4">
        <f t="shared" si="262"/>
        <v>0</v>
      </c>
      <c r="L1359" s="4">
        <f t="shared" si="262"/>
        <v>0</v>
      </c>
      <c r="M1359" s="4">
        <f t="shared" si="262"/>
        <v>0</v>
      </c>
      <c r="N1359" s="4">
        <f t="shared" si="262"/>
        <v>0</v>
      </c>
      <c r="O1359" s="4">
        <f t="shared" si="263"/>
        <v>0</v>
      </c>
      <c r="P1359" s="4">
        <f t="shared" si="264"/>
        <v>0</v>
      </c>
      <c r="Q1359" s="4">
        <f t="shared" si="265"/>
        <v>0</v>
      </c>
      <c r="R1359" s="4">
        <f t="shared" si="266"/>
        <v>0</v>
      </c>
      <c r="S1359" s="4">
        <f>IF(AND(VLOOKUP(G1359,Dados!$D:$L,2,0)=VLOOKUP(I1359,Dados!$S:$V,2,0),VLOOKUP(G1359,Dados!$D:$L,3,0)=VLOOKUP(I1359,Dados!$S:$V,3,0)),0,1)</f>
        <v>0</v>
      </c>
      <c r="T1359" s="4">
        <f>IF(AND(VLOOKUP(G1359,Dados!$D:$L,3,0)&lt;=VLOOKUP(H1359,Dados!$X:$AB,2,0),VLOOKUP(G1359,Dados!$D:$L,4,0)&gt;=VLOOKUP(H1359,Dados!$X:$AB,3,0),VLOOKUP(G1359,Dados!$D:$L,4,0)&lt;=VLOOKUP(H1359,Dados!$X:$AB,4,0)),0,1)</f>
        <v>0</v>
      </c>
      <c r="U1359" s="4">
        <f>IF(COUNTIFS(F:F,F1359,H:H,H1359)&lt;=VLOOKUP(H1359,Dados!$X:$AB,5,0),0,1)</f>
        <v>0</v>
      </c>
    </row>
    <row r="1360" spans="6:21">
      <c r="F1360" s="4">
        <v>682</v>
      </c>
      <c r="G1360" s="4">
        <v>33</v>
      </c>
      <c r="H1360" s="4">
        <v>3</v>
      </c>
      <c r="I1360" s="4">
        <v>16</v>
      </c>
      <c r="J1360" s="4">
        <v>1</v>
      </c>
      <c r="K1360" s="4">
        <f t="shared" si="262"/>
        <v>0</v>
      </c>
      <c r="L1360" s="4">
        <f t="shared" si="262"/>
        <v>0</v>
      </c>
      <c r="M1360" s="4">
        <f t="shared" si="262"/>
        <v>0</v>
      </c>
      <c r="N1360" s="4">
        <f t="shared" si="262"/>
        <v>0</v>
      </c>
      <c r="O1360" s="4">
        <f t="shared" si="263"/>
        <v>0</v>
      </c>
      <c r="P1360" s="4">
        <f t="shared" si="264"/>
        <v>0</v>
      </c>
      <c r="Q1360" s="4">
        <f t="shared" si="265"/>
        <v>0</v>
      </c>
      <c r="R1360" s="4">
        <f t="shared" si="266"/>
        <v>0</v>
      </c>
      <c r="S1360" s="4">
        <f>IF(AND(VLOOKUP(G1360,Dados!$D:$L,2,0)=VLOOKUP(I1360,Dados!$S:$V,2,0),VLOOKUP(G1360,Dados!$D:$L,3,0)=VLOOKUP(I1360,Dados!$S:$V,3,0)),0,1)</f>
        <v>0</v>
      </c>
      <c r="T1360" s="4">
        <f>IF(AND(VLOOKUP(G1360,Dados!$D:$L,3,0)&lt;=VLOOKUP(H1360,Dados!$X:$AB,2,0),VLOOKUP(G1360,Dados!$D:$L,4,0)&gt;=VLOOKUP(H1360,Dados!$X:$AB,3,0),VLOOKUP(G1360,Dados!$D:$L,4,0)&lt;=VLOOKUP(H1360,Dados!$X:$AB,4,0)),0,1)</f>
        <v>0</v>
      </c>
      <c r="U1360" s="4">
        <f>IF(COUNTIFS(F:F,F1360,H:H,H1360)&lt;=VLOOKUP(H1360,Dados!$X:$AB,5,0),0,1)</f>
        <v>0</v>
      </c>
    </row>
    <row r="1361" spans="6:21">
      <c r="F1361" s="4">
        <v>682</v>
      </c>
      <c r="G1361" s="4">
        <v>35</v>
      </c>
      <c r="H1361" s="4">
        <v>3</v>
      </c>
      <c r="I1361" s="4">
        <v>16</v>
      </c>
      <c r="J1361" s="4">
        <v>1</v>
      </c>
      <c r="K1361" s="4">
        <f t="shared" si="262"/>
        <v>0</v>
      </c>
      <c r="L1361" s="4">
        <f t="shared" si="262"/>
        <v>0</v>
      </c>
      <c r="M1361" s="4">
        <f t="shared" si="262"/>
        <v>0</v>
      </c>
      <c r="N1361" s="4">
        <f t="shared" si="262"/>
        <v>0</v>
      </c>
      <c r="O1361" s="4">
        <f t="shared" si="263"/>
        <v>0</v>
      </c>
      <c r="P1361" s="4">
        <f t="shared" si="264"/>
        <v>0</v>
      </c>
      <c r="Q1361" s="4">
        <f t="shared" si="265"/>
        <v>0</v>
      </c>
      <c r="R1361" s="4">
        <f t="shared" si="266"/>
        <v>0</v>
      </c>
      <c r="S1361" s="4">
        <f>IF(AND(VLOOKUP(G1361,Dados!$D:$L,2,0)=VLOOKUP(I1361,Dados!$S:$V,2,0),VLOOKUP(G1361,Dados!$D:$L,3,0)=VLOOKUP(I1361,Dados!$S:$V,3,0)),0,1)</f>
        <v>0</v>
      </c>
      <c r="T1361" s="4">
        <f>IF(AND(VLOOKUP(G1361,Dados!$D:$L,3,0)&lt;=VLOOKUP(H1361,Dados!$X:$AB,2,0),VLOOKUP(G1361,Dados!$D:$L,4,0)&gt;=VLOOKUP(H1361,Dados!$X:$AB,3,0),VLOOKUP(G1361,Dados!$D:$L,4,0)&lt;=VLOOKUP(H1361,Dados!$X:$AB,4,0)),0,1)</f>
        <v>0</v>
      </c>
      <c r="U1361" s="4">
        <f>IF(COUNTIFS(F:F,F1361,H:H,H1361)&lt;=VLOOKUP(H1361,Dados!$X:$AB,5,0),0,1)</f>
        <v>0</v>
      </c>
    </row>
    <row r="1362" spans="6:21">
      <c r="F1362" s="4">
        <v>683</v>
      </c>
      <c r="G1362" s="4">
        <v>53</v>
      </c>
      <c r="H1362" s="4">
        <v>1</v>
      </c>
      <c r="I1362" s="4">
        <v>20</v>
      </c>
      <c r="J1362" s="4">
        <v>1</v>
      </c>
      <c r="K1362" s="4">
        <f t="shared" si="262"/>
        <v>0</v>
      </c>
      <c r="L1362" s="4">
        <f t="shared" si="262"/>
        <v>6</v>
      </c>
      <c r="M1362" s="4">
        <f t="shared" si="262"/>
        <v>0</v>
      </c>
      <c r="N1362" s="4">
        <f t="shared" si="262"/>
        <v>0</v>
      </c>
      <c r="O1362" s="4">
        <f t="shared" si="263"/>
        <v>0</v>
      </c>
      <c r="P1362" s="4">
        <f t="shared" si="264"/>
        <v>6</v>
      </c>
      <c r="Q1362" s="4">
        <f t="shared" si="265"/>
        <v>0</v>
      </c>
      <c r="R1362" s="4">
        <f t="shared" si="266"/>
        <v>0</v>
      </c>
      <c r="S1362" s="4">
        <f>IF(AND(VLOOKUP(G1362,Dados!$D:$L,2,0)=VLOOKUP(I1362,Dados!$S:$V,2,0),VLOOKUP(G1362,Dados!$D:$L,3,0)=VLOOKUP(I1362,Dados!$S:$V,3,0)),0,1)</f>
        <v>0</v>
      </c>
      <c r="T1362" s="4">
        <f>IF(AND(VLOOKUP(G1362,Dados!$D:$L,3,0)&lt;=VLOOKUP(H1362,Dados!$X:$AB,2,0),VLOOKUP(G1362,Dados!$D:$L,4,0)&gt;=VLOOKUP(H1362,Dados!$X:$AB,3,0),VLOOKUP(G1362,Dados!$D:$L,4,0)&lt;=VLOOKUP(H1362,Dados!$X:$AB,4,0)),0,1)</f>
        <v>0</v>
      </c>
      <c r="U1362" s="4">
        <f>IF(COUNTIFS(F:F,F1362,H:H,H1362)&lt;=VLOOKUP(H1362,Dados!$X:$AB,5,0),0,1)</f>
        <v>0</v>
      </c>
    </row>
    <row r="1363" spans="6:21">
      <c r="F1363" s="4">
        <v>683</v>
      </c>
      <c r="G1363" s="4">
        <v>57</v>
      </c>
      <c r="H1363" s="4">
        <v>1</v>
      </c>
      <c r="I1363" s="4">
        <v>20</v>
      </c>
      <c r="J1363" s="4">
        <v>3</v>
      </c>
      <c r="K1363" s="4">
        <f t="shared" si="262"/>
        <v>0</v>
      </c>
      <c r="L1363" s="4">
        <f t="shared" si="262"/>
        <v>6</v>
      </c>
      <c r="M1363" s="4">
        <f t="shared" si="262"/>
        <v>0</v>
      </c>
      <c r="N1363" s="4">
        <f t="shared" si="262"/>
        <v>0</v>
      </c>
      <c r="O1363" s="4">
        <f t="shared" si="263"/>
        <v>0</v>
      </c>
      <c r="P1363" s="4">
        <f t="shared" si="264"/>
        <v>18</v>
      </c>
      <c r="Q1363" s="4">
        <f t="shared" si="265"/>
        <v>0</v>
      </c>
      <c r="R1363" s="4">
        <f t="shared" si="266"/>
        <v>0</v>
      </c>
      <c r="S1363" s="4">
        <f>IF(AND(VLOOKUP(G1363,Dados!$D:$L,2,0)=VLOOKUP(I1363,Dados!$S:$V,2,0),VLOOKUP(G1363,Dados!$D:$L,3,0)=VLOOKUP(I1363,Dados!$S:$V,3,0)),0,1)</f>
        <v>0</v>
      </c>
      <c r="T1363" s="4">
        <f>IF(AND(VLOOKUP(G1363,Dados!$D:$L,3,0)&lt;=VLOOKUP(H1363,Dados!$X:$AB,2,0),VLOOKUP(G1363,Dados!$D:$L,4,0)&gt;=VLOOKUP(H1363,Dados!$X:$AB,3,0),VLOOKUP(G1363,Dados!$D:$L,4,0)&lt;=VLOOKUP(H1363,Dados!$X:$AB,4,0)),0,1)</f>
        <v>0</v>
      </c>
      <c r="U1363" s="4">
        <f>IF(COUNTIFS(F:F,F1363,H:H,H1363)&lt;=VLOOKUP(H1363,Dados!$X:$AB,5,0),0,1)</f>
        <v>0</v>
      </c>
    </row>
    <row r="1364" spans="6:21">
      <c r="F1364" s="4">
        <v>683</v>
      </c>
      <c r="G1364" s="4">
        <v>58</v>
      </c>
      <c r="H1364" s="4">
        <v>1</v>
      </c>
      <c r="I1364" s="4">
        <v>20</v>
      </c>
      <c r="J1364" s="4">
        <v>4</v>
      </c>
      <c r="K1364" s="4">
        <f t="shared" si="262"/>
        <v>0</v>
      </c>
      <c r="L1364" s="4">
        <f t="shared" si="262"/>
        <v>6</v>
      </c>
      <c r="M1364" s="4">
        <f t="shared" si="262"/>
        <v>0</v>
      </c>
      <c r="N1364" s="4">
        <f t="shared" si="262"/>
        <v>0</v>
      </c>
      <c r="O1364" s="4">
        <f t="shared" si="263"/>
        <v>0</v>
      </c>
      <c r="P1364" s="4">
        <f t="shared" si="264"/>
        <v>24</v>
      </c>
      <c r="Q1364" s="4">
        <f t="shared" si="265"/>
        <v>0</v>
      </c>
      <c r="R1364" s="4">
        <f t="shared" si="266"/>
        <v>0</v>
      </c>
      <c r="S1364" s="4">
        <f>IF(AND(VLOOKUP(G1364,Dados!$D:$L,2,0)=VLOOKUP(I1364,Dados!$S:$V,2,0),VLOOKUP(G1364,Dados!$D:$L,3,0)=VLOOKUP(I1364,Dados!$S:$V,3,0)),0,1)</f>
        <v>0</v>
      </c>
      <c r="T1364" s="4">
        <f>IF(AND(VLOOKUP(G1364,Dados!$D:$L,3,0)&lt;=VLOOKUP(H1364,Dados!$X:$AB,2,0),VLOOKUP(G1364,Dados!$D:$L,4,0)&gt;=VLOOKUP(H1364,Dados!$X:$AB,3,0),VLOOKUP(G1364,Dados!$D:$L,4,0)&lt;=VLOOKUP(H1364,Dados!$X:$AB,4,0)),0,1)</f>
        <v>0</v>
      </c>
      <c r="U1364" s="4">
        <f>IF(COUNTIFS(F:F,F1364,H:H,H1364)&lt;=VLOOKUP(H1364,Dados!$X:$AB,5,0),0,1)</f>
        <v>0</v>
      </c>
    </row>
    <row r="1365" spans="6:21">
      <c r="F1365" s="4">
        <v>684</v>
      </c>
      <c r="G1365" s="4">
        <v>53</v>
      </c>
      <c r="H1365" s="4">
        <v>3</v>
      </c>
      <c r="I1365" s="4">
        <v>20</v>
      </c>
      <c r="J1365" s="4">
        <v>1</v>
      </c>
      <c r="K1365" s="4">
        <f t="shared" si="262"/>
        <v>0</v>
      </c>
      <c r="L1365" s="4">
        <f t="shared" si="262"/>
        <v>49</v>
      </c>
      <c r="M1365" s="4">
        <f t="shared" si="262"/>
        <v>0</v>
      </c>
      <c r="N1365" s="4">
        <f t="shared" si="262"/>
        <v>0</v>
      </c>
      <c r="O1365" s="4">
        <f t="shared" si="263"/>
        <v>0</v>
      </c>
      <c r="P1365" s="4">
        <f t="shared" si="264"/>
        <v>49</v>
      </c>
      <c r="Q1365" s="4">
        <f t="shared" si="265"/>
        <v>0</v>
      </c>
      <c r="R1365" s="4">
        <f t="shared" si="266"/>
        <v>0</v>
      </c>
      <c r="S1365" s="4">
        <f>IF(AND(VLOOKUP(G1365,Dados!$D:$L,2,0)=VLOOKUP(I1365,Dados!$S:$V,2,0),VLOOKUP(G1365,Dados!$D:$L,3,0)=VLOOKUP(I1365,Dados!$S:$V,3,0)),0,1)</f>
        <v>0</v>
      </c>
      <c r="T1365" s="4">
        <f>IF(AND(VLOOKUP(G1365,Dados!$D:$L,3,0)&lt;=VLOOKUP(H1365,Dados!$X:$AB,2,0),VLOOKUP(G1365,Dados!$D:$L,4,0)&gt;=VLOOKUP(H1365,Dados!$X:$AB,3,0),VLOOKUP(G1365,Dados!$D:$L,4,0)&lt;=VLOOKUP(H1365,Dados!$X:$AB,4,0)),0,1)</f>
        <v>0</v>
      </c>
      <c r="U1365" s="4">
        <f>IF(COUNTIFS(F:F,F1365,H:H,H1365)&lt;=VLOOKUP(H1365,Dados!$X:$AB,5,0),0,1)</f>
        <v>0</v>
      </c>
    </row>
    <row r="1366" spans="6:21">
      <c r="F1366" s="4">
        <v>684</v>
      </c>
      <c r="G1366" s="4">
        <v>57</v>
      </c>
      <c r="H1366" s="4">
        <v>3</v>
      </c>
      <c r="I1366" s="4">
        <v>20</v>
      </c>
      <c r="J1366" s="4">
        <v>3</v>
      </c>
      <c r="K1366" s="4">
        <f t="shared" si="262"/>
        <v>0</v>
      </c>
      <c r="L1366" s="4">
        <f t="shared" si="262"/>
        <v>49</v>
      </c>
      <c r="M1366" s="4">
        <f t="shared" si="262"/>
        <v>0</v>
      </c>
      <c r="N1366" s="4">
        <f t="shared" si="262"/>
        <v>0</v>
      </c>
      <c r="O1366" s="4">
        <f t="shared" si="263"/>
        <v>0</v>
      </c>
      <c r="P1366" s="4">
        <f t="shared" si="264"/>
        <v>147</v>
      </c>
      <c r="Q1366" s="4">
        <f t="shared" si="265"/>
        <v>0</v>
      </c>
      <c r="R1366" s="4">
        <f t="shared" si="266"/>
        <v>0</v>
      </c>
      <c r="S1366" s="4">
        <f>IF(AND(VLOOKUP(G1366,Dados!$D:$L,2,0)=VLOOKUP(I1366,Dados!$S:$V,2,0),VLOOKUP(G1366,Dados!$D:$L,3,0)=VLOOKUP(I1366,Dados!$S:$V,3,0)),0,1)</f>
        <v>0</v>
      </c>
      <c r="T1366" s="4">
        <f>IF(AND(VLOOKUP(G1366,Dados!$D:$L,3,0)&lt;=VLOOKUP(H1366,Dados!$X:$AB,2,0),VLOOKUP(G1366,Dados!$D:$L,4,0)&gt;=VLOOKUP(H1366,Dados!$X:$AB,3,0),VLOOKUP(G1366,Dados!$D:$L,4,0)&lt;=VLOOKUP(H1366,Dados!$X:$AB,4,0)),0,1)</f>
        <v>0</v>
      </c>
      <c r="U1366" s="4">
        <f>IF(COUNTIFS(F:F,F1366,H:H,H1366)&lt;=VLOOKUP(H1366,Dados!$X:$AB,5,0),0,1)</f>
        <v>0</v>
      </c>
    </row>
    <row r="1367" spans="6:21">
      <c r="F1367" s="4">
        <v>684</v>
      </c>
      <c r="G1367" s="4">
        <v>58</v>
      </c>
      <c r="H1367" s="4">
        <v>3</v>
      </c>
      <c r="I1367" s="4">
        <v>20</v>
      </c>
      <c r="J1367" s="4">
        <v>4</v>
      </c>
      <c r="K1367" s="4">
        <f t="shared" si="262"/>
        <v>0</v>
      </c>
      <c r="L1367" s="4">
        <f t="shared" si="262"/>
        <v>49</v>
      </c>
      <c r="M1367" s="4">
        <f t="shared" si="262"/>
        <v>0</v>
      </c>
      <c r="N1367" s="4">
        <f t="shared" si="262"/>
        <v>0</v>
      </c>
      <c r="O1367" s="4">
        <f t="shared" si="263"/>
        <v>0</v>
      </c>
      <c r="P1367" s="4">
        <f t="shared" si="264"/>
        <v>196</v>
      </c>
      <c r="Q1367" s="4">
        <f t="shared" si="265"/>
        <v>0</v>
      </c>
      <c r="R1367" s="4">
        <f t="shared" si="266"/>
        <v>0</v>
      </c>
      <c r="S1367" s="4">
        <f>IF(AND(VLOOKUP(G1367,Dados!$D:$L,2,0)=VLOOKUP(I1367,Dados!$S:$V,2,0),VLOOKUP(G1367,Dados!$D:$L,3,0)=VLOOKUP(I1367,Dados!$S:$V,3,0)),0,1)</f>
        <v>0</v>
      </c>
      <c r="T1367" s="4">
        <f>IF(AND(VLOOKUP(G1367,Dados!$D:$L,3,0)&lt;=VLOOKUP(H1367,Dados!$X:$AB,2,0),VLOOKUP(G1367,Dados!$D:$L,4,0)&gt;=VLOOKUP(H1367,Dados!$X:$AB,3,0),VLOOKUP(G1367,Dados!$D:$L,4,0)&lt;=VLOOKUP(H1367,Dados!$X:$AB,4,0)),0,1)</f>
        <v>0</v>
      </c>
      <c r="U1367" s="4">
        <f>IF(COUNTIFS(F:F,F1367,H:H,H1367)&lt;=VLOOKUP(H1367,Dados!$X:$AB,5,0),0,1)</f>
        <v>0</v>
      </c>
    </row>
    <row r="1368" spans="6:21">
      <c r="F1368" s="4">
        <v>685</v>
      </c>
      <c r="G1368" s="4">
        <v>60</v>
      </c>
      <c r="H1368" s="4">
        <v>1</v>
      </c>
      <c r="I1368" s="4">
        <v>22</v>
      </c>
      <c r="J1368" s="4">
        <v>2</v>
      </c>
      <c r="K1368" s="4">
        <f t="shared" si="262"/>
        <v>0</v>
      </c>
      <c r="L1368" s="4">
        <f t="shared" si="262"/>
        <v>0</v>
      </c>
      <c r="M1368" s="4">
        <f t="shared" si="262"/>
        <v>0</v>
      </c>
      <c r="N1368" s="4">
        <f t="shared" si="262"/>
        <v>0</v>
      </c>
      <c r="O1368" s="4">
        <f t="shared" si="263"/>
        <v>0</v>
      </c>
      <c r="P1368" s="4">
        <f t="shared" si="264"/>
        <v>0</v>
      </c>
      <c r="Q1368" s="4">
        <f t="shared" si="265"/>
        <v>0</v>
      </c>
      <c r="R1368" s="4">
        <f t="shared" si="266"/>
        <v>0</v>
      </c>
      <c r="S1368" s="4">
        <f>IF(AND(VLOOKUP(G1368,Dados!$D:$L,2,0)=VLOOKUP(I1368,Dados!$S:$V,2,0),VLOOKUP(G1368,Dados!$D:$L,3,0)=VLOOKUP(I1368,Dados!$S:$V,3,0)),0,1)</f>
        <v>0</v>
      </c>
      <c r="T1368" s="4">
        <f>IF(AND(VLOOKUP(G1368,Dados!$D:$L,3,0)&lt;=VLOOKUP(H1368,Dados!$X:$AB,2,0),VLOOKUP(G1368,Dados!$D:$L,4,0)&gt;=VLOOKUP(H1368,Dados!$X:$AB,3,0),VLOOKUP(G1368,Dados!$D:$L,4,0)&lt;=VLOOKUP(H1368,Dados!$X:$AB,4,0)),0,1)</f>
        <v>0</v>
      </c>
      <c r="U1368" s="4">
        <f>IF(COUNTIFS(F:F,F1368,H:H,H1368)&lt;=VLOOKUP(H1368,Dados!$X:$AB,5,0),0,1)</f>
        <v>0</v>
      </c>
    </row>
    <row r="1369" spans="6:21">
      <c r="F1369" s="4">
        <v>685</v>
      </c>
      <c r="G1369" s="4">
        <v>62</v>
      </c>
      <c r="H1369" s="4">
        <v>1</v>
      </c>
      <c r="I1369" s="4">
        <v>22</v>
      </c>
      <c r="J1369" s="4">
        <v>1</v>
      </c>
      <c r="K1369" s="4">
        <f t="shared" si="262"/>
        <v>0</v>
      </c>
      <c r="L1369" s="4">
        <f t="shared" si="262"/>
        <v>0</v>
      </c>
      <c r="M1369" s="4">
        <f t="shared" si="262"/>
        <v>0</v>
      </c>
      <c r="N1369" s="4">
        <f t="shared" si="262"/>
        <v>0</v>
      </c>
      <c r="O1369" s="4">
        <f t="shared" si="263"/>
        <v>0</v>
      </c>
      <c r="P1369" s="4">
        <f t="shared" si="264"/>
        <v>0</v>
      </c>
      <c r="Q1369" s="4">
        <f t="shared" si="265"/>
        <v>0</v>
      </c>
      <c r="R1369" s="4">
        <f t="shared" si="266"/>
        <v>0</v>
      </c>
      <c r="S1369" s="4">
        <f>IF(AND(VLOOKUP(G1369,Dados!$D:$L,2,0)=VLOOKUP(I1369,Dados!$S:$V,2,0),VLOOKUP(G1369,Dados!$D:$L,3,0)=VLOOKUP(I1369,Dados!$S:$V,3,0)),0,1)</f>
        <v>0</v>
      </c>
      <c r="T1369" s="4">
        <f>IF(AND(VLOOKUP(G1369,Dados!$D:$L,3,0)&lt;=VLOOKUP(H1369,Dados!$X:$AB,2,0),VLOOKUP(G1369,Dados!$D:$L,4,0)&gt;=VLOOKUP(H1369,Dados!$X:$AB,3,0),VLOOKUP(G1369,Dados!$D:$L,4,0)&lt;=VLOOKUP(H1369,Dados!$X:$AB,4,0)),0,1)</f>
        <v>0</v>
      </c>
      <c r="U1369" s="4">
        <f>IF(COUNTIFS(F:F,F1369,H:H,H1369)&lt;=VLOOKUP(H1369,Dados!$X:$AB,5,0),0,1)</f>
        <v>0</v>
      </c>
    </row>
    <row r="1370" spans="6:21">
      <c r="F1370" s="4">
        <v>685</v>
      </c>
      <c r="G1370" s="4">
        <v>67</v>
      </c>
      <c r="H1370" s="4">
        <v>1</v>
      </c>
      <c r="I1370" s="4">
        <v>22</v>
      </c>
      <c r="J1370" s="4">
        <v>4</v>
      </c>
      <c r="K1370" s="4">
        <f t="shared" si="262"/>
        <v>0</v>
      </c>
      <c r="L1370" s="4">
        <f t="shared" si="262"/>
        <v>0</v>
      </c>
      <c r="M1370" s="4">
        <f t="shared" si="262"/>
        <v>0</v>
      </c>
      <c r="N1370" s="4">
        <f t="shared" si="262"/>
        <v>0</v>
      </c>
      <c r="O1370" s="4">
        <f t="shared" si="263"/>
        <v>0</v>
      </c>
      <c r="P1370" s="4">
        <f t="shared" si="264"/>
        <v>0</v>
      </c>
      <c r="Q1370" s="4">
        <f t="shared" si="265"/>
        <v>0</v>
      </c>
      <c r="R1370" s="4">
        <f t="shared" si="266"/>
        <v>0</v>
      </c>
      <c r="S1370" s="4">
        <f>IF(AND(VLOOKUP(G1370,Dados!$D:$L,2,0)=VLOOKUP(I1370,Dados!$S:$V,2,0),VLOOKUP(G1370,Dados!$D:$L,3,0)=VLOOKUP(I1370,Dados!$S:$V,3,0)),0,1)</f>
        <v>0</v>
      </c>
      <c r="T1370" s="4">
        <f>IF(AND(VLOOKUP(G1370,Dados!$D:$L,3,0)&lt;=VLOOKUP(H1370,Dados!$X:$AB,2,0),VLOOKUP(G1370,Dados!$D:$L,4,0)&gt;=VLOOKUP(H1370,Dados!$X:$AB,3,0),VLOOKUP(G1370,Dados!$D:$L,4,0)&lt;=VLOOKUP(H1370,Dados!$X:$AB,4,0)),0,1)</f>
        <v>0</v>
      </c>
      <c r="U1370" s="4">
        <f>IF(COUNTIFS(F:F,F1370,H:H,H1370)&lt;=VLOOKUP(H1370,Dados!$X:$AB,5,0),0,1)</f>
        <v>0</v>
      </c>
    </row>
    <row r="1371" spans="6:21">
      <c r="F1371" s="4">
        <v>686</v>
      </c>
      <c r="G1371" s="4">
        <v>60</v>
      </c>
      <c r="H1371" s="4">
        <v>2</v>
      </c>
      <c r="I1371" s="4">
        <v>22</v>
      </c>
      <c r="J1371" s="4">
        <v>2</v>
      </c>
      <c r="K1371" s="4">
        <f t="shared" si="262"/>
        <v>0</v>
      </c>
      <c r="L1371" s="4">
        <f t="shared" si="262"/>
        <v>2</v>
      </c>
      <c r="M1371" s="4">
        <f t="shared" si="262"/>
        <v>0</v>
      </c>
      <c r="N1371" s="4">
        <f t="shared" si="262"/>
        <v>0</v>
      </c>
      <c r="O1371" s="4">
        <f t="shared" si="263"/>
        <v>0</v>
      </c>
      <c r="P1371" s="4">
        <f t="shared" si="264"/>
        <v>4</v>
      </c>
      <c r="Q1371" s="4">
        <f t="shared" si="265"/>
        <v>0</v>
      </c>
      <c r="R1371" s="4">
        <f t="shared" si="266"/>
        <v>0</v>
      </c>
      <c r="S1371" s="4">
        <f>IF(AND(VLOOKUP(G1371,Dados!$D:$L,2,0)=VLOOKUP(I1371,Dados!$S:$V,2,0),VLOOKUP(G1371,Dados!$D:$L,3,0)=VLOOKUP(I1371,Dados!$S:$V,3,0)),0,1)</f>
        <v>0</v>
      </c>
      <c r="T1371" s="4">
        <f>IF(AND(VLOOKUP(G1371,Dados!$D:$L,3,0)&lt;=VLOOKUP(H1371,Dados!$X:$AB,2,0),VLOOKUP(G1371,Dados!$D:$L,4,0)&gt;=VLOOKUP(H1371,Dados!$X:$AB,3,0),VLOOKUP(G1371,Dados!$D:$L,4,0)&lt;=VLOOKUP(H1371,Dados!$X:$AB,4,0)),0,1)</f>
        <v>0</v>
      </c>
      <c r="U1371" s="4">
        <f>IF(COUNTIFS(F:F,F1371,H:H,H1371)&lt;=VLOOKUP(H1371,Dados!$X:$AB,5,0),0,1)</f>
        <v>0</v>
      </c>
    </row>
    <row r="1372" spans="6:21">
      <c r="F1372" s="4">
        <v>686</v>
      </c>
      <c r="G1372" s="4">
        <v>62</v>
      </c>
      <c r="H1372" s="4">
        <v>2</v>
      </c>
      <c r="I1372" s="4">
        <v>22</v>
      </c>
      <c r="J1372" s="4">
        <v>1</v>
      </c>
      <c r="K1372" s="4">
        <f t="shared" si="262"/>
        <v>0</v>
      </c>
      <c r="L1372" s="4">
        <f t="shared" si="262"/>
        <v>2</v>
      </c>
      <c r="M1372" s="4">
        <f t="shared" si="262"/>
        <v>0</v>
      </c>
      <c r="N1372" s="4">
        <f t="shared" si="262"/>
        <v>0</v>
      </c>
      <c r="O1372" s="4">
        <f t="shared" si="263"/>
        <v>0</v>
      </c>
      <c r="P1372" s="4">
        <f t="shared" si="264"/>
        <v>2</v>
      </c>
      <c r="Q1372" s="4">
        <f t="shared" si="265"/>
        <v>0</v>
      </c>
      <c r="R1372" s="4">
        <f t="shared" si="266"/>
        <v>0</v>
      </c>
      <c r="S1372" s="4">
        <f>IF(AND(VLOOKUP(G1372,Dados!$D:$L,2,0)=VLOOKUP(I1372,Dados!$S:$V,2,0),VLOOKUP(G1372,Dados!$D:$L,3,0)=VLOOKUP(I1372,Dados!$S:$V,3,0)),0,1)</f>
        <v>0</v>
      </c>
      <c r="T1372" s="4">
        <f>IF(AND(VLOOKUP(G1372,Dados!$D:$L,3,0)&lt;=VLOOKUP(H1372,Dados!$X:$AB,2,0),VLOOKUP(G1372,Dados!$D:$L,4,0)&gt;=VLOOKUP(H1372,Dados!$X:$AB,3,0),VLOOKUP(G1372,Dados!$D:$L,4,0)&lt;=VLOOKUP(H1372,Dados!$X:$AB,4,0)),0,1)</f>
        <v>0</v>
      </c>
      <c r="U1372" s="4">
        <f>IF(COUNTIFS(F:F,F1372,H:H,H1372)&lt;=VLOOKUP(H1372,Dados!$X:$AB,5,0),0,1)</f>
        <v>0</v>
      </c>
    </row>
    <row r="1373" spans="6:21">
      <c r="F1373" s="4">
        <v>686</v>
      </c>
      <c r="G1373" s="4">
        <v>67</v>
      </c>
      <c r="H1373" s="4">
        <v>2</v>
      </c>
      <c r="I1373" s="4">
        <v>22</v>
      </c>
      <c r="J1373" s="4">
        <v>4</v>
      </c>
      <c r="K1373" s="4">
        <f t="shared" si="262"/>
        <v>0</v>
      </c>
      <c r="L1373" s="4">
        <f t="shared" si="262"/>
        <v>2</v>
      </c>
      <c r="M1373" s="4">
        <f t="shared" si="262"/>
        <v>0</v>
      </c>
      <c r="N1373" s="4">
        <f t="shared" si="262"/>
        <v>0</v>
      </c>
      <c r="O1373" s="4">
        <f t="shared" si="263"/>
        <v>0</v>
      </c>
      <c r="P1373" s="4">
        <f t="shared" si="264"/>
        <v>8</v>
      </c>
      <c r="Q1373" s="4">
        <f t="shared" si="265"/>
        <v>0</v>
      </c>
      <c r="R1373" s="4">
        <f t="shared" si="266"/>
        <v>0</v>
      </c>
      <c r="S1373" s="4">
        <f>IF(AND(VLOOKUP(G1373,Dados!$D:$L,2,0)=VLOOKUP(I1373,Dados!$S:$V,2,0),VLOOKUP(G1373,Dados!$D:$L,3,0)=VLOOKUP(I1373,Dados!$S:$V,3,0)),0,1)</f>
        <v>0</v>
      </c>
      <c r="T1373" s="4">
        <f>IF(AND(VLOOKUP(G1373,Dados!$D:$L,3,0)&lt;=VLOOKUP(H1373,Dados!$X:$AB,2,0),VLOOKUP(G1373,Dados!$D:$L,4,0)&gt;=VLOOKUP(H1373,Dados!$X:$AB,3,0),VLOOKUP(G1373,Dados!$D:$L,4,0)&lt;=VLOOKUP(H1373,Dados!$X:$AB,4,0)),0,1)</f>
        <v>0</v>
      </c>
      <c r="U1373" s="4">
        <f>IF(COUNTIFS(F:F,F1373,H:H,H1373)&lt;=VLOOKUP(H1373,Dados!$X:$AB,5,0),0,1)</f>
        <v>0</v>
      </c>
    </row>
    <row r="1374" spans="6:21">
      <c r="F1374" s="4">
        <v>687</v>
      </c>
      <c r="G1374" s="4">
        <v>60</v>
      </c>
      <c r="H1374" s="4">
        <v>3</v>
      </c>
      <c r="I1374" s="4">
        <v>22</v>
      </c>
      <c r="J1374" s="4">
        <v>2</v>
      </c>
      <c r="K1374" s="4">
        <f t="shared" si="262"/>
        <v>0</v>
      </c>
      <c r="L1374" s="4">
        <f t="shared" si="262"/>
        <v>0</v>
      </c>
      <c r="M1374" s="4">
        <f t="shared" si="262"/>
        <v>0</v>
      </c>
      <c r="N1374" s="4">
        <f t="shared" si="262"/>
        <v>0</v>
      </c>
      <c r="O1374" s="4">
        <f t="shared" si="263"/>
        <v>0</v>
      </c>
      <c r="P1374" s="4">
        <f t="shared" si="264"/>
        <v>0</v>
      </c>
      <c r="Q1374" s="4">
        <f t="shared" si="265"/>
        <v>0</v>
      </c>
      <c r="R1374" s="4">
        <f t="shared" si="266"/>
        <v>0</v>
      </c>
      <c r="S1374" s="4">
        <f>IF(AND(VLOOKUP(G1374,Dados!$D:$L,2,0)=VLOOKUP(I1374,Dados!$S:$V,2,0),VLOOKUP(G1374,Dados!$D:$L,3,0)=VLOOKUP(I1374,Dados!$S:$V,3,0)),0,1)</f>
        <v>0</v>
      </c>
      <c r="T1374" s="4">
        <f>IF(AND(VLOOKUP(G1374,Dados!$D:$L,3,0)&lt;=VLOOKUP(H1374,Dados!$X:$AB,2,0),VLOOKUP(G1374,Dados!$D:$L,4,0)&gt;=VLOOKUP(H1374,Dados!$X:$AB,3,0),VLOOKUP(G1374,Dados!$D:$L,4,0)&lt;=VLOOKUP(H1374,Dados!$X:$AB,4,0)),0,1)</f>
        <v>0</v>
      </c>
      <c r="U1374" s="4">
        <f>IF(COUNTIFS(F:F,F1374,H:H,H1374)&lt;=VLOOKUP(H1374,Dados!$X:$AB,5,0),0,1)</f>
        <v>0</v>
      </c>
    </row>
    <row r="1375" spans="6:21">
      <c r="F1375" s="4">
        <v>687</v>
      </c>
      <c r="G1375" s="4">
        <v>62</v>
      </c>
      <c r="H1375" s="4">
        <v>3</v>
      </c>
      <c r="I1375" s="4">
        <v>22</v>
      </c>
      <c r="J1375" s="4">
        <v>1</v>
      </c>
      <c r="K1375" s="4">
        <f t="shared" si="262"/>
        <v>0</v>
      </c>
      <c r="L1375" s="4">
        <f t="shared" si="262"/>
        <v>0</v>
      </c>
      <c r="M1375" s="4">
        <f t="shared" si="262"/>
        <v>0</v>
      </c>
      <c r="N1375" s="4">
        <f t="shared" si="262"/>
        <v>0</v>
      </c>
      <c r="O1375" s="4">
        <f t="shared" si="263"/>
        <v>0</v>
      </c>
      <c r="P1375" s="4">
        <f t="shared" si="264"/>
        <v>0</v>
      </c>
      <c r="Q1375" s="4">
        <f t="shared" si="265"/>
        <v>0</v>
      </c>
      <c r="R1375" s="4">
        <f t="shared" si="266"/>
        <v>0</v>
      </c>
      <c r="S1375" s="4">
        <f>IF(AND(VLOOKUP(G1375,Dados!$D:$L,2,0)=VLOOKUP(I1375,Dados!$S:$V,2,0),VLOOKUP(G1375,Dados!$D:$L,3,0)=VLOOKUP(I1375,Dados!$S:$V,3,0)),0,1)</f>
        <v>0</v>
      </c>
      <c r="T1375" s="4">
        <f>IF(AND(VLOOKUP(G1375,Dados!$D:$L,3,0)&lt;=VLOOKUP(H1375,Dados!$X:$AB,2,0),VLOOKUP(G1375,Dados!$D:$L,4,0)&gt;=VLOOKUP(H1375,Dados!$X:$AB,3,0),VLOOKUP(G1375,Dados!$D:$L,4,0)&lt;=VLOOKUP(H1375,Dados!$X:$AB,4,0)),0,1)</f>
        <v>0</v>
      </c>
      <c r="U1375" s="4">
        <f>IF(COUNTIFS(F:F,F1375,H:H,H1375)&lt;=VLOOKUP(H1375,Dados!$X:$AB,5,0),0,1)</f>
        <v>0</v>
      </c>
    </row>
    <row r="1376" spans="6:21">
      <c r="F1376" s="4">
        <v>687</v>
      </c>
      <c r="G1376" s="4">
        <v>67</v>
      </c>
      <c r="H1376" s="4">
        <v>3</v>
      </c>
      <c r="I1376" s="4">
        <v>22</v>
      </c>
      <c r="J1376" s="4">
        <v>4</v>
      </c>
      <c r="K1376" s="4">
        <f t="shared" si="262"/>
        <v>0</v>
      </c>
      <c r="L1376" s="4">
        <f t="shared" si="262"/>
        <v>0</v>
      </c>
      <c r="M1376" s="4">
        <f t="shared" si="262"/>
        <v>0</v>
      </c>
      <c r="N1376" s="4">
        <f t="shared" si="262"/>
        <v>0</v>
      </c>
      <c r="O1376" s="4">
        <f t="shared" si="263"/>
        <v>0</v>
      </c>
      <c r="P1376" s="4">
        <f t="shared" si="264"/>
        <v>0</v>
      </c>
      <c r="Q1376" s="4">
        <f t="shared" si="265"/>
        <v>0</v>
      </c>
      <c r="R1376" s="4">
        <f t="shared" si="266"/>
        <v>0</v>
      </c>
      <c r="S1376" s="4">
        <f>IF(AND(VLOOKUP(G1376,Dados!$D:$L,2,0)=VLOOKUP(I1376,Dados!$S:$V,2,0),VLOOKUP(G1376,Dados!$D:$L,3,0)=VLOOKUP(I1376,Dados!$S:$V,3,0)),0,1)</f>
        <v>0</v>
      </c>
      <c r="T1376" s="4">
        <f>IF(AND(VLOOKUP(G1376,Dados!$D:$L,3,0)&lt;=VLOOKUP(H1376,Dados!$X:$AB,2,0),VLOOKUP(G1376,Dados!$D:$L,4,0)&gt;=VLOOKUP(H1376,Dados!$X:$AB,3,0),VLOOKUP(G1376,Dados!$D:$L,4,0)&lt;=VLOOKUP(H1376,Dados!$X:$AB,4,0)),0,1)</f>
        <v>0</v>
      </c>
      <c r="U1376" s="4">
        <f>IF(COUNTIFS(F:F,F1376,H:H,H1376)&lt;=VLOOKUP(H1376,Dados!$X:$AB,5,0),0,1)</f>
        <v>0</v>
      </c>
    </row>
    <row r="1377" spans="6:21">
      <c r="F1377" s="4">
        <v>688</v>
      </c>
      <c r="G1377" s="4">
        <v>60</v>
      </c>
      <c r="H1377" s="4">
        <v>1</v>
      </c>
      <c r="I1377" s="4">
        <v>23</v>
      </c>
      <c r="J1377" s="4">
        <v>5</v>
      </c>
      <c r="K1377" s="4">
        <f t="shared" si="262"/>
        <v>0</v>
      </c>
      <c r="L1377" s="4">
        <f t="shared" si="262"/>
        <v>0</v>
      </c>
      <c r="M1377" s="4">
        <f t="shared" si="262"/>
        <v>0</v>
      </c>
      <c r="N1377" s="4">
        <f t="shared" si="262"/>
        <v>0</v>
      </c>
      <c r="O1377" s="4">
        <f t="shared" si="263"/>
        <v>0</v>
      </c>
      <c r="P1377" s="4">
        <f t="shared" si="264"/>
        <v>0</v>
      </c>
      <c r="Q1377" s="4">
        <f t="shared" si="265"/>
        <v>0</v>
      </c>
      <c r="R1377" s="4">
        <f t="shared" si="266"/>
        <v>0</v>
      </c>
      <c r="S1377" s="4">
        <f>IF(AND(VLOOKUP(G1377,Dados!$D:$L,2,0)=VLOOKUP(I1377,Dados!$S:$V,2,0),VLOOKUP(G1377,Dados!$D:$L,3,0)=VLOOKUP(I1377,Dados!$S:$V,3,0)),0,1)</f>
        <v>0</v>
      </c>
      <c r="T1377" s="4">
        <f>IF(AND(VLOOKUP(G1377,Dados!$D:$L,3,0)&lt;=VLOOKUP(H1377,Dados!$X:$AB,2,0),VLOOKUP(G1377,Dados!$D:$L,4,0)&gt;=VLOOKUP(H1377,Dados!$X:$AB,3,0),VLOOKUP(G1377,Dados!$D:$L,4,0)&lt;=VLOOKUP(H1377,Dados!$X:$AB,4,0)),0,1)</f>
        <v>0</v>
      </c>
      <c r="U1377" s="4">
        <f>IF(COUNTIFS(F:F,F1377,H:H,H1377)&lt;=VLOOKUP(H1377,Dados!$X:$AB,5,0),0,1)</f>
        <v>0</v>
      </c>
    </row>
    <row r="1378" spans="6:21">
      <c r="F1378" s="4">
        <v>688</v>
      </c>
      <c r="G1378" s="4">
        <v>62</v>
      </c>
      <c r="H1378" s="4">
        <v>1</v>
      </c>
      <c r="I1378" s="4">
        <v>23</v>
      </c>
      <c r="J1378" s="4">
        <v>2</v>
      </c>
      <c r="K1378" s="4">
        <f t="shared" si="262"/>
        <v>0</v>
      </c>
      <c r="L1378" s="4">
        <f t="shared" si="262"/>
        <v>0</v>
      </c>
      <c r="M1378" s="4">
        <f t="shared" si="262"/>
        <v>0</v>
      </c>
      <c r="N1378" s="4">
        <f t="shared" si="262"/>
        <v>0</v>
      </c>
      <c r="O1378" s="4">
        <f t="shared" si="263"/>
        <v>0</v>
      </c>
      <c r="P1378" s="4">
        <f t="shared" si="264"/>
        <v>0</v>
      </c>
      <c r="Q1378" s="4">
        <f t="shared" si="265"/>
        <v>0</v>
      </c>
      <c r="R1378" s="4">
        <f t="shared" si="266"/>
        <v>0</v>
      </c>
      <c r="S1378" s="4">
        <f>IF(AND(VLOOKUP(G1378,Dados!$D:$L,2,0)=VLOOKUP(I1378,Dados!$S:$V,2,0),VLOOKUP(G1378,Dados!$D:$L,3,0)=VLOOKUP(I1378,Dados!$S:$V,3,0)),0,1)</f>
        <v>0</v>
      </c>
      <c r="T1378" s="4">
        <f>IF(AND(VLOOKUP(G1378,Dados!$D:$L,3,0)&lt;=VLOOKUP(H1378,Dados!$X:$AB,2,0),VLOOKUP(G1378,Dados!$D:$L,4,0)&gt;=VLOOKUP(H1378,Dados!$X:$AB,3,0),VLOOKUP(G1378,Dados!$D:$L,4,0)&lt;=VLOOKUP(H1378,Dados!$X:$AB,4,0)),0,1)</f>
        <v>0</v>
      </c>
      <c r="U1378" s="4">
        <f>IF(COUNTIFS(F:F,F1378,H:H,H1378)&lt;=VLOOKUP(H1378,Dados!$X:$AB,5,0),0,1)</f>
        <v>0</v>
      </c>
    </row>
    <row r="1379" spans="6:21">
      <c r="F1379" s="4">
        <v>688</v>
      </c>
      <c r="G1379" s="4">
        <v>67</v>
      </c>
      <c r="H1379" s="4">
        <v>1</v>
      </c>
      <c r="I1379" s="4">
        <v>23</v>
      </c>
      <c r="J1379" s="4">
        <v>1</v>
      </c>
      <c r="K1379" s="4">
        <f t="shared" si="262"/>
        <v>0</v>
      </c>
      <c r="L1379" s="4">
        <f t="shared" si="262"/>
        <v>0</v>
      </c>
      <c r="M1379" s="4">
        <f t="shared" si="262"/>
        <v>0</v>
      </c>
      <c r="N1379" s="4">
        <f t="shared" si="262"/>
        <v>0</v>
      </c>
      <c r="O1379" s="4">
        <f t="shared" si="263"/>
        <v>0</v>
      </c>
      <c r="P1379" s="4">
        <f t="shared" si="264"/>
        <v>0</v>
      </c>
      <c r="Q1379" s="4">
        <f t="shared" si="265"/>
        <v>0</v>
      </c>
      <c r="R1379" s="4">
        <f t="shared" si="266"/>
        <v>0</v>
      </c>
      <c r="S1379" s="4">
        <f>IF(AND(VLOOKUP(G1379,Dados!$D:$L,2,0)=VLOOKUP(I1379,Dados!$S:$V,2,0),VLOOKUP(G1379,Dados!$D:$L,3,0)=VLOOKUP(I1379,Dados!$S:$V,3,0)),0,1)</f>
        <v>0</v>
      </c>
      <c r="T1379" s="4">
        <f>IF(AND(VLOOKUP(G1379,Dados!$D:$L,3,0)&lt;=VLOOKUP(H1379,Dados!$X:$AB,2,0),VLOOKUP(G1379,Dados!$D:$L,4,0)&gt;=VLOOKUP(H1379,Dados!$X:$AB,3,0),VLOOKUP(G1379,Dados!$D:$L,4,0)&lt;=VLOOKUP(H1379,Dados!$X:$AB,4,0)),0,1)</f>
        <v>0</v>
      </c>
      <c r="U1379" s="4">
        <f>IF(COUNTIFS(F:F,F1379,H:H,H1379)&lt;=VLOOKUP(H1379,Dados!$X:$AB,5,0),0,1)</f>
        <v>0</v>
      </c>
    </row>
    <row r="1380" spans="6:21">
      <c r="F1380" s="4">
        <v>689</v>
      </c>
      <c r="G1380" s="4">
        <v>60</v>
      </c>
      <c r="H1380" s="4">
        <v>2</v>
      </c>
      <c r="I1380" s="4">
        <v>23</v>
      </c>
      <c r="J1380" s="4">
        <v>5</v>
      </c>
      <c r="K1380" s="4">
        <f t="shared" si="262"/>
        <v>0</v>
      </c>
      <c r="L1380" s="4">
        <f t="shared" si="262"/>
        <v>0</v>
      </c>
      <c r="M1380" s="4">
        <f t="shared" si="262"/>
        <v>0</v>
      </c>
      <c r="N1380" s="4">
        <f t="shared" si="262"/>
        <v>0</v>
      </c>
      <c r="O1380" s="4">
        <f t="shared" si="263"/>
        <v>0</v>
      </c>
      <c r="P1380" s="4">
        <f t="shared" si="264"/>
        <v>0</v>
      </c>
      <c r="Q1380" s="4">
        <f t="shared" si="265"/>
        <v>0</v>
      </c>
      <c r="R1380" s="4">
        <f t="shared" si="266"/>
        <v>0</v>
      </c>
      <c r="S1380" s="4">
        <f>IF(AND(VLOOKUP(G1380,Dados!$D:$L,2,0)=VLOOKUP(I1380,Dados!$S:$V,2,0),VLOOKUP(G1380,Dados!$D:$L,3,0)=VLOOKUP(I1380,Dados!$S:$V,3,0)),0,1)</f>
        <v>0</v>
      </c>
      <c r="T1380" s="4">
        <f>IF(AND(VLOOKUP(G1380,Dados!$D:$L,3,0)&lt;=VLOOKUP(H1380,Dados!$X:$AB,2,0),VLOOKUP(G1380,Dados!$D:$L,4,0)&gt;=VLOOKUP(H1380,Dados!$X:$AB,3,0),VLOOKUP(G1380,Dados!$D:$L,4,0)&lt;=VLOOKUP(H1380,Dados!$X:$AB,4,0)),0,1)</f>
        <v>0</v>
      </c>
      <c r="U1380" s="4">
        <f>IF(COUNTIFS(F:F,F1380,H:H,H1380)&lt;=VLOOKUP(H1380,Dados!$X:$AB,5,0),0,1)</f>
        <v>0</v>
      </c>
    </row>
    <row r="1381" spans="6:21">
      <c r="F1381" s="4">
        <v>689</v>
      </c>
      <c r="G1381" s="4">
        <v>62</v>
      </c>
      <c r="H1381" s="4">
        <v>2</v>
      </c>
      <c r="I1381" s="4">
        <v>23</v>
      </c>
      <c r="J1381" s="4">
        <v>2</v>
      </c>
      <c r="K1381" s="4">
        <f t="shared" ref="K1381:N1444" si="267">SUMIFS($X:$X,$W:$W,$F1381,$Z:$Z,$I1381,$AA:$AA,$H1381,$AB:$AB,K$2)</f>
        <v>0</v>
      </c>
      <c r="L1381" s="4">
        <f t="shared" si="267"/>
        <v>0</v>
      </c>
      <c r="M1381" s="4">
        <f t="shared" si="267"/>
        <v>0</v>
      </c>
      <c r="N1381" s="4">
        <f t="shared" si="267"/>
        <v>0</v>
      </c>
      <c r="O1381" s="4">
        <f t="shared" si="263"/>
        <v>0</v>
      </c>
      <c r="P1381" s="4">
        <f t="shared" si="264"/>
        <v>0</v>
      </c>
      <c r="Q1381" s="4">
        <f t="shared" si="265"/>
        <v>0</v>
      </c>
      <c r="R1381" s="4">
        <f t="shared" si="266"/>
        <v>0</v>
      </c>
      <c r="S1381" s="4">
        <f>IF(AND(VLOOKUP(G1381,Dados!$D:$L,2,0)=VLOOKUP(I1381,Dados!$S:$V,2,0),VLOOKUP(G1381,Dados!$D:$L,3,0)=VLOOKUP(I1381,Dados!$S:$V,3,0)),0,1)</f>
        <v>0</v>
      </c>
      <c r="T1381" s="4">
        <f>IF(AND(VLOOKUP(G1381,Dados!$D:$L,3,0)&lt;=VLOOKUP(H1381,Dados!$X:$AB,2,0),VLOOKUP(G1381,Dados!$D:$L,4,0)&gt;=VLOOKUP(H1381,Dados!$X:$AB,3,0),VLOOKUP(G1381,Dados!$D:$L,4,0)&lt;=VLOOKUP(H1381,Dados!$X:$AB,4,0)),0,1)</f>
        <v>0</v>
      </c>
      <c r="U1381" s="4">
        <f>IF(COUNTIFS(F:F,F1381,H:H,H1381)&lt;=VLOOKUP(H1381,Dados!$X:$AB,5,0),0,1)</f>
        <v>0</v>
      </c>
    </row>
    <row r="1382" spans="6:21">
      <c r="F1382" s="4">
        <v>689</v>
      </c>
      <c r="G1382" s="4">
        <v>67</v>
      </c>
      <c r="H1382" s="4">
        <v>2</v>
      </c>
      <c r="I1382" s="4">
        <v>23</v>
      </c>
      <c r="J1382" s="4">
        <v>1</v>
      </c>
      <c r="K1382" s="4">
        <f t="shared" si="267"/>
        <v>0</v>
      </c>
      <c r="L1382" s="4">
        <f t="shared" si="267"/>
        <v>0</v>
      </c>
      <c r="M1382" s="4">
        <f t="shared" si="267"/>
        <v>0</v>
      </c>
      <c r="N1382" s="4">
        <f t="shared" si="267"/>
        <v>0</v>
      </c>
      <c r="O1382" s="4">
        <f t="shared" si="263"/>
        <v>0</v>
      </c>
      <c r="P1382" s="4">
        <f t="shared" si="264"/>
        <v>0</v>
      </c>
      <c r="Q1382" s="4">
        <f t="shared" si="265"/>
        <v>0</v>
      </c>
      <c r="R1382" s="4">
        <f t="shared" si="266"/>
        <v>0</v>
      </c>
      <c r="S1382" s="4">
        <f>IF(AND(VLOOKUP(G1382,Dados!$D:$L,2,0)=VLOOKUP(I1382,Dados!$S:$V,2,0),VLOOKUP(G1382,Dados!$D:$L,3,0)=VLOOKUP(I1382,Dados!$S:$V,3,0)),0,1)</f>
        <v>0</v>
      </c>
      <c r="T1382" s="4">
        <f>IF(AND(VLOOKUP(G1382,Dados!$D:$L,3,0)&lt;=VLOOKUP(H1382,Dados!$X:$AB,2,0),VLOOKUP(G1382,Dados!$D:$L,4,0)&gt;=VLOOKUP(H1382,Dados!$X:$AB,3,0),VLOOKUP(G1382,Dados!$D:$L,4,0)&lt;=VLOOKUP(H1382,Dados!$X:$AB,4,0)),0,1)</f>
        <v>0</v>
      </c>
      <c r="U1382" s="4">
        <f>IF(COUNTIFS(F:F,F1382,H:H,H1382)&lt;=VLOOKUP(H1382,Dados!$X:$AB,5,0),0,1)</f>
        <v>0</v>
      </c>
    </row>
    <row r="1383" spans="6:21">
      <c r="F1383" s="4">
        <v>690</v>
      </c>
      <c r="G1383" s="4">
        <v>60</v>
      </c>
      <c r="H1383" s="4">
        <v>3</v>
      </c>
      <c r="I1383" s="4">
        <v>23</v>
      </c>
      <c r="J1383" s="4">
        <v>5</v>
      </c>
      <c r="K1383" s="4">
        <f t="shared" si="267"/>
        <v>0</v>
      </c>
      <c r="L1383" s="4">
        <f t="shared" si="267"/>
        <v>0</v>
      </c>
      <c r="M1383" s="4">
        <f t="shared" si="267"/>
        <v>0</v>
      </c>
      <c r="N1383" s="4">
        <f t="shared" si="267"/>
        <v>0</v>
      </c>
      <c r="O1383" s="4">
        <f t="shared" ref="O1383:O1446" si="268">$J1383*K1383</f>
        <v>0</v>
      </c>
      <c r="P1383" s="4">
        <f t="shared" ref="P1383:P1446" si="269">$J1383*L1383</f>
        <v>0</v>
      </c>
      <c r="Q1383" s="4">
        <f t="shared" ref="Q1383:Q1446" si="270">$J1383*M1383</f>
        <v>0</v>
      </c>
      <c r="R1383" s="4">
        <f t="shared" ref="R1383:R1446" si="271">$J1383*N1383</f>
        <v>0</v>
      </c>
      <c r="S1383" s="4">
        <f>IF(AND(VLOOKUP(G1383,Dados!$D:$L,2,0)=VLOOKUP(I1383,Dados!$S:$V,2,0),VLOOKUP(G1383,Dados!$D:$L,3,0)=VLOOKUP(I1383,Dados!$S:$V,3,0)),0,1)</f>
        <v>0</v>
      </c>
      <c r="T1383" s="4">
        <f>IF(AND(VLOOKUP(G1383,Dados!$D:$L,3,0)&lt;=VLOOKUP(H1383,Dados!$X:$AB,2,0),VLOOKUP(G1383,Dados!$D:$L,4,0)&gt;=VLOOKUP(H1383,Dados!$X:$AB,3,0),VLOOKUP(G1383,Dados!$D:$L,4,0)&lt;=VLOOKUP(H1383,Dados!$X:$AB,4,0)),0,1)</f>
        <v>0</v>
      </c>
      <c r="U1383" s="4">
        <f>IF(COUNTIFS(F:F,F1383,H:H,H1383)&lt;=VLOOKUP(H1383,Dados!$X:$AB,5,0),0,1)</f>
        <v>0</v>
      </c>
    </row>
    <row r="1384" spans="6:21">
      <c r="F1384" s="4">
        <v>690</v>
      </c>
      <c r="G1384" s="4">
        <v>62</v>
      </c>
      <c r="H1384" s="4">
        <v>3</v>
      </c>
      <c r="I1384" s="4">
        <v>23</v>
      </c>
      <c r="J1384" s="4">
        <v>2</v>
      </c>
      <c r="K1384" s="4">
        <f t="shared" si="267"/>
        <v>0</v>
      </c>
      <c r="L1384" s="4">
        <f t="shared" si="267"/>
        <v>0</v>
      </c>
      <c r="M1384" s="4">
        <f t="shared" si="267"/>
        <v>0</v>
      </c>
      <c r="N1384" s="4">
        <f t="shared" si="267"/>
        <v>0</v>
      </c>
      <c r="O1384" s="4">
        <f t="shared" si="268"/>
        <v>0</v>
      </c>
      <c r="P1384" s="4">
        <f t="shared" si="269"/>
        <v>0</v>
      </c>
      <c r="Q1384" s="4">
        <f t="shared" si="270"/>
        <v>0</v>
      </c>
      <c r="R1384" s="4">
        <f t="shared" si="271"/>
        <v>0</v>
      </c>
      <c r="S1384" s="4">
        <f>IF(AND(VLOOKUP(G1384,Dados!$D:$L,2,0)=VLOOKUP(I1384,Dados!$S:$V,2,0),VLOOKUP(G1384,Dados!$D:$L,3,0)=VLOOKUP(I1384,Dados!$S:$V,3,0)),0,1)</f>
        <v>0</v>
      </c>
      <c r="T1384" s="4">
        <f>IF(AND(VLOOKUP(G1384,Dados!$D:$L,3,0)&lt;=VLOOKUP(H1384,Dados!$X:$AB,2,0),VLOOKUP(G1384,Dados!$D:$L,4,0)&gt;=VLOOKUP(H1384,Dados!$X:$AB,3,0),VLOOKUP(G1384,Dados!$D:$L,4,0)&lt;=VLOOKUP(H1384,Dados!$X:$AB,4,0)),0,1)</f>
        <v>0</v>
      </c>
      <c r="U1384" s="4">
        <f>IF(COUNTIFS(F:F,F1384,H:H,H1384)&lt;=VLOOKUP(H1384,Dados!$X:$AB,5,0),0,1)</f>
        <v>0</v>
      </c>
    </row>
    <row r="1385" spans="6:21">
      <c r="F1385" s="4">
        <v>690</v>
      </c>
      <c r="G1385" s="4">
        <v>67</v>
      </c>
      <c r="H1385" s="4">
        <v>3</v>
      </c>
      <c r="I1385" s="4">
        <v>23</v>
      </c>
      <c r="J1385" s="4">
        <v>1</v>
      </c>
      <c r="K1385" s="4">
        <f t="shared" si="267"/>
        <v>0</v>
      </c>
      <c r="L1385" s="4">
        <f t="shared" si="267"/>
        <v>0</v>
      </c>
      <c r="M1385" s="4">
        <f t="shared" si="267"/>
        <v>0</v>
      </c>
      <c r="N1385" s="4">
        <f t="shared" si="267"/>
        <v>0</v>
      </c>
      <c r="O1385" s="4">
        <f t="shared" si="268"/>
        <v>0</v>
      </c>
      <c r="P1385" s="4">
        <f t="shared" si="269"/>
        <v>0</v>
      </c>
      <c r="Q1385" s="4">
        <f t="shared" si="270"/>
        <v>0</v>
      </c>
      <c r="R1385" s="4">
        <f t="shared" si="271"/>
        <v>0</v>
      </c>
      <c r="S1385" s="4">
        <f>IF(AND(VLOOKUP(G1385,Dados!$D:$L,2,0)=VLOOKUP(I1385,Dados!$S:$V,2,0),VLOOKUP(G1385,Dados!$D:$L,3,0)=VLOOKUP(I1385,Dados!$S:$V,3,0)),0,1)</f>
        <v>0</v>
      </c>
      <c r="T1385" s="4">
        <f>IF(AND(VLOOKUP(G1385,Dados!$D:$L,3,0)&lt;=VLOOKUP(H1385,Dados!$X:$AB,2,0),VLOOKUP(G1385,Dados!$D:$L,4,0)&gt;=VLOOKUP(H1385,Dados!$X:$AB,3,0),VLOOKUP(G1385,Dados!$D:$L,4,0)&lt;=VLOOKUP(H1385,Dados!$X:$AB,4,0)),0,1)</f>
        <v>0</v>
      </c>
      <c r="U1385" s="4">
        <f>IF(COUNTIFS(F:F,F1385,H:H,H1385)&lt;=VLOOKUP(H1385,Dados!$X:$AB,5,0),0,1)</f>
        <v>0</v>
      </c>
    </row>
    <row r="1386" spans="6:21">
      <c r="F1386" s="4">
        <v>691</v>
      </c>
      <c r="G1386" s="4">
        <v>60</v>
      </c>
      <c r="H1386" s="4">
        <v>1</v>
      </c>
      <c r="I1386" s="4">
        <v>24</v>
      </c>
      <c r="J1386" s="4">
        <v>1</v>
      </c>
      <c r="K1386" s="4">
        <f t="shared" si="267"/>
        <v>0</v>
      </c>
      <c r="L1386" s="4">
        <f t="shared" si="267"/>
        <v>0</v>
      </c>
      <c r="M1386" s="4">
        <f t="shared" si="267"/>
        <v>0</v>
      </c>
      <c r="N1386" s="4">
        <f t="shared" si="267"/>
        <v>0</v>
      </c>
      <c r="O1386" s="4">
        <f t="shared" si="268"/>
        <v>0</v>
      </c>
      <c r="P1386" s="4">
        <f t="shared" si="269"/>
        <v>0</v>
      </c>
      <c r="Q1386" s="4">
        <f t="shared" si="270"/>
        <v>0</v>
      </c>
      <c r="R1386" s="4">
        <f t="shared" si="271"/>
        <v>0</v>
      </c>
      <c r="S1386" s="4">
        <f>IF(AND(VLOOKUP(G1386,Dados!$D:$L,2,0)=VLOOKUP(I1386,Dados!$S:$V,2,0),VLOOKUP(G1386,Dados!$D:$L,3,0)=VLOOKUP(I1386,Dados!$S:$V,3,0)),0,1)</f>
        <v>0</v>
      </c>
      <c r="T1386" s="4">
        <f>IF(AND(VLOOKUP(G1386,Dados!$D:$L,3,0)&lt;=VLOOKUP(H1386,Dados!$X:$AB,2,0),VLOOKUP(G1386,Dados!$D:$L,4,0)&gt;=VLOOKUP(H1386,Dados!$X:$AB,3,0),VLOOKUP(G1386,Dados!$D:$L,4,0)&lt;=VLOOKUP(H1386,Dados!$X:$AB,4,0)),0,1)</f>
        <v>0</v>
      </c>
      <c r="U1386" s="4">
        <f>IF(COUNTIFS(F:F,F1386,H:H,H1386)&lt;=VLOOKUP(H1386,Dados!$X:$AB,5,0),0,1)</f>
        <v>0</v>
      </c>
    </row>
    <row r="1387" spans="6:21">
      <c r="F1387" s="4">
        <v>691</v>
      </c>
      <c r="G1387" s="4">
        <v>62</v>
      </c>
      <c r="H1387" s="4">
        <v>1</v>
      </c>
      <c r="I1387" s="4">
        <v>24</v>
      </c>
      <c r="J1387" s="4">
        <v>2</v>
      </c>
      <c r="K1387" s="4">
        <f t="shared" si="267"/>
        <v>0</v>
      </c>
      <c r="L1387" s="4">
        <f t="shared" si="267"/>
        <v>0</v>
      </c>
      <c r="M1387" s="4">
        <f t="shared" si="267"/>
        <v>0</v>
      </c>
      <c r="N1387" s="4">
        <f t="shared" si="267"/>
        <v>0</v>
      </c>
      <c r="O1387" s="4">
        <f t="shared" si="268"/>
        <v>0</v>
      </c>
      <c r="P1387" s="4">
        <f t="shared" si="269"/>
        <v>0</v>
      </c>
      <c r="Q1387" s="4">
        <f t="shared" si="270"/>
        <v>0</v>
      </c>
      <c r="R1387" s="4">
        <f t="shared" si="271"/>
        <v>0</v>
      </c>
      <c r="S1387" s="4">
        <f>IF(AND(VLOOKUP(G1387,Dados!$D:$L,2,0)=VLOOKUP(I1387,Dados!$S:$V,2,0),VLOOKUP(G1387,Dados!$D:$L,3,0)=VLOOKUP(I1387,Dados!$S:$V,3,0)),0,1)</f>
        <v>0</v>
      </c>
      <c r="T1387" s="4">
        <f>IF(AND(VLOOKUP(G1387,Dados!$D:$L,3,0)&lt;=VLOOKUP(H1387,Dados!$X:$AB,2,0),VLOOKUP(G1387,Dados!$D:$L,4,0)&gt;=VLOOKUP(H1387,Dados!$X:$AB,3,0),VLOOKUP(G1387,Dados!$D:$L,4,0)&lt;=VLOOKUP(H1387,Dados!$X:$AB,4,0)),0,1)</f>
        <v>0</v>
      </c>
      <c r="U1387" s="4">
        <f>IF(COUNTIFS(F:F,F1387,H:H,H1387)&lt;=VLOOKUP(H1387,Dados!$X:$AB,5,0),0,1)</f>
        <v>0</v>
      </c>
    </row>
    <row r="1388" spans="6:21">
      <c r="F1388" s="4">
        <v>691</v>
      </c>
      <c r="G1388" s="4">
        <v>67</v>
      </c>
      <c r="H1388" s="4">
        <v>1</v>
      </c>
      <c r="I1388" s="4">
        <v>24</v>
      </c>
      <c r="J1388" s="4">
        <v>4</v>
      </c>
      <c r="K1388" s="4">
        <f t="shared" si="267"/>
        <v>0</v>
      </c>
      <c r="L1388" s="4">
        <f t="shared" si="267"/>
        <v>0</v>
      </c>
      <c r="M1388" s="4">
        <f t="shared" si="267"/>
        <v>0</v>
      </c>
      <c r="N1388" s="4">
        <f t="shared" si="267"/>
        <v>0</v>
      </c>
      <c r="O1388" s="4">
        <f t="shared" si="268"/>
        <v>0</v>
      </c>
      <c r="P1388" s="4">
        <f t="shared" si="269"/>
        <v>0</v>
      </c>
      <c r="Q1388" s="4">
        <f t="shared" si="270"/>
        <v>0</v>
      </c>
      <c r="R1388" s="4">
        <f t="shared" si="271"/>
        <v>0</v>
      </c>
      <c r="S1388" s="4">
        <f>IF(AND(VLOOKUP(G1388,Dados!$D:$L,2,0)=VLOOKUP(I1388,Dados!$S:$V,2,0),VLOOKUP(G1388,Dados!$D:$L,3,0)=VLOOKUP(I1388,Dados!$S:$V,3,0)),0,1)</f>
        <v>0</v>
      </c>
      <c r="T1388" s="4">
        <f>IF(AND(VLOOKUP(G1388,Dados!$D:$L,3,0)&lt;=VLOOKUP(H1388,Dados!$X:$AB,2,0),VLOOKUP(G1388,Dados!$D:$L,4,0)&gt;=VLOOKUP(H1388,Dados!$X:$AB,3,0),VLOOKUP(G1388,Dados!$D:$L,4,0)&lt;=VLOOKUP(H1388,Dados!$X:$AB,4,0)),0,1)</f>
        <v>0</v>
      </c>
      <c r="U1388" s="4">
        <f>IF(COUNTIFS(F:F,F1388,H:H,H1388)&lt;=VLOOKUP(H1388,Dados!$X:$AB,5,0),0,1)</f>
        <v>0</v>
      </c>
    </row>
    <row r="1389" spans="6:21">
      <c r="F1389" s="4">
        <v>692</v>
      </c>
      <c r="G1389" s="4">
        <v>60</v>
      </c>
      <c r="H1389" s="4">
        <v>2</v>
      </c>
      <c r="I1389" s="4">
        <v>24</v>
      </c>
      <c r="J1389" s="4">
        <v>1</v>
      </c>
      <c r="K1389" s="4">
        <f t="shared" si="267"/>
        <v>0</v>
      </c>
      <c r="L1389" s="4">
        <f t="shared" si="267"/>
        <v>0</v>
      </c>
      <c r="M1389" s="4">
        <f t="shared" si="267"/>
        <v>0</v>
      </c>
      <c r="N1389" s="4">
        <f t="shared" si="267"/>
        <v>0</v>
      </c>
      <c r="O1389" s="4">
        <f t="shared" si="268"/>
        <v>0</v>
      </c>
      <c r="P1389" s="4">
        <f t="shared" si="269"/>
        <v>0</v>
      </c>
      <c r="Q1389" s="4">
        <f t="shared" si="270"/>
        <v>0</v>
      </c>
      <c r="R1389" s="4">
        <f t="shared" si="271"/>
        <v>0</v>
      </c>
      <c r="S1389" s="4">
        <f>IF(AND(VLOOKUP(G1389,Dados!$D:$L,2,0)=VLOOKUP(I1389,Dados!$S:$V,2,0),VLOOKUP(G1389,Dados!$D:$L,3,0)=VLOOKUP(I1389,Dados!$S:$V,3,0)),0,1)</f>
        <v>0</v>
      </c>
      <c r="T1389" s="4">
        <f>IF(AND(VLOOKUP(G1389,Dados!$D:$L,3,0)&lt;=VLOOKUP(H1389,Dados!$X:$AB,2,0),VLOOKUP(G1389,Dados!$D:$L,4,0)&gt;=VLOOKUP(H1389,Dados!$X:$AB,3,0),VLOOKUP(G1389,Dados!$D:$L,4,0)&lt;=VLOOKUP(H1389,Dados!$X:$AB,4,0)),0,1)</f>
        <v>0</v>
      </c>
      <c r="U1389" s="4">
        <f>IF(COUNTIFS(F:F,F1389,H:H,H1389)&lt;=VLOOKUP(H1389,Dados!$X:$AB,5,0),0,1)</f>
        <v>0</v>
      </c>
    </row>
    <row r="1390" spans="6:21">
      <c r="F1390" s="4">
        <v>692</v>
      </c>
      <c r="G1390" s="4">
        <v>62</v>
      </c>
      <c r="H1390" s="4">
        <v>2</v>
      </c>
      <c r="I1390" s="4">
        <v>24</v>
      </c>
      <c r="J1390" s="4">
        <v>2</v>
      </c>
      <c r="K1390" s="4">
        <f t="shared" si="267"/>
        <v>0</v>
      </c>
      <c r="L1390" s="4">
        <f t="shared" si="267"/>
        <v>0</v>
      </c>
      <c r="M1390" s="4">
        <f t="shared" si="267"/>
        <v>0</v>
      </c>
      <c r="N1390" s="4">
        <f t="shared" si="267"/>
        <v>0</v>
      </c>
      <c r="O1390" s="4">
        <f t="shared" si="268"/>
        <v>0</v>
      </c>
      <c r="P1390" s="4">
        <f t="shared" si="269"/>
        <v>0</v>
      </c>
      <c r="Q1390" s="4">
        <f t="shared" si="270"/>
        <v>0</v>
      </c>
      <c r="R1390" s="4">
        <f t="shared" si="271"/>
        <v>0</v>
      </c>
      <c r="S1390" s="4">
        <f>IF(AND(VLOOKUP(G1390,Dados!$D:$L,2,0)=VLOOKUP(I1390,Dados!$S:$V,2,0),VLOOKUP(G1390,Dados!$D:$L,3,0)=VLOOKUP(I1390,Dados!$S:$V,3,0)),0,1)</f>
        <v>0</v>
      </c>
      <c r="T1390" s="4">
        <f>IF(AND(VLOOKUP(G1390,Dados!$D:$L,3,0)&lt;=VLOOKUP(H1390,Dados!$X:$AB,2,0),VLOOKUP(G1390,Dados!$D:$L,4,0)&gt;=VLOOKUP(H1390,Dados!$X:$AB,3,0),VLOOKUP(G1390,Dados!$D:$L,4,0)&lt;=VLOOKUP(H1390,Dados!$X:$AB,4,0)),0,1)</f>
        <v>0</v>
      </c>
      <c r="U1390" s="4">
        <f>IF(COUNTIFS(F:F,F1390,H:H,H1390)&lt;=VLOOKUP(H1390,Dados!$X:$AB,5,0),0,1)</f>
        <v>0</v>
      </c>
    </row>
    <row r="1391" spans="6:21">
      <c r="F1391" s="4">
        <v>692</v>
      </c>
      <c r="G1391" s="4">
        <v>67</v>
      </c>
      <c r="H1391" s="4">
        <v>2</v>
      </c>
      <c r="I1391" s="4">
        <v>24</v>
      </c>
      <c r="J1391" s="4">
        <v>4</v>
      </c>
      <c r="K1391" s="4">
        <f t="shared" si="267"/>
        <v>0</v>
      </c>
      <c r="L1391" s="4">
        <f t="shared" si="267"/>
        <v>0</v>
      </c>
      <c r="M1391" s="4">
        <f t="shared" si="267"/>
        <v>0</v>
      </c>
      <c r="N1391" s="4">
        <f t="shared" si="267"/>
        <v>0</v>
      </c>
      <c r="O1391" s="4">
        <f t="shared" si="268"/>
        <v>0</v>
      </c>
      <c r="P1391" s="4">
        <f t="shared" si="269"/>
        <v>0</v>
      </c>
      <c r="Q1391" s="4">
        <f t="shared" si="270"/>
        <v>0</v>
      </c>
      <c r="R1391" s="4">
        <f t="shared" si="271"/>
        <v>0</v>
      </c>
      <c r="S1391" s="4">
        <f>IF(AND(VLOOKUP(G1391,Dados!$D:$L,2,0)=VLOOKUP(I1391,Dados!$S:$V,2,0),VLOOKUP(G1391,Dados!$D:$L,3,0)=VLOOKUP(I1391,Dados!$S:$V,3,0)),0,1)</f>
        <v>0</v>
      </c>
      <c r="T1391" s="4">
        <f>IF(AND(VLOOKUP(G1391,Dados!$D:$L,3,0)&lt;=VLOOKUP(H1391,Dados!$X:$AB,2,0),VLOOKUP(G1391,Dados!$D:$L,4,0)&gt;=VLOOKUP(H1391,Dados!$X:$AB,3,0),VLOOKUP(G1391,Dados!$D:$L,4,0)&lt;=VLOOKUP(H1391,Dados!$X:$AB,4,0)),0,1)</f>
        <v>0</v>
      </c>
      <c r="U1391" s="4">
        <f>IF(COUNTIFS(F:F,F1391,H:H,H1391)&lt;=VLOOKUP(H1391,Dados!$X:$AB,5,0),0,1)</f>
        <v>0</v>
      </c>
    </row>
    <row r="1392" spans="6:21">
      <c r="F1392" s="4">
        <v>693</v>
      </c>
      <c r="G1392" s="4">
        <v>60</v>
      </c>
      <c r="H1392" s="4">
        <v>3</v>
      </c>
      <c r="I1392" s="4">
        <v>24</v>
      </c>
      <c r="J1392" s="4">
        <v>1</v>
      </c>
      <c r="K1392" s="4">
        <f t="shared" si="267"/>
        <v>0</v>
      </c>
      <c r="L1392" s="4">
        <f t="shared" si="267"/>
        <v>0</v>
      </c>
      <c r="M1392" s="4">
        <f t="shared" si="267"/>
        <v>0</v>
      </c>
      <c r="N1392" s="4">
        <f t="shared" si="267"/>
        <v>0</v>
      </c>
      <c r="O1392" s="4">
        <f t="shared" si="268"/>
        <v>0</v>
      </c>
      <c r="P1392" s="4">
        <f t="shared" si="269"/>
        <v>0</v>
      </c>
      <c r="Q1392" s="4">
        <f t="shared" si="270"/>
        <v>0</v>
      </c>
      <c r="R1392" s="4">
        <f t="shared" si="271"/>
        <v>0</v>
      </c>
      <c r="S1392" s="4">
        <f>IF(AND(VLOOKUP(G1392,Dados!$D:$L,2,0)=VLOOKUP(I1392,Dados!$S:$V,2,0),VLOOKUP(G1392,Dados!$D:$L,3,0)=VLOOKUP(I1392,Dados!$S:$V,3,0)),0,1)</f>
        <v>0</v>
      </c>
      <c r="T1392" s="4">
        <f>IF(AND(VLOOKUP(G1392,Dados!$D:$L,3,0)&lt;=VLOOKUP(H1392,Dados!$X:$AB,2,0),VLOOKUP(G1392,Dados!$D:$L,4,0)&gt;=VLOOKUP(H1392,Dados!$X:$AB,3,0),VLOOKUP(G1392,Dados!$D:$L,4,0)&lt;=VLOOKUP(H1392,Dados!$X:$AB,4,0)),0,1)</f>
        <v>0</v>
      </c>
      <c r="U1392" s="4">
        <f>IF(COUNTIFS(F:F,F1392,H:H,H1392)&lt;=VLOOKUP(H1392,Dados!$X:$AB,5,0),0,1)</f>
        <v>0</v>
      </c>
    </row>
    <row r="1393" spans="6:21">
      <c r="F1393" s="4">
        <v>693</v>
      </c>
      <c r="G1393" s="4">
        <v>62</v>
      </c>
      <c r="H1393" s="4">
        <v>3</v>
      </c>
      <c r="I1393" s="4">
        <v>24</v>
      </c>
      <c r="J1393" s="4">
        <v>2</v>
      </c>
      <c r="K1393" s="4">
        <f t="shared" si="267"/>
        <v>0</v>
      </c>
      <c r="L1393" s="4">
        <f t="shared" si="267"/>
        <v>0</v>
      </c>
      <c r="M1393" s="4">
        <f t="shared" si="267"/>
        <v>0</v>
      </c>
      <c r="N1393" s="4">
        <f t="shared" si="267"/>
        <v>0</v>
      </c>
      <c r="O1393" s="4">
        <f t="shared" si="268"/>
        <v>0</v>
      </c>
      <c r="P1393" s="4">
        <f t="shared" si="269"/>
        <v>0</v>
      </c>
      <c r="Q1393" s="4">
        <f t="shared" si="270"/>
        <v>0</v>
      </c>
      <c r="R1393" s="4">
        <f t="shared" si="271"/>
        <v>0</v>
      </c>
      <c r="S1393" s="4">
        <f>IF(AND(VLOOKUP(G1393,Dados!$D:$L,2,0)=VLOOKUP(I1393,Dados!$S:$V,2,0),VLOOKUP(G1393,Dados!$D:$L,3,0)=VLOOKUP(I1393,Dados!$S:$V,3,0)),0,1)</f>
        <v>0</v>
      </c>
      <c r="T1393" s="4">
        <f>IF(AND(VLOOKUP(G1393,Dados!$D:$L,3,0)&lt;=VLOOKUP(H1393,Dados!$X:$AB,2,0),VLOOKUP(G1393,Dados!$D:$L,4,0)&gt;=VLOOKUP(H1393,Dados!$X:$AB,3,0),VLOOKUP(G1393,Dados!$D:$L,4,0)&lt;=VLOOKUP(H1393,Dados!$X:$AB,4,0)),0,1)</f>
        <v>0</v>
      </c>
      <c r="U1393" s="4">
        <f>IF(COUNTIFS(F:F,F1393,H:H,H1393)&lt;=VLOOKUP(H1393,Dados!$X:$AB,5,0),0,1)</f>
        <v>0</v>
      </c>
    </row>
    <row r="1394" spans="6:21">
      <c r="F1394" s="4">
        <v>693</v>
      </c>
      <c r="G1394" s="4">
        <v>67</v>
      </c>
      <c r="H1394" s="4">
        <v>3</v>
      </c>
      <c r="I1394" s="4">
        <v>24</v>
      </c>
      <c r="J1394" s="4">
        <v>4</v>
      </c>
      <c r="K1394" s="4">
        <f t="shared" si="267"/>
        <v>0</v>
      </c>
      <c r="L1394" s="4">
        <f t="shared" si="267"/>
        <v>0</v>
      </c>
      <c r="M1394" s="4">
        <f t="shared" si="267"/>
        <v>0</v>
      </c>
      <c r="N1394" s="4">
        <f t="shared" si="267"/>
        <v>0</v>
      </c>
      <c r="O1394" s="4">
        <f t="shared" si="268"/>
        <v>0</v>
      </c>
      <c r="P1394" s="4">
        <f t="shared" si="269"/>
        <v>0</v>
      </c>
      <c r="Q1394" s="4">
        <f t="shared" si="270"/>
        <v>0</v>
      </c>
      <c r="R1394" s="4">
        <f t="shared" si="271"/>
        <v>0</v>
      </c>
      <c r="S1394" s="4">
        <f>IF(AND(VLOOKUP(G1394,Dados!$D:$L,2,0)=VLOOKUP(I1394,Dados!$S:$V,2,0),VLOOKUP(G1394,Dados!$D:$L,3,0)=VLOOKUP(I1394,Dados!$S:$V,3,0)),0,1)</f>
        <v>0</v>
      </c>
      <c r="T1394" s="4">
        <f>IF(AND(VLOOKUP(G1394,Dados!$D:$L,3,0)&lt;=VLOOKUP(H1394,Dados!$X:$AB,2,0),VLOOKUP(G1394,Dados!$D:$L,4,0)&gt;=VLOOKUP(H1394,Dados!$X:$AB,3,0),VLOOKUP(G1394,Dados!$D:$L,4,0)&lt;=VLOOKUP(H1394,Dados!$X:$AB,4,0)),0,1)</f>
        <v>0</v>
      </c>
      <c r="U1394" s="4">
        <f>IF(COUNTIFS(F:F,F1394,H:H,H1394)&lt;=VLOOKUP(H1394,Dados!$X:$AB,5,0),0,1)</f>
        <v>0</v>
      </c>
    </row>
    <row r="1395" spans="6:21">
      <c r="F1395" s="4">
        <v>694</v>
      </c>
      <c r="G1395" s="4">
        <v>62</v>
      </c>
      <c r="H1395" s="4">
        <v>1</v>
      </c>
      <c r="I1395" s="4">
        <v>25</v>
      </c>
      <c r="J1395" s="4">
        <v>3</v>
      </c>
      <c r="K1395" s="4">
        <f t="shared" si="267"/>
        <v>0</v>
      </c>
      <c r="L1395" s="4">
        <f t="shared" si="267"/>
        <v>0</v>
      </c>
      <c r="M1395" s="4">
        <f t="shared" si="267"/>
        <v>0</v>
      </c>
      <c r="N1395" s="4">
        <f t="shared" si="267"/>
        <v>0</v>
      </c>
      <c r="O1395" s="4">
        <f t="shared" si="268"/>
        <v>0</v>
      </c>
      <c r="P1395" s="4">
        <f t="shared" si="269"/>
        <v>0</v>
      </c>
      <c r="Q1395" s="4">
        <f t="shared" si="270"/>
        <v>0</v>
      </c>
      <c r="R1395" s="4">
        <f t="shared" si="271"/>
        <v>0</v>
      </c>
      <c r="S1395" s="4">
        <f>IF(AND(VLOOKUP(G1395,Dados!$D:$L,2,0)=VLOOKUP(I1395,Dados!$S:$V,2,0),VLOOKUP(G1395,Dados!$D:$L,3,0)=VLOOKUP(I1395,Dados!$S:$V,3,0)),0,1)</f>
        <v>0</v>
      </c>
      <c r="T1395" s="4">
        <f>IF(AND(VLOOKUP(G1395,Dados!$D:$L,3,0)&lt;=VLOOKUP(H1395,Dados!$X:$AB,2,0),VLOOKUP(G1395,Dados!$D:$L,4,0)&gt;=VLOOKUP(H1395,Dados!$X:$AB,3,0),VLOOKUP(G1395,Dados!$D:$L,4,0)&lt;=VLOOKUP(H1395,Dados!$X:$AB,4,0)),0,1)</f>
        <v>0</v>
      </c>
      <c r="U1395" s="4">
        <f>IF(COUNTIFS(F:F,F1395,H:H,H1395)&lt;=VLOOKUP(H1395,Dados!$X:$AB,5,0),0,1)</f>
        <v>0</v>
      </c>
    </row>
    <row r="1396" spans="6:21">
      <c r="F1396" s="4">
        <v>694</v>
      </c>
      <c r="G1396" s="4">
        <v>65</v>
      </c>
      <c r="H1396" s="4">
        <v>1</v>
      </c>
      <c r="I1396" s="4">
        <v>25</v>
      </c>
      <c r="J1396" s="4">
        <v>1</v>
      </c>
      <c r="K1396" s="4">
        <f t="shared" si="267"/>
        <v>0</v>
      </c>
      <c r="L1396" s="4">
        <f t="shared" si="267"/>
        <v>0</v>
      </c>
      <c r="M1396" s="4">
        <f t="shared" si="267"/>
        <v>0</v>
      </c>
      <c r="N1396" s="4">
        <f t="shared" si="267"/>
        <v>0</v>
      </c>
      <c r="O1396" s="4">
        <f t="shared" si="268"/>
        <v>0</v>
      </c>
      <c r="P1396" s="4">
        <f t="shared" si="269"/>
        <v>0</v>
      </c>
      <c r="Q1396" s="4">
        <f t="shared" si="270"/>
        <v>0</v>
      </c>
      <c r="R1396" s="4">
        <f t="shared" si="271"/>
        <v>0</v>
      </c>
      <c r="S1396" s="4">
        <f>IF(AND(VLOOKUP(G1396,Dados!$D:$L,2,0)=VLOOKUP(I1396,Dados!$S:$V,2,0),VLOOKUP(G1396,Dados!$D:$L,3,0)=VLOOKUP(I1396,Dados!$S:$V,3,0)),0,1)</f>
        <v>0</v>
      </c>
      <c r="T1396" s="4">
        <f>IF(AND(VLOOKUP(G1396,Dados!$D:$L,3,0)&lt;=VLOOKUP(H1396,Dados!$X:$AB,2,0),VLOOKUP(G1396,Dados!$D:$L,4,0)&gt;=VLOOKUP(H1396,Dados!$X:$AB,3,0),VLOOKUP(G1396,Dados!$D:$L,4,0)&lt;=VLOOKUP(H1396,Dados!$X:$AB,4,0)),0,1)</f>
        <v>0</v>
      </c>
      <c r="U1396" s="4">
        <f>IF(COUNTIFS(F:F,F1396,H:H,H1396)&lt;=VLOOKUP(H1396,Dados!$X:$AB,5,0),0,1)</f>
        <v>0</v>
      </c>
    </row>
    <row r="1397" spans="6:21">
      <c r="F1397" s="4">
        <v>694</v>
      </c>
      <c r="G1397" s="4">
        <v>67</v>
      </c>
      <c r="H1397" s="4">
        <v>1</v>
      </c>
      <c r="I1397" s="4">
        <v>25</v>
      </c>
      <c r="J1397" s="4">
        <v>4</v>
      </c>
      <c r="K1397" s="4">
        <f t="shared" si="267"/>
        <v>0</v>
      </c>
      <c r="L1397" s="4">
        <f t="shared" si="267"/>
        <v>0</v>
      </c>
      <c r="M1397" s="4">
        <f t="shared" si="267"/>
        <v>0</v>
      </c>
      <c r="N1397" s="4">
        <f t="shared" si="267"/>
        <v>0</v>
      </c>
      <c r="O1397" s="4">
        <f t="shared" si="268"/>
        <v>0</v>
      </c>
      <c r="P1397" s="4">
        <f t="shared" si="269"/>
        <v>0</v>
      </c>
      <c r="Q1397" s="4">
        <f t="shared" si="270"/>
        <v>0</v>
      </c>
      <c r="R1397" s="4">
        <f t="shared" si="271"/>
        <v>0</v>
      </c>
      <c r="S1397" s="4">
        <f>IF(AND(VLOOKUP(G1397,Dados!$D:$L,2,0)=VLOOKUP(I1397,Dados!$S:$V,2,0),VLOOKUP(G1397,Dados!$D:$L,3,0)=VLOOKUP(I1397,Dados!$S:$V,3,0)),0,1)</f>
        <v>0</v>
      </c>
      <c r="T1397" s="4">
        <f>IF(AND(VLOOKUP(G1397,Dados!$D:$L,3,0)&lt;=VLOOKUP(H1397,Dados!$X:$AB,2,0),VLOOKUP(G1397,Dados!$D:$L,4,0)&gt;=VLOOKUP(H1397,Dados!$X:$AB,3,0),VLOOKUP(G1397,Dados!$D:$L,4,0)&lt;=VLOOKUP(H1397,Dados!$X:$AB,4,0)),0,1)</f>
        <v>0</v>
      </c>
      <c r="U1397" s="4">
        <f>IF(COUNTIFS(F:F,F1397,H:H,H1397)&lt;=VLOOKUP(H1397,Dados!$X:$AB,5,0),0,1)</f>
        <v>0</v>
      </c>
    </row>
    <row r="1398" spans="6:21">
      <c r="F1398" s="4">
        <v>695</v>
      </c>
      <c r="G1398" s="4">
        <v>62</v>
      </c>
      <c r="H1398" s="4">
        <v>2</v>
      </c>
      <c r="I1398" s="4">
        <v>25</v>
      </c>
      <c r="J1398" s="4">
        <v>3</v>
      </c>
      <c r="K1398" s="4">
        <f t="shared" si="267"/>
        <v>0</v>
      </c>
      <c r="L1398" s="4">
        <f t="shared" si="267"/>
        <v>0</v>
      </c>
      <c r="M1398" s="4">
        <f t="shared" si="267"/>
        <v>0</v>
      </c>
      <c r="N1398" s="4">
        <f t="shared" si="267"/>
        <v>0</v>
      </c>
      <c r="O1398" s="4">
        <f t="shared" si="268"/>
        <v>0</v>
      </c>
      <c r="P1398" s="4">
        <f t="shared" si="269"/>
        <v>0</v>
      </c>
      <c r="Q1398" s="4">
        <f t="shared" si="270"/>
        <v>0</v>
      </c>
      <c r="R1398" s="4">
        <f t="shared" si="271"/>
        <v>0</v>
      </c>
      <c r="S1398" s="4">
        <f>IF(AND(VLOOKUP(G1398,Dados!$D:$L,2,0)=VLOOKUP(I1398,Dados!$S:$V,2,0),VLOOKUP(G1398,Dados!$D:$L,3,0)=VLOOKUP(I1398,Dados!$S:$V,3,0)),0,1)</f>
        <v>0</v>
      </c>
      <c r="T1398" s="4">
        <f>IF(AND(VLOOKUP(G1398,Dados!$D:$L,3,0)&lt;=VLOOKUP(H1398,Dados!$X:$AB,2,0),VLOOKUP(G1398,Dados!$D:$L,4,0)&gt;=VLOOKUP(H1398,Dados!$X:$AB,3,0),VLOOKUP(G1398,Dados!$D:$L,4,0)&lt;=VLOOKUP(H1398,Dados!$X:$AB,4,0)),0,1)</f>
        <v>0</v>
      </c>
      <c r="U1398" s="4">
        <f>IF(COUNTIFS(F:F,F1398,H:H,H1398)&lt;=VLOOKUP(H1398,Dados!$X:$AB,5,0),0,1)</f>
        <v>0</v>
      </c>
    </row>
    <row r="1399" spans="6:21">
      <c r="F1399" s="4">
        <v>695</v>
      </c>
      <c r="G1399" s="4">
        <v>65</v>
      </c>
      <c r="H1399" s="4">
        <v>2</v>
      </c>
      <c r="I1399" s="4">
        <v>25</v>
      </c>
      <c r="J1399" s="4">
        <v>1</v>
      </c>
      <c r="K1399" s="4">
        <f t="shared" si="267"/>
        <v>0</v>
      </c>
      <c r="L1399" s="4">
        <f t="shared" si="267"/>
        <v>0</v>
      </c>
      <c r="M1399" s="4">
        <f t="shared" si="267"/>
        <v>0</v>
      </c>
      <c r="N1399" s="4">
        <f t="shared" si="267"/>
        <v>0</v>
      </c>
      <c r="O1399" s="4">
        <f t="shared" si="268"/>
        <v>0</v>
      </c>
      <c r="P1399" s="4">
        <f t="shared" si="269"/>
        <v>0</v>
      </c>
      <c r="Q1399" s="4">
        <f t="shared" si="270"/>
        <v>0</v>
      </c>
      <c r="R1399" s="4">
        <f t="shared" si="271"/>
        <v>0</v>
      </c>
      <c r="S1399" s="4">
        <f>IF(AND(VLOOKUP(G1399,Dados!$D:$L,2,0)=VLOOKUP(I1399,Dados!$S:$V,2,0),VLOOKUP(G1399,Dados!$D:$L,3,0)=VLOOKUP(I1399,Dados!$S:$V,3,0)),0,1)</f>
        <v>0</v>
      </c>
      <c r="T1399" s="4">
        <f>IF(AND(VLOOKUP(G1399,Dados!$D:$L,3,0)&lt;=VLOOKUP(H1399,Dados!$X:$AB,2,0),VLOOKUP(G1399,Dados!$D:$L,4,0)&gt;=VLOOKUP(H1399,Dados!$X:$AB,3,0),VLOOKUP(G1399,Dados!$D:$L,4,0)&lt;=VLOOKUP(H1399,Dados!$X:$AB,4,0)),0,1)</f>
        <v>0</v>
      </c>
      <c r="U1399" s="4">
        <f>IF(COUNTIFS(F:F,F1399,H:H,H1399)&lt;=VLOOKUP(H1399,Dados!$X:$AB,5,0),0,1)</f>
        <v>0</v>
      </c>
    </row>
    <row r="1400" spans="6:21">
      <c r="F1400" s="4">
        <v>695</v>
      </c>
      <c r="G1400" s="4">
        <v>67</v>
      </c>
      <c r="H1400" s="4">
        <v>2</v>
      </c>
      <c r="I1400" s="4">
        <v>25</v>
      </c>
      <c r="J1400" s="4">
        <v>4</v>
      </c>
      <c r="K1400" s="4">
        <f t="shared" si="267"/>
        <v>0</v>
      </c>
      <c r="L1400" s="4">
        <f t="shared" si="267"/>
        <v>0</v>
      </c>
      <c r="M1400" s="4">
        <f t="shared" si="267"/>
        <v>0</v>
      </c>
      <c r="N1400" s="4">
        <f t="shared" si="267"/>
        <v>0</v>
      </c>
      <c r="O1400" s="4">
        <f t="shared" si="268"/>
        <v>0</v>
      </c>
      <c r="P1400" s="4">
        <f t="shared" si="269"/>
        <v>0</v>
      </c>
      <c r="Q1400" s="4">
        <f t="shared" si="270"/>
        <v>0</v>
      </c>
      <c r="R1400" s="4">
        <f t="shared" si="271"/>
        <v>0</v>
      </c>
      <c r="S1400" s="4">
        <f>IF(AND(VLOOKUP(G1400,Dados!$D:$L,2,0)=VLOOKUP(I1400,Dados!$S:$V,2,0),VLOOKUP(G1400,Dados!$D:$L,3,0)=VLOOKUP(I1400,Dados!$S:$V,3,0)),0,1)</f>
        <v>0</v>
      </c>
      <c r="T1400" s="4">
        <f>IF(AND(VLOOKUP(G1400,Dados!$D:$L,3,0)&lt;=VLOOKUP(H1400,Dados!$X:$AB,2,0),VLOOKUP(G1400,Dados!$D:$L,4,0)&gt;=VLOOKUP(H1400,Dados!$X:$AB,3,0),VLOOKUP(G1400,Dados!$D:$L,4,0)&lt;=VLOOKUP(H1400,Dados!$X:$AB,4,0)),0,1)</f>
        <v>0</v>
      </c>
      <c r="U1400" s="4">
        <f>IF(COUNTIFS(F:F,F1400,H:H,H1400)&lt;=VLOOKUP(H1400,Dados!$X:$AB,5,0),0,1)</f>
        <v>0</v>
      </c>
    </row>
    <row r="1401" spans="6:21">
      <c r="F1401" s="4">
        <v>696</v>
      </c>
      <c r="G1401" s="4">
        <v>62</v>
      </c>
      <c r="H1401" s="4">
        <v>3</v>
      </c>
      <c r="I1401" s="4">
        <v>25</v>
      </c>
      <c r="J1401" s="4">
        <v>3</v>
      </c>
      <c r="K1401" s="4">
        <f t="shared" si="267"/>
        <v>0</v>
      </c>
      <c r="L1401" s="4">
        <f t="shared" si="267"/>
        <v>0</v>
      </c>
      <c r="M1401" s="4">
        <f t="shared" si="267"/>
        <v>0</v>
      </c>
      <c r="N1401" s="4">
        <f t="shared" si="267"/>
        <v>0</v>
      </c>
      <c r="O1401" s="4">
        <f t="shared" si="268"/>
        <v>0</v>
      </c>
      <c r="P1401" s="4">
        <f t="shared" si="269"/>
        <v>0</v>
      </c>
      <c r="Q1401" s="4">
        <f t="shared" si="270"/>
        <v>0</v>
      </c>
      <c r="R1401" s="4">
        <f t="shared" si="271"/>
        <v>0</v>
      </c>
      <c r="S1401" s="4">
        <f>IF(AND(VLOOKUP(G1401,Dados!$D:$L,2,0)=VLOOKUP(I1401,Dados!$S:$V,2,0),VLOOKUP(G1401,Dados!$D:$L,3,0)=VLOOKUP(I1401,Dados!$S:$V,3,0)),0,1)</f>
        <v>0</v>
      </c>
      <c r="T1401" s="4">
        <f>IF(AND(VLOOKUP(G1401,Dados!$D:$L,3,0)&lt;=VLOOKUP(H1401,Dados!$X:$AB,2,0),VLOOKUP(G1401,Dados!$D:$L,4,0)&gt;=VLOOKUP(H1401,Dados!$X:$AB,3,0),VLOOKUP(G1401,Dados!$D:$L,4,0)&lt;=VLOOKUP(H1401,Dados!$X:$AB,4,0)),0,1)</f>
        <v>0</v>
      </c>
      <c r="U1401" s="4">
        <f>IF(COUNTIFS(F:F,F1401,H:H,H1401)&lt;=VLOOKUP(H1401,Dados!$X:$AB,5,0),0,1)</f>
        <v>0</v>
      </c>
    </row>
    <row r="1402" spans="6:21">
      <c r="F1402" s="4">
        <v>696</v>
      </c>
      <c r="G1402" s="4">
        <v>65</v>
      </c>
      <c r="H1402" s="4">
        <v>3</v>
      </c>
      <c r="I1402" s="4">
        <v>25</v>
      </c>
      <c r="J1402" s="4">
        <v>1</v>
      </c>
      <c r="K1402" s="4">
        <f t="shared" si="267"/>
        <v>0</v>
      </c>
      <c r="L1402" s="4">
        <f t="shared" si="267"/>
        <v>0</v>
      </c>
      <c r="M1402" s="4">
        <f t="shared" si="267"/>
        <v>0</v>
      </c>
      <c r="N1402" s="4">
        <f t="shared" si="267"/>
        <v>0</v>
      </c>
      <c r="O1402" s="4">
        <f t="shared" si="268"/>
        <v>0</v>
      </c>
      <c r="P1402" s="4">
        <f t="shared" si="269"/>
        <v>0</v>
      </c>
      <c r="Q1402" s="4">
        <f t="shared" si="270"/>
        <v>0</v>
      </c>
      <c r="R1402" s="4">
        <f t="shared" si="271"/>
        <v>0</v>
      </c>
      <c r="S1402" s="4">
        <f>IF(AND(VLOOKUP(G1402,Dados!$D:$L,2,0)=VLOOKUP(I1402,Dados!$S:$V,2,0),VLOOKUP(G1402,Dados!$D:$L,3,0)=VLOOKUP(I1402,Dados!$S:$V,3,0)),0,1)</f>
        <v>0</v>
      </c>
      <c r="T1402" s="4">
        <f>IF(AND(VLOOKUP(G1402,Dados!$D:$L,3,0)&lt;=VLOOKUP(H1402,Dados!$X:$AB,2,0),VLOOKUP(G1402,Dados!$D:$L,4,0)&gt;=VLOOKUP(H1402,Dados!$X:$AB,3,0),VLOOKUP(G1402,Dados!$D:$L,4,0)&lt;=VLOOKUP(H1402,Dados!$X:$AB,4,0)),0,1)</f>
        <v>0</v>
      </c>
      <c r="U1402" s="4">
        <f>IF(COUNTIFS(F:F,F1402,H:H,H1402)&lt;=VLOOKUP(H1402,Dados!$X:$AB,5,0),0,1)</f>
        <v>0</v>
      </c>
    </row>
    <row r="1403" spans="6:21">
      <c r="F1403" s="4">
        <v>696</v>
      </c>
      <c r="G1403" s="4">
        <v>67</v>
      </c>
      <c r="H1403" s="4">
        <v>3</v>
      </c>
      <c r="I1403" s="4">
        <v>25</v>
      </c>
      <c r="J1403" s="4">
        <v>4</v>
      </c>
      <c r="K1403" s="4">
        <f t="shared" si="267"/>
        <v>0</v>
      </c>
      <c r="L1403" s="4">
        <f t="shared" si="267"/>
        <v>0</v>
      </c>
      <c r="M1403" s="4">
        <f t="shared" si="267"/>
        <v>0</v>
      </c>
      <c r="N1403" s="4">
        <f t="shared" si="267"/>
        <v>0</v>
      </c>
      <c r="O1403" s="4">
        <f t="shared" si="268"/>
        <v>0</v>
      </c>
      <c r="P1403" s="4">
        <f t="shared" si="269"/>
        <v>0</v>
      </c>
      <c r="Q1403" s="4">
        <f t="shared" si="270"/>
        <v>0</v>
      </c>
      <c r="R1403" s="4">
        <f t="shared" si="271"/>
        <v>0</v>
      </c>
      <c r="S1403" s="4">
        <f>IF(AND(VLOOKUP(G1403,Dados!$D:$L,2,0)=VLOOKUP(I1403,Dados!$S:$V,2,0),VLOOKUP(G1403,Dados!$D:$L,3,0)=VLOOKUP(I1403,Dados!$S:$V,3,0)),0,1)</f>
        <v>0</v>
      </c>
      <c r="T1403" s="4">
        <f>IF(AND(VLOOKUP(G1403,Dados!$D:$L,3,0)&lt;=VLOOKUP(H1403,Dados!$X:$AB,2,0),VLOOKUP(G1403,Dados!$D:$L,4,0)&gt;=VLOOKUP(H1403,Dados!$X:$AB,3,0),VLOOKUP(G1403,Dados!$D:$L,4,0)&lt;=VLOOKUP(H1403,Dados!$X:$AB,4,0)),0,1)</f>
        <v>0</v>
      </c>
      <c r="U1403" s="4">
        <f>IF(COUNTIFS(F:F,F1403,H:H,H1403)&lt;=VLOOKUP(H1403,Dados!$X:$AB,5,0),0,1)</f>
        <v>0</v>
      </c>
    </row>
    <row r="1404" spans="6:21">
      <c r="F1404" s="4">
        <v>697</v>
      </c>
      <c r="G1404" s="4">
        <v>62</v>
      </c>
      <c r="H1404" s="4">
        <v>1</v>
      </c>
      <c r="I1404" s="4">
        <v>27</v>
      </c>
      <c r="J1404" s="4">
        <v>1</v>
      </c>
      <c r="K1404" s="4">
        <f t="shared" si="267"/>
        <v>0</v>
      </c>
      <c r="L1404" s="4">
        <f t="shared" si="267"/>
        <v>0</v>
      </c>
      <c r="M1404" s="4">
        <f t="shared" si="267"/>
        <v>0</v>
      </c>
      <c r="N1404" s="4">
        <f t="shared" si="267"/>
        <v>0</v>
      </c>
      <c r="O1404" s="4">
        <f t="shared" si="268"/>
        <v>0</v>
      </c>
      <c r="P1404" s="4">
        <f t="shared" si="269"/>
        <v>0</v>
      </c>
      <c r="Q1404" s="4">
        <f t="shared" si="270"/>
        <v>0</v>
      </c>
      <c r="R1404" s="4">
        <f t="shared" si="271"/>
        <v>0</v>
      </c>
      <c r="S1404" s="4">
        <f>IF(AND(VLOOKUP(G1404,Dados!$D:$L,2,0)=VLOOKUP(I1404,Dados!$S:$V,2,0),VLOOKUP(G1404,Dados!$D:$L,3,0)=VLOOKUP(I1404,Dados!$S:$V,3,0)),0,1)</f>
        <v>0</v>
      </c>
      <c r="T1404" s="4">
        <f>IF(AND(VLOOKUP(G1404,Dados!$D:$L,3,0)&lt;=VLOOKUP(H1404,Dados!$X:$AB,2,0),VLOOKUP(G1404,Dados!$D:$L,4,0)&gt;=VLOOKUP(H1404,Dados!$X:$AB,3,0),VLOOKUP(G1404,Dados!$D:$L,4,0)&lt;=VLOOKUP(H1404,Dados!$X:$AB,4,0)),0,1)</f>
        <v>0</v>
      </c>
      <c r="U1404" s="4">
        <f>IF(COUNTIFS(F:F,F1404,H:H,H1404)&lt;=VLOOKUP(H1404,Dados!$X:$AB,5,0),0,1)</f>
        <v>0</v>
      </c>
    </row>
    <row r="1405" spans="6:21">
      <c r="F1405" s="4">
        <v>697</v>
      </c>
      <c r="G1405" s="4">
        <v>65</v>
      </c>
      <c r="H1405" s="4">
        <v>1</v>
      </c>
      <c r="I1405" s="4">
        <v>27</v>
      </c>
      <c r="J1405" s="4">
        <v>2</v>
      </c>
      <c r="K1405" s="4">
        <f t="shared" si="267"/>
        <v>0</v>
      </c>
      <c r="L1405" s="4">
        <f t="shared" si="267"/>
        <v>0</v>
      </c>
      <c r="M1405" s="4">
        <f t="shared" si="267"/>
        <v>0</v>
      </c>
      <c r="N1405" s="4">
        <f t="shared" si="267"/>
        <v>0</v>
      </c>
      <c r="O1405" s="4">
        <f t="shared" si="268"/>
        <v>0</v>
      </c>
      <c r="P1405" s="4">
        <f t="shared" si="269"/>
        <v>0</v>
      </c>
      <c r="Q1405" s="4">
        <f t="shared" si="270"/>
        <v>0</v>
      </c>
      <c r="R1405" s="4">
        <f t="shared" si="271"/>
        <v>0</v>
      </c>
      <c r="S1405" s="4">
        <f>IF(AND(VLOOKUP(G1405,Dados!$D:$L,2,0)=VLOOKUP(I1405,Dados!$S:$V,2,0),VLOOKUP(G1405,Dados!$D:$L,3,0)=VLOOKUP(I1405,Dados!$S:$V,3,0)),0,1)</f>
        <v>0</v>
      </c>
      <c r="T1405" s="4">
        <f>IF(AND(VLOOKUP(G1405,Dados!$D:$L,3,0)&lt;=VLOOKUP(H1405,Dados!$X:$AB,2,0),VLOOKUP(G1405,Dados!$D:$L,4,0)&gt;=VLOOKUP(H1405,Dados!$X:$AB,3,0),VLOOKUP(G1405,Dados!$D:$L,4,0)&lt;=VLOOKUP(H1405,Dados!$X:$AB,4,0)),0,1)</f>
        <v>0</v>
      </c>
      <c r="U1405" s="4">
        <f>IF(COUNTIFS(F:F,F1405,H:H,H1405)&lt;=VLOOKUP(H1405,Dados!$X:$AB,5,0),0,1)</f>
        <v>0</v>
      </c>
    </row>
    <row r="1406" spans="6:21">
      <c r="F1406" s="4">
        <v>697</v>
      </c>
      <c r="G1406" s="4">
        <v>67</v>
      </c>
      <c r="H1406" s="4">
        <v>1</v>
      </c>
      <c r="I1406" s="4">
        <v>27</v>
      </c>
      <c r="J1406" s="4">
        <v>5</v>
      </c>
      <c r="K1406" s="4">
        <f t="shared" si="267"/>
        <v>0</v>
      </c>
      <c r="L1406" s="4">
        <f t="shared" si="267"/>
        <v>0</v>
      </c>
      <c r="M1406" s="4">
        <f t="shared" si="267"/>
        <v>0</v>
      </c>
      <c r="N1406" s="4">
        <f t="shared" si="267"/>
        <v>0</v>
      </c>
      <c r="O1406" s="4">
        <f t="shared" si="268"/>
        <v>0</v>
      </c>
      <c r="P1406" s="4">
        <f t="shared" si="269"/>
        <v>0</v>
      </c>
      <c r="Q1406" s="4">
        <f t="shared" si="270"/>
        <v>0</v>
      </c>
      <c r="R1406" s="4">
        <f t="shared" si="271"/>
        <v>0</v>
      </c>
      <c r="S1406" s="4">
        <f>IF(AND(VLOOKUP(G1406,Dados!$D:$L,2,0)=VLOOKUP(I1406,Dados!$S:$V,2,0),VLOOKUP(G1406,Dados!$D:$L,3,0)=VLOOKUP(I1406,Dados!$S:$V,3,0)),0,1)</f>
        <v>0</v>
      </c>
      <c r="T1406" s="4">
        <f>IF(AND(VLOOKUP(G1406,Dados!$D:$L,3,0)&lt;=VLOOKUP(H1406,Dados!$X:$AB,2,0),VLOOKUP(G1406,Dados!$D:$L,4,0)&gt;=VLOOKUP(H1406,Dados!$X:$AB,3,0),VLOOKUP(G1406,Dados!$D:$L,4,0)&lt;=VLOOKUP(H1406,Dados!$X:$AB,4,0)),0,1)</f>
        <v>0</v>
      </c>
      <c r="U1406" s="4">
        <f>IF(COUNTIFS(F:F,F1406,H:H,H1406)&lt;=VLOOKUP(H1406,Dados!$X:$AB,5,0),0,1)</f>
        <v>0</v>
      </c>
    </row>
    <row r="1407" spans="6:21">
      <c r="F1407" s="4">
        <v>698</v>
      </c>
      <c r="G1407" s="4">
        <v>62</v>
      </c>
      <c r="H1407" s="4">
        <v>2</v>
      </c>
      <c r="I1407" s="4">
        <v>27</v>
      </c>
      <c r="J1407" s="4">
        <v>1</v>
      </c>
      <c r="K1407" s="4">
        <f t="shared" si="267"/>
        <v>0</v>
      </c>
      <c r="L1407" s="4">
        <f t="shared" si="267"/>
        <v>0</v>
      </c>
      <c r="M1407" s="4">
        <f t="shared" si="267"/>
        <v>0</v>
      </c>
      <c r="N1407" s="4">
        <f t="shared" si="267"/>
        <v>0</v>
      </c>
      <c r="O1407" s="4">
        <f t="shared" si="268"/>
        <v>0</v>
      </c>
      <c r="P1407" s="4">
        <f t="shared" si="269"/>
        <v>0</v>
      </c>
      <c r="Q1407" s="4">
        <f t="shared" si="270"/>
        <v>0</v>
      </c>
      <c r="R1407" s="4">
        <f t="shared" si="271"/>
        <v>0</v>
      </c>
      <c r="S1407" s="4">
        <f>IF(AND(VLOOKUP(G1407,Dados!$D:$L,2,0)=VLOOKUP(I1407,Dados!$S:$V,2,0),VLOOKUP(G1407,Dados!$D:$L,3,0)=VLOOKUP(I1407,Dados!$S:$V,3,0)),0,1)</f>
        <v>0</v>
      </c>
      <c r="T1407" s="4">
        <f>IF(AND(VLOOKUP(G1407,Dados!$D:$L,3,0)&lt;=VLOOKUP(H1407,Dados!$X:$AB,2,0),VLOOKUP(G1407,Dados!$D:$L,4,0)&gt;=VLOOKUP(H1407,Dados!$X:$AB,3,0),VLOOKUP(G1407,Dados!$D:$L,4,0)&lt;=VLOOKUP(H1407,Dados!$X:$AB,4,0)),0,1)</f>
        <v>0</v>
      </c>
      <c r="U1407" s="4">
        <f>IF(COUNTIFS(F:F,F1407,H:H,H1407)&lt;=VLOOKUP(H1407,Dados!$X:$AB,5,0),0,1)</f>
        <v>0</v>
      </c>
    </row>
    <row r="1408" spans="6:21">
      <c r="F1408" s="4">
        <v>698</v>
      </c>
      <c r="G1408" s="4">
        <v>65</v>
      </c>
      <c r="H1408" s="4">
        <v>2</v>
      </c>
      <c r="I1408" s="4">
        <v>27</v>
      </c>
      <c r="J1408" s="4">
        <v>2</v>
      </c>
      <c r="K1408" s="4">
        <f t="shared" si="267"/>
        <v>0</v>
      </c>
      <c r="L1408" s="4">
        <f t="shared" si="267"/>
        <v>0</v>
      </c>
      <c r="M1408" s="4">
        <f t="shared" si="267"/>
        <v>0</v>
      </c>
      <c r="N1408" s="4">
        <f t="shared" si="267"/>
        <v>0</v>
      </c>
      <c r="O1408" s="4">
        <f t="shared" si="268"/>
        <v>0</v>
      </c>
      <c r="P1408" s="4">
        <f t="shared" si="269"/>
        <v>0</v>
      </c>
      <c r="Q1408" s="4">
        <f t="shared" si="270"/>
        <v>0</v>
      </c>
      <c r="R1408" s="4">
        <f t="shared" si="271"/>
        <v>0</v>
      </c>
      <c r="S1408" s="4">
        <f>IF(AND(VLOOKUP(G1408,Dados!$D:$L,2,0)=VLOOKUP(I1408,Dados!$S:$V,2,0),VLOOKUP(G1408,Dados!$D:$L,3,0)=VLOOKUP(I1408,Dados!$S:$V,3,0)),0,1)</f>
        <v>0</v>
      </c>
      <c r="T1408" s="4">
        <f>IF(AND(VLOOKUP(G1408,Dados!$D:$L,3,0)&lt;=VLOOKUP(H1408,Dados!$X:$AB,2,0),VLOOKUP(G1408,Dados!$D:$L,4,0)&gt;=VLOOKUP(H1408,Dados!$X:$AB,3,0),VLOOKUP(G1408,Dados!$D:$L,4,0)&lt;=VLOOKUP(H1408,Dados!$X:$AB,4,0)),0,1)</f>
        <v>0</v>
      </c>
      <c r="U1408" s="4">
        <f>IF(COUNTIFS(F:F,F1408,H:H,H1408)&lt;=VLOOKUP(H1408,Dados!$X:$AB,5,0),0,1)</f>
        <v>0</v>
      </c>
    </row>
    <row r="1409" spans="6:21">
      <c r="F1409" s="4">
        <v>698</v>
      </c>
      <c r="G1409" s="4">
        <v>67</v>
      </c>
      <c r="H1409" s="4">
        <v>2</v>
      </c>
      <c r="I1409" s="4">
        <v>27</v>
      </c>
      <c r="J1409" s="4">
        <v>5</v>
      </c>
      <c r="K1409" s="4">
        <f t="shared" si="267"/>
        <v>0</v>
      </c>
      <c r="L1409" s="4">
        <f t="shared" si="267"/>
        <v>0</v>
      </c>
      <c r="M1409" s="4">
        <f t="shared" si="267"/>
        <v>0</v>
      </c>
      <c r="N1409" s="4">
        <f t="shared" si="267"/>
        <v>0</v>
      </c>
      <c r="O1409" s="4">
        <f t="shared" si="268"/>
        <v>0</v>
      </c>
      <c r="P1409" s="4">
        <f t="shared" si="269"/>
        <v>0</v>
      </c>
      <c r="Q1409" s="4">
        <f t="shared" si="270"/>
        <v>0</v>
      </c>
      <c r="R1409" s="4">
        <f t="shared" si="271"/>
        <v>0</v>
      </c>
      <c r="S1409" s="4">
        <f>IF(AND(VLOOKUP(G1409,Dados!$D:$L,2,0)=VLOOKUP(I1409,Dados!$S:$V,2,0),VLOOKUP(G1409,Dados!$D:$L,3,0)=VLOOKUP(I1409,Dados!$S:$V,3,0)),0,1)</f>
        <v>0</v>
      </c>
      <c r="T1409" s="4">
        <f>IF(AND(VLOOKUP(G1409,Dados!$D:$L,3,0)&lt;=VLOOKUP(H1409,Dados!$X:$AB,2,0),VLOOKUP(G1409,Dados!$D:$L,4,0)&gt;=VLOOKUP(H1409,Dados!$X:$AB,3,0),VLOOKUP(G1409,Dados!$D:$L,4,0)&lt;=VLOOKUP(H1409,Dados!$X:$AB,4,0)),0,1)</f>
        <v>0</v>
      </c>
      <c r="U1409" s="4">
        <f>IF(COUNTIFS(F:F,F1409,H:H,H1409)&lt;=VLOOKUP(H1409,Dados!$X:$AB,5,0),0,1)</f>
        <v>0</v>
      </c>
    </row>
    <row r="1410" spans="6:21">
      <c r="F1410" s="4">
        <v>699</v>
      </c>
      <c r="G1410" s="4">
        <v>60</v>
      </c>
      <c r="H1410" s="4">
        <v>3</v>
      </c>
      <c r="I1410" s="4">
        <v>27</v>
      </c>
      <c r="J1410" s="4">
        <v>5</v>
      </c>
      <c r="K1410" s="4">
        <f t="shared" si="267"/>
        <v>0</v>
      </c>
      <c r="L1410" s="4">
        <f t="shared" si="267"/>
        <v>0</v>
      </c>
      <c r="M1410" s="4">
        <f t="shared" si="267"/>
        <v>0</v>
      </c>
      <c r="N1410" s="4">
        <f t="shared" si="267"/>
        <v>0</v>
      </c>
      <c r="O1410" s="4">
        <f t="shared" si="268"/>
        <v>0</v>
      </c>
      <c r="P1410" s="4">
        <f t="shared" si="269"/>
        <v>0</v>
      </c>
      <c r="Q1410" s="4">
        <f t="shared" si="270"/>
        <v>0</v>
      </c>
      <c r="R1410" s="4">
        <f t="shared" si="271"/>
        <v>0</v>
      </c>
      <c r="S1410" s="4">
        <f>IF(AND(VLOOKUP(G1410,Dados!$D:$L,2,0)=VLOOKUP(I1410,Dados!$S:$V,2,0),VLOOKUP(G1410,Dados!$D:$L,3,0)=VLOOKUP(I1410,Dados!$S:$V,3,0)),0,1)</f>
        <v>0</v>
      </c>
      <c r="T1410" s="4">
        <f>IF(AND(VLOOKUP(G1410,Dados!$D:$L,3,0)&lt;=VLOOKUP(H1410,Dados!$X:$AB,2,0),VLOOKUP(G1410,Dados!$D:$L,4,0)&gt;=VLOOKUP(H1410,Dados!$X:$AB,3,0),VLOOKUP(G1410,Dados!$D:$L,4,0)&lt;=VLOOKUP(H1410,Dados!$X:$AB,4,0)),0,1)</f>
        <v>0</v>
      </c>
      <c r="U1410" s="4">
        <f>IF(COUNTIFS(F:F,F1410,H:H,H1410)&lt;=VLOOKUP(H1410,Dados!$X:$AB,5,0),0,1)</f>
        <v>0</v>
      </c>
    </row>
    <row r="1411" spans="6:21">
      <c r="F1411" s="4">
        <v>699</v>
      </c>
      <c r="G1411" s="4">
        <v>62</v>
      </c>
      <c r="H1411" s="4">
        <v>3</v>
      </c>
      <c r="I1411" s="4">
        <v>27</v>
      </c>
      <c r="J1411" s="4">
        <v>1</v>
      </c>
      <c r="K1411" s="4">
        <f t="shared" si="267"/>
        <v>0</v>
      </c>
      <c r="L1411" s="4">
        <f t="shared" si="267"/>
        <v>0</v>
      </c>
      <c r="M1411" s="4">
        <f t="shared" si="267"/>
        <v>0</v>
      </c>
      <c r="N1411" s="4">
        <f t="shared" si="267"/>
        <v>0</v>
      </c>
      <c r="O1411" s="4">
        <f t="shared" si="268"/>
        <v>0</v>
      </c>
      <c r="P1411" s="4">
        <f t="shared" si="269"/>
        <v>0</v>
      </c>
      <c r="Q1411" s="4">
        <f t="shared" si="270"/>
        <v>0</v>
      </c>
      <c r="R1411" s="4">
        <f t="shared" si="271"/>
        <v>0</v>
      </c>
      <c r="S1411" s="4">
        <f>IF(AND(VLOOKUP(G1411,Dados!$D:$L,2,0)=VLOOKUP(I1411,Dados!$S:$V,2,0),VLOOKUP(G1411,Dados!$D:$L,3,0)=VLOOKUP(I1411,Dados!$S:$V,3,0)),0,1)</f>
        <v>0</v>
      </c>
      <c r="T1411" s="4">
        <f>IF(AND(VLOOKUP(G1411,Dados!$D:$L,3,0)&lt;=VLOOKUP(H1411,Dados!$X:$AB,2,0),VLOOKUP(G1411,Dados!$D:$L,4,0)&gt;=VLOOKUP(H1411,Dados!$X:$AB,3,0),VLOOKUP(G1411,Dados!$D:$L,4,0)&lt;=VLOOKUP(H1411,Dados!$X:$AB,4,0)),0,1)</f>
        <v>0</v>
      </c>
      <c r="U1411" s="4">
        <f>IF(COUNTIFS(F:F,F1411,H:H,H1411)&lt;=VLOOKUP(H1411,Dados!$X:$AB,5,0),0,1)</f>
        <v>0</v>
      </c>
    </row>
    <row r="1412" spans="6:21">
      <c r="F1412" s="4">
        <v>699</v>
      </c>
      <c r="G1412" s="4">
        <v>67</v>
      </c>
      <c r="H1412" s="4">
        <v>3</v>
      </c>
      <c r="I1412" s="4">
        <v>27</v>
      </c>
      <c r="J1412" s="4">
        <v>3</v>
      </c>
      <c r="K1412" s="4">
        <f t="shared" si="267"/>
        <v>0</v>
      </c>
      <c r="L1412" s="4">
        <f t="shared" si="267"/>
        <v>0</v>
      </c>
      <c r="M1412" s="4">
        <f t="shared" si="267"/>
        <v>0</v>
      </c>
      <c r="N1412" s="4">
        <f t="shared" si="267"/>
        <v>0</v>
      </c>
      <c r="O1412" s="4">
        <f t="shared" si="268"/>
        <v>0</v>
      </c>
      <c r="P1412" s="4">
        <f t="shared" si="269"/>
        <v>0</v>
      </c>
      <c r="Q1412" s="4">
        <f t="shared" si="270"/>
        <v>0</v>
      </c>
      <c r="R1412" s="4">
        <f t="shared" si="271"/>
        <v>0</v>
      </c>
      <c r="S1412" s="4">
        <f>IF(AND(VLOOKUP(G1412,Dados!$D:$L,2,0)=VLOOKUP(I1412,Dados!$S:$V,2,0),VLOOKUP(G1412,Dados!$D:$L,3,0)=VLOOKUP(I1412,Dados!$S:$V,3,0)),0,1)</f>
        <v>0</v>
      </c>
      <c r="T1412" s="4">
        <f>IF(AND(VLOOKUP(G1412,Dados!$D:$L,3,0)&lt;=VLOOKUP(H1412,Dados!$X:$AB,2,0),VLOOKUP(G1412,Dados!$D:$L,4,0)&gt;=VLOOKUP(H1412,Dados!$X:$AB,3,0),VLOOKUP(G1412,Dados!$D:$L,4,0)&lt;=VLOOKUP(H1412,Dados!$X:$AB,4,0)),0,1)</f>
        <v>0</v>
      </c>
      <c r="U1412" s="4">
        <f>IF(COUNTIFS(F:F,F1412,H:H,H1412)&lt;=VLOOKUP(H1412,Dados!$X:$AB,5,0),0,1)</f>
        <v>0</v>
      </c>
    </row>
    <row r="1413" spans="6:21">
      <c r="F1413" s="4">
        <v>700</v>
      </c>
      <c r="G1413" s="4">
        <v>60</v>
      </c>
      <c r="H1413" s="4">
        <v>1</v>
      </c>
      <c r="I1413" s="4">
        <v>28</v>
      </c>
      <c r="J1413" s="4">
        <v>6</v>
      </c>
      <c r="K1413" s="4">
        <f t="shared" si="267"/>
        <v>0</v>
      </c>
      <c r="L1413" s="4">
        <f t="shared" si="267"/>
        <v>0</v>
      </c>
      <c r="M1413" s="4">
        <f t="shared" si="267"/>
        <v>0</v>
      </c>
      <c r="N1413" s="4">
        <f t="shared" si="267"/>
        <v>0</v>
      </c>
      <c r="O1413" s="4">
        <f t="shared" si="268"/>
        <v>0</v>
      </c>
      <c r="P1413" s="4">
        <f t="shared" si="269"/>
        <v>0</v>
      </c>
      <c r="Q1413" s="4">
        <f t="shared" si="270"/>
        <v>0</v>
      </c>
      <c r="R1413" s="4">
        <f t="shared" si="271"/>
        <v>0</v>
      </c>
      <c r="S1413" s="4">
        <f>IF(AND(VLOOKUP(G1413,Dados!$D:$L,2,0)=VLOOKUP(I1413,Dados!$S:$V,2,0),VLOOKUP(G1413,Dados!$D:$L,3,0)=VLOOKUP(I1413,Dados!$S:$V,3,0)),0,1)</f>
        <v>0</v>
      </c>
      <c r="T1413" s="4">
        <f>IF(AND(VLOOKUP(G1413,Dados!$D:$L,3,0)&lt;=VLOOKUP(H1413,Dados!$X:$AB,2,0),VLOOKUP(G1413,Dados!$D:$L,4,0)&gt;=VLOOKUP(H1413,Dados!$X:$AB,3,0),VLOOKUP(G1413,Dados!$D:$L,4,0)&lt;=VLOOKUP(H1413,Dados!$X:$AB,4,0)),0,1)</f>
        <v>0</v>
      </c>
      <c r="U1413" s="4">
        <f>IF(COUNTIFS(F:F,F1413,H:H,H1413)&lt;=VLOOKUP(H1413,Dados!$X:$AB,5,0),0,1)</f>
        <v>0</v>
      </c>
    </row>
    <row r="1414" spans="6:21">
      <c r="F1414" s="4">
        <v>700</v>
      </c>
      <c r="G1414" s="4">
        <v>62</v>
      </c>
      <c r="H1414" s="4">
        <v>1</v>
      </c>
      <c r="I1414" s="4">
        <v>28</v>
      </c>
      <c r="J1414" s="4">
        <v>2</v>
      </c>
      <c r="K1414" s="4">
        <f t="shared" si="267"/>
        <v>0</v>
      </c>
      <c r="L1414" s="4">
        <f t="shared" si="267"/>
        <v>0</v>
      </c>
      <c r="M1414" s="4">
        <f t="shared" si="267"/>
        <v>0</v>
      </c>
      <c r="N1414" s="4">
        <f t="shared" si="267"/>
        <v>0</v>
      </c>
      <c r="O1414" s="4">
        <f t="shared" si="268"/>
        <v>0</v>
      </c>
      <c r="P1414" s="4">
        <f t="shared" si="269"/>
        <v>0</v>
      </c>
      <c r="Q1414" s="4">
        <f t="shared" si="270"/>
        <v>0</v>
      </c>
      <c r="R1414" s="4">
        <f t="shared" si="271"/>
        <v>0</v>
      </c>
      <c r="S1414" s="4">
        <f>IF(AND(VLOOKUP(G1414,Dados!$D:$L,2,0)=VLOOKUP(I1414,Dados!$S:$V,2,0),VLOOKUP(G1414,Dados!$D:$L,3,0)=VLOOKUP(I1414,Dados!$S:$V,3,0)),0,1)</f>
        <v>0</v>
      </c>
      <c r="T1414" s="4">
        <f>IF(AND(VLOOKUP(G1414,Dados!$D:$L,3,0)&lt;=VLOOKUP(H1414,Dados!$X:$AB,2,0),VLOOKUP(G1414,Dados!$D:$L,4,0)&gt;=VLOOKUP(H1414,Dados!$X:$AB,3,0),VLOOKUP(G1414,Dados!$D:$L,4,0)&lt;=VLOOKUP(H1414,Dados!$X:$AB,4,0)),0,1)</f>
        <v>0</v>
      </c>
      <c r="U1414" s="4">
        <f>IF(COUNTIFS(F:F,F1414,H:H,H1414)&lt;=VLOOKUP(H1414,Dados!$X:$AB,5,0),0,1)</f>
        <v>0</v>
      </c>
    </row>
    <row r="1415" spans="6:21">
      <c r="F1415" s="4">
        <v>700</v>
      </c>
      <c r="G1415" s="4">
        <v>67</v>
      </c>
      <c r="H1415" s="4">
        <v>1</v>
      </c>
      <c r="I1415" s="4">
        <v>28</v>
      </c>
      <c r="J1415" s="4">
        <v>1</v>
      </c>
      <c r="K1415" s="4">
        <f t="shared" si="267"/>
        <v>0</v>
      </c>
      <c r="L1415" s="4">
        <f t="shared" si="267"/>
        <v>0</v>
      </c>
      <c r="M1415" s="4">
        <f t="shared" si="267"/>
        <v>0</v>
      </c>
      <c r="N1415" s="4">
        <f t="shared" si="267"/>
        <v>0</v>
      </c>
      <c r="O1415" s="4">
        <f t="shared" si="268"/>
        <v>0</v>
      </c>
      <c r="P1415" s="4">
        <f t="shared" si="269"/>
        <v>0</v>
      </c>
      <c r="Q1415" s="4">
        <f t="shared" si="270"/>
        <v>0</v>
      </c>
      <c r="R1415" s="4">
        <f t="shared" si="271"/>
        <v>0</v>
      </c>
      <c r="S1415" s="4">
        <f>IF(AND(VLOOKUP(G1415,Dados!$D:$L,2,0)=VLOOKUP(I1415,Dados!$S:$V,2,0),VLOOKUP(G1415,Dados!$D:$L,3,0)=VLOOKUP(I1415,Dados!$S:$V,3,0)),0,1)</f>
        <v>0</v>
      </c>
      <c r="T1415" s="4">
        <f>IF(AND(VLOOKUP(G1415,Dados!$D:$L,3,0)&lt;=VLOOKUP(H1415,Dados!$X:$AB,2,0),VLOOKUP(G1415,Dados!$D:$L,4,0)&gt;=VLOOKUP(H1415,Dados!$X:$AB,3,0),VLOOKUP(G1415,Dados!$D:$L,4,0)&lt;=VLOOKUP(H1415,Dados!$X:$AB,4,0)),0,1)</f>
        <v>0</v>
      </c>
      <c r="U1415" s="4">
        <f>IF(COUNTIFS(F:F,F1415,H:H,H1415)&lt;=VLOOKUP(H1415,Dados!$X:$AB,5,0),0,1)</f>
        <v>0</v>
      </c>
    </row>
    <row r="1416" spans="6:21">
      <c r="F1416" s="4">
        <v>701</v>
      </c>
      <c r="G1416" s="4">
        <v>60</v>
      </c>
      <c r="H1416" s="4">
        <v>2</v>
      </c>
      <c r="I1416" s="4">
        <v>28</v>
      </c>
      <c r="J1416" s="4">
        <v>6</v>
      </c>
      <c r="K1416" s="4">
        <f t="shared" si="267"/>
        <v>0</v>
      </c>
      <c r="L1416" s="4">
        <f t="shared" si="267"/>
        <v>0</v>
      </c>
      <c r="M1416" s="4">
        <f t="shared" si="267"/>
        <v>0</v>
      </c>
      <c r="N1416" s="4">
        <f t="shared" si="267"/>
        <v>0</v>
      </c>
      <c r="O1416" s="4">
        <f t="shared" si="268"/>
        <v>0</v>
      </c>
      <c r="P1416" s="4">
        <f t="shared" si="269"/>
        <v>0</v>
      </c>
      <c r="Q1416" s="4">
        <f t="shared" si="270"/>
        <v>0</v>
      </c>
      <c r="R1416" s="4">
        <f t="shared" si="271"/>
        <v>0</v>
      </c>
      <c r="S1416" s="4">
        <f>IF(AND(VLOOKUP(G1416,Dados!$D:$L,2,0)=VLOOKUP(I1416,Dados!$S:$V,2,0),VLOOKUP(G1416,Dados!$D:$L,3,0)=VLOOKUP(I1416,Dados!$S:$V,3,0)),0,1)</f>
        <v>0</v>
      </c>
      <c r="T1416" s="4">
        <f>IF(AND(VLOOKUP(G1416,Dados!$D:$L,3,0)&lt;=VLOOKUP(H1416,Dados!$X:$AB,2,0),VLOOKUP(G1416,Dados!$D:$L,4,0)&gt;=VLOOKUP(H1416,Dados!$X:$AB,3,0),VLOOKUP(G1416,Dados!$D:$L,4,0)&lt;=VLOOKUP(H1416,Dados!$X:$AB,4,0)),0,1)</f>
        <v>0</v>
      </c>
      <c r="U1416" s="4">
        <f>IF(COUNTIFS(F:F,F1416,H:H,H1416)&lt;=VLOOKUP(H1416,Dados!$X:$AB,5,0),0,1)</f>
        <v>0</v>
      </c>
    </row>
    <row r="1417" spans="6:21">
      <c r="F1417" s="4">
        <v>701</v>
      </c>
      <c r="G1417" s="4">
        <v>62</v>
      </c>
      <c r="H1417" s="4">
        <v>2</v>
      </c>
      <c r="I1417" s="4">
        <v>28</v>
      </c>
      <c r="J1417" s="4">
        <v>2</v>
      </c>
      <c r="K1417" s="4">
        <f t="shared" si="267"/>
        <v>0</v>
      </c>
      <c r="L1417" s="4">
        <f t="shared" si="267"/>
        <v>0</v>
      </c>
      <c r="M1417" s="4">
        <f t="shared" si="267"/>
        <v>0</v>
      </c>
      <c r="N1417" s="4">
        <f t="shared" si="267"/>
        <v>0</v>
      </c>
      <c r="O1417" s="4">
        <f t="shared" si="268"/>
        <v>0</v>
      </c>
      <c r="P1417" s="4">
        <f t="shared" si="269"/>
        <v>0</v>
      </c>
      <c r="Q1417" s="4">
        <f t="shared" si="270"/>
        <v>0</v>
      </c>
      <c r="R1417" s="4">
        <f t="shared" si="271"/>
        <v>0</v>
      </c>
      <c r="S1417" s="4">
        <f>IF(AND(VLOOKUP(G1417,Dados!$D:$L,2,0)=VLOOKUP(I1417,Dados!$S:$V,2,0),VLOOKUP(G1417,Dados!$D:$L,3,0)=VLOOKUP(I1417,Dados!$S:$V,3,0)),0,1)</f>
        <v>0</v>
      </c>
      <c r="T1417" s="4">
        <f>IF(AND(VLOOKUP(G1417,Dados!$D:$L,3,0)&lt;=VLOOKUP(H1417,Dados!$X:$AB,2,0),VLOOKUP(G1417,Dados!$D:$L,4,0)&gt;=VLOOKUP(H1417,Dados!$X:$AB,3,0),VLOOKUP(G1417,Dados!$D:$L,4,0)&lt;=VLOOKUP(H1417,Dados!$X:$AB,4,0)),0,1)</f>
        <v>0</v>
      </c>
      <c r="U1417" s="4">
        <f>IF(COUNTIFS(F:F,F1417,H:H,H1417)&lt;=VLOOKUP(H1417,Dados!$X:$AB,5,0),0,1)</f>
        <v>0</v>
      </c>
    </row>
    <row r="1418" spans="6:21">
      <c r="F1418" s="4">
        <v>701</v>
      </c>
      <c r="G1418" s="4">
        <v>67</v>
      </c>
      <c r="H1418" s="4">
        <v>2</v>
      </c>
      <c r="I1418" s="4">
        <v>28</v>
      </c>
      <c r="J1418" s="4">
        <v>1</v>
      </c>
      <c r="K1418" s="4">
        <f t="shared" si="267"/>
        <v>0</v>
      </c>
      <c r="L1418" s="4">
        <f t="shared" si="267"/>
        <v>0</v>
      </c>
      <c r="M1418" s="4">
        <f t="shared" si="267"/>
        <v>0</v>
      </c>
      <c r="N1418" s="4">
        <f t="shared" si="267"/>
        <v>0</v>
      </c>
      <c r="O1418" s="4">
        <f t="shared" si="268"/>
        <v>0</v>
      </c>
      <c r="P1418" s="4">
        <f t="shared" si="269"/>
        <v>0</v>
      </c>
      <c r="Q1418" s="4">
        <f t="shared" si="270"/>
        <v>0</v>
      </c>
      <c r="R1418" s="4">
        <f t="shared" si="271"/>
        <v>0</v>
      </c>
      <c r="S1418" s="4">
        <f>IF(AND(VLOOKUP(G1418,Dados!$D:$L,2,0)=VLOOKUP(I1418,Dados!$S:$V,2,0),VLOOKUP(G1418,Dados!$D:$L,3,0)=VLOOKUP(I1418,Dados!$S:$V,3,0)),0,1)</f>
        <v>0</v>
      </c>
      <c r="T1418" s="4">
        <f>IF(AND(VLOOKUP(G1418,Dados!$D:$L,3,0)&lt;=VLOOKUP(H1418,Dados!$X:$AB,2,0),VLOOKUP(G1418,Dados!$D:$L,4,0)&gt;=VLOOKUP(H1418,Dados!$X:$AB,3,0),VLOOKUP(G1418,Dados!$D:$L,4,0)&lt;=VLOOKUP(H1418,Dados!$X:$AB,4,0)),0,1)</f>
        <v>0</v>
      </c>
      <c r="U1418" s="4">
        <f>IF(COUNTIFS(F:F,F1418,H:H,H1418)&lt;=VLOOKUP(H1418,Dados!$X:$AB,5,0),0,1)</f>
        <v>0</v>
      </c>
    </row>
    <row r="1419" spans="6:21">
      <c r="F1419" s="4">
        <v>702</v>
      </c>
      <c r="G1419" s="4">
        <v>62</v>
      </c>
      <c r="H1419" s="4">
        <v>3</v>
      </c>
      <c r="I1419" s="4">
        <v>28</v>
      </c>
      <c r="J1419" s="4">
        <v>2</v>
      </c>
      <c r="K1419" s="4">
        <f t="shared" si="267"/>
        <v>0</v>
      </c>
      <c r="L1419" s="4">
        <f t="shared" si="267"/>
        <v>0</v>
      </c>
      <c r="M1419" s="4">
        <f t="shared" si="267"/>
        <v>0</v>
      </c>
      <c r="N1419" s="4">
        <f t="shared" si="267"/>
        <v>0</v>
      </c>
      <c r="O1419" s="4">
        <f t="shared" si="268"/>
        <v>0</v>
      </c>
      <c r="P1419" s="4">
        <f t="shared" si="269"/>
        <v>0</v>
      </c>
      <c r="Q1419" s="4">
        <f t="shared" si="270"/>
        <v>0</v>
      </c>
      <c r="R1419" s="4">
        <f t="shared" si="271"/>
        <v>0</v>
      </c>
      <c r="S1419" s="4">
        <f>IF(AND(VLOOKUP(G1419,Dados!$D:$L,2,0)=VLOOKUP(I1419,Dados!$S:$V,2,0),VLOOKUP(G1419,Dados!$D:$L,3,0)=VLOOKUP(I1419,Dados!$S:$V,3,0)),0,1)</f>
        <v>0</v>
      </c>
      <c r="T1419" s="4">
        <f>IF(AND(VLOOKUP(G1419,Dados!$D:$L,3,0)&lt;=VLOOKUP(H1419,Dados!$X:$AB,2,0),VLOOKUP(G1419,Dados!$D:$L,4,0)&gt;=VLOOKUP(H1419,Dados!$X:$AB,3,0),VLOOKUP(G1419,Dados!$D:$L,4,0)&lt;=VLOOKUP(H1419,Dados!$X:$AB,4,0)),0,1)</f>
        <v>0</v>
      </c>
      <c r="U1419" s="4">
        <f>IF(COUNTIFS(F:F,F1419,H:H,H1419)&lt;=VLOOKUP(H1419,Dados!$X:$AB,5,0),0,1)</f>
        <v>0</v>
      </c>
    </row>
    <row r="1420" spans="6:21">
      <c r="F1420" s="4">
        <v>702</v>
      </c>
      <c r="G1420" s="4">
        <v>65</v>
      </c>
      <c r="H1420" s="4">
        <v>3</v>
      </c>
      <c r="I1420" s="4">
        <v>28</v>
      </c>
      <c r="J1420" s="4">
        <v>1</v>
      </c>
      <c r="K1420" s="4">
        <f t="shared" si="267"/>
        <v>0</v>
      </c>
      <c r="L1420" s="4">
        <f t="shared" si="267"/>
        <v>0</v>
      </c>
      <c r="M1420" s="4">
        <f t="shared" si="267"/>
        <v>0</v>
      </c>
      <c r="N1420" s="4">
        <f t="shared" si="267"/>
        <v>0</v>
      </c>
      <c r="O1420" s="4">
        <f t="shared" si="268"/>
        <v>0</v>
      </c>
      <c r="P1420" s="4">
        <f t="shared" si="269"/>
        <v>0</v>
      </c>
      <c r="Q1420" s="4">
        <f t="shared" si="270"/>
        <v>0</v>
      </c>
      <c r="R1420" s="4">
        <f t="shared" si="271"/>
        <v>0</v>
      </c>
      <c r="S1420" s="4">
        <f>IF(AND(VLOOKUP(G1420,Dados!$D:$L,2,0)=VLOOKUP(I1420,Dados!$S:$V,2,0),VLOOKUP(G1420,Dados!$D:$L,3,0)=VLOOKUP(I1420,Dados!$S:$V,3,0)),0,1)</f>
        <v>0</v>
      </c>
      <c r="T1420" s="4">
        <f>IF(AND(VLOOKUP(G1420,Dados!$D:$L,3,0)&lt;=VLOOKUP(H1420,Dados!$X:$AB,2,0),VLOOKUP(G1420,Dados!$D:$L,4,0)&gt;=VLOOKUP(H1420,Dados!$X:$AB,3,0),VLOOKUP(G1420,Dados!$D:$L,4,0)&lt;=VLOOKUP(H1420,Dados!$X:$AB,4,0)),0,1)</f>
        <v>0</v>
      </c>
      <c r="U1420" s="4">
        <f>IF(COUNTIFS(F:F,F1420,H:H,H1420)&lt;=VLOOKUP(H1420,Dados!$X:$AB,5,0),0,1)</f>
        <v>0</v>
      </c>
    </row>
    <row r="1421" spans="6:21">
      <c r="F1421" s="4">
        <v>702</v>
      </c>
      <c r="G1421" s="4">
        <v>67</v>
      </c>
      <c r="H1421" s="4">
        <v>3</v>
      </c>
      <c r="I1421" s="4">
        <v>28</v>
      </c>
      <c r="J1421" s="4">
        <v>5</v>
      </c>
      <c r="K1421" s="4">
        <f t="shared" si="267"/>
        <v>0</v>
      </c>
      <c r="L1421" s="4">
        <f t="shared" si="267"/>
        <v>0</v>
      </c>
      <c r="M1421" s="4">
        <f t="shared" si="267"/>
        <v>0</v>
      </c>
      <c r="N1421" s="4">
        <f t="shared" si="267"/>
        <v>0</v>
      </c>
      <c r="O1421" s="4">
        <f t="shared" si="268"/>
        <v>0</v>
      </c>
      <c r="P1421" s="4">
        <f t="shared" si="269"/>
        <v>0</v>
      </c>
      <c r="Q1421" s="4">
        <f t="shared" si="270"/>
        <v>0</v>
      </c>
      <c r="R1421" s="4">
        <f t="shared" si="271"/>
        <v>0</v>
      </c>
      <c r="S1421" s="4">
        <f>IF(AND(VLOOKUP(G1421,Dados!$D:$L,2,0)=VLOOKUP(I1421,Dados!$S:$V,2,0),VLOOKUP(G1421,Dados!$D:$L,3,0)=VLOOKUP(I1421,Dados!$S:$V,3,0)),0,1)</f>
        <v>0</v>
      </c>
      <c r="T1421" s="4">
        <f>IF(AND(VLOOKUP(G1421,Dados!$D:$L,3,0)&lt;=VLOOKUP(H1421,Dados!$X:$AB,2,0),VLOOKUP(G1421,Dados!$D:$L,4,0)&gt;=VLOOKUP(H1421,Dados!$X:$AB,3,0),VLOOKUP(G1421,Dados!$D:$L,4,0)&lt;=VLOOKUP(H1421,Dados!$X:$AB,4,0)),0,1)</f>
        <v>0</v>
      </c>
      <c r="U1421" s="4">
        <f>IF(COUNTIFS(F:F,F1421,H:H,H1421)&lt;=VLOOKUP(H1421,Dados!$X:$AB,5,0),0,1)</f>
        <v>0</v>
      </c>
    </row>
    <row r="1422" spans="6:21">
      <c r="F1422" s="4">
        <v>703</v>
      </c>
      <c r="G1422" s="4">
        <v>60</v>
      </c>
      <c r="H1422" s="4">
        <v>1</v>
      </c>
      <c r="I1422" s="4">
        <v>29</v>
      </c>
      <c r="J1422" s="4">
        <v>4</v>
      </c>
      <c r="K1422" s="4">
        <f t="shared" si="267"/>
        <v>0</v>
      </c>
      <c r="L1422" s="4">
        <f t="shared" si="267"/>
        <v>0</v>
      </c>
      <c r="M1422" s="4">
        <f t="shared" si="267"/>
        <v>0</v>
      </c>
      <c r="N1422" s="4">
        <f t="shared" si="267"/>
        <v>0</v>
      </c>
      <c r="O1422" s="4">
        <f t="shared" si="268"/>
        <v>0</v>
      </c>
      <c r="P1422" s="4">
        <f t="shared" si="269"/>
        <v>0</v>
      </c>
      <c r="Q1422" s="4">
        <f t="shared" si="270"/>
        <v>0</v>
      </c>
      <c r="R1422" s="4">
        <f t="shared" si="271"/>
        <v>0</v>
      </c>
      <c r="S1422" s="4">
        <f>IF(AND(VLOOKUP(G1422,Dados!$D:$L,2,0)=VLOOKUP(I1422,Dados!$S:$V,2,0),VLOOKUP(G1422,Dados!$D:$L,3,0)=VLOOKUP(I1422,Dados!$S:$V,3,0)),0,1)</f>
        <v>0</v>
      </c>
      <c r="T1422" s="4">
        <f>IF(AND(VLOOKUP(G1422,Dados!$D:$L,3,0)&lt;=VLOOKUP(H1422,Dados!$X:$AB,2,0),VLOOKUP(G1422,Dados!$D:$L,4,0)&gt;=VLOOKUP(H1422,Dados!$X:$AB,3,0),VLOOKUP(G1422,Dados!$D:$L,4,0)&lt;=VLOOKUP(H1422,Dados!$X:$AB,4,0)),0,1)</f>
        <v>0</v>
      </c>
      <c r="U1422" s="4">
        <f>IF(COUNTIFS(F:F,F1422,H:H,H1422)&lt;=VLOOKUP(H1422,Dados!$X:$AB,5,0),0,1)</f>
        <v>0</v>
      </c>
    </row>
    <row r="1423" spans="6:21">
      <c r="F1423" s="4">
        <v>703</v>
      </c>
      <c r="G1423" s="4">
        <v>62</v>
      </c>
      <c r="H1423" s="4">
        <v>1</v>
      </c>
      <c r="I1423" s="4">
        <v>29</v>
      </c>
      <c r="J1423" s="4">
        <v>3</v>
      </c>
      <c r="K1423" s="4">
        <f t="shared" si="267"/>
        <v>0</v>
      </c>
      <c r="L1423" s="4">
        <f t="shared" si="267"/>
        <v>0</v>
      </c>
      <c r="M1423" s="4">
        <f t="shared" si="267"/>
        <v>0</v>
      </c>
      <c r="N1423" s="4">
        <f t="shared" si="267"/>
        <v>0</v>
      </c>
      <c r="O1423" s="4">
        <f t="shared" si="268"/>
        <v>0</v>
      </c>
      <c r="P1423" s="4">
        <f t="shared" si="269"/>
        <v>0</v>
      </c>
      <c r="Q1423" s="4">
        <f t="shared" si="270"/>
        <v>0</v>
      </c>
      <c r="R1423" s="4">
        <f t="shared" si="271"/>
        <v>0</v>
      </c>
      <c r="S1423" s="4">
        <f>IF(AND(VLOOKUP(G1423,Dados!$D:$L,2,0)=VLOOKUP(I1423,Dados!$S:$V,2,0),VLOOKUP(G1423,Dados!$D:$L,3,0)=VLOOKUP(I1423,Dados!$S:$V,3,0)),0,1)</f>
        <v>0</v>
      </c>
      <c r="T1423" s="4">
        <f>IF(AND(VLOOKUP(G1423,Dados!$D:$L,3,0)&lt;=VLOOKUP(H1423,Dados!$X:$AB,2,0),VLOOKUP(G1423,Dados!$D:$L,4,0)&gt;=VLOOKUP(H1423,Dados!$X:$AB,3,0),VLOOKUP(G1423,Dados!$D:$L,4,0)&lt;=VLOOKUP(H1423,Dados!$X:$AB,4,0)),0,1)</f>
        <v>0</v>
      </c>
      <c r="U1423" s="4">
        <f>IF(COUNTIFS(F:F,F1423,H:H,H1423)&lt;=VLOOKUP(H1423,Dados!$X:$AB,5,0),0,1)</f>
        <v>0</v>
      </c>
    </row>
    <row r="1424" spans="6:21">
      <c r="F1424" s="4">
        <v>703</v>
      </c>
      <c r="G1424" s="4">
        <v>67</v>
      </c>
      <c r="H1424" s="4">
        <v>1</v>
      </c>
      <c r="I1424" s="4">
        <v>29</v>
      </c>
      <c r="J1424" s="4">
        <v>2</v>
      </c>
      <c r="K1424" s="4">
        <f t="shared" si="267"/>
        <v>0</v>
      </c>
      <c r="L1424" s="4">
        <f t="shared" si="267"/>
        <v>0</v>
      </c>
      <c r="M1424" s="4">
        <f t="shared" si="267"/>
        <v>0</v>
      </c>
      <c r="N1424" s="4">
        <f t="shared" si="267"/>
        <v>0</v>
      </c>
      <c r="O1424" s="4">
        <f t="shared" si="268"/>
        <v>0</v>
      </c>
      <c r="P1424" s="4">
        <f t="shared" si="269"/>
        <v>0</v>
      </c>
      <c r="Q1424" s="4">
        <f t="shared" si="270"/>
        <v>0</v>
      </c>
      <c r="R1424" s="4">
        <f t="shared" si="271"/>
        <v>0</v>
      </c>
      <c r="S1424" s="4">
        <f>IF(AND(VLOOKUP(G1424,Dados!$D:$L,2,0)=VLOOKUP(I1424,Dados!$S:$V,2,0),VLOOKUP(G1424,Dados!$D:$L,3,0)=VLOOKUP(I1424,Dados!$S:$V,3,0)),0,1)</f>
        <v>0</v>
      </c>
      <c r="T1424" s="4">
        <f>IF(AND(VLOOKUP(G1424,Dados!$D:$L,3,0)&lt;=VLOOKUP(H1424,Dados!$X:$AB,2,0),VLOOKUP(G1424,Dados!$D:$L,4,0)&gt;=VLOOKUP(H1424,Dados!$X:$AB,3,0),VLOOKUP(G1424,Dados!$D:$L,4,0)&lt;=VLOOKUP(H1424,Dados!$X:$AB,4,0)),0,1)</f>
        <v>0</v>
      </c>
      <c r="U1424" s="4">
        <f>IF(COUNTIFS(F:F,F1424,H:H,H1424)&lt;=VLOOKUP(H1424,Dados!$X:$AB,5,0),0,1)</f>
        <v>0</v>
      </c>
    </row>
    <row r="1425" spans="6:21">
      <c r="F1425" s="4">
        <v>704</v>
      </c>
      <c r="G1425" s="4">
        <v>60</v>
      </c>
      <c r="H1425" s="4">
        <v>2</v>
      </c>
      <c r="I1425" s="4">
        <v>29</v>
      </c>
      <c r="J1425" s="4">
        <v>4</v>
      </c>
      <c r="K1425" s="4">
        <f t="shared" si="267"/>
        <v>0</v>
      </c>
      <c r="L1425" s="4">
        <f t="shared" si="267"/>
        <v>0</v>
      </c>
      <c r="M1425" s="4">
        <f t="shared" si="267"/>
        <v>0</v>
      </c>
      <c r="N1425" s="4">
        <f t="shared" si="267"/>
        <v>0</v>
      </c>
      <c r="O1425" s="4">
        <f t="shared" si="268"/>
        <v>0</v>
      </c>
      <c r="P1425" s="4">
        <f t="shared" si="269"/>
        <v>0</v>
      </c>
      <c r="Q1425" s="4">
        <f t="shared" si="270"/>
        <v>0</v>
      </c>
      <c r="R1425" s="4">
        <f t="shared" si="271"/>
        <v>0</v>
      </c>
      <c r="S1425" s="4">
        <f>IF(AND(VLOOKUP(G1425,Dados!$D:$L,2,0)=VLOOKUP(I1425,Dados!$S:$V,2,0),VLOOKUP(G1425,Dados!$D:$L,3,0)=VLOOKUP(I1425,Dados!$S:$V,3,0)),0,1)</f>
        <v>0</v>
      </c>
      <c r="T1425" s="4">
        <f>IF(AND(VLOOKUP(G1425,Dados!$D:$L,3,0)&lt;=VLOOKUP(H1425,Dados!$X:$AB,2,0),VLOOKUP(G1425,Dados!$D:$L,4,0)&gt;=VLOOKUP(H1425,Dados!$X:$AB,3,0),VLOOKUP(G1425,Dados!$D:$L,4,0)&lt;=VLOOKUP(H1425,Dados!$X:$AB,4,0)),0,1)</f>
        <v>0</v>
      </c>
      <c r="U1425" s="4">
        <f>IF(COUNTIFS(F:F,F1425,H:H,H1425)&lt;=VLOOKUP(H1425,Dados!$X:$AB,5,0),0,1)</f>
        <v>0</v>
      </c>
    </row>
    <row r="1426" spans="6:21">
      <c r="F1426" s="4">
        <v>704</v>
      </c>
      <c r="G1426" s="4">
        <v>62</v>
      </c>
      <c r="H1426" s="4">
        <v>2</v>
      </c>
      <c r="I1426" s="4">
        <v>29</v>
      </c>
      <c r="J1426" s="4">
        <v>3</v>
      </c>
      <c r="K1426" s="4">
        <f t="shared" si="267"/>
        <v>0</v>
      </c>
      <c r="L1426" s="4">
        <f t="shared" si="267"/>
        <v>0</v>
      </c>
      <c r="M1426" s="4">
        <f t="shared" si="267"/>
        <v>0</v>
      </c>
      <c r="N1426" s="4">
        <f t="shared" si="267"/>
        <v>0</v>
      </c>
      <c r="O1426" s="4">
        <f t="shared" si="268"/>
        <v>0</v>
      </c>
      <c r="P1426" s="4">
        <f t="shared" si="269"/>
        <v>0</v>
      </c>
      <c r="Q1426" s="4">
        <f t="shared" si="270"/>
        <v>0</v>
      </c>
      <c r="R1426" s="4">
        <f t="shared" si="271"/>
        <v>0</v>
      </c>
      <c r="S1426" s="4">
        <f>IF(AND(VLOOKUP(G1426,Dados!$D:$L,2,0)=VLOOKUP(I1426,Dados!$S:$V,2,0),VLOOKUP(G1426,Dados!$D:$L,3,0)=VLOOKUP(I1426,Dados!$S:$V,3,0)),0,1)</f>
        <v>0</v>
      </c>
      <c r="T1426" s="4">
        <f>IF(AND(VLOOKUP(G1426,Dados!$D:$L,3,0)&lt;=VLOOKUP(H1426,Dados!$X:$AB,2,0),VLOOKUP(G1426,Dados!$D:$L,4,0)&gt;=VLOOKUP(H1426,Dados!$X:$AB,3,0),VLOOKUP(G1426,Dados!$D:$L,4,0)&lt;=VLOOKUP(H1426,Dados!$X:$AB,4,0)),0,1)</f>
        <v>0</v>
      </c>
      <c r="U1426" s="4">
        <f>IF(COUNTIFS(F:F,F1426,H:H,H1426)&lt;=VLOOKUP(H1426,Dados!$X:$AB,5,0),0,1)</f>
        <v>0</v>
      </c>
    </row>
    <row r="1427" spans="6:21">
      <c r="F1427" s="4">
        <v>704</v>
      </c>
      <c r="G1427" s="4">
        <v>67</v>
      </c>
      <c r="H1427" s="4">
        <v>2</v>
      </c>
      <c r="I1427" s="4">
        <v>29</v>
      </c>
      <c r="J1427" s="4">
        <v>2</v>
      </c>
      <c r="K1427" s="4">
        <f t="shared" si="267"/>
        <v>0</v>
      </c>
      <c r="L1427" s="4">
        <f t="shared" si="267"/>
        <v>0</v>
      </c>
      <c r="M1427" s="4">
        <f t="shared" si="267"/>
        <v>0</v>
      </c>
      <c r="N1427" s="4">
        <f t="shared" si="267"/>
        <v>0</v>
      </c>
      <c r="O1427" s="4">
        <f t="shared" si="268"/>
        <v>0</v>
      </c>
      <c r="P1427" s="4">
        <f t="shared" si="269"/>
        <v>0</v>
      </c>
      <c r="Q1427" s="4">
        <f t="shared" si="270"/>
        <v>0</v>
      </c>
      <c r="R1427" s="4">
        <f t="shared" si="271"/>
        <v>0</v>
      </c>
      <c r="S1427" s="4">
        <f>IF(AND(VLOOKUP(G1427,Dados!$D:$L,2,0)=VLOOKUP(I1427,Dados!$S:$V,2,0),VLOOKUP(G1427,Dados!$D:$L,3,0)=VLOOKUP(I1427,Dados!$S:$V,3,0)),0,1)</f>
        <v>0</v>
      </c>
      <c r="T1427" s="4">
        <f>IF(AND(VLOOKUP(G1427,Dados!$D:$L,3,0)&lt;=VLOOKUP(H1427,Dados!$X:$AB,2,0),VLOOKUP(G1427,Dados!$D:$L,4,0)&gt;=VLOOKUP(H1427,Dados!$X:$AB,3,0),VLOOKUP(G1427,Dados!$D:$L,4,0)&lt;=VLOOKUP(H1427,Dados!$X:$AB,4,0)),0,1)</f>
        <v>0</v>
      </c>
      <c r="U1427" s="4">
        <f>IF(COUNTIFS(F:F,F1427,H:H,H1427)&lt;=VLOOKUP(H1427,Dados!$X:$AB,5,0),0,1)</f>
        <v>0</v>
      </c>
    </row>
    <row r="1428" spans="6:21">
      <c r="F1428" s="4">
        <v>705</v>
      </c>
      <c r="G1428" s="4">
        <v>60</v>
      </c>
      <c r="H1428" s="4">
        <v>3</v>
      </c>
      <c r="I1428" s="4">
        <v>29</v>
      </c>
      <c r="J1428" s="4">
        <v>5</v>
      </c>
      <c r="K1428" s="4">
        <f t="shared" si="267"/>
        <v>0</v>
      </c>
      <c r="L1428" s="4">
        <f t="shared" si="267"/>
        <v>0</v>
      </c>
      <c r="M1428" s="4">
        <f t="shared" si="267"/>
        <v>0</v>
      </c>
      <c r="N1428" s="4">
        <f t="shared" si="267"/>
        <v>0</v>
      </c>
      <c r="O1428" s="4">
        <f t="shared" si="268"/>
        <v>0</v>
      </c>
      <c r="P1428" s="4">
        <f t="shared" si="269"/>
        <v>0</v>
      </c>
      <c r="Q1428" s="4">
        <f t="shared" si="270"/>
        <v>0</v>
      </c>
      <c r="R1428" s="4">
        <f t="shared" si="271"/>
        <v>0</v>
      </c>
      <c r="S1428" s="4">
        <f>IF(AND(VLOOKUP(G1428,Dados!$D:$L,2,0)=VLOOKUP(I1428,Dados!$S:$V,2,0),VLOOKUP(G1428,Dados!$D:$L,3,0)=VLOOKUP(I1428,Dados!$S:$V,3,0)),0,1)</f>
        <v>0</v>
      </c>
      <c r="T1428" s="4">
        <f>IF(AND(VLOOKUP(G1428,Dados!$D:$L,3,0)&lt;=VLOOKUP(H1428,Dados!$X:$AB,2,0),VLOOKUP(G1428,Dados!$D:$L,4,0)&gt;=VLOOKUP(H1428,Dados!$X:$AB,3,0),VLOOKUP(G1428,Dados!$D:$L,4,0)&lt;=VLOOKUP(H1428,Dados!$X:$AB,4,0)),0,1)</f>
        <v>0</v>
      </c>
      <c r="U1428" s="4">
        <f>IF(COUNTIFS(F:F,F1428,H:H,H1428)&lt;=VLOOKUP(H1428,Dados!$X:$AB,5,0),0,1)</f>
        <v>0</v>
      </c>
    </row>
    <row r="1429" spans="6:21">
      <c r="F1429" s="4">
        <v>705</v>
      </c>
      <c r="G1429" s="4">
        <v>62</v>
      </c>
      <c r="H1429" s="4">
        <v>3</v>
      </c>
      <c r="I1429" s="4">
        <v>29</v>
      </c>
      <c r="J1429" s="4">
        <v>3</v>
      </c>
      <c r="K1429" s="4">
        <f t="shared" si="267"/>
        <v>0</v>
      </c>
      <c r="L1429" s="4">
        <f t="shared" si="267"/>
        <v>0</v>
      </c>
      <c r="M1429" s="4">
        <f t="shared" si="267"/>
        <v>0</v>
      </c>
      <c r="N1429" s="4">
        <f t="shared" si="267"/>
        <v>0</v>
      </c>
      <c r="O1429" s="4">
        <f t="shared" si="268"/>
        <v>0</v>
      </c>
      <c r="P1429" s="4">
        <f t="shared" si="269"/>
        <v>0</v>
      </c>
      <c r="Q1429" s="4">
        <f t="shared" si="270"/>
        <v>0</v>
      </c>
      <c r="R1429" s="4">
        <f t="shared" si="271"/>
        <v>0</v>
      </c>
      <c r="S1429" s="4">
        <f>IF(AND(VLOOKUP(G1429,Dados!$D:$L,2,0)=VLOOKUP(I1429,Dados!$S:$V,2,0),VLOOKUP(G1429,Dados!$D:$L,3,0)=VLOOKUP(I1429,Dados!$S:$V,3,0)),0,1)</f>
        <v>0</v>
      </c>
      <c r="T1429" s="4">
        <f>IF(AND(VLOOKUP(G1429,Dados!$D:$L,3,0)&lt;=VLOOKUP(H1429,Dados!$X:$AB,2,0),VLOOKUP(G1429,Dados!$D:$L,4,0)&gt;=VLOOKUP(H1429,Dados!$X:$AB,3,0),VLOOKUP(G1429,Dados!$D:$L,4,0)&lt;=VLOOKUP(H1429,Dados!$X:$AB,4,0)),0,1)</f>
        <v>0</v>
      </c>
      <c r="U1429" s="4">
        <f>IF(COUNTIFS(F:F,F1429,H:H,H1429)&lt;=VLOOKUP(H1429,Dados!$X:$AB,5,0),0,1)</f>
        <v>0</v>
      </c>
    </row>
    <row r="1430" spans="6:21">
      <c r="F1430" s="4">
        <v>705</v>
      </c>
      <c r="G1430" s="4">
        <v>65</v>
      </c>
      <c r="H1430" s="4">
        <v>3</v>
      </c>
      <c r="I1430" s="4">
        <v>29</v>
      </c>
      <c r="J1430" s="4">
        <v>1</v>
      </c>
      <c r="K1430" s="4">
        <f t="shared" si="267"/>
        <v>0</v>
      </c>
      <c r="L1430" s="4">
        <f t="shared" si="267"/>
        <v>0</v>
      </c>
      <c r="M1430" s="4">
        <f t="shared" si="267"/>
        <v>0</v>
      </c>
      <c r="N1430" s="4">
        <f t="shared" si="267"/>
        <v>0</v>
      </c>
      <c r="O1430" s="4">
        <f t="shared" si="268"/>
        <v>0</v>
      </c>
      <c r="P1430" s="4">
        <f t="shared" si="269"/>
        <v>0</v>
      </c>
      <c r="Q1430" s="4">
        <f t="shared" si="270"/>
        <v>0</v>
      </c>
      <c r="R1430" s="4">
        <f t="shared" si="271"/>
        <v>0</v>
      </c>
      <c r="S1430" s="4">
        <f>IF(AND(VLOOKUP(G1430,Dados!$D:$L,2,0)=VLOOKUP(I1430,Dados!$S:$V,2,0),VLOOKUP(G1430,Dados!$D:$L,3,0)=VLOOKUP(I1430,Dados!$S:$V,3,0)),0,1)</f>
        <v>0</v>
      </c>
      <c r="T1430" s="4">
        <f>IF(AND(VLOOKUP(G1430,Dados!$D:$L,3,0)&lt;=VLOOKUP(H1430,Dados!$X:$AB,2,0),VLOOKUP(G1430,Dados!$D:$L,4,0)&gt;=VLOOKUP(H1430,Dados!$X:$AB,3,0),VLOOKUP(G1430,Dados!$D:$L,4,0)&lt;=VLOOKUP(H1430,Dados!$X:$AB,4,0)),0,1)</f>
        <v>0</v>
      </c>
      <c r="U1430" s="4">
        <f>IF(COUNTIFS(F:F,F1430,H:H,H1430)&lt;=VLOOKUP(H1430,Dados!$X:$AB,5,0),0,1)</f>
        <v>0</v>
      </c>
    </row>
    <row r="1431" spans="6:21">
      <c r="F1431" s="4">
        <v>706</v>
      </c>
      <c r="G1431" s="4">
        <v>1</v>
      </c>
      <c r="H1431" s="4">
        <v>1</v>
      </c>
      <c r="I1431" s="4">
        <v>1</v>
      </c>
      <c r="J1431" s="4">
        <v>4</v>
      </c>
      <c r="K1431" s="4">
        <f t="shared" si="267"/>
        <v>0</v>
      </c>
      <c r="L1431" s="4">
        <f t="shared" si="267"/>
        <v>0</v>
      </c>
      <c r="M1431" s="4">
        <f t="shared" si="267"/>
        <v>0</v>
      </c>
      <c r="N1431" s="4">
        <f t="shared" si="267"/>
        <v>0</v>
      </c>
      <c r="O1431" s="4">
        <f t="shared" si="268"/>
        <v>0</v>
      </c>
      <c r="P1431" s="4">
        <f t="shared" si="269"/>
        <v>0</v>
      </c>
      <c r="Q1431" s="4">
        <f t="shared" si="270"/>
        <v>0</v>
      </c>
      <c r="R1431" s="4">
        <f t="shared" si="271"/>
        <v>0</v>
      </c>
      <c r="S1431" s="4">
        <f>IF(AND(VLOOKUP(G1431,Dados!$D:$L,2,0)=VLOOKUP(I1431,Dados!$S:$V,2,0),VLOOKUP(G1431,Dados!$D:$L,3,0)=VLOOKUP(I1431,Dados!$S:$V,3,0)),0,1)</f>
        <v>0</v>
      </c>
      <c r="T1431" s="4">
        <f>IF(AND(VLOOKUP(G1431,Dados!$D:$L,3,0)&lt;=VLOOKUP(H1431,Dados!$X:$AB,2,0),VLOOKUP(G1431,Dados!$D:$L,4,0)&gt;=VLOOKUP(H1431,Dados!$X:$AB,3,0),VLOOKUP(G1431,Dados!$D:$L,4,0)&lt;=VLOOKUP(H1431,Dados!$X:$AB,4,0)),0,1)</f>
        <v>0</v>
      </c>
      <c r="U1431" s="4">
        <f>IF(COUNTIFS(F:F,F1431,H:H,H1431)&lt;=VLOOKUP(H1431,Dados!$X:$AB,5,0),0,1)</f>
        <v>0</v>
      </c>
    </row>
    <row r="1432" spans="6:21">
      <c r="F1432" s="4">
        <v>706</v>
      </c>
      <c r="G1432" s="4">
        <v>4</v>
      </c>
      <c r="H1432" s="4">
        <v>1</v>
      </c>
      <c r="I1432" s="4">
        <v>1</v>
      </c>
      <c r="J1432" s="4">
        <v>1</v>
      </c>
      <c r="K1432" s="4">
        <f t="shared" si="267"/>
        <v>0</v>
      </c>
      <c r="L1432" s="4">
        <f t="shared" si="267"/>
        <v>0</v>
      </c>
      <c r="M1432" s="4">
        <f t="shared" si="267"/>
        <v>0</v>
      </c>
      <c r="N1432" s="4">
        <f t="shared" si="267"/>
        <v>0</v>
      </c>
      <c r="O1432" s="4">
        <f t="shared" si="268"/>
        <v>0</v>
      </c>
      <c r="P1432" s="4">
        <f t="shared" si="269"/>
        <v>0</v>
      </c>
      <c r="Q1432" s="4">
        <f t="shared" si="270"/>
        <v>0</v>
      </c>
      <c r="R1432" s="4">
        <f t="shared" si="271"/>
        <v>0</v>
      </c>
      <c r="S1432" s="4">
        <f>IF(AND(VLOOKUP(G1432,Dados!$D:$L,2,0)=VLOOKUP(I1432,Dados!$S:$V,2,0),VLOOKUP(G1432,Dados!$D:$L,3,0)=VLOOKUP(I1432,Dados!$S:$V,3,0)),0,1)</f>
        <v>0</v>
      </c>
      <c r="T1432" s="4">
        <f>IF(AND(VLOOKUP(G1432,Dados!$D:$L,3,0)&lt;=VLOOKUP(H1432,Dados!$X:$AB,2,0),VLOOKUP(G1432,Dados!$D:$L,4,0)&gt;=VLOOKUP(H1432,Dados!$X:$AB,3,0),VLOOKUP(G1432,Dados!$D:$L,4,0)&lt;=VLOOKUP(H1432,Dados!$X:$AB,4,0)),0,1)</f>
        <v>0</v>
      </c>
      <c r="U1432" s="4">
        <f>IF(COUNTIFS(F:F,F1432,H:H,H1432)&lt;=VLOOKUP(H1432,Dados!$X:$AB,5,0),0,1)</f>
        <v>0</v>
      </c>
    </row>
    <row r="1433" spans="6:21">
      <c r="F1433" s="4">
        <v>706</v>
      </c>
      <c r="G1433" s="4">
        <v>5</v>
      </c>
      <c r="H1433" s="4">
        <v>1</v>
      </c>
      <c r="I1433" s="4">
        <v>1</v>
      </c>
      <c r="J1433" s="4">
        <v>1</v>
      </c>
      <c r="K1433" s="4">
        <f t="shared" si="267"/>
        <v>0</v>
      </c>
      <c r="L1433" s="4">
        <f t="shared" si="267"/>
        <v>0</v>
      </c>
      <c r="M1433" s="4">
        <f t="shared" si="267"/>
        <v>0</v>
      </c>
      <c r="N1433" s="4">
        <f t="shared" si="267"/>
        <v>0</v>
      </c>
      <c r="O1433" s="4">
        <f t="shared" si="268"/>
        <v>0</v>
      </c>
      <c r="P1433" s="4">
        <f t="shared" si="269"/>
        <v>0</v>
      </c>
      <c r="Q1433" s="4">
        <f t="shared" si="270"/>
        <v>0</v>
      </c>
      <c r="R1433" s="4">
        <f t="shared" si="271"/>
        <v>0</v>
      </c>
      <c r="S1433" s="4">
        <f>IF(AND(VLOOKUP(G1433,Dados!$D:$L,2,0)=VLOOKUP(I1433,Dados!$S:$V,2,0),VLOOKUP(G1433,Dados!$D:$L,3,0)=VLOOKUP(I1433,Dados!$S:$V,3,0)),0,1)</f>
        <v>0</v>
      </c>
      <c r="T1433" s="4">
        <f>IF(AND(VLOOKUP(G1433,Dados!$D:$L,3,0)&lt;=VLOOKUP(H1433,Dados!$X:$AB,2,0),VLOOKUP(G1433,Dados!$D:$L,4,0)&gt;=VLOOKUP(H1433,Dados!$X:$AB,3,0),VLOOKUP(G1433,Dados!$D:$L,4,0)&lt;=VLOOKUP(H1433,Dados!$X:$AB,4,0)),0,1)</f>
        <v>0</v>
      </c>
      <c r="U1433" s="4">
        <f>IF(COUNTIFS(F:F,F1433,H:H,H1433)&lt;=VLOOKUP(H1433,Dados!$X:$AB,5,0),0,1)</f>
        <v>0</v>
      </c>
    </row>
    <row r="1434" spans="6:21">
      <c r="F1434" s="4">
        <v>707</v>
      </c>
      <c r="G1434" s="4">
        <v>1</v>
      </c>
      <c r="H1434" s="4">
        <v>2</v>
      </c>
      <c r="I1434" s="4">
        <v>1</v>
      </c>
      <c r="J1434" s="4">
        <v>4</v>
      </c>
      <c r="K1434" s="4">
        <f t="shared" si="267"/>
        <v>0</v>
      </c>
      <c r="L1434" s="4">
        <f t="shared" si="267"/>
        <v>0</v>
      </c>
      <c r="M1434" s="4">
        <f t="shared" si="267"/>
        <v>23</v>
      </c>
      <c r="N1434" s="4">
        <f t="shared" si="267"/>
        <v>1</v>
      </c>
      <c r="O1434" s="4">
        <f t="shared" si="268"/>
        <v>0</v>
      </c>
      <c r="P1434" s="4">
        <f t="shared" si="269"/>
        <v>0</v>
      </c>
      <c r="Q1434" s="4">
        <f t="shared" si="270"/>
        <v>92</v>
      </c>
      <c r="R1434" s="4">
        <f t="shared" si="271"/>
        <v>4</v>
      </c>
      <c r="S1434" s="4">
        <f>IF(AND(VLOOKUP(G1434,Dados!$D:$L,2,0)=VLOOKUP(I1434,Dados!$S:$V,2,0),VLOOKUP(G1434,Dados!$D:$L,3,0)=VLOOKUP(I1434,Dados!$S:$V,3,0)),0,1)</f>
        <v>0</v>
      </c>
      <c r="T1434" s="4">
        <f>IF(AND(VLOOKUP(G1434,Dados!$D:$L,3,0)&lt;=VLOOKUP(H1434,Dados!$X:$AB,2,0),VLOOKUP(G1434,Dados!$D:$L,4,0)&gt;=VLOOKUP(H1434,Dados!$X:$AB,3,0),VLOOKUP(G1434,Dados!$D:$L,4,0)&lt;=VLOOKUP(H1434,Dados!$X:$AB,4,0)),0,1)</f>
        <v>0</v>
      </c>
      <c r="U1434" s="4">
        <f>IF(COUNTIFS(F:F,F1434,H:H,H1434)&lt;=VLOOKUP(H1434,Dados!$X:$AB,5,0),0,1)</f>
        <v>0</v>
      </c>
    </row>
    <row r="1435" spans="6:21">
      <c r="F1435" s="4">
        <v>707</v>
      </c>
      <c r="G1435" s="4">
        <v>4</v>
      </c>
      <c r="H1435" s="4">
        <v>2</v>
      </c>
      <c r="I1435" s="4">
        <v>1</v>
      </c>
      <c r="J1435" s="4">
        <v>1</v>
      </c>
      <c r="K1435" s="4">
        <f t="shared" si="267"/>
        <v>0</v>
      </c>
      <c r="L1435" s="4">
        <f t="shared" si="267"/>
        <v>0</v>
      </c>
      <c r="M1435" s="4">
        <f t="shared" si="267"/>
        <v>23</v>
      </c>
      <c r="N1435" s="4">
        <f t="shared" si="267"/>
        <v>1</v>
      </c>
      <c r="O1435" s="4">
        <f t="shared" si="268"/>
        <v>0</v>
      </c>
      <c r="P1435" s="4">
        <f t="shared" si="269"/>
        <v>0</v>
      </c>
      <c r="Q1435" s="4">
        <f t="shared" si="270"/>
        <v>23</v>
      </c>
      <c r="R1435" s="4">
        <f t="shared" si="271"/>
        <v>1</v>
      </c>
      <c r="S1435" s="4">
        <f>IF(AND(VLOOKUP(G1435,Dados!$D:$L,2,0)=VLOOKUP(I1435,Dados!$S:$V,2,0),VLOOKUP(G1435,Dados!$D:$L,3,0)=VLOOKUP(I1435,Dados!$S:$V,3,0)),0,1)</f>
        <v>0</v>
      </c>
      <c r="T1435" s="4">
        <f>IF(AND(VLOOKUP(G1435,Dados!$D:$L,3,0)&lt;=VLOOKUP(H1435,Dados!$X:$AB,2,0),VLOOKUP(G1435,Dados!$D:$L,4,0)&gt;=VLOOKUP(H1435,Dados!$X:$AB,3,0),VLOOKUP(G1435,Dados!$D:$L,4,0)&lt;=VLOOKUP(H1435,Dados!$X:$AB,4,0)),0,1)</f>
        <v>0</v>
      </c>
      <c r="U1435" s="4">
        <f>IF(COUNTIFS(F:F,F1435,H:H,H1435)&lt;=VLOOKUP(H1435,Dados!$X:$AB,5,0),0,1)</f>
        <v>0</v>
      </c>
    </row>
    <row r="1436" spans="6:21">
      <c r="F1436" s="4">
        <v>707</v>
      </c>
      <c r="G1436" s="4">
        <v>5</v>
      </c>
      <c r="H1436" s="4">
        <v>2</v>
      </c>
      <c r="I1436" s="4">
        <v>1</v>
      </c>
      <c r="J1436" s="4">
        <v>1</v>
      </c>
      <c r="K1436" s="4">
        <f t="shared" si="267"/>
        <v>0</v>
      </c>
      <c r="L1436" s="4">
        <f t="shared" si="267"/>
        <v>0</v>
      </c>
      <c r="M1436" s="4">
        <f t="shared" si="267"/>
        <v>23</v>
      </c>
      <c r="N1436" s="4">
        <f t="shared" si="267"/>
        <v>1</v>
      </c>
      <c r="O1436" s="4">
        <f t="shared" si="268"/>
        <v>0</v>
      </c>
      <c r="P1436" s="4">
        <f t="shared" si="269"/>
        <v>0</v>
      </c>
      <c r="Q1436" s="4">
        <f t="shared" si="270"/>
        <v>23</v>
      </c>
      <c r="R1436" s="4">
        <f t="shared" si="271"/>
        <v>1</v>
      </c>
      <c r="S1436" s="4">
        <f>IF(AND(VLOOKUP(G1436,Dados!$D:$L,2,0)=VLOOKUP(I1436,Dados!$S:$V,2,0),VLOOKUP(G1436,Dados!$D:$L,3,0)=VLOOKUP(I1436,Dados!$S:$V,3,0)),0,1)</f>
        <v>0</v>
      </c>
      <c r="T1436" s="4">
        <f>IF(AND(VLOOKUP(G1436,Dados!$D:$L,3,0)&lt;=VLOOKUP(H1436,Dados!$X:$AB,2,0),VLOOKUP(G1436,Dados!$D:$L,4,0)&gt;=VLOOKUP(H1436,Dados!$X:$AB,3,0),VLOOKUP(G1436,Dados!$D:$L,4,0)&lt;=VLOOKUP(H1436,Dados!$X:$AB,4,0)),0,1)</f>
        <v>0</v>
      </c>
      <c r="U1436" s="4">
        <f>IF(COUNTIFS(F:F,F1436,H:H,H1436)&lt;=VLOOKUP(H1436,Dados!$X:$AB,5,0),0,1)</f>
        <v>0</v>
      </c>
    </row>
    <row r="1437" spans="6:21">
      <c r="F1437" s="4">
        <v>708</v>
      </c>
      <c r="G1437" s="4">
        <v>1</v>
      </c>
      <c r="H1437" s="4">
        <v>3</v>
      </c>
      <c r="I1437" s="4">
        <v>1</v>
      </c>
      <c r="J1437" s="4">
        <v>4</v>
      </c>
      <c r="K1437" s="4">
        <f t="shared" si="267"/>
        <v>0</v>
      </c>
      <c r="L1437" s="4">
        <f t="shared" si="267"/>
        <v>0</v>
      </c>
      <c r="M1437" s="4">
        <f t="shared" si="267"/>
        <v>0</v>
      </c>
      <c r="N1437" s="4">
        <f t="shared" si="267"/>
        <v>0</v>
      </c>
      <c r="O1437" s="4">
        <f t="shared" si="268"/>
        <v>0</v>
      </c>
      <c r="P1437" s="4">
        <f t="shared" si="269"/>
        <v>0</v>
      </c>
      <c r="Q1437" s="4">
        <f t="shared" si="270"/>
        <v>0</v>
      </c>
      <c r="R1437" s="4">
        <f t="shared" si="271"/>
        <v>0</v>
      </c>
      <c r="S1437" s="4">
        <f>IF(AND(VLOOKUP(G1437,Dados!$D:$L,2,0)=VLOOKUP(I1437,Dados!$S:$V,2,0),VLOOKUP(G1437,Dados!$D:$L,3,0)=VLOOKUP(I1437,Dados!$S:$V,3,0)),0,1)</f>
        <v>0</v>
      </c>
      <c r="T1437" s="4">
        <f>IF(AND(VLOOKUP(G1437,Dados!$D:$L,3,0)&lt;=VLOOKUP(H1437,Dados!$X:$AB,2,0),VLOOKUP(G1437,Dados!$D:$L,4,0)&gt;=VLOOKUP(H1437,Dados!$X:$AB,3,0),VLOOKUP(G1437,Dados!$D:$L,4,0)&lt;=VLOOKUP(H1437,Dados!$X:$AB,4,0)),0,1)</f>
        <v>0</v>
      </c>
      <c r="U1437" s="4">
        <f>IF(COUNTIFS(F:F,F1437,H:H,H1437)&lt;=VLOOKUP(H1437,Dados!$X:$AB,5,0),0,1)</f>
        <v>0</v>
      </c>
    </row>
    <row r="1438" spans="6:21">
      <c r="F1438" s="4">
        <v>708</v>
      </c>
      <c r="G1438" s="4">
        <v>4</v>
      </c>
      <c r="H1438" s="4">
        <v>3</v>
      </c>
      <c r="I1438" s="4">
        <v>1</v>
      </c>
      <c r="J1438" s="4">
        <v>1</v>
      </c>
      <c r="K1438" s="4">
        <f t="shared" si="267"/>
        <v>0</v>
      </c>
      <c r="L1438" s="4">
        <f t="shared" si="267"/>
        <v>0</v>
      </c>
      <c r="M1438" s="4">
        <f t="shared" si="267"/>
        <v>0</v>
      </c>
      <c r="N1438" s="4">
        <f t="shared" si="267"/>
        <v>0</v>
      </c>
      <c r="O1438" s="4">
        <f t="shared" si="268"/>
        <v>0</v>
      </c>
      <c r="P1438" s="4">
        <f t="shared" si="269"/>
        <v>0</v>
      </c>
      <c r="Q1438" s="4">
        <f t="shared" si="270"/>
        <v>0</v>
      </c>
      <c r="R1438" s="4">
        <f t="shared" si="271"/>
        <v>0</v>
      </c>
      <c r="S1438" s="4">
        <f>IF(AND(VLOOKUP(G1438,Dados!$D:$L,2,0)=VLOOKUP(I1438,Dados!$S:$V,2,0),VLOOKUP(G1438,Dados!$D:$L,3,0)=VLOOKUP(I1438,Dados!$S:$V,3,0)),0,1)</f>
        <v>0</v>
      </c>
      <c r="T1438" s="4">
        <f>IF(AND(VLOOKUP(G1438,Dados!$D:$L,3,0)&lt;=VLOOKUP(H1438,Dados!$X:$AB,2,0),VLOOKUP(G1438,Dados!$D:$L,4,0)&gt;=VLOOKUP(H1438,Dados!$X:$AB,3,0),VLOOKUP(G1438,Dados!$D:$L,4,0)&lt;=VLOOKUP(H1438,Dados!$X:$AB,4,0)),0,1)</f>
        <v>0</v>
      </c>
      <c r="U1438" s="4">
        <f>IF(COUNTIFS(F:F,F1438,H:H,H1438)&lt;=VLOOKUP(H1438,Dados!$X:$AB,5,0),0,1)</f>
        <v>0</v>
      </c>
    </row>
    <row r="1439" spans="6:21">
      <c r="F1439" s="4">
        <v>708</v>
      </c>
      <c r="G1439" s="4">
        <v>5</v>
      </c>
      <c r="H1439" s="4">
        <v>3</v>
      </c>
      <c r="I1439" s="4">
        <v>1</v>
      </c>
      <c r="J1439" s="4">
        <v>1</v>
      </c>
      <c r="K1439" s="4">
        <f t="shared" si="267"/>
        <v>0</v>
      </c>
      <c r="L1439" s="4">
        <f t="shared" si="267"/>
        <v>0</v>
      </c>
      <c r="M1439" s="4">
        <f t="shared" si="267"/>
        <v>0</v>
      </c>
      <c r="N1439" s="4">
        <f t="shared" si="267"/>
        <v>0</v>
      </c>
      <c r="O1439" s="4">
        <f t="shared" si="268"/>
        <v>0</v>
      </c>
      <c r="P1439" s="4">
        <f t="shared" si="269"/>
        <v>0</v>
      </c>
      <c r="Q1439" s="4">
        <f t="shared" si="270"/>
        <v>0</v>
      </c>
      <c r="R1439" s="4">
        <f t="shared" si="271"/>
        <v>0</v>
      </c>
      <c r="S1439" s="4">
        <f>IF(AND(VLOOKUP(G1439,Dados!$D:$L,2,0)=VLOOKUP(I1439,Dados!$S:$V,2,0),VLOOKUP(G1439,Dados!$D:$L,3,0)=VLOOKUP(I1439,Dados!$S:$V,3,0)),0,1)</f>
        <v>0</v>
      </c>
      <c r="T1439" s="4">
        <f>IF(AND(VLOOKUP(G1439,Dados!$D:$L,3,0)&lt;=VLOOKUP(H1439,Dados!$X:$AB,2,0),VLOOKUP(G1439,Dados!$D:$L,4,0)&gt;=VLOOKUP(H1439,Dados!$X:$AB,3,0),VLOOKUP(G1439,Dados!$D:$L,4,0)&lt;=VLOOKUP(H1439,Dados!$X:$AB,4,0)),0,1)</f>
        <v>0</v>
      </c>
      <c r="U1439" s="4">
        <f>IF(COUNTIFS(F:F,F1439,H:H,H1439)&lt;=VLOOKUP(H1439,Dados!$X:$AB,5,0),0,1)</f>
        <v>0</v>
      </c>
    </row>
    <row r="1440" spans="6:21">
      <c r="F1440" s="4">
        <v>709</v>
      </c>
      <c r="G1440" s="4">
        <v>7</v>
      </c>
      <c r="H1440" s="4">
        <v>1</v>
      </c>
      <c r="I1440" s="4">
        <v>2</v>
      </c>
      <c r="J1440" s="4">
        <v>5</v>
      </c>
      <c r="K1440" s="4">
        <f t="shared" si="267"/>
        <v>0</v>
      </c>
      <c r="L1440" s="4">
        <f t="shared" si="267"/>
        <v>0</v>
      </c>
      <c r="M1440" s="4">
        <f t="shared" si="267"/>
        <v>0</v>
      </c>
      <c r="N1440" s="4">
        <f t="shared" si="267"/>
        <v>0</v>
      </c>
      <c r="O1440" s="4">
        <f t="shared" si="268"/>
        <v>0</v>
      </c>
      <c r="P1440" s="4">
        <f t="shared" si="269"/>
        <v>0</v>
      </c>
      <c r="Q1440" s="4">
        <f t="shared" si="270"/>
        <v>0</v>
      </c>
      <c r="R1440" s="4">
        <f t="shared" si="271"/>
        <v>0</v>
      </c>
      <c r="S1440" s="4">
        <f>IF(AND(VLOOKUP(G1440,Dados!$D:$L,2,0)=VLOOKUP(I1440,Dados!$S:$V,2,0),VLOOKUP(G1440,Dados!$D:$L,3,0)=VLOOKUP(I1440,Dados!$S:$V,3,0)),0,1)</f>
        <v>0</v>
      </c>
      <c r="T1440" s="4">
        <f>IF(AND(VLOOKUP(G1440,Dados!$D:$L,3,0)&lt;=VLOOKUP(H1440,Dados!$X:$AB,2,0),VLOOKUP(G1440,Dados!$D:$L,4,0)&gt;=VLOOKUP(H1440,Dados!$X:$AB,3,0),VLOOKUP(G1440,Dados!$D:$L,4,0)&lt;=VLOOKUP(H1440,Dados!$X:$AB,4,0)),0,1)</f>
        <v>0</v>
      </c>
      <c r="U1440" s="4">
        <f>IF(COUNTIFS(F:F,F1440,H:H,H1440)&lt;=VLOOKUP(H1440,Dados!$X:$AB,5,0),0,1)</f>
        <v>0</v>
      </c>
    </row>
    <row r="1441" spans="6:21">
      <c r="F1441" s="4">
        <v>709</v>
      </c>
      <c r="G1441" s="4">
        <v>8</v>
      </c>
      <c r="H1441" s="4">
        <v>1</v>
      </c>
      <c r="I1441" s="4">
        <v>2</v>
      </c>
      <c r="J1441" s="4">
        <v>2</v>
      </c>
      <c r="K1441" s="4">
        <f t="shared" si="267"/>
        <v>0</v>
      </c>
      <c r="L1441" s="4">
        <f t="shared" si="267"/>
        <v>0</v>
      </c>
      <c r="M1441" s="4">
        <f t="shared" si="267"/>
        <v>0</v>
      </c>
      <c r="N1441" s="4">
        <f t="shared" si="267"/>
        <v>0</v>
      </c>
      <c r="O1441" s="4">
        <f t="shared" si="268"/>
        <v>0</v>
      </c>
      <c r="P1441" s="4">
        <f t="shared" si="269"/>
        <v>0</v>
      </c>
      <c r="Q1441" s="4">
        <f t="shared" si="270"/>
        <v>0</v>
      </c>
      <c r="R1441" s="4">
        <f t="shared" si="271"/>
        <v>0</v>
      </c>
      <c r="S1441" s="4">
        <f>IF(AND(VLOOKUP(G1441,Dados!$D:$L,2,0)=VLOOKUP(I1441,Dados!$S:$V,2,0),VLOOKUP(G1441,Dados!$D:$L,3,0)=VLOOKUP(I1441,Dados!$S:$V,3,0)),0,1)</f>
        <v>0</v>
      </c>
      <c r="T1441" s="4">
        <f>IF(AND(VLOOKUP(G1441,Dados!$D:$L,3,0)&lt;=VLOOKUP(H1441,Dados!$X:$AB,2,0),VLOOKUP(G1441,Dados!$D:$L,4,0)&gt;=VLOOKUP(H1441,Dados!$X:$AB,3,0),VLOOKUP(G1441,Dados!$D:$L,4,0)&lt;=VLOOKUP(H1441,Dados!$X:$AB,4,0)),0,1)</f>
        <v>0</v>
      </c>
      <c r="U1441" s="4">
        <f>IF(COUNTIFS(F:F,F1441,H:H,H1441)&lt;=VLOOKUP(H1441,Dados!$X:$AB,5,0),0,1)</f>
        <v>0</v>
      </c>
    </row>
    <row r="1442" spans="6:21">
      <c r="F1442" s="4">
        <v>710</v>
      </c>
      <c r="G1442" s="4">
        <v>12</v>
      </c>
      <c r="H1442" s="4">
        <v>1</v>
      </c>
      <c r="I1442" s="4">
        <v>8</v>
      </c>
      <c r="J1442" s="4">
        <v>6</v>
      </c>
      <c r="K1442" s="4">
        <f t="shared" si="267"/>
        <v>0</v>
      </c>
      <c r="L1442" s="4">
        <f t="shared" si="267"/>
        <v>0</v>
      </c>
      <c r="M1442" s="4">
        <f t="shared" si="267"/>
        <v>0</v>
      </c>
      <c r="N1442" s="4">
        <f t="shared" si="267"/>
        <v>0</v>
      </c>
      <c r="O1442" s="4">
        <f t="shared" si="268"/>
        <v>0</v>
      </c>
      <c r="P1442" s="4">
        <f t="shared" si="269"/>
        <v>0</v>
      </c>
      <c r="Q1442" s="4">
        <f t="shared" si="270"/>
        <v>0</v>
      </c>
      <c r="R1442" s="4">
        <f t="shared" si="271"/>
        <v>0</v>
      </c>
      <c r="S1442" s="4">
        <f>IF(AND(VLOOKUP(G1442,Dados!$D:$L,2,0)=VLOOKUP(I1442,Dados!$S:$V,2,0),VLOOKUP(G1442,Dados!$D:$L,3,0)=VLOOKUP(I1442,Dados!$S:$V,3,0)),0,1)</f>
        <v>0</v>
      </c>
      <c r="T1442" s="4">
        <f>IF(AND(VLOOKUP(G1442,Dados!$D:$L,3,0)&lt;=VLOOKUP(H1442,Dados!$X:$AB,2,0),VLOOKUP(G1442,Dados!$D:$L,4,0)&gt;=VLOOKUP(H1442,Dados!$X:$AB,3,0),VLOOKUP(G1442,Dados!$D:$L,4,0)&lt;=VLOOKUP(H1442,Dados!$X:$AB,4,0)),0,1)</f>
        <v>0</v>
      </c>
      <c r="U1442" s="4">
        <f>IF(COUNTIFS(F:F,F1442,H:H,H1442)&lt;=VLOOKUP(H1442,Dados!$X:$AB,5,0),0,1)</f>
        <v>0</v>
      </c>
    </row>
    <row r="1443" spans="6:21">
      <c r="F1443" s="4">
        <v>710</v>
      </c>
      <c r="G1443" s="4">
        <v>14</v>
      </c>
      <c r="H1443" s="4">
        <v>1</v>
      </c>
      <c r="I1443" s="4">
        <v>8</v>
      </c>
      <c r="J1443" s="4">
        <v>2</v>
      </c>
      <c r="K1443" s="4">
        <f t="shared" si="267"/>
        <v>0</v>
      </c>
      <c r="L1443" s="4">
        <f t="shared" si="267"/>
        <v>0</v>
      </c>
      <c r="M1443" s="4">
        <f t="shared" si="267"/>
        <v>0</v>
      </c>
      <c r="N1443" s="4">
        <f t="shared" si="267"/>
        <v>0</v>
      </c>
      <c r="O1443" s="4">
        <f t="shared" si="268"/>
        <v>0</v>
      </c>
      <c r="P1443" s="4">
        <f t="shared" si="269"/>
        <v>0</v>
      </c>
      <c r="Q1443" s="4">
        <f t="shared" si="270"/>
        <v>0</v>
      </c>
      <c r="R1443" s="4">
        <f t="shared" si="271"/>
        <v>0</v>
      </c>
      <c r="S1443" s="4">
        <f>IF(AND(VLOOKUP(G1443,Dados!$D:$L,2,0)=VLOOKUP(I1443,Dados!$S:$V,2,0),VLOOKUP(G1443,Dados!$D:$L,3,0)=VLOOKUP(I1443,Dados!$S:$V,3,0)),0,1)</f>
        <v>0</v>
      </c>
      <c r="T1443" s="4">
        <f>IF(AND(VLOOKUP(G1443,Dados!$D:$L,3,0)&lt;=VLOOKUP(H1443,Dados!$X:$AB,2,0),VLOOKUP(G1443,Dados!$D:$L,4,0)&gt;=VLOOKUP(H1443,Dados!$X:$AB,3,0),VLOOKUP(G1443,Dados!$D:$L,4,0)&lt;=VLOOKUP(H1443,Dados!$X:$AB,4,0)),0,1)</f>
        <v>0</v>
      </c>
      <c r="U1443" s="4">
        <f>IF(COUNTIFS(F:F,F1443,H:H,H1443)&lt;=VLOOKUP(H1443,Dados!$X:$AB,5,0),0,1)</f>
        <v>0</v>
      </c>
    </row>
    <row r="1444" spans="6:21">
      <c r="F1444" s="4">
        <v>710</v>
      </c>
      <c r="G1444" s="4">
        <v>17</v>
      </c>
      <c r="H1444" s="4">
        <v>1</v>
      </c>
      <c r="I1444" s="4">
        <v>8</v>
      </c>
      <c r="J1444" s="4">
        <v>4</v>
      </c>
      <c r="K1444" s="4">
        <f t="shared" si="267"/>
        <v>0</v>
      </c>
      <c r="L1444" s="4">
        <f t="shared" si="267"/>
        <v>0</v>
      </c>
      <c r="M1444" s="4">
        <f t="shared" si="267"/>
        <v>0</v>
      </c>
      <c r="N1444" s="4">
        <f t="shared" ref="K1444:N1507" si="272">SUMIFS($X:$X,$W:$W,$F1444,$Z:$Z,$I1444,$AA:$AA,$H1444,$AB:$AB,N$2)</f>
        <v>0</v>
      </c>
      <c r="O1444" s="4">
        <f t="shared" si="268"/>
        <v>0</v>
      </c>
      <c r="P1444" s="4">
        <f t="shared" si="269"/>
        <v>0</v>
      </c>
      <c r="Q1444" s="4">
        <f t="shared" si="270"/>
        <v>0</v>
      </c>
      <c r="R1444" s="4">
        <f t="shared" si="271"/>
        <v>0</v>
      </c>
      <c r="S1444" s="4">
        <f>IF(AND(VLOOKUP(G1444,Dados!$D:$L,2,0)=VLOOKUP(I1444,Dados!$S:$V,2,0),VLOOKUP(G1444,Dados!$D:$L,3,0)=VLOOKUP(I1444,Dados!$S:$V,3,0)),0,1)</f>
        <v>0</v>
      </c>
      <c r="T1444" s="4">
        <f>IF(AND(VLOOKUP(G1444,Dados!$D:$L,3,0)&lt;=VLOOKUP(H1444,Dados!$X:$AB,2,0),VLOOKUP(G1444,Dados!$D:$L,4,0)&gt;=VLOOKUP(H1444,Dados!$X:$AB,3,0),VLOOKUP(G1444,Dados!$D:$L,4,0)&lt;=VLOOKUP(H1444,Dados!$X:$AB,4,0)),0,1)</f>
        <v>0</v>
      </c>
      <c r="U1444" s="4">
        <f>IF(COUNTIFS(F:F,F1444,H:H,H1444)&lt;=VLOOKUP(H1444,Dados!$X:$AB,5,0),0,1)</f>
        <v>0</v>
      </c>
    </row>
    <row r="1445" spans="6:21">
      <c r="F1445" s="4">
        <v>711</v>
      </c>
      <c r="G1445" s="4">
        <v>12</v>
      </c>
      <c r="H1445" s="4">
        <v>3</v>
      </c>
      <c r="I1445" s="4">
        <v>8</v>
      </c>
      <c r="J1445" s="4">
        <v>6</v>
      </c>
      <c r="K1445" s="4">
        <f t="shared" si="272"/>
        <v>0</v>
      </c>
      <c r="L1445" s="4">
        <f t="shared" si="272"/>
        <v>0</v>
      </c>
      <c r="M1445" s="4">
        <f t="shared" si="272"/>
        <v>0</v>
      </c>
      <c r="N1445" s="4">
        <f t="shared" si="272"/>
        <v>0</v>
      </c>
      <c r="O1445" s="4">
        <f t="shared" si="268"/>
        <v>0</v>
      </c>
      <c r="P1445" s="4">
        <f t="shared" si="269"/>
        <v>0</v>
      </c>
      <c r="Q1445" s="4">
        <f t="shared" si="270"/>
        <v>0</v>
      </c>
      <c r="R1445" s="4">
        <f t="shared" si="271"/>
        <v>0</v>
      </c>
      <c r="S1445" s="4">
        <f>IF(AND(VLOOKUP(G1445,Dados!$D:$L,2,0)=VLOOKUP(I1445,Dados!$S:$V,2,0),VLOOKUP(G1445,Dados!$D:$L,3,0)=VLOOKUP(I1445,Dados!$S:$V,3,0)),0,1)</f>
        <v>0</v>
      </c>
      <c r="T1445" s="4">
        <f>IF(AND(VLOOKUP(G1445,Dados!$D:$L,3,0)&lt;=VLOOKUP(H1445,Dados!$X:$AB,2,0),VLOOKUP(G1445,Dados!$D:$L,4,0)&gt;=VLOOKUP(H1445,Dados!$X:$AB,3,0),VLOOKUP(G1445,Dados!$D:$L,4,0)&lt;=VLOOKUP(H1445,Dados!$X:$AB,4,0)),0,1)</f>
        <v>0</v>
      </c>
      <c r="U1445" s="4">
        <f>IF(COUNTIFS(F:F,F1445,H:H,H1445)&lt;=VLOOKUP(H1445,Dados!$X:$AB,5,0),0,1)</f>
        <v>0</v>
      </c>
    </row>
    <row r="1446" spans="6:21">
      <c r="F1446" s="4">
        <v>711</v>
      </c>
      <c r="G1446" s="4">
        <v>14</v>
      </c>
      <c r="H1446" s="4">
        <v>3</v>
      </c>
      <c r="I1446" s="4">
        <v>8</v>
      </c>
      <c r="J1446" s="4">
        <v>2</v>
      </c>
      <c r="K1446" s="4">
        <f t="shared" si="272"/>
        <v>0</v>
      </c>
      <c r="L1446" s="4">
        <f t="shared" si="272"/>
        <v>0</v>
      </c>
      <c r="M1446" s="4">
        <f t="shared" si="272"/>
        <v>0</v>
      </c>
      <c r="N1446" s="4">
        <f t="shared" si="272"/>
        <v>0</v>
      </c>
      <c r="O1446" s="4">
        <f t="shared" si="268"/>
        <v>0</v>
      </c>
      <c r="P1446" s="4">
        <f t="shared" si="269"/>
        <v>0</v>
      </c>
      <c r="Q1446" s="4">
        <f t="shared" si="270"/>
        <v>0</v>
      </c>
      <c r="R1446" s="4">
        <f t="shared" si="271"/>
        <v>0</v>
      </c>
      <c r="S1446" s="4">
        <f>IF(AND(VLOOKUP(G1446,Dados!$D:$L,2,0)=VLOOKUP(I1446,Dados!$S:$V,2,0),VLOOKUP(G1446,Dados!$D:$L,3,0)=VLOOKUP(I1446,Dados!$S:$V,3,0)),0,1)</f>
        <v>0</v>
      </c>
      <c r="T1446" s="4">
        <f>IF(AND(VLOOKUP(G1446,Dados!$D:$L,3,0)&lt;=VLOOKUP(H1446,Dados!$X:$AB,2,0),VLOOKUP(G1446,Dados!$D:$L,4,0)&gt;=VLOOKUP(H1446,Dados!$X:$AB,3,0),VLOOKUP(G1446,Dados!$D:$L,4,0)&lt;=VLOOKUP(H1446,Dados!$X:$AB,4,0)),0,1)</f>
        <v>0</v>
      </c>
      <c r="U1446" s="4">
        <f>IF(COUNTIFS(F:F,F1446,H:H,H1446)&lt;=VLOOKUP(H1446,Dados!$X:$AB,5,0),0,1)</f>
        <v>0</v>
      </c>
    </row>
    <row r="1447" spans="6:21">
      <c r="F1447" s="4">
        <v>711</v>
      </c>
      <c r="G1447" s="4">
        <v>17</v>
      </c>
      <c r="H1447" s="4">
        <v>3</v>
      </c>
      <c r="I1447" s="4">
        <v>8</v>
      </c>
      <c r="J1447" s="4">
        <v>4</v>
      </c>
      <c r="K1447" s="4">
        <f t="shared" si="272"/>
        <v>0</v>
      </c>
      <c r="L1447" s="4">
        <f t="shared" si="272"/>
        <v>0</v>
      </c>
      <c r="M1447" s="4">
        <f t="shared" si="272"/>
        <v>0</v>
      </c>
      <c r="N1447" s="4">
        <f t="shared" si="272"/>
        <v>0</v>
      </c>
      <c r="O1447" s="4">
        <f t="shared" ref="O1447:O1510" si="273">$J1447*K1447</f>
        <v>0</v>
      </c>
      <c r="P1447" s="4">
        <f t="shared" ref="P1447:P1510" si="274">$J1447*L1447</f>
        <v>0</v>
      </c>
      <c r="Q1447" s="4">
        <f t="shared" ref="Q1447:Q1510" si="275">$J1447*M1447</f>
        <v>0</v>
      </c>
      <c r="R1447" s="4">
        <f t="shared" ref="R1447:R1510" si="276">$J1447*N1447</f>
        <v>0</v>
      </c>
      <c r="S1447" s="4">
        <f>IF(AND(VLOOKUP(G1447,Dados!$D:$L,2,0)=VLOOKUP(I1447,Dados!$S:$V,2,0),VLOOKUP(G1447,Dados!$D:$L,3,0)=VLOOKUP(I1447,Dados!$S:$V,3,0)),0,1)</f>
        <v>0</v>
      </c>
      <c r="T1447" s="4">
        <f>IF(AND(VLOOKUP(G1447,Dados!$D:$L,3,0)&lt;=VLOOKUP(H1447,Dados!$X:$AB,2,0),VLOOKUP(G1447,Dados!$D:$L,4,0)&gt;=VLOOKUP(H1447,Dados!$X:$AB,3,0),VLOOKUP(G1447,Dados!$D:$L,4,0)&lt;=VLOOKUP(H1447,Dados!$X:$AB,4,0)),0,1)</f>
        <v>0</v>
      </c>
      <c r="U1447" s="4">
        <f>IF(COUNTIFS(F:F,F1447,H:H,H1447)&lt;=VLOOKUP(H1447,Dados!$X:$AB,5,0),0,1)</f>
        <v>0</v>
      </c>
    </row>
    <row r="1448" spans="6:21">
      <c r="F1448" s="4">
        <v>712</v>
      </c>
      <c r="G1448" s="4">
        <v>12</v>
      </c>
      <c r="H1448" s="4">
        <v>1</v>
      </c>
      <c r="I1448" s="4">
        <v>9</v>
      </c>
      <c r="J1448" s="4">
        <v>4</v>
      </c>
      <c r="K1448" s="4">
        <f t="shared" si="272"/>
        <v>0</v>
      </c>
      <c r="L1448" s="4">
        <f t="shared" si="272"/>
        <v>0</v>
      </c>
      <c r="M1448" s="4">
        <f t="shared" si="272"/>
        <v>0</v>
      </c>
      <c r="N1448" s="4">
        <f t="shared" si="272"/>
        <v>0</v>
      </c>
      <c r="O1448" s="4">
        <f t="shared" si="273"/>
        <v>0</v>
      </c>
      <c r="P1448" s="4">
        <f t="shared" si="274"/>
        <v>0</v>
      </c>
      <c r="Q1448" s="4">
        <f t="shared" si="275"/>
        <v>0</v>
      </c>
      <c r="R1448" s="4">
        <f t="shared" si="276"/>
        <v>0</v>
      </c>
      <c r="S1448" s="4">
        <f>IF(AND(VLOOKUP(G1448,Dados!$D:$L,2,0)=VLOOKUP(I1448,Dados!$S:$V,2,0),VLOOKUP(G1448,Dados!$D:$L,3,0)=VLOOKUP(I1448,Dados!$S:$V,3,0)),0,1)</f>
        <v>0</v>
      </c>
      <c r="T1448" s="4">
        <f>IF(AND(VLOOKUP(G1448,Dados!$D:$L,3,0)&lt;=VLOOKUP(H1448,Dados!$X:$AB,2,0),VLOOKUP(G1448,Dados!$D:$L,4,0)&gt;=VLOOKUP(H1448,Dados!$X:$AB,3,0),VLOOKUP(G1448,Dados!$D:$L,4,0)&lt;=VLOOKUP(H1448,Dados!$X:$AB,4,0)),0,1)</f>
        <v>0</v>
      </c>
      <c r="U1448" s="4">
        <f>IF(COUNTIFS(F:F,F1448,H:H,H1448)&lt;=VLOOKUP(H1448,Dados!$X:$AB,5,0),0,1)</f>
        <v>0</v>
      </c>
    </row>
    <row r="1449" spans="6:21">
      <c r="F1449" s="4">
        <v>712</v>
      </c>
      <c r="G1449" s="4">
        <v>14</v>
      </c>
      <c r="H1449" s="4">
        <v>1</v>
      </c>
      <c r="I1449" s="4">
        <v>9</v>
      </c>
      <c r="J1449" s="4">
        <v>1</v>
      </c>
      <c r="K1449" s="4">
        <f t="shared" si="272"/>
        <v>0</v>
      </c>
      <c r="L1449" s="4">
        <f t="shared" si="272"/>
        <v>0</v>
      </c>
      <c r="M1449" s="4">
        <f t="shared" si="272"/>
        <v>0</v>
      </c>
      <c r="N1449" s="4">
        <f t="shared" si="272"/>
        <v>0</v>
      </c>
      <c r="O1449" s="4">
        <f t="shared" si="273"/>
        <v>0</v>
      </c>
      <c r="P1449" s="4">
        <f t="shared" si="274"/>
        <v>0</v>
      </c>
      <c r="Q1449" s="4">
        <f t="shared" si="275"/>
        <v>0</v>
      </c>
      <c r="R1449" s="4">
        <f t="shared" si="276"/>
        <v>0</v>
      </c>
      <c r="S1449" s="4">
        <f>IF(AND(VLOOKUP(G1449,Dados!$D:$L,2,0)=VLOOKUP(I1449,Dados!$S:$V,2,0),VLOOKUP(G1449,Dados!$D:$L,3,0)=VLOOKUP(I1449,Dados!$S:$V,3,0)),0,1)</f>
        <v>0</v>
      </c>
      <c r="T1449" s="4">
        <f>IF(AND(VLOOKUP(G1449,Dados!$D:$L,3,0)&lt;=VLOOKUP(H1449,Dados!$X:$AB,2,0),VLOOKUP(G1449,Dados!$D:$L,4,0)&gt;=VLOOKUP(H1449,Dados!$X:$AB,3,0),VLOOKUP(G1449,Dados!$D:$L,4,0)&lt;=VLOOKUP(H1449,Dados!$X:$AB,4,0)),0,1)</f>
        <v>0</v>
      </c>
      <c r="U1449" s="4">
        <f>IF(COUNTIFS(F:F,F1449,H:H,H1449)&lt;=VLOOKUP(H1449,Dados!$X:$AB,5,0),0,1)</f>
        <v>0</v>
      </c>
    </row>
    <row r="1450" spans="6:21">
      <c r="F1450" s="4">
        <v>712</v>
      </c>
      <c r="G1450" s="4">
        <v>17</v>
      </c>
      <c r="H1450" s="4">
        <v>1</v>
      </c>
      <c r="I1450" s="4">
        <v>9</v>
      </c>
      <c r="J1450" s="4">
        <v>7</v>
      </c>
      <c r="K1450" s="4">
        <f t="shared" si="272"/>
        <v>0</v>
      </c>
      <c r="L1450" s="4">
        <f t="shared" si="272"/>
        <v>0</v>
      </c>
      <c r="M1450" s="4">
        <f t="shared" si="272"/>
        <v>0</v>
      </c>
      <c r="N1450" s="4">
        <f t="shared" si="272"/>
        <v>0</v>
      </c>
      <c r="O1450" s="4">
        <f t="shared" si="273"/>
        <v>0</v>
      </c>
      <c r="P1450" s="4">
        <f t="shared" si="274"/>
        <v>0</v>
      </c>
      <c r="Q1450" s="4">
        <f t="shared" si="275"/>
        <v>0</v>
      </c>
      <c r="R1450" s="4">
        <f t="shared" si="276"/>
        <v>0</v>
      </c>
      <c r="S1450" s="4">
        <f>IF(AND(VLOOKUP(G1450,Dados!$D:$L,2,0)=VLOOKUP(I1450,Dados!$S:$V,2,0),VLOOKUP(G1450,Dados!$D:$L,3,0)=VLOOKUP(I1450,Dados!$S:$V,3,0)),0,1)</f>
        <v>0</v>
      </c>
      <c r="T1450" s="4">
        <f>IF(AND(VLOOKUP(G1450,Dados!$D:$L,3,0)&lt;=VLOOKUP(H1450,Dados!$X:$AB,2,0),VLOOKUP(G1450,Dados!$D:$L,4,0)&gt;=VLOOKUP(H1450,Dados!$X:$AB,3,0),VLOOKUP(G1450,Dados!$D:$L,4,0)&lt;=VLOOKUP(H1450,Dados!$X:$AB,4,0)),0,1)</f>
        <v>0</v>
      </c>
      <c r="U1450" s="4">
        <f>IF(COUNTIFS(F:F,F1450,H:H,H1450)&lt;=VLOOKUP(H1450,Dados!$X:$AB,5,0),0,1)</f>
        <v>0</v>
      </c>
    </row>
    <row r="1451" spans="6:21">
      <c r="F1451" s="4">
        <v>713</v>
      </c>
      <c r="G1451" s="4">
        <v>12</v>
      </c>
      <c r="H1451" s="4">
        <v>3</v>
      </c>
      <c r="I1451" s="4">
        <v>9</v>
      </c>
      <c r="J1451" s="4">
        <v>4</v>
      </c>
      <c r="K1451" s="4">
        <f t="shared" si="272"/>
        <v>0</v>
      </c>
      <c r="L1451" s="4">
        <f t="shared" si="272"/>
        <v>0</v>
      </c>
      <c r="M1451" s="4">
        <f t="shared" si="272"/>
        <v>0</v>
      </c>
      <c r="N1451" s="4">
        <f t="shared" si="272"/>
        <v>0</v>
      </c>
      <c r="O1451" s="4">
        <f t="shared" si="273"/>
        <v>0</v>
      </c>
      <c r="P1451" s="4">
        <f t="shared" si="274"/>
        <v>0</v>
      </c>
      <c r="Q1451" s="4">
        <f t="shared" si="275"/>
        <v>0</v>
      </c>
      <c r="R1451" s="4">
        <f t="shared" si="276"/>
        <v>0</v>
      </c>
      <c r="S1451" s="4">
        <f>IF(AND(VLOOKUP(G1451,Dados!$D:$L,2,0)=VLOOKUP(I1451,Dados!$S:$V,2,0),VLOOKUP(G1451,Dados!$D:$L,3,0)=VLOOKUP(I1451,Dados!$S:$V,3,0)),0,1)</f>
        <v>0</v>
      </c>
      <c r="T1451" s="4">
        <f>IF(AND(VLOOKUP(G1451,Dados!$D:$L,3,0)&lt;=VLOOKUP(H1451,Dados!$X:$AB,2,0),VLOOKUP(G1451,Dados!$D:$L,4,0)&gt;=VLOOKUP(H1451,Dados!$X:$AB,3,0),VLOOKUP(G1451,Dados!$D:$L,4,0)&lt;=VLOOKUP(H1451,Dados!$X:$AB,4,0)),0,1)</f>
        <v>0</v>
      </c>
      <c r="U1451" s="4">
        <f>IF(COUNTIFS(F:F,F1451,H:H,H1451)&lt;=VLOOKUP(H1451,Dados!$X:$AB,5,0),0,1)</f>
        <v>0</v>
      </c>
    </row>
    <row r="1452" spans="6:21">
      <c r="F1452" s="4">
        <v>713</v>
      </c>
      <c r="G1452" s="4">
        <v>14</v>
      </c>
      <c r="H1452" s="4">
        <v>3</v>
      </c>
      <c r="I1452" s="4">
        <v>9</v>
      </c>
      <c r="J1452" s="4">
        <v>1</v>
      </c>
      <c r="K1452" s="4">
        <f t="shared" si="272"/>
        <v>0</v>
      </c>
      <c r="L1452" s="4">
        <f t="shared" si="272"/>
        <v>0</v>
      </c>
      <c r="M1452" s="4">
        <f t="shared" si="272"/>
        <v>0</v>
      </c>
      <c r="N1452" s="4">
        <f t="shared" si="272"/>
        <v>0</v>
      </c>
      <c r="O1452" s="4">
        <f t="shared" si="273"/>
        <v>0</v>
      </c>
      <c r="P1452" s="4">
        <f t="shared" si="274"/>
        <v>0</v>
      </c>
      <c r="Q1452" s="4">
        <f t="shared" si="275"/>
        <v>0</v>
      </c>
      <c r="R1452" s="4">
        <f t="shared" si="276"/>
        <v>0</v>
      </c>
      <c r="S1452" s="4">
        <f>IF(AND(VLOOKUP(G1452,Dados!$D:$L,2,0)=VLOOKUP(I1452,Dados!$S:$V,2,0),VLOOKUP(G1452,Dados!$D:$L,3,0)=VLOOKUP(I1452,Dados!$S:$V,3,0)),0,1)</f>
        <v>0</v>
      </c>
      <c r="T1452" s="4">
        <f>IF(AND(VLOOKUP(G1452,Dados!$D:$L,3,0)&lt;=VLOOKUP(H1452,Dados!$X:$AB,2,0),VLOOKUP(G1452,Dados!$D:$L,4,0)&gt;=VLOOKUP(H1452,Dados!$X:$AB,3,0),VLOOKUP(G1452,Dados!$D:$L,4,0)&lt;=VLOOKUP(H1452,Dados!$X:$AB,4,0)),0,1)</f>
        <v>0</v>
      </c>
      <c r="U1452" s="4">
        <f>IF(COUNTIFS(F:F,F1452,H:H,H1452)&lt;=VLOOKUP(H1452,Dados!$X:$AB,5,0),0,1)</f>
        <v>0</v>
      </c>
    </row>
    <row r="1453" spans="6:21">
      <c r="F1453" s="4">
        <v>713</v>
      </c>
      <c r="G1453" s="4">
        <v>17</v>
      </c>
      <c r="H1453" s="4">
        <v>3</v>
      </c>
      <c r="I1453" s="4">
        <v>9</v>
      </c>
      <c r="J1453" s="4">
        <v>7</v>
      </c>
      <c r="K1453" s="4">
        <f t="shared" si="272"/>
        <v>0</v>
      </c>
      <c r="L1453" s="4">
        <f t="shared" si="272"/>
        <v>0</v>
      </c>
      <c r="M1453" s="4">
        <f t="shared" si="272"/>
        <v>0</v>
      </c>
      <c r="N1453" s="4">
        <f t="shared" si="272"/>
        <v>0</v>
      </c>
      <c r="O1453" s="4">
        <f t="shared" si="273"/>
        <v>0</v>
      </c>
      <c r="P1453" s="4">
        <f t="shared" si="274"/>
        <v>0</v>
      </c>
      <c r="Q1453" s="4">
        <f t="shared" si="275"/>
        <v>0</v>
      </c>
      <c r="R1453" s="4">
        <f t="shared" si="276"/>
        <v>0</v>
      </c>
      <c r="S1453" s="4">
        <f>IF(AND(VLOOKUP(G1453,Dados!$D:$L,2,0)=VLOOKUP(I1453,Dados!$S:$V,2,0),VLOOKUP(G1453,Dados!$D:$L,3,0)=VLOOKUP(I1453,Dados!$S:$V,3,0)),0,1)</f>
        <v>0</v>
      </c>
      <c r="T1453" s="4">
        <f>IF(AND(VLOOKUP(G1453,Dados!$D:$L,3,0)&lt;=VLOOKUP(H1453,Dados!$X:$AB,2,0),VLOOKUP(G1453,Dados!$D:$L,4,0)&gt;=VLOOKUP(H1453,Dados!$X:$AB,3,0),VLOOKUP(G1453,Dados!$D:$L,4,0)&lt;=VLOOKUP(H1453,Dados!$X:$AB,4,0)),0,1)</f>
        <v>0</v>
      </c>
      <c r="U1453" s="4">
        <f>IF(COUNTIFS(F:F,F1453,H:H,H1453)&lt;=VLOOKUP(H1453,Dados!$X:$AB,5,0),0,1)</f>
        <v>0</v>
      </c>
    </row>
    <row r="1454" spans="6:21">
      <c r="F1454" s="4">
        <v>714</v>
      </c>
      <c r="G1454" s="4">
        <v>12</v>
      </c>
      <c r="H1454" s="4">
        <v>1</v>
      </c>
      <c r="I1454" s="4">
        <v>10</v>
      </c>
      <c r="J1454" s="4">
        <v>6</v>
      </c>
      <c r="K1454" s="4">
        <f t="shared" si="272"/>
        <v>0</v>
      </c>
      <c r="L1454" s="4">
        <f t="shared" si="272"/>
        <v>0</v>
      </c>
      <c r="M1454" s="4">
        <f t="shared" si="272"/>
        <v>2</v>
      </c>
      <c r="N1454" s="4">
        <f t="shared" si="272"/>
        <v>1</v>
      </c>
      <c r="O1454" s="4">
        <f t="shared" si="273"/>
        <v>0</v>
      </c>
      <c r="P1454" s="4">
        <f t="shared" si="274"/>
        <v>0</v>
      </c>
      <c r="Q1454" s="4">
        <f t="shared" si="275"/>
        <v>12</v>
      </c>
      <c r="R1454" s="4">
        <f t="shared" si="276"/>
        <v>6</v>
      </c>
      <c r="S1454" s="4">
        <f>IF(AND(VLOOKUP(G1454,Dados!$D:$L,2,0)=VLOOKUP(I1454,Dados!$S:$V,2,0),VLOOKUP(G1454,Dados!$D:$L,3,0)=VLOOKUP(I1454,Dados!$S:$V,3,0)),0,1)</f>
        <v>0</v>
      </c>
      <c r="T1454" s="4">
        <f>IF(AND(VLOOKUP(G1454,Dados!$D:$L,3,0)&lt;=VLOOKUP(H1454,Dados!$X:$AB,2,0),VLOOKUP(G1454,Dados!$D:$L,4,0)&gt;=VLOOKUP(H1454,Dados!$X:$AB,3,0),VLOOKUP(G1454,Dados!$D:$L,4,0)&lt;=VLOOKUP(H1454,Dados!$X:$AB,4,0)),0,1)</f>
        <v>0</v>
      </c>
      <c r="U1454" s="4">
        <f>IF(COUNTIFS(F:F,F1454,H:H,H1454)&lt;=VLOOKUP(H1454,Dados!$X:$AB,5,0),0,1)</f>
        <v>0</v>
      </c>
    </row>
    <row r="1455" spans="6:21">
      <c r="F1455" s="4">
        <v>714</v>
      </c>
      <c r="G1455" s="4">
        <v>14</v>
      </c>
      <c r="H1455" s="4">
        <v>1</v>
      </c>
      <c r="I1455" s="4">
        <v>10</v>
      </c>
      <c r="J1455" s="4">
        <v>2</v>
      </c>
      <c r="K1455" s="4">
        <f t="shared" si="272"/>
        <v>0</v>
      </c>
      <c r="L1455" s="4">
        <f t="shared" si="272"/>
        <v>0</v>
      </c>
      <c r="M1455" s="4">
        <f t="shared" si="272"/>
        <v>2</v>
      </c>
      <c r="N1455" s="4">
        <f t="shared" si="272"/>
        <v>1</v>
      </c>
      <c r="O1455" s="4">
        <f t="shared" si="273"/>
        <v>0</v>
      </c>
      <c r="P1455" s="4">
        <f t="shared" si="274"/>
        <v>0</v>
      </c>
      <c r="Q1455" s="4">
        <f t="shared" si="275"/>
        <v>4</v>
      </c>
      <c r="R1455" s="4">
        <f t="shared" si="276"/>
        <v>2</v>
      </c>
      <c r="S1455" s="4">
        <f>IF(AND(VLOOKUP(G1455,Dados!$D:$L,2,0)=VLOOKUP(I1455,Dados!$S:$V,2,0),VLOOKUP(G1455,Dados!$D:$L,3,0)=VLOOKUP(I1455,Dados!$S:$V,3,0)),0,1)</f>
        <v>0</v>
      </c>
      <c r="T1455" s="4">
        <f>IF(AND(VLOOKUP(G1455,Dados!$D:$L,3,0)&lt;=VLOOKUP(H1455,Dados!$X:$AB,2,0),VLOOKUP(G1455,Dados!$D:$L,4,0)&gt;=VLOOKUP(H1455,Dados!$X:$AB,3,0),VLOOKUP(G1455,Dados!$D:$L,4,0)&lt;=VLOOKUP(H1455,Dados!$X:$AB,4,0)),0,1)</f>
        <v>0</v>
      </c>
      <c r="U1455" s="4">
        <f>IF(COUNTIFS(F:F,F1455,H:H,H1455)&lt;=VLOOKUP(H1455,Dados!$X:$AB,5,0),0,1)</f>
        <v>0</v>
      </c>
    </row>
    <row r="1456" spans="6:21">
      <c r="F1456" s="4">
        <v>714</v>
      </c>
      <c r="G1456" s="4">
        <v>17</v>
      </c>
      <c r="H1456" s="4">
        <v>1</v>
      </c>
      <c r="I1456" s="4">
        <v>10</v>
      </c>
      <c r="J1456" s="4">
        <v>3</v>
      </c>
      <c r="K1456" s="4">
        <f t="shared" si="272"/>
        <v>0</v>
      </c>
      <c r="L1456" s="4">
        <f t="shared" si="272"/>
        <v>0</v>
      </c>
      <c r="M1456" s="4">
        <f t="shared" si="272"/>
        <v>2</v>
      </c>
      <c r="N1456" s="4">
        <f t="shared" si="272"/>
        <v>1</v>
      </c>
      <c r="O1456" s="4">
        <f t="shared" si="273"/>
        <v>0</v>
      </c>
      <c r="P1456" s="4">
        <f t="shared" si="274"/>
        <v>0</v>
      </c>
      <c r="Q1456" s="4">
        <f t="shared" si="275"/>
        <v>6</v>
      </c>
      <c r="R1456" s="4">
        <f t="shared" si="276"/>
        <v>3</v>
      </c>
      <c r="S1456" s="4">
        <f>IF(AND(VLOOKUP(G1456,Dados!$D:$L,2,0)=VLOOKUP(I1456,Dados!$S:$V,2,0),VLOOKUP(G1456,Dados!$D:$L,3,0)=VLOOKUP(I1456,Dados!$S:$V,3,0)),0,1)</f>
        <v>0</v>
      </c>
      <c r="T1456" s="4">
        <f>IF(AND(VLOOKUP(G1456,Dados!$D:$L,3,0)&lt;=VLOOKUP(H1456,Dados!$X:$AB,2,0),VLOOKUP(G1456,Dados!$D:$L,4,0)&gt;=VLOOKUP(H1456,Dados!$X:$AB,3,0),VLOOKUP(G1456,Dados!$D:$L,4,0)&lt;=VLOOKUP(H1456,Dados!$X:$AB,4,0)),0,1)</f>
        <v>0</v>
      </c>
      <c r="U1456" s="4">
        <f>IF(COUNTIFS(F:F,F1456,H:H,H1456)&lt;=VLOOKUP(H1456,Dados!$X:$AB,5,0),0,1)</f>
        <v>0</v>
      </c>
    </row>
    <row r="1457" spans="6:21">
      <c r="F1457" s="4">
        <v>715</v>
      </c>
      <c r="G1457" s="4">
        <v>12</v>
      </c>
      <c r="H1457" s="4">
        <v>3</v>
      </c>
      <c r="I1457" s="4">
        <v>10</v>
      </c>
      <c r="J1457" s="4">
        <v>6</v>
      </c>
      <c r="K1457" s="4">
        <f t="shared" si="272"/>
        <v>0</v>
      </c>
      <c r="L1457" s="4">
        <f t="shared" si="272"/>
        <v>0</v>
      </c>
      <c r="M1457" s="4">
        <f t="shared" si="272"/>
        <v>0</v>
      </c>
      <c r="N1457" s="4">
        <f t="shared" si="272"/>
        <v>0</v>
      </c>
      <c r="O1457" s="4">
        <f t="shared" si="273"/>
        <v>0</v>
      </c>
      <c r="P1457" s="4">
        <f t="shared" si="274"/>
        <v>0</v>
      </c>
      <c r="Q1457" s="4">
        <f t="shared" si="275"/>
        <v>0</v>
      </c>
      <c r="R1457" s="4">
        <f t="shared" si="276"/>
        <v>0</v>
      </c>
      <c r="S1457" s="4">
        <f>IF(AND(VLOOKUP(G1457,Dados!$D:$L,2,0)=VLOOKUP(I1457,Dados!$S:$V,2,0),VLOOKUP(G1457,Dados!$D:$L,3,0)=VLOOKUP(I1457,Dados!$S:$V,3,0)),0,1)</f>
        <v>0</v>
      </c>
      <c r="T1457" s="4">
        <f>IF(AND(VLOOKUP(G1457,Dados!$D:$L,3,0)&lt;=VLOOKUP(H1457,Dados!$X:$AB,2,0),VLOOKUP(G1457,Dados!$D:$L,4,0)&gt;=VLOOKUP(H1457,Dados!$X:$AB,3,0),VLOOKUP(G1457,Dados!$D:$L,4,0)&lt;=VLOOKUP(H1457,Dados!$X:$AB,4,0)),0,1)</f>
        <v>0</v>
      </c>
      <c r="U1457" s="4">
        <f>IF(COUNTIFS(F:F,F1457,H:H,H1457)&lt;=VLOOKUP(H1457,Dados!$X:$AB,5,0),0,1)</f>
        <v>0</v>
      </c>
    </row>
    <row r="1458" spans="6:21">
      <c r="F1458" s="4">
        <v>715</v>
      </c>
      <c r="G1458" s="4">
        <v>14</v>
      </c>
      <c r="H1458" s="4">
        <v>3</v>
      </c>
      <c r="I1458" s="4">
        <v>10</v>
      </c>
      <c r="J1458" s="4">
        <v>2</v>
      </c>
      <c r="K1458" s="4">
        <f t="shared" si="272"/>
        <v>0</v>
      </c>
      <c r="L1458" s="4">
        <f t="shared" si="272"/>
        <v>0</v>
      </c>
      <c r="M1458" s="4">
        <f t="shared" si="272"/>
        <v>0</v>
      </c>
      <c r="N1458" s="4">
        <f t="shared" si="272"/>
        <v>0</v>
      </c>
      <c r="O1458" s="4">
        <f t="shared" si="273"/>
        <v>0</v>
      </c>
      <c r="P1458" s="4">
        <f t="shared" si="274"/>
        <v>0</v>
      </c>
      <c r="Q1458" s="4">
        <f t="shared" si="275"/>
        <v>0</v>
      </c>
      <c r="R1458" s="4">
        <f t="shared" si="276"/>
        <v>0</v>
      </c>
      <c r="S1458" s="4">
        <f>IF(AND(VLOOKUP(G1458,Dados!$D:$L,2,0)=VLOOKUP(I1458,Dados!$S:$V,2,0),VLOOKUP(G1458,Dados!$D:$L,3,0)=VLOOKUP(I1458,Dados!$S:$V,3,0)),0,1)</f>
        <v>0</v>
      </c>
      <c r="T1458" s="4">
        <f>IF(AND(VLOOKUP(G1458,Dados!$D:$L,3,0)&lt;=VLOOKUP(H1458,Dados!$X:$AB,2,0),VLOOKUP(G1458,Dados!$D:$L,4,0)&gt;=VLOOKUP(H1458,Dados!$X:$AB,3,0),VLOOKUP(G1458,Dados!$D:$L,4,0)&lt;=VLOOKUP(H1458,Dados!$X:$AB,4,0)),0,1)</f>
        <v>0</v>
      </c>
      <c r="U1458" s="4">
        <f>IF(COUNTIFS(F:F,F1458,H:H,H1458)&lt;=VLOOKUP(H1458,Dados!$X:$AB,5,0),0,1)</f>
        <v>0</v>
      </c>
    </row>
    <row r="1459" spans="6:21">
      <c r="F1459" s="4">
        <v>715</v>
      </c>
      <c r="G1459" s="4">
        <v>17</v>
      </c>
      <c r="H1459" s="4">
        <v>3</v>
      </c>
      <c r="I1459" s="4">
        <v>10</v>
      </c>
      <c r="J1459" s="4">
        <v>3</v>
      </c>
      <c r="K1459" s="4">
        <f t="shared" si="272"/>
        <v>0</v>
      </c>
      <c r="L1459" s="4">
        <f t="shared" si="272"/>
        <v>0</v>
      </c>
      <c r="M1459" s="4">
        <f t="shared" si="272"/>
        <v>0</v>
      </c>
      <c r="N1459" s="4">
        <f t="shared" si="272"/>
        <v>0</v>
      </c>
      <c r="O1459" s="4">
        <f t="shared" si="273"/>
        <v>0</v>
      </c>
      <c r="P1459" s="4">
        <f t="shared" si="274"/>
        <v>0</v>
      </c>
      <c r="Q1459" s="4">
        <f t="shared" si="275"/>
        <v>0</v>
      </c>
      <c r="R1459" s="4">
        <f t="shared" si="276"/>
        <v>0</v>
      </c>
      <c r="S1459" s="4">
        <f>IF(AND(VLOOKUP(G1459,Dados!$D:$L,2,0)=VLOOKUP(I1459,Dados!$S:$V,2,0),VLOOKUP(G1459,Dados!$D:$L,3,0)=VLOOKUP(I1459,Dados!$S:$V,3,0)),0,1)</f>
        <v>0</v>
      </c>
      <c r="T1459" s="4">
        <f>IF(AND(VLOOKUP(G1459,Dados!$D:$L,3,0)&lt;=VLOOKUP(H1459,Dados!$X:$AB,2,0),VLOOKUP(G1459,Dados!$D:$L,4,0)&gt;=VLOOKUP(H1459,Dados!$X:$AB,3,0),VLOOKUP(G1459,Dados!$D:$L,4,0)&lt;=VLOOKUP(H1459,Dados!$X:$AB,4,0)),0,1)</f>
        <v>0</v>
      </c>
      <c r="U1459" s="4">
        <f>IF(COUNTIFS(F:F,F1459,H:H,H1459)&lt;=VLOOKUP(H1459,Dados!$X:$AB,5,0),0,1)</f>
        <v>0</v>
      </c>
    </row>
    <row r="1460" spans="6:21">
      <c r="F1460" s="4">
        <v>716</v>
      </c>
      <c r="G1460" s="4">
        <v>24</v>
      </c>
      <c r="H1460" s="4">
        <v>1</v>
      </c>
      <c r="I1460" s="4">
        <v>15</v>
      </c>
      <c r="J1460" s="4">
        <v>2</v>
      </c>
      <c r="K1460" s="4">
        <f t="shared" si="272"/>
        <v>0</v>
      </c>
      <c r="L1460" s="4">
        <f t="shared" si="272"/>
        <v>0</v>
      </c>
      <c r="M1460" s="4">
        <f t="shared" si="272"/>
        <v>0</v>
      </c>
      <c r="N1460" s="4">
        <f t="shared" si="272"/>
        <v>0</v>
      </c>
      <c r="O1460" s="4">
        <f t="shared" si="273"/>
        <v>0</v>
      </c>
      <c r="P1460" s="4">
        <f t="shared" si="274"/>
        <v>0</v>
      </c>
      <c r="Q1460" s="4">
        <f t="shared" si="275"/>
        <v>0</v>
      </c>
      <c r="R1460" s="4">
        <f t="shared" si="276"/>
        <v>0</v>
      </c>
      <c r="S1460" s="4">
        <f>IF(AND(VLOOKUP(G1460,Dados!$D:$L,2,0)=VLOOKUP(I1460,Dados!$S:$V,2,0),VLOOKUP(G1460,Dados!$D:$L,3,0)=VLOOKUP(I1460,Dados!$S:$V,3,0)),0,1)</f>
        <v>0</v>
      </c>
      <c r="T1460" s="4">
        <f>IF(AND(VLOOKUP(G1460,Dados!$D:$L,3,0)&lt;=VLOOKUP(H1460,Dados!$X:$AB,2,0),VLOOKUP(G1460,Dados!$D:$L,4,0)&gt;=VLOOKUP(H1460,Dados!$X:$AB,3,0),VLOOKUP(G1460,Dados!$D:$L,4,0)&lt;=VLOOKUP(H1460,Dados!$X:$AB,4,0)),0,1)</f>
        <v>0</v>
      </c>
      <c r="U1460" s="4">
        <f>IF(COUNTIFS(F:F,F1460,H:H,H1460)&lt;=VLOOKUP(H1460,Dados!$X:$AB,5,0),0,1)</f>
        <v>0</v>
      </c>
    </row>
    <row r="1461" spans="6:21">
      <c r="F1461" s="4">
        <v>716</v>
      </c>
      <c r="G1461" s="4">
        <v>25</v>
      </c>
      <c r="H1461" s="4">
        <v>1</v>
      </c>
      <c r="I1461" s="4">
        <v>15</v>
      </c>
      <c r="J1461" s="4">
        <v>4</v>
      </c>
      <c r="K1461" s="4">
        <f t="shared" si="272"/>
        <v>0</v>
      </c>
      <c r="L1461" s="4">
        <f t="shared" si="272"/>
        <v>0</v>
      </c>
      <c r="M1461" s="4">
        <f t="shared" si="272"/>
        <v>0</v>
      </c>
      <c r="N1461" s="4">
        <f t="shared" si="272"/>
        <v>0</v>
      </c>
      <c r="O1461" s="4">
        <f t="shared" si="273"/>
        <v>0</v>
      </c>
      <c r="P1461" s="4">
        <f t="shared" si="274"/>
        <v>0</v>
      </c>
      <c r="Q1461" s="4">
        <f t="shared" si="275"/>
        <v>0</v>
      </c>
      <c r="R1461" s="4">
        <f t="shared" si="276"/>
        <v>0</v>
      </c>
      <c r="S1461" s="4">
        <f>IF(AND(VLOOKUP(G1461,Dados!$D:$L,2,0)=VLOOKUP(I1461,Dados!$S:$V,2,0),VLOOKUP(G1461,Dados!$D:$L,3,0)=VLOOKUP(I1461,Dados!$S:$V,3,0)),0,1)</f>
        <v>0</v>
      </c>
      <c r="T1461" s="4">
        <f>IF(AND(VLOOKUP(G1461,Dados!$D:$L,3,0)&lt;=VLOOKUP(H1461,Dados!$X:$AB,2,0),VLOOKUP(G1461,Dados!$D:$L,4,0)&gt;=VLOOKUP(H1461,Dados!$X:$AB,3,0),VLOOKUP(G1461,Dados!$D:$L,4,0)&lt;=VLOOKUP(H1461,Dados!$X:$AB,4,0)),0,1)</f>
        <v>0</v>
      </c>
      <c r="U1461" s="4">
        <f>IF(COUNTIFS(F:F,F1461,H:H,H1461)&lt;=VLOOKUP(H1461,Dados!$X:$AB,5,0),0,1)</f>
        <v>0</v>
      </c>
    </row>
    <row r="1462" spans="6:21">
      <c r="F1462" s="4">
        <v>716</v>
      </c>
      <c r="G1462" s="4">
        <v>26</v>
      </c>
      <c r="H1462" s="4">
        <v>1</v>
      </c>
      <c r="I1462" s="4">
        <v>15</v>
      </c>
      <c r="J1462" s="4">
        <v>1</v>
      </c>
      <c r="K1462" s="4">
        <f t="shared" si="272"/>
        <v>0</v>
      </c>
      <c r="L1462" s="4">
        <f t="shared" si="272"/>
        <v>0</v>
      </c>
      <c r="M1462" s="4">
        <f t="shared" si="272"/>
        <v>0</v>
      </c>
      <c r="N1462" s="4">
        <f t="shared" si="272"/>
        <v>0</v>
      </c>
      <c r="O1462" s="4">
        <f t="shared" si="273"/>
        <v>0</v>
      </c>
      <c r="P1462" s="4">
        <f t="shared" si="274"/>
        <v>0</v>
      </c>
      <c r="Q1462" s="4">
        <f t="shared" si="275"/>
        <v>0</v>
      </c>
      <c r="R1462" s="4">
        <f t="shared" si="276"/>
        <v>0</v>
      </c>
      <c r="S1462" s="4">
        <f>IF(AND(VLOOKUP(G1462,Dados!$D:$L,2,0)=VLOOKUP(I1462,Dados!$S:$V,2,0),VLOOKUP(G1462,Dados!$D:$L,3,0)=VLOOKUP(I1462,Dados!$S:$V,3,0)),0,1)</f>
        <v>0</v>
      </c>
      <c r="T1462" s="4">
        <f>IF(AND(VLOOKUP(G1462,Dados!$D:$L,3,0)&lt;=VLOOKUP(H1462,Dados!$X:$AB,2,0),VLOOKUP(G1462,Dados!$D:$L,4,0)&gt;=VLOOKUP(H1462,Dados!$X:$AB,3,0),VLOOKUP(G1462,Dados!$D:$L,4,0)&lt;=VLOOKUP(H1462,Dados!$X:$AB,4,0)),0,1)</f>
        <v>0</v>
      </c>
      <c r="U1462" s="4">
        <f>IF(COUNTIFS(F:F,F1462,H:H,H1462)&lt;=VLOOKUP(H1462,Dados!$X:$AB,5,0),0,1)</f>
        <v>0</v>
      </c>
    </row>
    <row r="1463" spans="6:21">
      <c r="F1463" s="4">
        <v>717</v>
      </c>
      <c r="G1463" s="4">
        <v>24</v>
      </c>
      <c r="H1463" s="4">
        <v>3</v>
      </c>
      <c r="I1463" s="4">
        <v>15</v>
      </c>
      <c r="J1463" s="4">
        <v>2</v>
      </c>
      <c r="K1463" s="4">
        <f t="shared" si="272"/>
        <v>0</v>
      </c>
      <c r="L1463" s="4">
        <f t="shared" si="272"/>
        <v>0</v>
      </c>
      <c r="M1463" s="4">
        <f t="shared" si="272"/>
        <v>0</v>
      </c>
      <c r="N1463" s="4">
        <f t="shared" si="272"/>
        <v>0</v>
      </c>
      <c r="O1463" s="4">
        <f t="shared" si="273"/>
        <v>0</v>
      </c>
      <c r="P1463" s="4">
        <f t="shared" si="274"/>
        <v>0</v>
      </c>
      <c r="Q1463" s="4">
        <f t="shared" si="275"/>
        <v>0</v>
      </c>
      <c r="R1463" s="4">
        <f t="shared" si="276"/>
        <v>0</v>
      </c>
      <c r="S1463" s="4">
        <f>IF(AND(VLOOKUP(G1463,Dados!$D:$L,2,0)=VLOOKUP(I1463,Dados!$S:$V,2,0),VLOOKUP(G1463,Dados!$D:$L,3,0)=VLOOKUP(I1463,Dados!$S:$V,3,0)),0,1)</f>
        <v>0</v>
      </c>
      <c r="T1463" s="4">
        <f>IF(AND(VLOOKUP(G1463,Dados!$D:$L,3,0)&lt;=VLOOKUP(H1463,Dados!$X:$AB,2,0),VLOOKUP(G1463,Dados!$D:$L,4,0)&gt;=VLOOKUP(H1463,Dados!$X:$AB,3,0),VLOOKUP(G1463,Dados!$D:$L,4,0)&lt;=VLOOKUP(H1463,Dados!$X:$AB,4,0)),0,1)</f>
        <v>0</v>
      </c>
      <c r="U1463" s="4">
        <f>IF(COUNTIFS(F:F,F1463,H:H,H1463)&lt;=VLOOKUP(H1463,Dados!$X:$AB,5,0),0,1)</f>
        <v>0</v>
      </c>
    </row>
    <row r="1464" spans="6:21">
      <c r="F1464" s="4">
        <v>717</v>
      </c>
      <c r="G1464" s="4">
        <v>25</v>
      </c>
      <c r="H1464" s="4">
        <v>3</v>
      </c>
      <c r="I1464" s="4">
        <v>15</v>
      </c>
      <c r="J1464" s="4">
        <v>4</v>
      </c>
      <c r="K1464" s="4">
        <f t="shared" si="272"/>
        <v>0</v>
      </c>
      <c r="L1464" s="4">
        <f t="shared" si="272"/>
        <v>0</v>
      </c>
      <c r="M1464" s="4">
        <f t="shared" si="272"/>
        <v>0</v>
      </c>
      <c r="N1464" s="4">
        <f t="shared" si="272"/>
        <v>0</v>
      </c>
      <c r="O1464" s="4">
        <f t="shared" si="273"/>
        <v>0</v>
      </c>
      <c r="P1464" s="4">
        <f t="shared" si="274"/>
        <v>0</v>
      </c>
      <c r="Q1464" s="4">
        <f t="shared" si="275"/>
        <v>0</v>
      </c>
      <c r="R1464" s="4">
        <f t="shared" si="276"/>
        <v>0</v>
      </c>
      <c r="S1464" s="4">
        <f>IF(AND(VLOOKUP(G1464,Dados!$D:$L,2,0)=VLOOKUP(I1464,Dados!$S:$V,2,0),VLOOKUP(G1464,Dados!$D:$L,3,0)=VLOOKUP(I1464,Dados!$S:$V,3,0)),0,1)</f>
        <v>0</v>
      </c>
      <c r="T1464" s="4">
        <f>IF(AND(VLOOKUP(G1464,Dados!$D:$L,3,0)&lt;=VLOOKUP(H1464,Dados!$X:$AB,2,0),VLOOKUP(G1464,Dados!$D:$L,4,0)&gt;=VLOOKUP(H1464,Dados!$X:$AB,3,0),VLOOKUP(G1464,Dados!$D:$L,4,0)&lt;=VLOOKUP(H1464,Dados!$X:$AB,4,0)),0,1)</f>
        <v>0</v>
      </c>
      <c r="U1464" s="4">
        <f>IF(COUNTIFS(F:F,F1464,H:H,H1464)&lt;=VLOOKUP(H1464,Dados!$X:$AB,5,0),0,1)</f>
        <v>0</v>
      </c>
    </row>
    <row r="1465" spans="6:21">
      <c r="F1465" s="4">
        <v>717</v>
      </c>
      <c r="G1465" s="4">
        <v>26</v>
      </c>
      <c r="H1465" s="4">
        <v>3</v>
      </c>
      <c r="I1465" s="4">
        <v>15</v>
      </c>
      <c r="J1465" s="4">
        <v>1</v>
      </c>
      <c r="K1465" s="4">
        <f t="shared" si="272"/>
        <v>0</v>
      </c>
      <c r="L1465" s="4">
        <f t="shared" si="272"/>
        <v>0</v>
      </c>
      <c r="M1465" s="4">
        <f t="shared" si="272"/>
        <v>0</v>
      </c>
      <c r="N1465" s="4">
        <f t="shared" si="272"/>
        <v>0</v>
      </c>
      <c r="O1465" s="4">
        <f t="shared" si="273"/>
        <v>0</v>
      </c>
      <c r="P1465" s="4">
        <f t="shared" si="274"/>
        <v>0</v>
      </c>
      <c r="Q1465" s="4">
        <f t="shared" si="275"/>
        <v>0</v>
      </c>
      <c r="R1465" s="4">
        <f t="shared" si="276"/>
        <v>0</v>
      </c>
      <c r="S1465" s="4">
        <f>IF(AND(VLOOKUP(G1465,Dados!$D:$L,2,0)=VLOOKUP(I1465,Dados!$S:$V,2,0),VLOOKUP(G1465,Dados!$D:$L,3,0)=VLOOKUP(I1465,Dados!$S:$V,3,0)),0,1)</f>
        <v>0</v>
      </c>
      <c r="T1465" s="4">
        <f>IF(AND(VLOOKUP(G1465,Dados!$D:$L,3,0)&lt;=VLOOKUP(H1465,Dados!$X:$AB,2,0),VLOOKUP(G1465,Dados!$D:$L,4,0)&gt;=VLOOKUP(H1465,Dados!$X:$AB,3,0),VLOOKUP(G1465,Dados!$D:$L,4,0)&lt;=VLOOKUP(H1465,Dados!$X:$AB,4,0)),0,1)</f>
        <v>0</v>
      </c>
      <c r="U1465" s="4">
        <f>IF(COUNTIFS(F:F,F1465,H:H,H1465)&lt;=VLOOKUP(H1465,Dados!$X:$AB,5,0),0,1)</f>
        <v>0</v>
      </c>
    </row>
    <row r="1466" spans="6:21">
      <c r="F1466" s="4">
        <v>718</v>
      </c>
      <c r="G1466" s="4">
        <v>33</v>
      </c>
      <c r="H1466" s="4">
        <v>1</v>
      </c>
      <c r="I1466" s="4">
        <v>16</v>
      </c>
      <c r="J1466" s="4">
        <v>1</v>
      </c>
      <c r="K1466" s="4">
        <f t="shared" si="272"/>
        <v>0</v>
      </c>
      <c r="L1466" s="4">
        <f t="shared" si="272"/>
        <v>0</v>
      </c>
      <c r="M1466" s="4">
        <f t="shared" si="272"/>
        <v>0</v>
      </c>
      <c r="N1466" s="4">
        <f t="shared" si="272"/>
        <v>0</v>
      </c>
      <c r="O1466" s="4">
        <f t="shared" si="273"/>
        <v>0</v>
      </c>
      <c r="P1466" s="4">
        <f t="shared" si="274"/>
        <v>0</v>
      </c>
      <c r="Q1466" s="4">
        <f t="shared" si="275"/>
        <v>0</v>
      </c>
      <c r="R1466" s="4">
        <f t="shared" si="276"/>
        <v>0</v>
      </c>
      <c r="S1466" s="4">
        <f>IF(AND(VLOOKUP(G1466,Dados!$D:$L,2,0)=VLOOKUP(I1466,Dados!$S:$V,2,0),VLOOKUP(G1466,Dados!$D:$L,3,0)=VLOOKUP(I1466,Dados!$S:$V,3,0)),0,1)</f>
        <v>0</v>
      </c>
      <c r="T1466" s="4">
        <f>IF(AND(VLOOKUP(G1466,Dados!$D:$L,3,0)&lt;=VLOOKUP(H1466,Dados!$X:$AB,2,0),VLOOKUP(G1466,Dados!$D:$L,4,0)&gt;=VLOOKUP(H1466,Dados!$X:$AB,3,0),VLOOKUP(G1466,Dados!$D:$L,4,0)&lt;=VLOOKUP(H1466,Dados!$X:$AB,4,0)),0,1)</f>
        <v>0</v>
      </c>
      <c r="U1466" s="4">
        <f>IF(COUNTIFS(F:F,F1466,H:H,H1466)&lt;=VLOOKUP(H1466,Dados!$X:$AB,5,0),0,1)</f>
        <v>0</v>
      </c>
    </row>
    <row r="1467" spans="6:21">
      <c r="F1467" s="4">
        <v>718</v>
      </c>
      <c r="G1467" s="4">
        <v>34</v>
      </c>
      <c r="H1467" s="4">
        <v>1</v>
      </c>
      <c r="I1467" s="4">
        <v>16</v>
      </c>
      <c r="J1467" s="4">
        <v>5</v>
      </c>
      <c r="K1467" s="4">
        <f t="shared" si="272"/>
        <v>0</v>
      </c>
      <c r="L1467" s="4">
        <f t="shared" si="272"/>
        <v>0</v>
      </c>
      <c r="M1467" s="4">
        <f t="shared" si="272"/>
        <v>0</v>
      </c>
      <c r="N1467" s="4">
        <f t="shared" si="272"/>
        <v>0</v>
      </c>
      <c r="O1467" s="4">
        <f t="shared" si="273"/>
        <v>0</v>
      </c>
      <c r="P1467" s="4">
        <f t="shared" si="274"/>
        <v>0</v>
      </c>
      <c r="Q1467" s="4">
        <f t="shared" si="275"/>
        <v>0</v>
      </c>
      <c r="R1467" s="4">
        <f t="shared" si="276"/>
        <v>0</v>
      </c>
      <c r="S1467" s="4">
        <f>IF(AND(VLOOKUP(G1467,Dados!$D:$L,2,0)=VLOOKUP(I1467,Dados!$S:$V,2,0),VLOOKUP(G1467,Dados!$D:$L,3,0)=VLOOKUP(I1467,Dados!$S:$V,3,0)),0,1)</f>
        <v>0</v>
      </c>
      <c r="T1467" s="4">
        <f>IF(AND(VLOOKUP(G1467,Dados!$D:$L,3,0)&lt;=VLOOKUP(H1467,Dados!$X:$AB,2,0),VLOOKUP(G1467,Dados!$D:$L,4,0)&gt;=VLOOKUP(H1467,Dados!$X:$AB,3,0),VLOOKUP(G1467,Dados!$D:$L,4,0)&lt;=VLOOKUP(H1467,Dados!$X:$AB,4,0)),0,1)</f>
        <v>0</v>
      </c>
      <c r="U1467" s="4">
        <f>IF(COUNTIFS(F:F,F1467,H:H,H1467)&lt;=VLOOKUP(H1467,Dados!$X:$AB,5,0),0,1)</f>
        <v>0</v>
      </c>
    </row>
    <row r="1468" spans="6:21">
      <c r="F1468" s="4">
        <v>718</v>
      </c>
      <c r="G1468" s="4">
        <v>36</v>
      </c>
      <c r="H1468" s="4">
        <v>1</v>
      </c>
      <c r="I1468" s="4">
        <v>16</v>
      </c>
      <c r="J1468" s="4">
        <v>1</v>
      </c>
      <c r="K1468" s="4">
        <f t="shared" si="272"/>
        <v>0</v>
      </c>
      <c r="L1468" s="4">
        <f t="shared" si="272"/>
        <v>0</v>
      </c>
      <c r="M1468" s="4">
        <f t="shared" si="272"/>
        <v>0</v>
      </c>
      <c r="N1468" s="4">
        <f t="shared" si="272"/>
        <v>0</v>
      </c>
      <c r="O1468" s="4">
        <f t="shared" si="273"/>
        <v>0</v>
      </c>
      <c r="P1468" s="4">
        <f t="shared" si="274"/>
        <v>0</v>
      </c>
      <c r="Q1468" s="4">
        <f t="shared" si="275"/>
        <v>0</v>
      </c>
      <c r="R1468" s="4">
        <f t="shared" si="276"/>
        <v>0</v>
      </c>
      <c r="S1468" s="4">
        <f>IF(AND(VLOOKUP(G1468,Dados!$D:$L,2,0)=VLOOKUP(I1468,Dados!$S:$V,2,0),VLOOKUP(G1468,Dados!$D:$L,3,0)=VLOOKUP(I1468,Dados!$S:$V,3,0)),0,1)</f>
        <v>0</v>
      </c>
      <c r="T1468" s="4">
        <f>IF(AND(VLOOKUP(G1468,Dados!$D:$L,3,0)&lt;=VLOOKUP(H1468,Dados!$X:$AB,2,0),VLOOKUP(G1468,Dados!$D:$L,4,0)&gt;=VLOOKUP(H1468,Dados!$X:$AB,3,0),VLOOKUP(G1468,Dados!$D:$L,4,0)&lt;=VLOOKUP(H1468,Dados!$X:$AB,4,0)),0,1)</f>
        <v>0</v>
      </c>
      <c r="U1468" s="4">
        <f>IF(COUNTIFS(F:F,F1468,H:H,H1468)&lt;=VLOOKUP(H1468,Dados!$X:$AB,5,0),0,1)</f>
        <v>0</v>
      </c>
    </row>
    <row r="1469" spans="6:21">
      <c r="F1469" s="4">
        <v>719</v>
      </c>
      <c r="G1469" s="4">
        <v>33</v>
      </c>
      <c r="H1469" s="4">
        <v>2</v>
      </c>
      <c r="I1469" s="4">
        <v>16</v>
      </c>
      <c r="J1469" s="4">
        <v>1</v>
      </c>
      <c r="K1469" s="4">
        <f t="shared" si="272"/>
        <v>0</v>
      </c>
      <c r="L1469" s="4">
        <f t="shared" si="272"/>
        <v>0</v>
      </c>
      <c r="M1469" s="4">
        <f t="shared" si="272"/>
        <v>0</v>
      </c>
      <c r="N1469" s="4">
        <f t="shared" si="272"/>
        <v>0</v>
      </c>
      <c r="O1469" s="4">
        <f t="shared" si="273"/>
        <v>0</v>
      </c>
      <c r="P1469" s="4">
        <f t="shared" si="274"/>
        <v>0</v>
      </c>
      <c r="Q1469" s="4">
        <f t="shared" si="275"/>
        <v>0</v>
      </c>
      <c r="R1469" s="4">
        <f t="shared" si="276"/>
        <v>0</v>
      </c>
      <c r="S1469" s="4">
        <f>IF(AND(VLOOKUP(G1469,Dados!$D:$L,2,0)=VLOOKUP(I1469,Dados!$S:$V,2,0),VLOOKUP(G1469,Dados!$D:$L,3,0)=VLOOKUP(I1469,Dados!$S:$V,3,0)),0,1)</f>
        <v>0</v>
      </c>
      <c r="T1469" s="4">
        <f>IF(AND(VLOOKUP(G1469,Dados!$D:$L,3,0)&lt;=VLOOKUP(H1469,Dados!$X:$AB,2,0),VLOOKUP(G1469,Dados!$D:$L,4,0)&gt;=VLOOKUP(H1469,Dados!$X:$AB,3,0),VLOOKUP(G1469,Dados!$D:$L,4,0)&lt;=VLOOKUP(H1469,Dados!$X:$AB,4,0)),0,1)</f>
        <v>0</v>
      </c>
      <c r="U1469" s="4">
        <f>IF(COUNTIFS(F:F,F1469,H:H,H1469)&lt;=VLOOKUP(H1469,Dados!$X:$AB,5,0),0,1)</f>
        <v>0</v>
      </c>
    </row>
    <row r="1470" spans="6:21">
      <c r="F1470" s="4">
        <v>719</v>
      </c>
      <c r="G1470" s="4">
        <v>34</v>
      </c>
      <c r="H1470" s="4">
        <v>2</v>
      </c>
      <c r="I1470" s="4">
        <v>16</v>
      </c>
      <c r="J1470" s="4">
        <v>5</v>
      </c>
      <c r="K1470" s="4">
        <f t="shared" si="272"/>
        <v>0</v>
      </c>
      <c r="L1470" s="4">
        <f t="shared" si="272"/>
        <v>0</v>
      </c>
      <c r="M1470" s="4">
        <f t="shared" si="272"/>
        <v>0</v>
      </c>
      <c r="N1470" s="4">
        <f t="shared" si="272"/>
        <v>0</v>
      </c>
      <c r="O1470" s="4">
        <f t="shared" si="273"/>
        <v>0</v>
      </c>
      <c r="P1470" s="4">
        <f t="shared" si="274"/>
        <v>0</v>
      </c>
      <c r="Q1470" s="4">
        <f t="shared" si="275"/>
        <v>0</v>
      </c>
      <c r="R1470" s="4">
        <f t="shared" si="276"/>
        <v>0</v>
      </c>
      <c r="S1470" s="4">
        <f>IF(AND(VLOOKUP(G1470,Dados!$D:$L,2,0)=VLOOKUP(I1470,Dados!$S:$V,2,0),VLOOKUP(G1470,Dados!$D:$L,3,0)=VLOOKUP(I1470,Dados!$S:$V,3,0)),0,1)</f>
        <v>0</v>
      </c>
      <c r="T1470" s="4">
        <f>IF(AND(VLOOKUP(G1470,Dados!$D:$L,3,0)&lt;=VLOOKUP(H1470,Dados!$X:$AB,2,0),VLOOKUP(G1470,Dados!$D:$L,4,0)&gt;=VLOOKUP(H1470,Dados!$X:$AB,3,0),VLOOKUP(G1470,Dados!$D:$L,4,0)&lt;=VLOOKUP(H1470,Dados!$X:$AB,4,0)),0,1)</f>
        <v>0</v>
      </c>
      <c r="U1470" s="4">
        <f>IF(COUNTIFS(F:F,F1470,H:H,H1470)&lt;=VLOOKUP(H1470,Dados!$X:$AB,5,0),0,1)</f>
        <v>0</v>
      </c>
    </row>
    <row r="1471" spans="6:21">
      <c r="F1471" s="4">
        <v>719</v>
      </c>
      <c r="G1471" s="4">
        <v>36</v>
      </c>
      <c r="H1471" s="4">
        <v>2</v>
      </c>
      <c r="I1471" s="4">
        <v>16</v>
      </c>
      <c r="J1471" s="4">
        <v>1</v>
      </c>
      <c r="K1471" s="4">
        <f t="shared" si="272"/>
        <v>0</v>
      </c>
      <c r="L1471" s="4">
        <f t="shared" si="272"/>
        <v>0</v>
      </c>
      <c r="M1471" s="4">
        <f t="shared" si="272"/>
        <v>0</v>
      </c>
      <c r="N1471" s="4">
        <f t="shared" si="272"/>
        <v>0</v>
      </c>
      <c r="O1471" s="4">
        <f t="shared" si="273"/>
        <v>0</v>
      </c>
      <c r="P1471" s="4">
        <f t="shared" si="274"/>
        <v>0</v>
      </c>
      <c r="Q1471" s="4">
        <f t="shared" si="275"/>
        <v>0</v>
      </c>
      <c r="R1471" s="4">
        <f t="shared" si="276"/>
        <v>0</v>
      </c>
      <c r="S1471" s="4">
        <f>IF(AND(VLOOKUP(G1471,Dados!$D:$L,2,0)=VLOOKUP(I1471,Dados!$S:$V,2,0),VLOOKUP(G1471,Dados!$D:$L,3,0)=VLOOKUP(I1471,Dados!$S:$V,3,0)),0,1)</f>
        <v>0</v>
      </c>
      <c r="T1471" s="4">
        <f>IF(AND(VLOOKUP(G1471,Dados!$D:$L,3,0)&lt;=VLOOKUP(H1471,Dados!$X:$AB,2,0),VLOOKUP(G1471,Dados!$D:$L,4,0)&gt;=VLOOKUP(H1471,Dados!$X:$AB,3,0),VLOOKUP(G1471,Dados!$D:$L,4,0)&lt;=VLOOKUP(H1471,Dados!$X:$AB,4,0)),0,1)</f>
        <v>0</v>
      </c>
      <c r="U1471" s="4">
        <f>IF(COUNTIFS(F:F,F1471,H:H,H1471)&lt;=VLOOKUP(H1471,Dados!$X:$AB,5,0),0,1)</f>
        <v>0</v>
      </c>
    </row>
    <row r="1472" spans="6:21">
      <c r="F1472" s="4">
        <v>720</v>
      </c>
      <c r="G1472" s="4">
        <v>33</v>
      </c>
      <c r="H1472" s="4">
        <v>3</v>
      </c>
      <c r="I1472" s="4">
        <v>16</v>
      </c>
      <c r="J1472" s="4">
        <v>1</v>
      </c>
      <c r="K1472" s="4">
        <f t="shared" si="272"/>
        <v>0</v>
      </c>
      <c r="L1472" s="4">
        <f t="shared" si="272"/>
        <v>0</v>
      </c>
      <c r="M1472" s="4">
        <f t="shared" si="272"/>
        <v>0</v>
      </c>
      <c r="N1472" s="4">
        <f t="shared" si="272"/>
        <v>0</v>
      </c>
      <c r="O1472" s="4">
        <f t="shared" si="273"/>
        <v>0</v>
      </c>
      <c r="P1472" s="4">
        <f t="shared" si="274"/>
        <v>0</v>
      </c>
      <c r="Q1472" s="4">
        <f t="shared" si="275"/>
        <v>0</v>
      </c>
      <c r="R1472" s="4">
        <f t="shared" si="276"/>
        <v>0</v>
      </c>
      <c r="S1472" s="4">
        <f>IF(AND(VLOOKUP(G1472,Dados!$D:$L,2,0)=VLOOKUP(I1472,Dados!$S:$V,2,0),VLOOKUP(G1472,Dados!$D:$L,3,0)=VLOOKUP(I1472,Dados!$S:$V,3,0)),0,1)</f>
        <v>0</v>
      </c>
      <c r="T1472" s="4">
        <f>IF(AND(VLOOKUP(G1472,Dados!$D:$L,3,0)&lt;=VLOOKUP(H1472,Dados!$X:$AB,2,0),VLOOKUP(G1472,Dados!$D:$L,4,0)&gt;=VLOOKUP(H1472,Dados!$X:$AB,3,0),VLOOKUP(G1472,Dados!$D:$L,4,0)&lt;=VLOOKUP(H1472,Dados!$X:$AB,4,0)),0,1)</f>
        <v>0</v>
      </c>
      <c r="U1472" s="4">
        <f>IF(COUNTIFS(F:F,F1472,H:H,H1472)&lt;=VLOOKUP(H1472,Dados!$X:$AB,5,0),0,1)</f>
        <v>0</v>
      </c>
    </row>
    <row r="1473" spans="6:21">
      <c r="F1473" s="4">
        <v>720</v>
      </c>
      <c r="G1473" s="4">
        <v>34</v>
      </c>
      <c r="H1473" s="4">
        <v>3</v>
      </c>
      <c r="I1473" s="4">
        <v>16</v>
      </c>
      <c r="J1473" s="4">
        <v>5</v>
      </c>
      <c r="K1473" s="4">
        <f t="shared" si="272"/>
        <v>0</v>
      </c>
      <c r="L1473" s="4">
        <f t="shared" si="272"/>
        <v>0</v>
      </c>
      <c r="M1473" s="4">
        <f t="shared" si="272"/>
        <v>0</v>
      </c>
      <c r="N1473" s="4">
        <f t="shared" si="272"/>
        <v>0</v>
      </c>
      <c r="O1473" s="4">
        <f t="shared" si="273"/>
        <v>0</v>
      </c>
      <c r="P1473" s="4">
        <f t="shared" si="274"/>
        <v>0</v>
      </c>
      <c r="Q1473" s="4">
        <f t="shared" si="275"/>
        <v>0</v>
      </c>
      <c r="R1473" s="4">
        <f t="shared" si="276"/>
        <v>0</v>
      </c>
      <c r="S1473" s="4">
        <f>IF(AND(VLOOKUP(G1473,Dados!$D:$L,2,0)=VLOOKUP(I1473,Dados!$S:$V,2,0),VLOOKUP(G1473,Dados!$D:$L,3,0)=VLOOKUP(I1473,Dados!$S:$V,3,0)),0,1)</f>
        <v>0</v>
      </c>
      <c r="T1473" s="4">
        <f>IF(AND(VLOOKUP(G1473,Dados!$D:$L,3,0)&lt;=VLOOKUP(H1473,Dados!$X:$AB,2,0),VLOOKUP(G1473,Dados!$D:$L,4,0)&gt;=VLOOKUP(H1473,Dados!$X:$AB,3,0),VLOOKUP(G1473,Dados!$D:$L,4,0)&lt;=VLOOKUP(H1473,Dados!$X:$AB,4,0)),0,1)</f>
        <v>0</v>
      </c>
      <c r="U1473" s="4">
        <f>IF(COUNTIFS(F:F,F1473,H:H,H1473)&lt;=VLOOKUP(H1473,Dados!$X:$AB,5,0),0,1)</f>
        <v>0</v>
      </c>
    </row>
    <row r="1474" spans="6:21">
      <c r="F1474" s="4">
        <v>720</v>
      </c>
      <c r="G1474" s="4">
        <v>36</v>
      </c>
      <c r="H1474" s="4">
        <v>3</v>
      </c>
      <c r="I1474" s="4">
        <v>16</v>
      </c>
      <c r="J1474" s="4">
        <v>1</v>
      </c>
      <c r="K1474" s="4">
        <f t="shared" si="272"/>
        <v>0</v>
      </c>
      <c r="L1474" s="4">
        <f t="shared" si="272"/>
        <v>0</v>
      </c>
      <c r="M1474" s="4">
        <f t="shared" si="272"/>
        <v>0</v>
      </c>
      <c r="N1474" s="4">
        <f t="shared" si="272"/>
        <v>0</v>
      </c>
      <c r="O1474" s="4">
        <f t="shared" si="273"/>
        <v>0</v>
      </c>
      <c r="P1474" s="4">
        <f t="shared" si="274"/>
        <v>0</v>
      </c>
      <c r="Q1474" s="4">
        <f t="shared" si="275"/>
        <v>0</v>
      </c>
      <c r="R1474" s="4">
        <f t="shared" si="276"/>
        <v>0</v>
      </c>
      <c r="S1474" s="4">
        <f>IF(AND(VLOOKUP(G1474,Dados!$D:$L,2,0)=VLOOKUP(I1474,Dados!$S:$V,2,0),VLOOKUP(G1474,Dados!$D:$L,3,0)=VLOOKUP(I1474,Dados!$S:$V,3,0)),0,1)</f>
        <v>0</v>
      </c>
      <c r="T1474" s="4">
        <f>IF(AND(VLOOKUP(G1474,Dados!$D:$L,3,0)&lt;=VLOOKUP(H1474,Dados!$X:$AB,2,0),VLOOKUP(G1474,Dados!$D:$L,4,0)&gt;=VLOOKUP(H1474,Dados!$X:$AB,3,0),VLOOKUP(G1474,Dados!$D:$L,4,0)&lt;=VLOOKUP(H1474,Dados!$X:$AB,4,0)),0,1)</f>
        <v>0</v>
      </c>
      <c r="U1474" s="4">
        <f>IF(COUNTIFS(F:F,F1474,H:H,H1474)&lt;=VLOOKUP(H1474,Dados!$X:$AB,5,0),0,1)</f>
        <v>0</v>
      </c>
    </row>
    <row r="1475" spans="6:21">
      <c r="F1475" s="4">
        <v>721</v>
      </c>
      <c r="G1475" s="4">
        <v>44</v>
      </c>
      <c r="H1475" s="4">
        <v>1</v>
      </c>
      <c r="I1475" s="4">
        <v>17</v>
      </c>
      <c r="J1475" s="4">
        <v>8</v>
      </c>
      <c r="K1475" s="4">
        <f t="shared" si="272"/>
        <v>0</v>
      </c>
      <c r="L1475" s="4">
        <f t="shared" si="272"/>
        <v>0</v>
      </c>
      <c r="M1475" s="4">
        <f t="shared" si="272"/>
        <v>0</v>
      </c>
      <c r="N1475" s="4">
        <f t="shared" si="272"/>
        <v>0</v>
      </c>
      <c r="O1475" s="4">
        <f t="shared" si="273"/>
        <v>0</v>
      </c>
      <c r="P1475" s="4">
        <f t="shared" si="274"/>
        <v>0</v>
      </c>
      <c r="Q1475" s="4">
        <f t="shared" si="275"/>
        <v>0</v>
      </c>
      <c r="R1475" s="4">
        <f t="shared" si="276"/>
        <v>0</v>
      </c>
      <c r="S1475" s="4">
        <f>IF(AND(VLOOKUP(G1475,Dados!$D:$L,2,0)=VLOOKUP(I1475,Dados!$S:$V,2,0),VLOOKUP(G1475,Dados!$D:$L,3,0)=VLOOKUP(I1475,Dados!$S:$V,3,0)),0,1)</f>
        <v>0</v>
      </c>
      <c r="T1475" s="4">
        <f>IF(AND(VLOOKUP(G1475,Dados!$D:$L,3,0)&lt;=VLOOKUP(H1475,Dados!$X:$AB,2,0),VLOOKUP(G1475,Dados!$D:$L,4,0)&gt;=VLOOKUP(H1475,Dados!$X:$AB,3,0),VLOOKUP(G1475,Dados!$D:$L,4,0)&lt;=VLOOKUP(H1475,Dados!$X:$AB,4,0)),0,1)</f>
        <v>0</v>
      </c>
      <c r="U1475" s="4">
        <f>IF(COUNTIFS(F:F,F1475,H:H,H1475)&lt;=VLOOKUP(H1475,Dados!$X:$AB,5,0),0,1)</f>
        <v>0</v>
      </c>
    </row>
    <row r="1476" spans="6:21">
      <c r="F1476" s="4">
        <v>721</v>
      </c>
      <c r="G1476" s="4">
        <v>45</v>
      </c>
      <c r="H1476" s="4">
        <v>1</v>
      </c>
      <c r="I1476" s="4">
        <v>17</v>
      </c>
      <c r="J1476" s="4">
        <v>2</v>
      </c>
      <c r="K1476" s="4">
        <f t="shared" si="272"/>
        <v>0</v>
      </c>
      <c r="L1476" s="4">
        <f t="shared" si="272"/>
        <v>0</v>
      </c>
      <c r="M1476" s="4">
        <f t="shared" si="272"/>
        <v>0</v>
      </c>
      <c r="N1476" s="4">
        <f t="shared" si="272"/>
        <v>0</v>
      </c>
      <c r="O1476" s="4">
        <f t="shared" si="273"/>
        <v>0</v>
      </c>
      <c r="P1476" s="4">
        <f t="shared" si="274"/>
        <v>0</v>
      </c>
      <c r="Q1476" s="4">
        <f t="shared" si="275"/>
        <v>0</v>
      </c>
      <c r="R1476" s="4">
        <f t="shared" si="276"/>
        <v>0</v>
      </c>
      <c r="S1476" s="4">
        <f>IF(AND(VLOOKUP(G1476,Dados!$D:$L,2,0)=VLOOKUP(I1476,Dados!$S:$V,2,0),VLOOKUP(G1476,Dados!$D:$L,3,0)=VLOOKUP(I1476,Dados!$S:$V,3,0)),0,1)</f>
        <v>0</v>
      </c>
      <c r="T1476" s="4">
        <f>IF(AND(VLOOKUP(G1476,Dados!$D:$L,3,0)&lt;=VLOOKUP(H1476,Dados!$X:$AB,2,0),VLOOKUP(G1476,Dados!$D:$L,4,0)&gt;=VLOOKUP(H1476,Dados!$X:$AB,3,0),VLOOKUP(G1476,Dados!$D:$L,4,0)&lt;=VLOOKUP(H1476,Dados!$X:$AB,4,0)),0,1)</f>
        <v>0</v>
      </c>
      <c r="U1476" s="4">
        <f>IF(COUNTIFS(F:F,F1476,H:H,H1476)&lt;=VLOOKUP(H1476,Dados!$X:$AB,5,0),0,1)</f>
        <v>0</v>
      </c>
    </row>
    <row r="1477" spans="6:21">
      <c r="F1477" s="4">
        <v>722</v>
      </c>
      <c r="G1477" s="4">
        <v>44</v>
      </c>
      <c r="H1477" s="4">
        <v>2</v>
      </c>
      <c r="I1477" s="4">
        <v>17</v>
      </c>
      <c r="J1477" s="4">
        <v>8</v>
      </c>
      <c r="K1477" s="4">
        <f t="shared" si="272"/>
        <v>0</v>
      </c>
      <c r="L1477" s="4">
        <f t="shared" si="272"/>
        <v>0</v>
      </c>
      <c r="M1477" s="4">
        <f t="shared" si="272"/>
        <v>0</v>
      </c>
      <c r="N1477" s="4">
        <f t="shared" si="272"/>
        <v>0</v>
      </c>
      <c r="O1477" s="4">
        <f t="shared" si="273"/>
        <v>0</v>
      </c>
      <c r="P1477" s="4">
        <f t="shared" si="274"/>
        <v>0</v>
      </c>
      <c r="Q1477" s="4">
        <f t="shared" si="275"/>
        <v>0</v>
      </c>
      <c r="R1477" s="4">
        <f t="shared" si="276"/>
        <v>0</v>
      </c>
      <c r="S1477" s="4">
        <f>IF(AND(VLOOKUP(G1477,Dados!$D:$L,2,0)=VLOOKUP(I1477,Dados!$S:$V,2,0),VLOOKUP(G1477,Dados!$D:$L,3,0)=VLOOKUP(I1477,Dados!$S:$V,3,0)),0,1)</f>
        <v>0</v>
      </c>
      <c r="T1477" s="4">
        <f>IF(AND(VLOOKUP(G1477,Dados!$D:$L,3,0)&lt;=VLOOKUP(H1477,Dados!$X:$AB,2,0),VLOOKUP(G1477,Dados!$D:$L,4,0)&gt;=VLOOKUP(H1477,Dados!$X:$AB,3,0),VLOOKUP(G1477,Dados!$D:$L,4,0)&lt;=VLOOKUP(H1477,Dados!$X:$AB,4,0)),0,1)</f>
        <v>0</v>
      </c>
      <c r="U1477" s="4">
        <f>IF(COUNTIFS(F:F,F1477,H:H,H1477)&lt;=VLOOKUP(H1477,Dados!$X:$AB,5,0),0,1)</f>
        <v>0</v>
      </c>
    </row>
    <row r="1478" spans="6:21">
      <c r="F1478" s="4">
        <v>722</v>
      </c>
      <c r="G1478" s="4">
        <v>45</v>
      </c>
      <c r="H1478" s="4">
        <v>2</v>
      </c>
      <c r="I1478" s="4">
        <v>17</v>
      </c>
      <c r="J1478" s="4">
        <v>2</v>
      </c>
      <c r="K1478" s="4">
        <f t="shared" si="272"/>
        <v>0</v>
      </c>
      <c r="L1478" s="4">
        <f t="shared" si="272"/>
        <v>0</v>
      </c>
      <c r="M1478" s="4">
        <f t="shared" si="272"/>
        <v>0</v>
      </c>
      <c r="N1478" s="4">
        <f t="shared" si="272"/>
        <v>0</v>
      </c>
      <c r="O1478" s="4">
        <f t="shared" si="273"/>
        <v>0</v>
      </c>
      <c r="P1478" s="4">
        <f t="shared" si="274"/>
        <v>0</v>
      </c>
      <c r="Q1478" s="4">
        <f t="shared" si="275"/>
        <v>0</v>
      </c>
      <c r="R1478" s="4">
        <f t="shared" si="276"/>
        <v>0</v>
      </c>
      <c r="S1478" s="4">
        <f>IF(AND(VLOOKUP(G1478,Dados!$D:$L,2,0)=VLOOKUP(I1478,Dados!$S:$V,2,0),VLOOKUP(G1478,Dados!$D:$L,3,0)=VLOOKUP(I1478,Dados!$S:$V,3,0)),0,1)</f>
        <v>0</v>
      </c>
      <c r="T1478" s="4">
        <f>IF(AND(VLOOKUP(G1478,Dados!$D:$L,3,0)&lt;=VLOOKUP(H1478,Dados!$X:$AB,2,0),VLOOKUP(G1478,Dados!$D:$L,4,0)&gt;=VLOOKUP(H1478,Dados!$X:$AB,3,0),VLOOKUP(G1478,Dados!$D:$L,4,0)&lt;=VLOOKUP(H1478,Dados!$X:$AB,4,0)),0,1)</f>
        <v>0</v>
      </c>
      <c r="U1478" s="4">
        <f>IF(COUNTIFS(F:F,F1478,H:H,H1478)&lt;=VLOOKUP(H1478,Dados!$X:$AB,5,0),0,1)</f>
        <v>0</v>
      </c>
    </row>
    <row r="1479" spans="6:21">
      <c r="F1479" s="4">
        <v>723</v>
      </c>
      <c r="G1479" s="4">
        <v>44</v>
      </c>
      <c r="H1479" s="4">
        <v>3</v>
      </c>
      <c r="I1479" s="4">
        <v>17</v>
      </c>
      <c r="J1479" s="4">
        <v>8</v>
      </c>
      <c r="K1479" s="4">
        <f t="shared" si="272"/>
        <v>0</v>
      </c>
      <c r="L1479" s="4">
        <f t="shared" si="272"/>
        <v>0</v>
      </c>
      <c r="M1479" s="4">
        <f t="shared" si="272"/>
        <v>0</v>
      </c>
      <c r="N1479" s="4">
        <f t="shared" si="272"/>
        <v>0</v>
      </c>
      <c r="O1479" s="4">
        <f t="shared" si="273"/>
        <v>0</v>
      </c>
      <c r="P1479" s="4">
        <f t="shared" si="274"/>
        <v>0</v>
      </c>
      <c r="Q1479" s="4">
        <f t="shared" si="275"/>
        <v>0</v>
      </c>
      <c r="R1479" s="4">
        <f t="shared" si="276"/>
        <v>0</v>
      </c>
      <c r="S1479" s="4">
        <f>IF(AND(VLOOKUP(G1479,Dados!$D:$L,2,0)=VLOOKUP(I1479,Dados!$S:$V,2,0),VLOOKUP(G1479,Dados!$D:$L,3,0)=VLOOKUP(I1479,Dados!$S:$V,3,0)),0,1)</f>
        <v>0</v>
      </c>
      <c r="T1479" s="4">
        <f>IF(AND(VLOOKUP(G1479,Dados!$D:$L,3,0)&lt;=VLOOKUP(H1479,Dados!$X:$AB,2,0),VLOOKUP(G1479,Dados!$D:$L,4,0)&gt;=VLOOKUP(H1479,Dados!$X:$AB,3,0),VLOOKUP(G1479,Dados!$D:$L,4,0)&lt;=VLOOKUP(H1479,Dados!$X:$AB,4,0)),0,1)</f>
        <v>0</v>
      </c>
      <c r="U1479" s="4">
        <f>IF(COUNTIFS(F:F,F1479,H:H,H1479)&lt;=VLOOKUP(H1479,Dados!$X:$AB,5,0),0,1)</f>
        <v>0</v>
      </c>
    </row>
    <row r="1480" spans="6:21">
      <c r="F1480" s="4">
        <v>723</v>
      </c>
      <c r="G1480" s="4">
        <v>45</v>
      </c>
      <c r="H1480" s="4">
        <v>3</v>
      </c>
      <c r="I1480" s="4">
        <v>17</v>
      </c>
      <c r="J1480" s="4">
        <v>2</v>
      </c>
      <c r="K1480" s="4">
        <f t="shared" si="272"/>
        <v>0</v>
      </c>
      <c r="L1480" s="4">
        <f t="shared" si="272"/>
        <v>0</v>
      </c>
      <c r="M1480" s="4">
        <f t="shared" si="272"/>
        <v>0</v>
      </c>
      <c r="N1480" s="4">
        <f t="shared" si="272"/>
        <v>0</v>
      </c>
      <c r="O1480" s="4">
        <f t="shared" si="273"/>
        <v>0</v>
      </c>
      <c r="P1480" s="4">
        <f t="shared" si="274"/>
        <v>0</v>
      </c>
      <c r="Q1480" s="4">
        <f t="shared" si="275"/>
        <v>0</v>
      </c>
      <c r="R1480" s="4">
        <f t="shared" si="276"/>
        <v>0</v>
      </c>
      <c r="S1480" s="4">
        <f>IF(AND(VLOOKUP(G1480,Dados!$D:$L,2,0)=VLOOKUP(I1480,Dados!$S:$V,2,0),VLOOKUP(G1480,Dados!$D:$L,3,0)=VLOOKUP(I1480,Dados!$S:$V,3,0)),0,1)</f>
        <v>0</v>
      </c>
      <c r="T1480" s="4">
        <f>IF(AND(VLOOKUP(G1480,Dados!$D:$L,3,0)&lt;=VLOOKUP(H1480,Dados!$X:$AB,2,0),VLOOKUP(G1480,Dados!$D:$L,4,0)&gt;=VLOOKUP(H1480,Dados!$X:$AB,3,0),VLOOKUP(G1480,Dados!$D:$L,4,0)&lt;=VLOOKUP(H1480,Dados!$X:$AB,4,0)),0,1)</f>
        <v>0</v>
      </c>
      <c r="U1480" s="4">
        <f>IF(COUNTIFS(F:F,F1480,H:H,H1480)&lt;=VLOOKUP(H1480,Dados!$X:$AB,5,0),0,1)</f>
        <v>0</v>
      </c>
    </row>
    <row r="1481" spans="6:21">
      <c r="F1481" s="4">
        <v>724</v>
      </c>
      <c r="G1481" s="4">
        <v>47</v>
      </c>
      <c r="H1481" s="4">
        <v>1</v>
      </c>
      <c r="I1481" s="4">
        <v>18</v>
      </c>
      <c r="J1481" s="4">
        <v>3</v>
      </c>
      <c r="K1481" s="4">
        <f t="shared" si="272"/>
        <v>0</v>
      </c>
      <c r="L1481" s="4">
        <f t="shared" si="272"/>
        <v>0</v>
      </c>
      <c r="M1481" s="4">
        <f t="shared" si="272"/>
        <v>0</v>
      </c>
      <c r="N1481" s="4">
        <f t="shared" si="272"/>
        <v>1</v>
      </c>
      <c r="O1481" s="4">
        <f t="shared" si="273"/>
        <v>0</v>
      </c>
      <c r="P1481" s="4">
        <f t="shared" si="274"/>
        <v>0</v>
      </c>
      <c r="Q1481" s="4">
        <f t="shared" si="275"/>
        <v>0</v>
      </c>
      <c r="R1481" s="4">
        <f t="shared" si="276"/>
        <v>3</v>
      </c>
      <c r="S1481" s="4">
        <f>IF(AND(VLOOKUP(G1481,Dados!$D:$L,2,0)=VLOOKUP(I1481,Dados!$S:$V,2,0),VLOOKUP(G1481,Dados!$D:$L,3,0)=VLOOKUP(I1481,Dados!$S:$V,3,0)),0,1)</f>
        <v>0</v>
      </c>
      <c r="T1481" s="4">
        <f>IF(AND(VLOOKUP(G1481,Dados!$D:$L,3,0)&lt;=VLOOKUP(H1481,Dados!$X:$AB,2,0),VLOOKUP(G1481,Dados!$D:$L,4,0)&gt;=VLOOKUP(H1481,Dados!$X:$AB,3,0),VLOOKUP(G1481,Dados!$D:$L,4,0)&lt;=VLOOKUP(H1481,Dados!$X:$AB,4,0)),0,1)</f>
        <v>0</v>
      </c>
      <c r="U1481" s="4">
        <f>IF(COUNTIFS(F:F,F1481,H:H,H1481)&lt;=VLOOKUP(H1481,Dados!$X:$AB,5,0),0,1)</f>
        <v>0</v>
      </c>
    </row>
    <row r="1482" spans="6:21">
      <c r="F1482" s="4">
        <v>724</v>
      </c>
      <c r="G1482" s="4">
        <v>50</v>
      </c>
      <c r="H1482" s="4">
        <v>1</v>
      </c>
      <c r="I1482" s="4">
        <v>18</v>
      </c>
      <c r="J1482" s="4">
        <v>1</v>
      </c>
      <c r="K1482" s="4">
        <f t="shared" si="272"/>
        <v>0</v>
      </c>
      <c r="L1482" s="4">
        <f t="shared" si="272"/>
        <v>0</v>
      </c>
      <c r="M1482" s="4">
        <f t="shared" si="272"/>
        <v>0</v>
      </c>
      <c r="N1482" s="4">
        <f t="shared" si="272"/>
        <v>1</v>
      </c>
      <c r="O1482" s="4">
        <f t="shared" si="273"/>
        <v>0</v>
      </c>
      <c r="P1482" s="4">
        <f t="shared" si="274"/>
        <v>0</v>
      </c>
      <c r="Q1482" s="4">
        <f t="shared" si="275"/>
        <v>0</v>
      </c>
      <c r="R1482" s="4">
        <f t="shared" si="276"/>
        <v>1</v>
      </c>
      <c r="S1482" s="4">
        <f>IF(AND(VLOOKUP(G1482,Dados!$D:$L,2,0)=VLOOKUP(I1482,Dados!$S:$V,2,0),VLOOKUP(G1482,Dados!$D:$L,3,0)=VLOOKUP(I1482,Dados!$S:$V,3,0)),0,1)</f>
        <v>0</v>
      </c>
      <c r="T1482" s="4">
        <f>IF(AND(VLOOKUP(G1482,Dados!$D:$L,3,0)&lt;=VLOOKUP(H1482,Dados!$X:$AB,2,0),VLOOKUP(G1482,Dados!$D:$L,4,0)&gt;=VLOOKUP(H1482,Dados!$X:$AB,3,0),VLOOKUP(G1482,Dados!$D:$L,4,0)&lt;=VLOOKUP(H1482,Dados!$X:$AB,4,0)),0,1)</f>
        <v>0</v>
      </c>
      <c r="U1482" s="4">
        <f>IF(COUNTIFS(F:F,F1482,H:H,H1482)&lt;=VLOOKUP(H1482,Dados!$X:$AB,5,0),0,1)</f>
        <v>0</v>
      </c>
    </row>
    <row r="1483" spans="6:21">
      <c r="F1483" s="4">
        <v>724</v>
      </c>
      <c r="G1483" s="4">
        <v>52</v>
      </c>
      <c r="H1483" s="4">
        <v>1</v>
      </c>
      <c r="I1483" s="4">
        <v>18</v>
      </c>
      <c r="J1483" s="4">
        <v>5</v>
      </c>
      <c r="K1483" s="4">
        <f t="shared" si="272"/>
        <v>0</v>
      </c>
      <c r="L1483" s="4">
        <f t="shared" si="272"/>
        <v>0</v>
      </c>
      <c r="M1483" s="4">
        <f t="shared" si="272"/>
        <v>0</v>
      </c>
      <c r="N1483" s="4">
        <f t="shared" si="272"/>
        <v>1</v>
      </c>
      <c r="O1483" s="4">
        <f t="shared" si="273"/>
        <v>0</v>
      </c>
      <c r="P1483" s="4">
        <f t="shared" si="274"/>
        <v>0</v>
      </c>
      <c r="Q1483" s="4">
        <f t="shared" si="275"/>
        <v>0</v>
      </c>
      <c r="R1483" s="4">
        <f t="shared" si="276"/>
        <v>5</v>
      </c>
      <c r="S1483" s="4">
        <f>IF(AND(VLOOKUP(G1483,Dados!$D:$L,2,0)=VLOOKUP(I1483,Dados!$S:$V,2,0),VLOOKUP(G1483,Dados!$D:$L,3,0)=VLOOKUP(I1483,Dados!$S:$V,3,0)),0,1)</f>
        <v>0</v>
      </c>
      <c r="T1483" s="4">
        <f>IF(AND(VLOOKUP(G1483,Dados!$D:$L,3,0)&lt;=VLOOKUP(H1483,Dados!$X:$AB,2,0),VLOOKUP(G1483,Dados!$D:$L,4,0)&gt;=VLOOKUP(H1483,Dados!$X:$AB,3,0),VLOOKUP(G1483,Dados!$D:$L,4,0)&lt;=VLOOKUP(H1483,Dados!$X:$AB,4,0)),0,1)</f>
        <v>0</v>
      </c>
      <c r="U1483" s="4">
        <f>IF(COUNTIFS(F:F,F1483,H:H,H1483)&lt;=VLOOKUP(H1483,Dados!$X:$AB,5,0),0,1)</f>
        <v>0</v>
      </c>
    </row>
    <row r="1484" spans="6:21">
      <c r="F1484" s="4">
        <v>725</v>
      </c>
      <c r="G1484" s="4">
        <v>47</v>
      </c>
      <c r="H1484" s="4">
        <v>3</v>
      </c>
      <c r="I1484" s="4">
        <v>18</v>
      </c>
      <c r="J1484" s="4">
        <v>3</v>
      </c>
      <c r="K1484" s="4">
        <f t="shared" si="272"/>
        <v>0</v>
      </c>
      <c r="L1484" s="4">
        <f t="shared" si="272"/>
        <v>0</v>
      </c>
      <c r="M1484" s="4">
        <f t="shared" si="272"/>
        <v>0</v>
      </c>
      <c r="N1484" s="4">
        <f t="shared" si="272"/>
        <v>2</v>
      </c>
      <c r="O1484" s="4">
        <f t="shared" si="273"/>
        <v>0</v>
      </c>
      <c r="P1484" s="4">
        <f t="shared" si="274"/>
        <v>0</v>
      </c>
      <c r="Q1484" s="4">
        <f t="shared" si="275"/>
        <v>0</v>
      </c>
      <c r="R1484" s="4">
        <f t="shared" si="276"/>
        <v>6</v>
      </c>
      <c r="S1484" s="4">
        <f>IF(AND(VLOOKUP(G1484,Dados!$D:$L,2,0)=VLOOKUP(I1484,Dados!$S:$V,2,0),VLOOKUP(G1484,Dados!$D:$L,3,0)=VLOOKUP(I1484,Dados!$S:$V,3,0)),0,1)</f>
        <v>0</v>
      </c>
      <c r="T1484" s="4">
        <f>IF(AND(VLOOKUP(G1484,Dados!$D:$L,3,0)&lt;=VLOOKUP(H1484,Dados!$X:$AB,2,0),VLOOKUP(G1484,Dados!$D:$L,4,0)&gt;=VLOOKUP(H1484,Dados!$X:$AB,3,0),VLOOKUP(G1484,Dados!$D:$L,4,0)&lt;=VLOOKUP(H1484,Dados!$X:$AB,4,0)),0,1)</f>
        <v>0</v>
      </c>
      <c r="U1484" s="4">
        <f>IF(COUNTIFS(F:F,F1484,H:H,H1484)&lt;=VLOOKUP(H1484,Dados!$X:$AB,5,0),0,1)</f>
        <v>0</v>
      </c>
    </row>
    <row r="1485" spans="6:21">
      <c r="F1485" s="4">
        <v>725</v>
      </c>
      <c r="G1485" s="4">
        <v>50</v>
      </c>
      <c r="H1485" s="4">
        <v>3</v>
      </c>
      <c r="I1485" s="4">
        <v>18</v>
      </c>
      <c r="J1485" s="4">
        <v>1</v>
      </c>
      <c r="K1485" s="4">
        <f t="shared" si="272"/>
        <v>0</v>
      </c>
      <c r="L1485" s="4">
        <f t="shared" si="272"/>
        <v>0</v>
      </c>
      <c r="M1485" s="4">
        <f t="shared" si="272"/>
        <v>0</v>
      </c>
      <c r="N1485" s="4">
        <f t="shared" si="272"/>
        <v>2</v>
      </c>
      <c r="O1485" s="4">
        <f t="shared" si="273"/>
        <v>0</v>
      </c>
      <c r="P1485" s="4">
        <f t="shared" si="274"/>
        <v>0</v>
      </c>
      <c r="Q1485" s="4">
        <f t="shared" si="275"/>
        <v>0</v>
      </c>
      <c r="R1485" s="4">
        <f t="shared" si="276"/>
        <v>2</v>
      </c>
      <c r="S1485" s="4">
        <f>IF(AND(VLOOKUP(G1485,Dados!$D:$L,2,0)=VLOOKUP(I1485,Dados!$S:$V,2,0),VLOOKUP(G1485,Dados!$D:$L,3,0)=VLOOKUP(I1485,Dados!$S:$V,3,0)),0,1)</f>
        <v>0</v>
      </c>
      <c r="T1485" s="4">
        <f>IF(AND(VLOOKUP(G1485,Dados!$D:$L,3,0)&lt;=VLOOKUP(H1485,Dados!$X:$AB,2,0),VLOOKUP(G1485,Dados!$D:$L,4,0)&gt;=VLOOKUP(H1485,Dados!$X:$AB,3,0),VLOOKUP(G1485,Dados!$D:$L,4,0)&lt;=VLOOKUP(H1485,Dados!$X:$AB,4,0)),0,1)</f>
        <v>0</v>
      </c>
      <c r="U1485" s="4">
        <f>IF(COUNTIFS(F:F,F1485,H:H,H1485)&lt;=VLOOKUP(H1485,Dados!$X:$AB,5,0),0,1)</f>
        <v>0</v>
      </c>
    </row>
    <row r="1486" spans="6:21">
      <c r="F1486" s="4">
        <v>725</v>
      </c>
      <c r="G1486" s="4">
        <v>52</v>
      </c>
      <c r="H1486" s="4">
        <v>3</v>
      </c>
      <c r="I1486" s="4">
        <v>18</v>
      </c>
      <c r="J1486" s="4">
        <v>5</v>
      </c>
      <c r="K1486" s="4">
        <f t="shared" si="272"/>
        <v>0</v>
      </c>
      <c r="L1486" s="4">
        <f t="shared" si="272"/>
        <v>0</v>
      </c>
      <c r="M1486" s="4">
        <f t="shared" si="272"/>
        <v>0</v>
      </c>
      <c r="N1486" s="4">
        <f t="shared" si="272"/>
        <v>2</v>
      </c>
      <c r="O1486" s="4">
        <f t="shared" si="273"/>
        <v>0</v>
      </c>
      <c r="P1486" s="4">
        <f t="shared" si="274"/>
        <v>0</v>
      </c>
      <c r="Q1486" s="4">
        <f t="shared" si="275"/>
        <v>0</v>
      </c>
      <c r="R1486" s="4">
        <f t="shared" si="276"/>
        <v>10</v>
      </c>
      <c r="S1486" s="4">
        <f>IF(AND(VLOOKUP(G1486,Dados!$D:$L,2,0)=VLOOKUP(I1486,Dados!$S:$V,2,0),VLOOKUP(G1486,Dados!$D:$L,3,0)=VLOOKUP(I1486,Dados!$S:$V,3,0)),0,1)</f>
        <v>0</v>
      </c>
      <c r="T1486" s="4">
        <f>IF(AND(VLOOKUP(G1486,Dados!$D:$L,3,0)&lt;=VLOOKUP(H1486,Dados!$X:$AB,2,0),VLOOKUP(G1486,Dados!$D:$L,4,0)&gt;=VLOOKUP(H1486,Dados!$X:$AB,3,0),VLOOKUP(G1486,Dados!$D:$L,4,0)&lt;=VLOOKUP(H1486,Dados!$X:$AB,4,0)),0,1)</f>
        <v>0</v>
      </c>
      <c r="U1486" s="4">
        <f>IF(COUNTIFS(F:F,F1486,H:H,H1486)&lt;=VLOOKUP(H1486,Dados!$X:$AB,5,0),0,1)</f>
        <v>0</v>
      </c>
    </row>
    <row r="1487" spans="6:21">
      <c r="F1487" s="4">
        <v>726</v>
      </c>
      <c r="G1487" s="4">
        <v>49</v>
      </c>
      <c r="H1487" s="4">
        <v>1</v>
      </c>
      <c r="I1487" s="4">
        <v>19</v>
      </c>
      <c r="J1487" s="4">
        <v>2</v>
      </c>
      <c r="K1487" s="4">
        <f t="shared" si="272"/>
        <v>0</v>
      </c>
      <c r="L1487" s="4">
        <f t="shared" si="272"/>
        <v>0</v>
      </c>
      <c r="M1487" s="4">
        <f t="shared" si="272"/>
        <v>0</v>
      </c>
      <c r="N1487" s="4">
        <f t="shared" si="272"/>
        <v>0</v>
      </c>
      <c r="O1487" s="4">
        <f t="shared" si="273"/>
        <v>0</v>
      </c>
      <c r="P1487" s="4">
        <f t="shared" si="274"/>
        <v>0</v>
      </c>
      <c r="Q1487" s="4">
        <f t="shared" si="275"/>
        <v>0</v>
      </c>
      <c r="R1487" s="4">
        <f t="shared" si="276"/>
        <v>0</v>
      </c>
      <c r="S1487" s="4">
        <f>IF(AND(VLOOKUP(G1487,Dados!$D:$L,2,0)=VLOOKUP(I1487,Dados!$S:$V,2,0),VLOOKUP(G1487,Dados!$D:$L,3,0)=VLOOKUP(I1487,Dados!$S:$V,3,0)),0,1)</f>
        <v>0</v>
      </c>
      <c r="T1487" s="4">
        <f>IF(AND(VLOOKUP(G1487,Dados!$D:$L,3,0)&lt;=VLOOKUP(H1487,Dados!$X:$AB,2,0),VLOOKUP(G1487,Dados!$D:$L,4,0)&gt;=VLOOKUP(H1487,Dados!$X:$AB,3,0),VLOOKUP(G1487,Dados!$D:$L,4,0)&lt;=VLOOKUP(H1487,Dados!$X:$AB,4,0)),0,1)</f>
        <v>0</v>
      </c>
      <c r="U1487" s="4">
        <f>IF(COUNTIFS(F:F,F1487,H:H,H1487)&lt;=VLOOKUP(H1487,Dados!$X:$AB,5,0),0,1)</f>
        <v>0</v>
      </c>
    </row>
    <row r="1488" spans="6:21">
      <c r="F1488" s="4">
        <v>726</v>
      </c>
      <c r="G1488" s="4">
        <v>51</v>
      </c>
      <c r="H1488" s="4">
        <v>1</v>
      </c>
      <c r="I1488" s="4">
        <v>19</v>
      </c>
      <c r="J1488" s="4">
        <v>1</v>
      </c>
      <c r="K1488" s="4">
        <f t="shared" si="272"/>
        <v>0</v>
      </c>
      <c r="L1488" s="4">
        <f t="shared" si="272"/>
        <v>0</v>
      </c>
      <c r="M1488" s="4">
        <f t="shared" si="272"/>
        <v>0</v>
      </c>
      <c r="N1488" s="4">
        <f t="shared" si="272"/>
        <v>0</v>
      </c>
      <c r="O1488" s="4">
        <f t="shared" si="273"/>
        <v>0</v>
      </c>
      <c r="P1488" s="4">
        <f t="shared" si="274"/>
        <v>0</v>
      </c>
      <c r="Q1488" s="4">
        <f t="shared" si="275"/>
        <v>0</v>
      </c>
      <c r="R1488" s="4">
        <f t="shared" si="276"/>
        <v>0</v>
      </c>
      <c r="S1488" s="4">
        <f>IF(AND(VLOOKUP(G1488,Dados!$D:$L,2,0)=VLOOKUP(I1488,Dados!$S:$V,2,0),VLOOKUP(G1488,Dados!$D:$L,3,0)=VLOOKUP(I1488,Dados!$S:$V,3,0)),0,1)</f>
        <v>0</v>
      </c>
      <c r="T1488" s="4">
        <f>IF(AND(VLOOKUP(G1488,Dados!$D:$L,3,0)&lt;=VLOOKUP(H1488,Dados!$X:$AB,2,0),VLOOKUP(G1488,Dados!$D:$L,4,0)&gt;=VLOOKUP(H1488,Dados!$X:$AB,3,0),VLOOKUP(G1488,Dados!$D:$L,4,0)&lt;=VLOOKUP(H1488,Dados!$X:$AB,4,0)),0,1)</f>
        <v>0</v>
      </c>
      <c r="U1488" s="4">
        <f>IF(COUNTIFS(F:F,F1488,H:H,H1488)&lt;=VLOOKUP(H1488,Dados!$X:$AB,5,0),0,1)</f>
        <v>0</v>
      </c>
    </row>
    <row r="1489" spans="6:21">
      <c r="F1489" s="4">
        <v>726</v>
      </c>
      <c r="G1489" s="4">
        <v>52</v>
      </c>
      <c r="H1489" s="4">
        <v>1</v>
      </c>
      <c r="I1489" s="4">
        <v>19</v>
      </c>
      <c r="J1489" s="4">
        <v>8</v>
      </c>
      <c r="K1489" s="4">
        <f t="shared" si="272"/>
        <v>0</v>
      </c>
      <c r="L1489" s="4">
        <f t="shared" si="272"/>
        <v>0</v>
      </c>
      <c r="M1489" s="4">
        <f t="shared" si="272"/>
        <v>0</v>
      </c>
      <c r="N1489" s="4">
        <f t="shared" si="272"/>
        <v>0</v>
      </c>
      <c r="O1489" s="4">
        <f t="shared" si="273"/>
        <v>0</v>
      </c>
      <c r="P1489" s="4">
        <f t="shared" si="274"/>
        <v>0</v>
      </c>
      <c r="Q1489" s="4">
        <f t="shared" si="275"/>
        <v>0</v>
      </c>
      <c r="R1489" s="4">
        <f t="shared" si="276"/>
        <v>0</v>
      </c>
      <c r="S1489" s="4">
        <f>IF(AND(VLOOKUP(G1489,Dados!$D:$L,2,0)=VLOOKUP(I1489,Dados!$S:$V,2,0),VLOOKUP(G1489,Dados!$D:$L,3,0)=VLOOKUP(I1489,Dados!$S:$V,3,0)),0,1)</f>
        <v>0</v>
      </c>
      <c r="T1489" s="4">
        <f>IF(AND(VLOOKUP(G1489,Dados!$D:$L,3,0)&lt;=VLOOKUP(H1489,Dados!$X:$AB,2,0),VLOOKUP(G1489,Dados!$D:$L,4,0)&gt;=VLOOKUP(H1489,Dados!$X:$AB,3,0),VLOOKUP(G1489,Dados!$D:$L,4,0)&lt;=VLOOKUP(H1489,Dados!$X:$AB,4,0)),0,1)</f>
        <v>0</v>
      </c>
      <c r="U1489" s="4">
        <f>IF(COUNTIFS(F:F,F1489,H:H,H1489)&lt;=VLOOKUP(H1489,Dados!$X:$AB,5,0),0,1)</f>
        <v>0</v>
      </c>
    </row>
    <row r="1490" spans="6:21">
      <c r="F1490" s="4">
        <v>727</v>
      </c>
      <c r="G1490" s="4">
        <v>47</v>
      </c>
      <c r="H1490" s="4">
        <v>3</v>
      </c>
      <c r="I1490" s="4">
        <v>19</v>
      </c>
      <c r="J1490" s="4">
        <v>1</v>
      </c>
      <c r="K1490" s="4">
        <f t="shared" si="272"/>
        <v>0</v>
      </c>
      <c r="L1490" s="4">
        <f t="shared" si="272"/>
        <v>0</v>
      </c>
      <c r="M1490" s="4">
        <f t="shared" si="272"/>
        <v>0</v>
      </c>
      <c r="N1490" s="4">
        <f t="shared" si="272"/>
        <v>0</v>
      </c>
      <c r="O1490" s="4">
        <f t="shared" si="273"/>
        <v>0</v>
      </c>
      <c r="P1490" s="4">
        <f t="shared" si="274"/>
        <v>0</v>
      </c>
      <c r="Q1490" s="4">
        <f t="shared" si="275"/>
        <v>0</v>
      </c>
      <c r="R1490" s="4">
        <f t="shared" si="276"/>
        <v>0</v>
      </c>
      <c r="S1490" s="4">
        <f>IF(AND(VLOOKUP(G1490,Dados!$D:$L,2,0)=VLOOKUP(I1490,Dados!$S:$V,2,0),VLOOKUP(G1490,Dados!$D:$L,3,0)=VLOOKUP(I1490,Dados!$S:$V,3,0)),0,1)</f>
        <v>0</v>
      </c>
      <c r="T1490" s="4">
        <f>IF(AND(VLOOKUP(G1490,Dados!$D:$L,3,0)&lt;=VLOOKUP(H1490,Dados!$X:$AB,2,0),VLOOKUP(G1490,Dados!$D:$L,4,0)&gt;=VLOOKUP(H1490,Dados!$X:$AB,3,0),VLOOKUP(G1490,Dados!$D:$L,4,0)&lt;=VLOOKUP(H1490,Dados!$X:$AB,4,0)),0,1)</f>
        <v>0</v>
      </c>
      <c r="U1490" s="4">
        <f>IF(COUNTIFS(F:F,F1490,H:H,H1490)&lt;=VLOOKUP(H1490,Dados!$X:$AB,5,0),0,1)</f>
        <v>0</v>
      </c>
    </row>
    <row r="1491" spans="6:21">
      <c r="F1491" s="4">
        <v>727</v>
      </c>
      <c r="G1491" s="4">
        <v>49</v>
      </c>
      <c r="H1491" s="4">
        <v>3</v>
      </c>
      <c r="I1491" s="4">
        <v>19</v>
      </c>
      <c r="J1491" s="4">
        <v>1</v>
      </c>
      <c r="K1491" s="4">
        <f t="shared" si="272"/>
        <v>0</v>
      </c>
      <c r="L1491" s="4">
        <f t="shared" si="272"/>
        <v>0</v>
      </c>
      <c r="M1491" s="4">
        <f t="shared" si="272"/>
        <v>0</v>
      </c>
      <c r="N1491" s="4">
        <f t="shared" si="272"/>
        <v>0</v>
      </c>
      <c r="O1491" s="4">
        <f t="shared" si="273"/>
        <v>0</v>
      </c>
      <c r="P1491" s="4">
        <f t="shared" si="274"/>
        <v>0</v>
      </c>
      <c r="Q1491" s="4">
        <f t="shared" si="275"/>
        <v>0</v>
      </c>
      <c r="R1491" s="4">
        <f t="shared" si="276"/>
        <v>0</v>
      </c>
      <c r="S1491" s="4">
        <f>IF(AND(VLOOKUP(G1491,Dados!$D:$L,2,0)=VLOOKUP(I1491,Dados!$S:$V,2,0),VLOOKUP(G1491,Dados!$D:$L,3,0)=VLOOKUP(I1491,Dados!$S:$V,3,0)),0,1)</f>
        <v>0</v>
      </c>
      <c r="T1491" s="4">
        <f>IF(AND(VLOOKUP(G1491,Dados!$D:$L,3,0)&lt;=VLOOKUP(H1491,Dados!$X:$AB,2,0),VLOOKUP(G1491,Dados!$D:$L,4,0)&gt;=VLOOKUP(H1491,Dados!$X:$AB,3,0),VLOOKUP(G1491,Dados!$D:$L,4,0)&lt;=VLOOKUP(H1491,Dados!$X:$AB,4,0)),0,1)</f>
        <v>0</v>
      </c>
      <c r="U1491" s="4">
        <f>IF(COUNTIFS(F:F,F1491,H:H,H1491)&lt;=VLOOKUP(H1491,Dados!$X:$AB,5,0),0,1)</f>
        <v>0</v>
      </c>
    </row>
    <row r="1492" spans="6:21">
      <c r="F1492" s="4">
        <v>727</v>
      </c>
      <c r="G1492" s="4">
        <v>51</v>
      </c>
      <c r="H1492" s="4">
        <v>3</v>
      </c>
      <c r="I1492" s="4">
        <v>19</v>
      </c>
      <c r="J1492" s="4">
        <v>1</v>
      </c>
      <c r="K1492" s="4">
        <f t="shared" si="272"/>
        <v>0</v>
      </c>
      <c r="L1492" s="4">
        <f t="shared" si="272"/>
        <v>0</v>
      </c>
      <c r="M1492" s="4">
        <f t="shared" si="272"/>
        <v>0</v>
      </c>
      <c r="N1492" s="4">
        <f t="shared" si="272"/>
        <v>0</v>
      </c>
      <c r="O1492" s="4">
        <f t="shared" si="273"/>
        <v>0</v>
      </c>
      <c r="P1492" s="4">
        <f t="shared" si="274"/>
        <v>0</v>
      </c>
      <c r="Q1492" s="4">
        <f t="shared" si="275"/>
        <v>0</v>
      </c>
      <c r="R1492" s="4">
        <f t="shared" si="276"/>
        <v>0</v>
      </c>
      <c r="S1492" s="4">
        <f>IF(AND(VLOOKUP(G1492,Dados!$D:$L,2,0)=VLOOKUP(I1492,Dados!$S:$V,2,0),VLOOKUP(G1492,Dados!$D:$L,3,0)=VLOOKUP(I1492,Dados!$S:$V,3,0)),0,1)</f>
        <v>0</v>
      </c>
      <c r="T1492" s="4">
        <f>IF(AND(VLOOKUP(G1492,Dados!$D:$L,3,0)&lt;=VLOOKUP(H1492,Dados!$X:$AB,2,0),VLOOKUP(G1492,Dados!$D:$L,4,0)&gt;=VLOOKUP(H1492,Dados!$X:$AB,3,0),VLOOKUP(G1492,Dados!$D:$L,4,0)&lt;=VLOOKUP(H1492,Dados!$X:$AB,4,0)),0,1)</f>
        <v>0</v>
      </c>
      <c r="U1492" s="4">
        <f>IF(COUNTIFS(F:F,F1492,H:H,H1492)&lt;=VLOOKUP(H1492,Dados!$X:$AB,5,0),0,1)</f>
        <v>0</v>
      </c>
    </row>
    <row r="1493" spans="6:21">
      <c r="F1493" s="4">
        <v>727</v>
      </c>
      <c r="G1493" s="4">
        <v>52</v>
      </c>
      <c r="H1493" s="4">
        <v>3</v>
      </c>
      <c r="I1493" s="4">
        <v>19</v>
      </c>
      <c r="J1493" s="4">
        <v>8</v>
      </c>
      <c r="K1493" s="4">
        <f t="shared" si="272"/>
        <v>0</v>
      </c>
      <c r="L1493" s="4">
        <f t="shared" si="272"/>
        <v>0</v>
      </c>
      <c r="M1493" s="4">
        <f t="shared" si="272"/>
        <v>0</v>
      </c>
      <c r="N1493" s="4">
        <f t="shared" si="272"/>
        <v>0</v>
      </c>
      <c r="O1493" s="4">
        <f t="shared" si="273"/>
        <v>0</v>
      </c>
      <c r="P1493" s="4">
        <f t="shared" si="274"/>
        <v>0</v>
      </c>
      <c r="Q1493" s="4">
        <f t="shared" si="275"/>
        <v>0</v>
      </c>
      <c r="R1493" s="4">
        <f t="shared" si="276"/>
        <v>0</v>
      </c>
      <c r="S1493" s="4">
        <f>IF(AND(VLOOKUP(G1493,Dados!$D:$L,2,0)=VLOOKUP(I1493,Dados!$S:$V,2,0),VLOOKUP(G1493,Dados!$D:$L,3,0)=VLOOKUP(I1493,Dados!$S:$V,3,0)),0,1)</f>
        <v>0</v>
      </c>
      <c r="T1493" s="4">
        <f>IF(AND(VLOOKUP(G1493,Dados!$D:$L,3,0)&lt;=VLOOKUP(H1493,Dados!$X:$AB,2,0),VLOOKUP(G1493,Dados!$D:$L,4,0)&gt;=VLOOKUP(H1493,Dados!$X:$AB,3,0),VLOOKUP(G1493,Dados!$D:$L,4,0)&lt;=VLOOKUP(H1493,Dados!$X:$AB,4,0)),0,1)</f>
        <v>0</v>
      </c>
      <c r="U1493" s="4">
        <f>IF(COUNTIFS(F:F,F1493,H:H,H1493)&lt;=VLOOKUP(H1493,Dados!$X:$AB,5,0),0,1)</f>
        <v>0</v>
      </c>
    </row>
    <row r="1494" spans="6:21">
      <c r="F1494" s="4">
        <v>728</v>
      </c>
      <c r="G1494" s="4">
        <v>53</v>
      </c>
      <c r="H1494" s="4">
        <v>1</v>
      </c>
      <c r="I1494" s="4">
        <v>20</v>
      </c>
      <c r="J1494" s="4">
        <v>4</v>
      </c>
      <c r="K1494" s="4">
        <f t="shared" si="272"/>
        <v>0</v>
      </c>
      <c r="L1494" s="4">
        <f t="shared" si="272"/>
        <v>0</v>
      </c>
      <c r="M1494" s="4">
        <f t="shared" si="272"/>
        <v>0</v>
      </c>
      <c r="N1494" s="4">
        <f t="shared" si="272"/>
        <v>0</v>
      </c>
      <c r="O1494" s="4">
        <f t="shared" si="273"/>
        <v>0</v>
      </c>
      <c r="P1494" s="4">
        <f t="shared" si="274"/>
        <v>0</v>
      </c>
      <c r="Q1494" s="4">
        <f t="shared" si="275"/>
        <v>0</v>
      </c>
      <c r="R1494" s="4">
        <f t="shared" si="276"/>
        <v>0</v>
      </c>
      <c r="S1494" s="4">
        <f>IF(AND(VLOOKUP(G1494,Dados!$D:$L,2,0)=VLOOKUP(I1494,Dados!$S:$V,2,0),VLOOKUP(G1494,Dados!$D:$L,3,0)=VLOOKUP(I1494,Dados!$S:$V,3,0)),0,1)</f>
        <v>0</v>
      </c>
      <c r="T1494" s="4">
        <f>IF(AND(VLOOKUP(G1494,Dados!$D:$L,3,0)&lt;=VLOOKUP(H1494,Dados!$X:$AB,2,0),VLOOKUP(G1494,Dados!$D:$L,4,0)&gt;=VLOOKUP(H1494,Dados!$X:$AB,3,0),VLOOKUP(G1494,Dados!$D:$L,4,0)&lt;=VLOOKUP(H1494,Dados!$X:$AB,4,0)),0,1)</f>
        <v>0</v>
      </c>
      <c r="U1494" s="4">
        <f>IF(COUNTIFS(F:F,F1494,H:H,H1494)&lt;=VLOOKUP(H1494,Dados!$X:$AB,5,0),0,1)</f>
        <v>0</v>
      </c>
    </row>
    <row r="1495" spans="6:21">
      <c r="F1495" s="4">
        <v>728</v>
      </c>
      <c r="G1495" s="4">
        <v>55</v>
      </c>
      <c r="H1495" s="4">
        <v>1</v>
      </c>
      <c r="I1495" s="4">
        <v>20</v>
      </c>
      <c r="J1495" s="4">
        <v>5</v>
      </c>
      <c r="K1495" s="4">
        <f t="shared" si="272"/>
        <v>0</v>
      </c>
      <c r="L1495" s="4">
        <f t="shared" si="272"/>
        <v>0</v>
      </c>
      <c r="M1495" s="4">
        <f t="shared" si="272"/>
        <v>0</v>
      </c>
      <c r="N1495" s="4">
        <f t="shared" si="272"/>
        <v>0</v>
      </c>
      <c r="O1495" s="4">
        <f t="shared" si="273"/>
        <v>0</v>
      </c>
      <c r="P1495" s="4">
        <f t="shared" si="274"/>
        <v>0</v>
      </c>
      <c r="Q1495" s="4">
        <f t="shared" si="275"/>
        <v>0</v>
      </c>
      <c r="R1495" s="4">
        <f t="shared" si="276"/>
        <v>0</v>
      </c>
      <c r="S1495" s="4">
        <f>IF(AND(VLOOKUP(G1495,Dados!$D:$L,2,0)=VLOOKUP(I1495,Dados!$S:$V,2,0),VLOOKUP(G1495,Dados!$D:$L,3,0)=VLOOKUP(I1495,Dados!$S:$V,3,0)),0,1)</f>
        <v>0</v>
      </c>
      <c r="T1495" s="4">
        <f>IF(AND(VLOOKUP(G1495,Dados!$D:$L,3,0)&lt;=VLOOKUP(H1495,Dados!$X:$AB,2,0),VLOOKUP(G1495,Dados!$D:$L,4,0)&gt;=VLOOKUP(H1495,Dados!$X:$AB,3,0),VLOOKUP(G1495,Dados!$D:$L,4,0)&lt;=VLOOKUP(H1495,Dados!$X:$AB,4,0)),0,1)</f>
        <v>0</v>
      </c>
      <c r="U1495" s="4">
        <f>IF(COUNTIFS(F:F,F1495,H:H,H1495)&lt;=VLOOKUP(H1495,Dados!$X:$AB,5,0),0,1)</f>
        <v>0</v>
      </c>
    </row>
    <row r="1496" spans="6:21">
      <c r="F1496" s="4">
        <v>729</v>
      </c>
      <c r="G1496" s="4">
        <v>53</v>
      </c>
      <c r="H1496" s="4">
        <v>3</v>
      </c>
      <c r="I1496" s="4">
        <v>20</v>
      </c>
      <c r="J1496" s="4">
        <v>4</v>
      </c>
      <c r="K1496" s="4">
        <f t="shared" si="272"/>
        <v>0</v>
      </c>
      <c r="L1496" s="4">
        <f t="shared" si="272"/>
        <v>3</v>
      </c>
      <c r="M1496" s="4">
        <f t="shared" si="272"/>
        <v>0</v>
      </c>
      <c r="N1496" s="4">
        <f t="shared" si="272"/>
        <v>0</v>
      </c>
      <c r="O1496" s="4">
        <f t="shared" si="273"/>
        <v>0</v>
      </c>
      <c r="P1496" s="4">
        <f t="shared" si="274"/>
        <v>12</v>
      </c>
      <c r="Q1496" s="4">
        <f t="shared" si="275"/>
        <v>0</v>
      </c>
      <c r="R1496" s="4">
        <f t="shared" si="276"/>
        <v>0</v>
      </c>
      <c r="S1496" s="4">
        <f>IF(AND(VLOOKUP(G1496,Dados!$D:$L,2,0)=VLOOKUP(I1496,Dados!$S:$V,2,0),VLOOKUP(G1496,Dados!$D:$L,3,0)=VLOOKUP(I1496,Dados!$S:$V,3,0)),0,1)</f>
        <v>0</v>
      </c>
      <c r="T1496" s="4">
        <f>IF(AND(VLOOKUP(G1496,Dados!$D:$L,3,0)&lt;=VLOOKUP(H1496,Dados!$X:$AB,2,0),VLOOKUP(G1496,Dados!$D:$L,4,0)&gt;=VLOOKUP(H1496,Dados!$X:$AB,3,0),VLOOKUP(G1496,Dados!$D:$L,4,0)&lt;=VLOOKUP(H1496,Dados!$X:$AB,4,0)),0,1)</f>
        <v>0</v>
      </c>
      <c r="U1496" s="4">
        <f>IF(COUNTIFS(F:F,F1496,H:H,H1496)&lt;=VLOOKUP(H1496,Dados!$X:$AB,5,0),0,1)</f>
        <v>0</v>
      </c>
    </row>
    <row r="1497" spans="6:21">
      <c r="F1497" s="4">
        <v>729</v>
      </c>
      <c r="G1497" s="4">
        <v>55</v>
      </c>
      <c r="H1497" s="4">
        <v>3</v>
      </c>
      <c r="I1497" s="4">
        <v>20</v>
      </c>
      <c r="J1497" s="4">
        <v>5</v>
      </c>
      <c r="K1497" s="4">
        <f t="shared" si="272"/>
        <v>0</v>
      </c>
      <c r="L1497" s="4">
        <f t="shared" si="272"/>
        <v>3</v>
      </c>
      <c r="M1497" s="4">
        <f t="shared" si="272"/>
        <v>0</v>
      </c>
      <c r="N1497" s="4">
        <f t="shared" si="272"/>
        <v>0</v>
      </c>
      <c r="O1497" s="4">
        <f t="shared" si="273"/>
        <v>0</v>
      </c>
      <c r="P1497" s="4">
        <f t="shared" si="274"/>
        <v>15</v>
      </c>
      <c r="Q1497" s="4">
        <f t="shared" si="275"/>
        <v>0</v>
      </c>
      <c r="R1497" s="4">
        <f t="shared" si="276"/>
        <v>0</v>
      </c>
      <c r="S1497" s="4">
        <f>IF(AND(VLOOKUP(G1497,Dados!$D:$L,2,0)=VLOOKUP(I1497,Dados!$S:$V,2,0),VLOOKUP(G1497,Dados!$D:$L,3,0)=VLOOKUP(I1497,Dados!$S:$V,3,0)),0,1)</f>
        <v>0</v>
      </c>
      <c r="T1497" s="4">
        <f>IF(AND(VLOOKUP(G1497,Dados!$D:$L,3,0)&lt;=VLOOKUP(H1497,Dados!$X:$AB,2,0),VLOOKUP(G1497,Dados!$D:$L,4,0)&gt;=VLOOKUP(H1497,Dados!$X:$AB,3,0),VLOOKUP(G1497,Dados!$D:$L,4,0)&lt;=VLOOKUP(H1497,Dados!$X:$AB,4,0)),0,1)</f>
        <v>0</v>
      </c>
      <c r="U1497" s="4">
        <f>IF(COUNTIFS(F:F,F1497,H:H,H1497)&lt;=VLOOKUP(H1497,Dados!$X:$AB,5,0),0,1)</f>
        <v>0</v>
      </c>
    </row>
    <row r="1498" spans="6:21">
      <c r="F1498" s="4">
        <v>730</v>
      </c>
      <c r="G1498" s="4">
        <v>61</v>
      </c>
      <c r="H1498" s="4">
        <v>1</v>
      </c>
      <c r="I1498" s="4">
        <v>22</v>
      </c>
      <c r="J1498" s="4">
        <v>4</v>
      </c>
      <c r="K1498" s="4">
        <f t="shared" si="272"/>
        <v>0</v>
      </c>
      <c r="L1498" s="4">
        <f t="shared" si="272"/>
        <v>0</v>
      </c>
      <c r="M1498" s="4">
        <f t="shared" si="272"/>
        <v>0</v>
      </c>
      <c r="N1498" s="4">
        <f t="shared" si="272"/>
        <v>0</v>
      </c>
      <c r="O1498" s="4">
        <f t="shared" si="273"/>
        <v>0</v>
      </c>
      <c r="P1498" s="4">
        <f t="shared" si="274"/>
        <v>0</v>
      </c>
      <c r="Q1498" s="4">
        <f t="shared" si="275"/>
        <v>0</v>
      </c>
      <c r="R1498" s="4">
        <f t="shared" si="276"/>
        <v>0</v>
      </c>
      <c r="S1498" s="4">
        <f>IF(AND(VLOOKUP(G1498,Dados!$D:$L,2,0)=VLOOKUP(I1498,Dados!$S:$V,2,0),VLOOKUP(G1498,Dados!$D:$L,3,0)=VLOOKUP(I1498,Dados!$S:$V,3,0)),0,1)</f>
        <v>0</v>
      </c>
      <c r="T1498" s="4">
        <f>IF(AND(VLOOKUP(G1498,Dados!$D:$L,3,0)&lt;=VLOOKUP(H1498,Dados!$X:$AB,2,0),VLOOKUP(G1498,Dados!$D:$L,4,0)&gt;=VLOOKUP(H1498,Dados!$X:$AB,3,0),VLOOKUP(G1498,Dados!$D:$L,4,0)&lt;=VLOOKUP(H1498,Dados!$X:$AB,4,0)),0,1)</f>
        <v>0</v>
      </c>
      <c r="U1498" s="4">
        <f>IF(COUNTIFS(F:F,F1498,H:H,H1498)&lt;=VLOOKUP(H1498,Dados!$X:$AB,5,0),0,1)</f>
        <v>0</v>
      </c>
    </row>
    <row r="1499" spans="6:21">
      <c r="F1499" s="4">
        <v>730</v>
      </c>
      <c r="G1499" s="4">
        <v>66</v>
      </c>
      <c r="H1499" s="4">
        <v>1</v>
      </c>
      <c r="I1499" s="4">
        <v>22</v>
      </c>
      <c r="J1499" s="4">
        <v>1</v>
      </c>
      <c r="K1499" s="4">
        <f t="shared" si="272"/>
        <v>0</v>
      </c>
      <c r="L1499" s="4">
        <f t="shared" si="272"/>
        <v>0</v>
      </c>
      <c r="M1499" s="4">
        <f t="shared" si="272"/>
        <v>0</v>
      </c>
      <c r="N1499" s="4">
        <f t="shared" si="272"/>
        <v>0</v>
      </c>
      <c r="O1499" s="4">
        <f t="shared" si="273"/>
        <v>0</v>
      </c>
      <c r="P1499" s="4">
        <f t="shared" si="274"/>
        <v>0</v>
      </c>
      <c r="Q1499" s="4">
        <f t="shared" si="275"/>
        <v>0</v>
      </c>
      <c r="R1499" s="4">
        <f t="shared" si="276"/>
        <v>0</v>
      </c>
      <c r="S1499" s="4">
        <f>IF(AND(VLOOKUP(G1499,Dados!$D:$L,2,0)=VLOOKUP(I1499,Dados!$S:$V,2,0),VLOOKUP(G1499,Dados!$D:$L,3,0)=VLOOKUP(I1499,Dados!$S:$V,3,0)),0,1)</f>
        <v>0</v>
      </c>
      <c r="T1499" s="4">
        <f>IF(AND(VLOOKUP(G1499,Dados!$D:$L,3,0)&lt;=VLOOKUP(H1499,Dados!$X:$AB,2,0),VLOOKUP(G1499,Dados!$D:$L,4,0)&gt;=VLOOKUP(H1499,Dados!$X:$AB,3,0),VLOOKUP(G1499,Dados!$D:$L,4,0)&lt;=VLOOKUP(H1499,Dados!$X:$AB,4,0)),0,1)</f>
        <v>0</v>
      </c>
      <c r="U1499" s="4">
        <f>IF(COUNTIFS(F:F,F1499,H:H,H1499)&lt;=VLOOKUP(H1499,Dados!$X:$AB,5,0),0,1)</f>
        <v>0</v>
      </c>
    </row>
    <row r="1500" spans="6:21">
      <c r="F1500" s="4">
        <v>730</v>
      </c>
      <c r="G1500" s="4">
        <v>67</v>
      </c>
      <c r="H1500" s="4">
        <v>1</v>
      </c>
      <c r="I1500" s="4">
        <v>22</v>
      </c>
      <c r="J1500" s="4">
        <v>1</v>
      </c>
      <c r="K1500" s="4">
        <f t="shared" si="272"/>
        <v>0</v>
      </c>
      <c r="L1500" s="4">
        <f t="shared" si="272"/>
        <v>0</v>
      </c>
      <c r="M1500" s="4">
        <f t="shared" si="272"/>
        <v>0</v>
      </c>
      <c r="N1500" s="4">
        <f t="shared" si="272"/>
        <v>0</v>
      </c>
      <c r="O1500" s="4">
        <f t="shared" si="273"/>
        <v>0</v>
      </c>
      <c r="P1500" s="4">
        <f t="shared" si="274"/>
        <v>0</v>
      </c>
      <c r="Q1500" s="4">
        <f t="shared" si="275"/>
        <v>0</v>
      </c>
      <c r="R1500" s="4">
        <f t="shared" si="276"/>
        <v>0</v>
      </c>
      <c r="S1500" s="4">
        <f>IF(AND(VLOOKUP(G1500,Dados!$D:$L,2,0)=VLOOKUP(I1500,Dados!$S:$V,2,0),VLOOKUP(G1500,Dados!$D:$L,3,0)=VLOOKUP(I1500,Dados!$S:$V,3,0)),0,1)</f>
        <v>0</v>
      </c>
      <c r="T1500" s="4">
        <f>IF(AND(VLOOKUP(G1500,Dados!$D:$L,3,0)&lt;=VLOOKUP(H1500,Dados!$X:$AB,2,0),VLOOKUP(G1500,Dados!$D:$L,4,0)&gt;=VLOOKUP(H1500,Dados!$X:$AB,3,0),VLOOKUP(G1500,Dados!$D:$L,4,0)&lt;=VLOOKUP(H1500,Dados!$X:$AB,4,0)),0,1)</f>
        <v>0</v>
      </c>
      <c r="U1500" s="4">
        <f>IF(COUNTIFS(F:F,F1500,H:H,H1500)&lt;=VLOOKUP(H1500,Dados!$X:$AB,5,0),0,1)</f>
        <v>0</v>
      </c>
    </row>
    <row r="1501" spans="6:21">
      <c r="F1501" s="4">
        <v>731</v>
      </c>
      <c r="G1501" s="4">
        <v>61</v>
      </c>
      <c r="H1501" s="4">
        <v>2</v>
      </c>
      <c r="I1501" s="4">
        <v>22</v>
      </c>
      <c r="J1501" s="4">
        <v>4</v>
      </c>
      <c r="K1501" s="4">
        <f t="shared" si="272"/>
        <v>0</v>
      </c>
      <c r="L1501" s="4">
        <f t="shared" si="272"/>
        <v>0</v>
      </c>
      <c r="M1501" s="4">
        <f t="shared" si="272"/>
        <v>0</v>
      </c>
      <c r="N1501" s="4">
        <f t="shared" si="272"/>
        <v>0</v>
      </c>
      <c r="O1501" s="4">
        <f t="shared" si="273"/>
        <v>0</v>
      </c>
      <c r="P1501" s="4">
        <f t="shared" si="274"/>
        <v>0</v>
      </c>
      <c r="Q1501" s="4">
        <f t="shared" si="275"/>
        <v>0</v>
      </c>
      <c r="R1501" s="4">
        <f t="shared" si="276"/>
        <v>0</v>
      </c>
      <c r="S1501" s="4">
        <f>IF(AND(VLOOKUP(G1501,Dados!$D:$L,2,0)=VLOOKUP(I1501,Dados!$S:$V,2,0),VLOOKUP(G1501,Dados!$D:$L,3,0)=VLOOKUP(I1501,Dados!$S:$V,3,0)),0,1)</f>
        <v>0</v>
      </c>
      <c r="T1501" s="4">
        <f>IF(AND(VLOOKUP(G1501,Dados!$D:$L,3,0)&lt;=VLOOKUP(H1501,Dados!$X:$AB,2,0),VLOOKUP(G1501,Dados!$D:$L,4,0)&gt;=VLOOKUP(H1501,Dados!$X:$AB,3,0),VLOOKUP(G1501,Dados!$D:$L,4,0)&lt;=VLOOKUP(H1501,Dados!$X:$AB,4,0)),0,1)</f>
        <v>0</v>
      </c>
      <c r="U1501" s="4">
        <f>IF(COUNTIFS(F:F,F1501,H:H,H1501)&lt;=VLOOKUP(H1501,Dados!$X:$AB,5,0),0,1)</f>
        <v>0</v>
      </c>
    </row>
    <row r="1502" spans="6:21">
      <c r="F1502" s="4">
        <v>731</v>
      </c>
      <c r="G1502" s="4">
        <v>66</v>
      </c>
      <c r="H1502" s="4">
        <v>2</v>
      </c>
      <c r="I1502" s="4">
        <v>22</v>
      </c>
      <c r="J1502" s="4">
        <v>1</v>
      </c>
      <c r="K1502" s="4">
        <f t="shared" si="272"/>
        <v>0</v>
      </c>
      <c r="L1502" s="4">
        <f t="shared" si="272"/>
        <v>0</v>
      </c>
      <c r="M1502" s="4">
        <f t="shared" si="272"/>
        <v>0</v>
      </c>
      <c r="N1502" s="4">
        <f t="shared" si="272"/>
        <v>0</v>
      </c>
      <c r="O1502" s="4">
        <f t="shared" si="273"/>
        <v>0</v>
      </c>
      <c r="P1502" s="4">
        <f t="shared" si="274"/>
        <v>0</v>
      </c>
      <c r="Q1502" s="4">
        <f t="shared" si="275"/>
        <v>0</v>
      </c>
      <c r="R1502" s="4">
        <f t="shared" si="276"/>
        <v>0</v>
      </c>
      <c r="S1502" s="4">
        <f>IF(AND(VLOOKUP(G1502,Dados!$D:$L,2,0)=VLOOKUP(I1502,Dados!$S:$V,2,0),VLOOKUP(G1502,Dados!$D:$L,3,0)=VLOOKUP(I1502,Dados!$S:$V,3,0)),0,1)</f>
        <v>0</v>
      </c>
      <c r="T1502" s="4">
        <f>IF(AND(VLOOKUP(G1502,Dados!$D:$L,3,0)&lt;=VLOOKUP(H1502,Dados!$X:$AB,2,0),VLOOKUP(G1502,Dados!$D:$L,4,0)&gt;=VLOOKUP(H1502,Dados!$X:$AB,3,0),VLOOKUP(G1502,Dados!$D:$L,4,0)&lt;=VLOOKUP(H1502,Dados!$X:$AB,4,0)),0,1)</f>
        <v>0</v>
      </c>
      <c r="U1502" s="4">
        <f>IF(COUNTIFS(F:F,F1502,H:H,H1502)&lt;=VLOOKUP(H1502,Dados!$X:$AB,5,0),0,1)</f>
        <v>0</v>
      </c>
    </row>
    <row r="1503" spans="6:21">
      <c r="F1503" s="4">
        <v>731</v>
      </c>
      <c r="G1503" s="4">
        <v>67</v>
      </c>
      <c r="H1503" s="4">
        <v>2</v>
      </c>
      <c r="I1503" s="4">
        <v>22</v>
      </c>
      <c r="J1503" s="4">
        <v>1</v>
      </c>
      <c r="K1503" s="4">
        <f t="shared" si="272"/>
        <v>0</v>
      </c>
      <c r="L1503" s="4">
        <f t="shared" si="272"/>
        <v>0</v>
      </c>
      <c r="M1503" s="4">
        <f t="shared" si="272"/>
        <v>0</v>
      </c>
      <c r="N1503" s="4">
        <f t="shared" si="272"/>
        <v>0</v>
      </c>
      <c r="O1503" s="4">
        <f t="shared" si="273"/>
        <v>0</v>
      </c>
      <c r="P1503" s="4">
        <f t="shared" si="274"/>
        <v>0</v>
      </c>
      <c r="Q1503" s="4">
        <f t="shared" si="275"/>
        <v>0</v>
      </c>
      <c r="R1503" s="4">
        <f t="shared" si="276"/>
        <v>0</v>
      </c>
      <c r="S1503" s="4">
        <f>IF(AND(VLOOKUP(G1503,Dados!$D:$L,2,0)=VLOOKUP(I1503,Dados!$S:$V,2,0),VLOOKUP(G1503,Dados!$D:$L,3,0)=VLOOKUP(I1503,Dados!$S:$V,3,0)),0,1)</f>
        <v>0</v>
      </c>
      <c r="T1503" s="4">
        <f>IF(AND(VLOOKUP(G1503,Dados!$D:$L,3,0)&lt;=VLOOKUP(H1503,Dados!$X:$AB,2,0),VLOOKUP(G1503,Dados!$D:$L,4,0)&gt;=VLOOKUP(H1503,Dados!$X:$AB,3,0),VLOOKUP(G1503,Dados!$D:$L,4,0)&lt;=VLOOKUP(H1503,Dados!$X:$AB,4,0)),0,1)</f>
        <v>0</v>
      </c>
      <c r="U1503" s="4">
        <f>IF(COUNTIFS(F:F,F1503,H:H,H1503)&lt;=VLOOKUP(H1503,Dados!$X:$AB,5,0),0,1)</f>
        <v>0</v>
      </c>
    </row>
    <row r="1504" spans="6:21">
      <c r="F1504" s="4">
        <v>732</v>
      </c>
      <c r="G1504" s="4">
        <v>61</v>
      </c>
      <c r="H1504" s="4">
        <v>3</v>
      </c>
      <c r="I1504" s="4">
        <v>22</v>
      </c>
      <c r="J1504" s="4">
        <v>4</v>
      </c>
      <c r="K1504" s="4">
        <f t="shared" si="272"/>
        <v>0</v>
      </c>
      <c r="L1504" s="4">
        <f t="shared" si="272"/>
        <v>0</v>
      </c>
      <c r="M1504" s="4">
        <f t="shared" si="272"/>
        <v>0</v>
      </c>
      <c r="N1504" s="4">
        <f t="shared" si="272"/>
        <v>0</v>
      </c>
      <c r="O1504" s="4">
        <f t="shared" si="273"/>
        <v>0</v>
      </c>
      <c r="P1504" s="4">
        <f t="shared" si="274"/>
        <v>0</v>
      </c>
      <c r="Q1504" s="4">
        <f t="shared" si="275"/>
        <v>0</v>
      </c>
      <c r="R1504" s="4">
        <f t="shared" si="276"/>
        <v>0</v>
      </c>
      <c r="S1504" s="4">
        <f>IF(AND(VLOOKUP(G1504,Dados!$D:$L,2,0)=VLOOKUP(I1504,Dados!$S:$V,2,0),VLOOKUP(G1504,Dados!$D:$L,3,0)=VLOOKUP(I1504,Dados!$S:$V,3,0)),0,1)</f>
        <v>0</v>
      </c>
      <c r="T1504" s="4">
        <f>IF(AND(VLOOKUP(G1504,Dados!$D:$L,3,0)&lt;=VLOOKUP(H1504,Dados!$X:$AB,2,0),VLOOKUP(G1504,Dados!$D:$L,4,0)&gt;=VLOOKUP(H1504,Dados!$X:$AB,3,0),VLOOKUP(G1504,Dados!$D:$L,4,0)&lt;=VLOOKUP(H1504,Dados!$X:$AB,4,0)),0,1)</f>
        <v>0</v>
      </c>
      <c r="U1504" s="4">
        <f>IF(COUNTIFS(F:F,F1504,H:H,H1504)&lt;=VLOOKUP(H1504,Dados!$X:$AB,5,0),0,1)</f>
        <v>0</v>
      </c>
    </row>
    <row r="1505" spans="6:21">
      <c r="F1505" s="4">
        <v>732</v>
      </c>
      <c r="G1505" s="4">
        <v>66</v>
      </c>
      <c r="H1505" s="4">
        <v>3</v>
      </c>
      <c r="I1505" s="4">
        <v>22</v>
      </c>
      <c r="J1505" s="4">
        <v>1</v>
      </c>
      <c r="K1505" s="4">
        <f t="shared" si="272"/>
        <v>0</v>
      </c>
      <c r="L1505" s="4">
        <f t="shared" si="272"/>
        <v>0</v>
      </c>
      <c r="M1505" s="4">
        <f t="shared" si="272"/>
        <v>0</v>
      </c>
      <c r="N1505" s="4">
        <f t="shared" si="272"/>
        <v>0</v>
      </c>
      <c r="O1505" s="4">
        <f t="shared" si="273"/>
        <v>0</v>
      </c>
      <c r="P1505" s="4">
        <f t="shared" si="274"/>
        <v>0</v>
      </c>
      <c r="Q1505" s="4">
        <f t="shared" si="275"/>
        <v>0</v>
      </c>
      <c r="R1505" s="4">
        <f t="shared" si="276"/>
        <v>0</v>
      </c>
      <c r="S1505" s="4">
        <f>IF(AND(VLOOKUP(G1505,Dados!$D:$L,2,0)=VLOOKUP(I1505,Dados!$S:$V,2,0),VLOOKUP(G1505,Dados!$D:$L,3,0)=VLOOKUP(I1505,Dados!$S:$V,3,0)),0,1)</f>
        <v>0</v>
      </c>
      <c r="T1505" s="4">
        <f>IF(AND(VLOOKUP(G1505,Dados!$D:$L,3,0)&lt;=VLOOKUP(H1505,Dados!$X:$AB,2,0),VLOOKUP(G1505,Dados!$D:$L,4,0)&gt;=VLOOKUP(H1505,Dados!$X:$AB,3,0),VLOOKUP(G1505,Dados!$D:$L,4,0)&lt;=VLOOKUP(H1505,Dados!$X:$AB,4,0)),0,1)</f>
        <v>0</v>
      </c>
      <c r="U1505" s="4">
        <f>IF(COUNTIFS(F:F,F1505,H:H,H1505)&lt;=VLOOKUP(H1505,Dados!$X:$AB,5,0),0,1)</f>
        <v>0</v>
      </c>
    </row>
    <row r="1506" spans="6:21">
      <c r="F1506" s="4">
        <v>732</v>
      </c>
      <c r="G1506" s="4">
        <v>67</v>
      </c>
      <c r="H1506" s="4">
        <v>3</v>
      </c>
      <c r="I1506" s="4">
        <v>22</v>
      </c>
      <c r="J1506" s="4">
        <v>1</v>
      </c>
      <c r="K1506" s="4">
        <f t="shared" si="272"/>
        <v>0</v>
      </c>
      <c r="L1506" s="4">
        <f t="shared" si="272"/>
        <v>0</v>
      </c>
      <c r="M1506" s="4">
        <f t="shared" si="272"/>
        <v>0</v>
      </c>
      <c r="N1506" s="4">
        <f t="shared" si="272"/>
        <v>0</v>
      </c>
      <c r="O1506" s="4">
        <f t="shared" si="273"/>
        <v>0</v>
      </c>
      <c r="P1506" s="4">
        <f t="shared" si="274"/>
        <v>0</v>
      </c>
      <c r="Q1506" s="4">
        <f t="shared" si="275"/>
        <v>0</v>
      </c>
      <c r="R1506" s="4">
        <f t="shared" si="276"/>
        <v>0</v>
      </c>
      <c r="S1506" s="4">
        <f>IF(AND(VLOOKUP(G1506,Dados!$D:$L,2,0)=VLOOKUP(I1506,Dados!$S:$V,2,0),VLOOKUP(G1506,Dados!$D:$L,3,0)=VLOOKUP(I1506,Dados!$S:$V,3,0)),0,1)</f>
        <v>0</v>
      </c>
      <c r="T1506" s="4">
        <f>IF(AND(VLOOKUP(G1506,Dados!$D:$L,3,0)&lt;=VLOOKUP(H1506,Dados!$X:$AB,2,0),VLOOKUP(G1506,Dados!$D:$L,4,0)&gt;=VLOOKUP(H1506,Dados!$X:$AB,3,0),VLOOKUP(G1506,Dados!$D:$L,4,0)&lt;=VLOOKUP(H1506,Dados!$X:$AB,4,0)),0,1)</f>
        <v>0</v>
      </c>
      <c r="U1506" s="4">
        <f>IF(COUNTIFS(F:F,F1506,H:H,H1506)&lt;=VLOOKUP(H1506,Dados!$X:$AB,5,0),0,1)</f>
        <v>0</v>
      </c>
    </row>
    <row r="1507" spans="6:21">
      <c r="F1507" s="4">
        <v>733</v>
      </c>
      <c r="G1507" s="4">
        <v>61</v>
      </c>
      <c r="H1507" s="4">
        <v>1</v>
      </c>
      <c r="I1507" s="4">
        <v>25</v>
      </c>
      <c r="J1507" s="4">
        <v>4</v>
      </c>
      <c r="K1507" s="4">
        <f t="shared" si="272"/>
        <v>0</v>
      </c>
      <c r="L1507" s="4">
        <f t="shared" si="272"/>
        <v>0</v>
      </c>
      <c r="M1507" s="4">
        <f t="shared" si="272"/>
        <v>0</v>
      </c>
      <c r="N1507" s="4">
        <f t="shared" si="272"/>
        <v>0</v>
      </c>
      <c r="O1507" s="4">
        <f t="shared" si="273"/>
        <v>0</v>
      </c>
      <c r="P1507" s="4">
        <f t="shared" si="274"/>
        <v>0</v>
      </c>
      <c r="Q1507" s="4">
        <f t="shared" si="275"/>
        <v>0</v>
      </c>
      <c r="R1507" s="4">
        <f t="shared" si="276"/>
        <v>0</v>
      </c>
      <c r="S1507" s="4">
        <f>IF(AND(VLOOKUP(G1507,Dados!$D:$L,2,0)=VLOOKUP(I1507,Dados!$S:$V,2,0),VLOOKUP(G1507,Dados!$D:$L,3,0)=VLOOKUP(I1507,Dados!$S:$V,3,0)),0,1)</f>
        <v>0</v>
      </c>
      <c r="T1507" s="4">
        <f>IF(AND(VLOOKUP(G1507,Dados!$D:$L,3,0)&lt;=VLOOKUP(H1507,Dados!$X:$AB,2,0),VLOOKUP(G1507,Dados!$D:$L,4,0)&gt;=VLOOKUP(H1507,Dados!$X:$AB,3,0),VLOOKUP(G1507,Dados!$D:$L,4,0)&lt;=VLOOKUP(H1507,Dados!$X:$AB,4,0)),0,1)</f>
        <v>0</v>
      </c>
      <c r="U1507" s="4">
        <f>IF(COUNTIFS(F:F,F1507,H:H,H1507)&lt;=VLOOKUP(H1507,Dados!$X:$AB,5,0),0,1)</f>
        <v>0</v>
      </c>
    </row>
    <row r="1508" spans="6:21">
      <c r="F1508" s="4">
        <v>733</v>
      </c>
      <c r="G1508" s="4">
        <v>66</v>
      </c>
      <c r="H1508" s="4">
        <v>1</v>
      </c>
      <c r="I1508" s="4">
        <v>25</v>
      </c>
      <c r="J1508" s="4">
        <v>2</v>
      </c>
      <c r="K1508" s="4">
        <f t="shared" ref="K1508:N1571" si="277">SUMIFS($X:$X,$W:$W,$F1508,$Z:$Z,$I1508,$AA:$AA,$H1508,$AB:$AB,K$2)</f>
        <v>0</v>
      </c>
      <c r="L1508" s="4">
        <f t="shared" si="277"/>
        <v>0</v>
      </c>
      <c r="M1508" s="4">
        <f t="shared" si="277"/>
        <v>0</v>
      </c>
      <c r="N1508" s="4">
        <f t="shared" si="277"/>
        <v>0</v>
      </c>
      <c r="O1508" s="4">
        <f t="shared" si="273"/>
        <v>0</v>
      </c>
      <c r="P1508" s="4">
        <f t="shared" si="274"/>
        <v>0</v>
      </c>
      <c r="Q1508" s="4">
        <f t="shared" si="275"/>
        <v>0</v>
      </c>
      <c r="R1508" s="4">
        <f t="shared" si="276"/>
        <v>0</v>
      </c>
      <c r="S1508" s="4">
        <f>IF(AND(VLOOKUP(G1508,Dados!$D:$L,2,0)=VLOOKUP(I1508,Dados!$S:$V,2,0),VLOOKUP(G1508,Dados!$D:$L,3,0)=VLOOKUP(I1508,Dados!$S:$V,3,0)),0,1)</f>
        <v>0</v>
      </c>
      <c r="T1508" s="4">
        <f>IF(AND(VLOOKUP(G1508,Dados!$D:$L,3,0)&lt;=VLOOKUP(H1508,Dados!$X:$AB,2,0),VLOOKUP(G1508,Dados!$D:$L,4,0)&gt;=VLOOKUP(H1508,Dados!$X:$AB,3,0),VLOOKUP(G1508,Dados!$D:$L,4,0)&lt;=VLOOKUP(H1508,Dados!$X:$AB,4,0)),0,1)</f>
        <v>0</v>
      </c>
      <c r="U1508" s="4">
        <f>IF(COUNTIFS(F:F,F1508,H:H,H1508)&lt;=VLOOKUP(H1508,Dados!$X:$AB,5,0),0,1)</f>
        <v>0</v>
      </c>
    </row>
    <row r="1509" spans="6:21">
      <c r="F1509" s="4">
        <v>733</v>
      </c>
      <c r="G1509" s="4">
        <v>67</v>
      </c>
      <c r="H1509" s="4">
        <v>1</v>
      </c>
      <c r="I1509" s="4">
        <v>25</v>
      </c>
      <c r="J1509" s="4">
        <v>1</v>
      </c>
      <c r="K1509" s="4">
        <f t="shared" si="277"/>
        <v>0</v>
      </c>
      <c r="L1509" s="4">
        <f t="shared" si="277"/>
        <v>0</v>
      </c>
      <c r="M1509" s="4">
        <f t="shared" si="277"/>
        <v>0</v>
      </c>
      <c r="N1509" s="4">
        <f t="shared" si="277"/>
        <v>0</v>
      </c>
      <c r="O1509" s="4">
        <f t="shared" si="273"/>
        <v>0</v>
      </c>
      <c r="P1509" s="4">
        <f t="shared" si="274"/>
        <v>0</v>
      </c>
      <c r="Q1509" s="4">
        <f t="shared" si="275"/>
        <v>0</v>
      </c>
      <c r="R1509" s="4">
        <f t="shared" si="276"/>
        <v>0</v>
      </c>
      <c r="S1509" s="4">
        <f>IF(AND(VLOOKUP(G1509,Dados!$D:$L,2,0)=VLOOKUP(I1509,Dados!$S:$V,2,0),VLOOKUP(G1509,Dados!$D:$L,3,0)=VLOOKUP(I1509,Dados!$S:$V,3,0)),0,1)</f>
        <v>0</v>
      </c>
      <c r="T1509" s="4">
        <f>IF(AND(VLOOKUP(G1509,Dados!$D:$L,3,0)&lt;=VLOOKUP(H1509,Dados!$X:$AB,2,0),VLOOKUP(G1509,Dados!$D:$L,4,0)&gt;=VLOOKUP(H1509,Dados!$X:$AB,3,0),VLOOKUP(G1509,Dados!$D:$L,4,0)&lt;=VLOOKUP(H1509,Dados!$X:$AB,4,0)),0,1)</f>
        <v>0</v>
      </c>
      <c r="U1509" s="4">
        <f>IF(COUNTIFS(F:F,F1509,H:H,H1509)&lt;=VLOOKUP(H1509,Dados!$X:$AB,5,0),0,1)</f>
        <v>0</v>
      </c>
    </row>
    <row r="1510" spans="6:21">
      <c r="F1510" s="4">
        <v>734</v>
      </c>
      <c r="G1510" s="4">
        <v>61</v>
      </c>
      <c r="H1510" s="4">
        <v>2</v>
      </c>
      <c r="I1510" s="4">
        <v>25</v>
      </c>
      <c r="J1510" s="4">
        <v>4</v>
      </c>
      <c r="K1510" s="4">
        <f t="shared" si="277"/>
        <v>0</v>
      </c>
      <c r="L1510" s="4">
        <f t="shared" si="277"/>
        <v>0</v>
      </c>
      <c r="M1510" s="4">
        <f t="shared" si="277"/>
        <v>0</v>
      </c>
      <c r="N1510" s="4">
        <f t="shared" si="277"/>
        <v>0</v>
      </c>
      <c r="O1510" s="4">
        <f t="shared" si="273"/>
        <v>0</v>
      </c>
      <c r="P1510" s="4">
        <f t="shared" si="274"/>
        <v>0</v>
      </c>
      <c r="Q1510" s="4">
        <f t="shared" si="275"/>
        <v>0</v>
      </c>
      <c r="R1510" s="4">
        <f t="shared" si="276"/>
        <v>0</v>
      </c>
      <c r="S1510" s="4">
        <f>IF(AND(VLOOKUP(G1510,Dados!$D:$L,2,0)=VLOOKUP(I1510,Dados!$S:$V,2,0),VLOOKUP(G1510,Dados!$D:$L,3,0)=VLOOKUP(I1510,Dados!$S:$V,3,0)),0,1)</f>
        <v>0</v>
      </c>
      <c r="T1510" s="4">
        <f>IF(AND(VLOOKUP(G1510,Dados!$D:$L,3,0)&lt;=VLOOKUP(H1510,Dados!$X:$AB,2,0),VLOOKUP(G1510,Dados!$D:$L,4,0)&gt;=VLOOKUP(H1510,Dados!$X:$AB,3,0),VLOOKUP(G1510,Dados!$D:$L,4,0)&lt;=VLOOKUP(H1510,Dados!$X:$AB,4,0)),0,1)</f>
        <v>0</v>
      </c>
      <c r="U1510" s="4">
        <f>IF(COUNTIFS(F:F,F1510,H:H,H1510)&lt;=VLOOKUP(H1510,Dados!$X:$AB,5,0),0,1)</f>
        <v>0</v>
      </c>
    </row>
    <row r="1511" spans="6:21">
      <c r="F1511" s="4">
        <v>734</v>
      </c>
      <c r="G1511" s="4">
        <v>66</v>
      </c>
      <c r="H1511" s="4">
        <v>2</v>
      </c>
      <c r="I1511" s="4">
        <v>25</v>
      </c>
      <c r="J1511" s="4">
        <v>2</v>
      </c>
      <c r="K1511" s="4">
        <f t="shared" si="277"/>
        <v>0</v>
      </c>
      <c r="L1511" s="4">
        <f t="shared" si="277"/>
        <v>0</v>
      </c>
      <c r="M1511" s="4">
        <f t="shared" si="277"/>
        <v>0</v>
      </c>
      <c r="N1511" s="4">
        <f t="shared" si="277"/>
        <v>0</v>
      </c>
      <c r="O1511" s="4">
        <f t="shared" ref="O1511:O1574" si="278">$J1511*K1511</f>
        <v>0</v>
      </c>
      <c r="P1511" s="4">
        <f t="shared" ref="P1511:P1574" si="279">$J1511*L1511</f>
        <v>0</v>
      </c>
      <c r="Q1511" s="4">
        <f t="shared" ref="Q1511:Q1574" si="280">$J1511*M1511</f>
        <v>0</v>
      </c>
      <c r="R1511" s="4">
        <f t="shared" ref="R1511:R1574" si="281">$J1511*N1511</f>
        <v>0</v>
      </c>
      <c r="S1511" s="4">
        <f>IF(AND(VLOOKUP(G1511,Dados!$D:$L,2,0)=VLOOKUP(I1511,Dados!$S:$V,2,0),VLOOKUP(G1511,Dados!$D:$L,3,0)=VLOOKUP(I1511,Dados!$S:$V,3,0)),0,1)</f>
        <v>0</v>
      </c>
      <c r="T1511" s="4">
        <f>IF(AND(VLOOKUP(G1511,Dados!$D:$L,3,0)&lt;=VLOOKUP(H1511,Dados!$X:$AB,2,0),VLOOKUP(G1511,Dados!$D:$L,4,0)&gt;=VLOOKUP(H1511,Dados!$X:$AB,3,0),VLOOKUP(G1511,Dados!$D:$L,4,0)&lt;=VLOOKUP(H1511,Dados!$X:$AB,4,0)),0,1)</f>
        <v>0</v>
      </c>
      <c r="U1511" s="4">
        <f>IF(COUNTIFS(F:F,F1511,H:H,H1511)&lt;=VLOOKUP(H1511,Dados!$X:$AB,5,0),0,1)</f>
        <v>0</v>
      </c>
    </row>
    <row r="1512" spans="6:21">
      <c r="F1512" s="4">
        <v>734</v>
      </c>
      <c r="G1512" s="4">
        <v>67</v>
      </c>
      <c r="H1512" s="4">
        <v>2</v>
      </c>
      <c r="I1512" s="4">
        <v>25</v>
      </c>
      <c r="J1512" s="4">
        <v>1</v>
      </c>
      <c r="K1512" s="4">
        <f t="shared" si="277"/>
        <v>0</v>
      </c>
      <c r="L1512" s="4">
        <f t="shared" si="277"/>
        <v>0</v>
      </c>
      <c r="M1512" s="4">
        <f t="shared" si="277"/>
        <v>0</v>
      </c>
      <c r="N1512" s="4">
        <f t="shared" si="277"/>
        <v>0</v>
      </c>
      <c r="O1512" s="4">
        <f t="shared" si="278"/>
        <v>0</v>
      </c>
      <c r="P1512" s="4">
        <f t="shared" si="279"/>
        <v>0</v>
      </c>
      <c r="Q1512" s="4">
        <f t="shared" si="280"/>
        <v>0</v>
      </c>
      <c r="R1512" s="4">
        <f t="shared" si="281"/>
        <v>0</v>
      </c>
      <c r="S1512" s="4">
        <f>IF(AND(VLOOKUP(G1512,Dados!$D:$L,2,0)=VLOOKUP(I1512,Dados!$S:$V,2,0),VLOOKUP(G1512,Dados!$D:$L,3,0)=VLOOKUP(I1512,Dados!$S:$V,3,0)),0,1)</f>
        <v>0</v>
      </c>
      <c r="T1512" s="4">
        <f>IF(AND(VLOOKUP(G1512,Dados!$D:$L,3,0)&lt;=VLOOKUP(H1512,Dados!$X:$AB,2,0),VLOOKUP(G1512,Dados!$D:$L,4,0)&gt;=VLOOKUP(H1512,Dados!$X:$AB,3,0),VLOOKUP(G1512,Dados!$D:$L,4,0)&lt;=VLOOKUP(H1512,Dados!$X:$AB,4,0)),0,1)</f>
        <v>0</v>
      </c>
      <c r="U1512" s="4">
        <f>IF(COUNTIFS(F:F,F1512,H:H,H1512)&lt;=VLOOKUP(H1512,Dados!$X:$AB,5,0),0,1)</f>
        <v>0</v>
      </c>
    </row>
    <row r="1513" spans="6:21">
      <c r="F1513" s="4">
        <v>735</v>
      </c>
      <c r="G1513" s="4">
        <v>61</v>
      </c>
      <c r="H1513" s="4">
        <v>3</v>
      </c>
      <c r="I1513" s="4">
        <v>25</v>
      </c>
      <c r="J1513" s="4">
        <v>4</v>
      </c>
      <c r="K1513" s="4">
        <f t="shared" si="277"/>
        <v>0</v>
      </c>
      <c r="L1513" s="4">
        <f t="shared" si="277"/>
        <v>0</v>
      </c>
      <c r="M1513" s="4">
        <f t="shared" si="277"/>
        <v>0</v>
      </c>
      <c r="N1513" s="4">
        <f t="shared" si="277"/>
        <v>0</v>
      </c>
      <c r="O1513" s="4">
        <f t="shared" si="278"/>
        <v>0</v>
      </c>
      <c r="P1513" s="4">
        <f t="shared" si="279"/>
        <v>0</v>
      </c>
      <c r="Q1513" s="4">
        <f t="shared" si="280"/>
        <v>0</v>
      </c>
      <c r="R1513" s="4">
        <f t="shared" si="281"/>
        <v>0</v>
      </c>
      <c r="S1513" s="4">
        <f>IF(AND(VLOOKUP(G1513,Dados!$D:$L,2,0)=VLOOKUP(I1513,Dados!$S:$V,2,0),VLOOKUP(G1513,Dados!$D:$L,3,0)=VLOOKUP(I1513,Dados!$S:$V,3,0)),0,1)</f>
        <v>0</v>
      </c>
      <c r="T1513" s="4">
        <f>IF(AND(VLOOKUP(G1513,Dados!$D:$L,3,0)&lt;=VLOOKUP(H1513,Dados!$X:$AB,2,0),VLOOKUP(G1513,Dados!$D:$L,4,0)&gt;=VLOOKUP(H1513,Dados!$X:$AB,3,0),VLOOKUP(G1513,Dados!$D:$L,4,0)&lt;=VLOOKUP(H1513,Dados!$X:$AB,4,0)),0,1)</f>
        <v>0</v>
      </c>
      <c r="U1513" s="4">
        <f>IF(COUNTIFS(F:F,F1513,H:H,H1513)&lt;=VLOOKUP(H1513,Dados!$X:$AB,5,0),0,1)</f>
        <v>0</v>
      </c>
    </row>
    <row r="1514" spans="6:21">
      <c r="F1514" s="4">
        <v>735</v>
      </c>
      <c r="G1514" s="4">
        <v>66</v>
      </c>
      <c r="H1514" s="4">
        <v>3</v>
      </c>
      <c r="I1514" s="4">
        <v>25</v>
      </c>
      <c r="J1514" s="4">
        <v>2</v>
      </c>
      <c r="K1514" s="4">
        <f t="shared" si="277"/>
        <v>0</v>
      </c>
      <c r="L1514" s="4">
        <f t="shared" si="277"/>
        <v>0</v>
      </c>
      <c r="M1514" s="4">
        <f t="shared" si="277"/>
        <v>0</v>
      </c>
      <c r="N1514" s="4">
        <f t="shared" si="277"/>
        <v>0</v>
      </c>
      <c r="O1514" s="4">
        <f t="shared" si="278"/>
        <v>0</v>
      </c>
      <c r="P1514" s="4">
        <f t="shared" si="279"/>
        <v>0</v>
      </c>
      <c r="Q1514" s="4">
        <f t="shared" si="280"/>
        <v>0</v>
      </c>
      <c r="R1514" s="4">
        <f t="shared" si="281"/>
        <v>0</v>
      </c>
      <c r="S1514" s="4">
        <f>IF(AND(VLOOKUP(G1514,Dados!$D:$L,2,0)=VLOOKUP(I1514,Dados!$S:$V,2,0),VLOOKUP(G1514,Dados!$D:$L,3,0)=VLOOKUP(I1514,Dados!$S:$V,3,0)),0,1)</f>
        <v>0</v>
      </c>
      <c r="T1514" s="4">
        <f>IF(AND(VLOOKUP(G1514,Dados!$D:$L,3,0)&lt;=VLOOKUP(H1514,Dados!$X:$AB,2,0),VLOOKUP(G1514,Dados!$D:$L,4,0)&gt;=VLOOKUP(H1514,Dados!$X:$AB,3,0),VLOOKUP(G1514,Dados!$D:$L,4,0)&lt;=VLOOKUP(H1514,Dados!$X:$AB,4,0)),0,1)</f>
        <v>0</v>
      </c>
      <c r="U1514" s="4">
        <f>IF(COUNTIFS(F:F,F1514,H:H,H1514)&lt;=VLOOKUP(H1514,Dados!$X:$AB,5,0),0,1)</f>
        <v>0</v>
      </c>
    </row>
    <row r="1515" spans="6:21">
      <c r="F1515" s="4">
        <v>735</v>
      </c>
      <c r="G1515" s="4">
        <v>67</v>
      </c>
      <c r="H1515" s="4">
        <v>3</v>
      </c>
      <c r="I1515" s="4">
        <v>25</v>
      </c>
      <c r="J1515" s="4">
        <v>1</v>
      </c>
      <c r="K1515" s="4">
        <f t="shared" si="277"/>
        <v>0</v>
      </c>
      <c r="L1515" s="4">
        <f t="shared" si="277"/>
        <v>0</v>
      </c>
      <c r="M1515" s="4">
        <f t="shared" si="277"/>
        <v>0</v>
      </c>
      <c r="N1515" s="4">
        <f t="shared" si="277"/>
        <v>0</v>
      </c>
      <c r="O1515" s="4">
        <f t="shared" si="278"/>
        <v>0</v>
      </c>
      <c r="P1515" s="4">
        <f t="shared" si="279"/>
        <v>0</v>
      </c>
      <c r="Q1515" s="4">
        <f t="shared" si="280"/>
        <v>0</v>
      </c>
      <c r="R1515" s="4">
        <f t="shared" si="281"/>
        <v>0</v>
      </c>
      <c r="S1515" s="4">
        <f>IF(AND(VLOOKUP(G1515,Dados!$D:$L,2,0)=VLOOKUP(I1515,Dados!$S:$V,2,0),VLOOKUP(G1515,Dados!$D:$L,3,0)=VLOOKUP(I1515,Dados!$S:$V,3,0)),0,1)</f>
        <v>0</v>
      </c>
      <c r="T1515" s="4">
        <f>IF(AND(VLOOKUP(G1515,Dados!$D:$L,3,0)&lt;=VLOOKUP(H1515,Dados!$X:$AB,2,0),VLOOKUP(G1515,Dados!$D:$L,4,0)&gt;=VLOOKUP(H1515,Dados!$X:$AB,3,0),VLOOKUP(G1515,Dados!$D:$L,4,0)&lt;=VLOOKUP(H1515,Dados!$X:$AB,4,0)),0,1)</f>
        <v>0</v>
      </c>
      <c r="U1515" s="4">
        <f>IF(COUNTIFS(F:F,F1515,H:H,H1515)&lt;=VLOOKUP(H1515,Dados!$X:$AB,5,0),0,1)</f>
        <v>0</v>
      </c>
    </row>
    <row r="1516" spans="6:21">
      <c r="F1516" s="4">
        <v>736</v>
      </c>
      <c r="G1516" s="4">
        <v>59</v>
      </c>
      <c r="H1516" s="4">
        <v>1</v>
      </c>
      <c r="I1516" s="4">
        <v>27</v>
      </c>
      <c r="J1516" s="4">
        <v>1</v>
      </c>
      <c r="K1516" s="4">
        <f t="shared" si="277"/>
        <v>0</v>
      </c>
      <c r="L1516" s="4">
        <f t="shared" si="277"/>
        <v>0</v>
      </c>
      <c r="M1516" s="4">
        <f t="shared" si="277"/>
        <v>0</v>
      </c>
      <c r="N1516" s="4">
        <f t="shared" si="277"/>
        <v>0</v>
      </c>
      <c r="O1516" s="4">
        <f t="shared" si="278"/>
        <v>0</v>
      </c>
      <c r="P1516" s="4">
        <f t="shared" si="279"/>
        <v>0</v>
      </c>
      <c r="Q1516" s="4">
        <f t="shared" si="280"/>
        <v>0</v>
      </c>
      <c r="R1516" s="4">
        <f t="shared" si="281"/>
        <v>0</v>
      </c>
      <c r="S1516" s="4">
        <f>IF(AND(VLOOKUP(G1516,Dados!$D:$L,2,0)=VLOOKUP(I1516,Dados!$S:$V,2,0),VLOOKUP(G1516,Dados!$D:$L,3,0)=VLOOKUP(I1516,Dados!$S:$V,3,0)),0,1)</f>
        <v>0</v>
      </c>
      <c r="T1516" s="4">
        <f>IF(AND(VLOOKUP(G1516,Dados!$D:$L,3,0)&lt;=VLOOKUP(H1516,Dados!$X:$AB,2,0),VLOOKUP(G1516,Dados!$D:$L,4,0)&gt;=VLOOKUP(H1516,Dados!$X:$AB,3,0),VLOOKUP(G1516,Dados!$D:$L,4,0)&lt;=VLOOKUP(H1516,Dados!$X:$AB,4,0)),0,1)</f>
        <v>0</v>
      </c>
      <c r="U1516" s="4">
        <f>IF(COUNTIFS(F:F,F1516,H:H,H1516)&lt;=VLOOKUP(H1516,Dados!$X:$AB,5,0),0,1)</f>
        <v>0</v>
      </c>
    </row>
    <row r="1517" spans="6:21">
      <c r="F1517" s="4">
        <v>736</v>
      </c>
      <c r="G1517" s="4">
        <v>61</v>
      </c>
      <c r="H1517" s="4">
        <v>1</v>
      </c>
      <c r="I1517" s="4">
        <v>27</v>
      </c>
      <c r="J1517" s="4">
        <v>4</v>
      </c>
      <c r="K1517" s="4">
        <f t="shared" si="277"/>
        <v>0</v>
      </c>
      <c r="L1517" s="4">
        <f t="shared" si="277"/>
        <v>0</v>
      </c>
      <c r="M1517" s="4">
        <f t="shared" si="277"/>
        <v>0</v>
      </c>
      <c r="N1517" s="4">
        <f t="shared" si="277"/>
        <v>0</v>
      </c>
      <c r="O1517" s="4">
        <f t="shared" si="278"/>
        <v>0</v>
      </c>
      <c r="P1517" s="4">
        <f t="shared" si="279"/>
        <v>0</v>
      </c>
      <c r="Q1517" s="4">
        <f t="shared" si="280"/>
        <v>0</v>
      </c>
      <c r="R1517" s="4">
        <f t="shared" si="281"/>
        <v>0</v>
      </c>
      <c r="S1517" s="4">
        <f>IF(AND(VLOOKUP(G1517,Dados!$D:$L,2,0)=VLOOKUP(I1517,Dados!$S:$V,2,0),VLOOKUP(G1517,Dados!$D:$L,3,0)=VLOOKUP(I1517,Dados!$S:$V,3,0)),0,1)</f>
        <v>0</v>
      </c>
      <c r="T1517" s="4">
        <f>IF(AND(VLOOKUP(G1517,Dados!$D:$L,3,0)&lt;=VLOOKUP(H1517,Dados!$X:$AB,2,0),VLOOKUP(G1517,Dados!$D:$L,4,0)&gt;=VLOOKUP(H1517,Dados!$X:$AB,3,0),VLOOKUP(G1517,Dados!$D:$L,4,0)&lt;=VLOOKUP(H1517,Dados!$X:$AB,4,0)),0,1)</f>
        <v>0</v>
      </c>
      <c r="U1517" s="4">
        <f>IF(COUNTIFS(F:F,F1517,H:H,H1517)&lt;=VLOOKUP(H1517,Dados!$X:$AB,5,0),0,1)</f>
        <v>0</v>
      </c>
    </row>
    <row r="1518" spans="6:21">
      <c r="F1518" s="4">
        <v>736</v>
      </c>
      <c r="G1518" s="4">
        <v>67</v>
      </c>
      <c r="H1518" s="4">
        <v>1</v>
      </c>
      <c r="I1518" s="4">
        <v>27</v>
      </c>
      <c r="J1518" s="4">
        <v>3</v>
      </c>
      <c r="K1518" s="4">
        <f t="shared" si="277"/>
        <v>0</v>
      </c>
      <c r="L1518" s="4">
        <f t="shared" si="277"/>
        <v>0</v>
      </c>
      <c r="M1518" s="4">
        <f t="shared" si="277"/>
        <v>0</v>
      </c>
      <c r="N1518" s="4">
        <f t="shared" si="277"/>
        <v>0</v>
      </c>
      <c r="O1518" s="4">
        <f t="shared" si="278"/>
        <v>0</v>
      </c>
      <c r="P1518" s="4">
        <f t="shared" si="279"/>
        <v>0</v>
      </c>
      <c r="Q1518" s="4">
        <f t="shared" si="280"/>
        <v>0</v>
      </c>
      <c r="R1518" s="4">
        <f t="shared" si="281"/>
        <v>0</v>
      </c>
      <c r="S1518" s="4">
        <f>IF(AND(VLOOKUP(G1518,Dados!$D:$L,2,0)=VLOOKUP(I1518,Dados!$S:$V,2,0),VLOOKUP(G1518,Dados!$D:$L,3,0)=VLOOKUP(I1518,Dados!$S:$V,3,0)),0,1)</f>
        <v>0</v>
      </c>
      <c r="T1518" s="4">
        <f>IF(AND(VLOOKUP(G1518,Dados!$D:$L,3,0)&lt;=VLOOKUP(H1518,Dados!$X:$AB,2,0),VLOOKUP(G1518,Dados!$D:$L,4,0)&gt;=VLOOKUP(H1518,Dados!$X:$AB,3,0),VLOOKUP(G1518,Dados!$D:$L,4,0)&lt;=VLOOKUP(H1518,Dados!$X:$AB,4,0)),0,1)</f>
        <v>0</v>
      </c>
      <c r="U1518" s="4">
        <f>IF(COUNTIFS(F:F,F1518,H:H,H1518)&lt;=VLOOKUP(H1518,Dados!$X:$AB,5,0),0,1)</f>
        <v>0</v>
      </c>
    </row>
    <row r="1519" spans="6:21">
      <c r="F1519" s="4">
        <v>737</v>
      </c>
      <c r="G1519" s="4">
        <v>59</v>
      </c>
      <c r="H1519" s="4">
        <v>2</v>
      </c>
      <c r="I1519" s="4">
        <v>27</v>
      </c>
      <c r="J1519" s="4">
        <v>1</v>
      </c>
      <c r="K1519" s="4">
        <f t="shared" si="277"/>
        <v>0</v>
      </c>
      <c r="L1519" s="4">
        <f t="shared" si="277"/>
        <v>0</v>
      </c>
      <c r="M1519" s="4">
        <f t="shared" si="277"/>
        <v>0</v>
      </c>
      <c r="N1519" s="4">
        <f t="shared" si="277"/>
        <v>0</v>
      </c>
      <c r="O1519" s="4">
        <f t="shared" si="278"/>
        <v>0</v>
      </c>
      <c r="P1519" s="4">
        <f t="shared" si="279"/>
        <v>0</v>
      </c>
      <c r="Q1519" s="4">
        <f t="shared" si="280"/>
        <v>0</v>
      </c>
      <c r="R1519" s="4">
        <f t="shared" si="281"/>
        <v>0</v>
      </c>
      <c r="S1519" s="4">
        <f>IF(AND(VLOOKUP(G1519,Dados!$D:$L,2,0)=VLOOKUP(I1519,Dados!$S:$V,2,0),VLOOKUP(G1519,Dados!$D:$L,3,0)=VLOOKUP(I1519,Dados!$S:$V,3,0)),0,1)</f>
        <v>0</v>
      </c>
      <c r="T1519" s="4">
        <f>IF(AND(VLOOKUP(G1519,Dados!$D:$L,3,0)&lt;=VLOOKUP(H1519,Dados!$X:$AB,2,0),VLOOKUP(G1519,Dados!$D:$L,4,0)&gt;=VLOOKUP(H1519,Dados!$X:$AB,3,0),VLOOKUP(G1519,Dados!$D:$L,4,0)&lt;=VLOOKUP(H1519,Dados!$X:$AB,4,0)),0,1)</f>
        <v>0</v>
      </c>
      <c r="U1519" s="4">
        <f>IF(COUNTIFS(F:F,F1519,H:H,H1519)&lt;=VLOOKUP(H1519,Dados!$X:$AB,5,0),0,1)</f>
        <v>0</v>
      </c>
    </row>
    <row r="1520" spans="6:21">
      <c r="F1520" s="4">
        <v>737</v>
      </c>
      <c r="G1520" s="4">
        <v>61</v>
      </c>
      <c r="H1520" s="4">
        <v>2</v>
      </c>
      <c r="I1520" s="4">
        <v>27</v>
      </c>
      <c r="J1520" s="4">
        <v>4</v>
      </c>
      <c r="K1520" s="4">
        <f t="shared" si="277"/>
        <v>0</v>
      </c>
      <c r="L1520" s="4">
        <f t="shared" si="277"/>
        <v>0</v>
      </c>
      <c r="M1520" s="4">
        <f t="shared" si="277"/>
        <v>0</v>
      </c>
      <c r="N1520" s="4">
        <f t="shared" si="277"/>
        <v>0</v>
      </c>
      <c r="O1520" s="4">
        <f t="shared" si="278"/>
        <v>0</v>
      </c>
      <c r="P1520" s="4">
        <f t="shared" si="279"/>
        <v>0</v>
      </c>
      <c r="Q1520" s="4">
        <f t="shared" si="280"/>
        <v>0</v>
      </c>
      <c r="R1520" s="4">
        <f t="shared" si="281"/>
        <v>0</v>
      </c>
      <c r="S1520" s="4">
        <f>IF(AND(VLOOKUP(G1520,Dados!$D:$L,2,0)=VLOOKUP(I1520,Dados!$S:$V,2,0),VLOOKUP(G1520,Dados!$D:$L,3,0)=VLOOKUP(I1520,Dados!$S:$V,3,0)),0,1)</f>
        <v>0</v>
      </c>
      <c r="T1520" s="4">
        <f>IF(AND(VLOOKUP(G1520,Dados!$D:$L,3,0)&lt;=VLOOKUP(H1520,Dados!$X:$AB,2,0),VLOOKUP(G1520,Dados!$D:$L,4,0)&gt;=VLOOKUP(H1520,Dados!$X:$AB,3,0),VLOOKUP(G1520,Dados!$D:$L,4,0)&lt;=VLOOKUP(H1520,Dados!$X:$AB,4,0)),0,1)</f>
        <v>0</v>
      </c>
      <c r="U1520" s="4">
        <f>IF(COUNTIFS(F:F,F1520,H:H,H1520)&lt;=VLOOKUP(H1520,Dados!$X:$AB,5,0),0,1)</f>
        <v>0</v>
      </c>
    </row>
    <row r="1521" spans="6:21">
      <c r="F1521" s="4">
        <v>737</v>
      </c>
      <c r="G1521" s="4">
        <v>67</v>
      </c>
      <c r="H1521" s="4">
        <v>2</v>
      </c>
      <c r="I1521" s="4">
        <v>27</v>
      </c>
      <c r="J1521" s="4">
        <v>3</v>
      </c>
      <c r="K1521" s="4">
        <f t="shared" si="277"/>
        <v>0</v>
      </c>
      <c r="L1521" s="4">
        <f t="shared" si="277"/>
        <v>0</v>
      </c>
      <c r="M1521" s="4">
        <f t="shared" si="277"/>
        <v>0</v>
      </c>
      <c r="N1521" s="4">
        <f t="shared" si="277"/>
        <v>0</v>
      </c>
      <c r="O1521" s="4">
        <f t="shared" si="278"/>
        <v>0</v>
      </c>
      <c r="P1521" s="4">
        <f t="shared" si="279"/>
        <v>0</v>
      </c>
      <c r="Q1521" s="4">
        <f t="shared" si="280"/>
        <v>0</v>
      </c>
      <c r="R1521" s="4">
        <f t="shared" si="281"/>
        <v>0</v>
      </c>
      <c r="S1521" s="4">
        <f>IF(AND(VLOOKUP(G1521,Dados!$D:$L,2,0)=VLOOKUP(I1521,Dados!$S:$V,2,0),VLOOKUP(G1521,Dados!$D:$L,3,0)=VLOOKUP(I1521,Dados!$S:$V,3,0)),0,1)</f>
        <v>0</v>
      </c>
      <c r="T1521" s="4">
        <f>IF(AND(VLOOKUP(G1521,Dados!$D:$L,3,0)&lt;=VLOOKUP(H1521,Dados!$X:$AB,2,0),VLOOKUP(G1521,Dados!$D:$L,4,0)&gt;=VLOOKUP(H1521,Dados!$X:$AB,3,0),VLOOKUP(G1521,Dados!$D:$L,4,0)&lt;=VLOOKUP(H1521,Dados!$X:$AB,4,0)),0,1)</f>
        <v>0</v>
      </c>
      <c r="U1521" s="4">
        <f>IF(COUNTIFS(F:F,F1521,H:H,H1521)&lt;=VLOOKUP(H1521,Dados!$X:$AB,5,0),0,1)</f>
        <v>0</v>
      </c>
    </row>
    <row r="1522" spans="6:21">
      <c r="F1522" s="4">
        <v>738</v>
      </c>
      <c r="G1522" s="4">
        <v>59</v>
      </c>
      <c r="H1522" s="4">
        <v>3</v>
      </c>
      <c r="I1522" s="4">
        <v>27</v>
      </c>
      <c r="J1522" s="4">
        <v>1</v>
      </c>
      <c r="K1522" s="4">
        <f t="shared" si="277"/>
        <v>0</v>
      </c>
      <c r="L1522" s="4">
        <f t="shared" si="277"/>
        <v>0</v>
      </c>
      <c r="M1522" s="4">
        <f t="shared" si="277"/>
        <v>0</v>
      </c>
      <c r="N1522" s="4">
        <f t="shared" si="277"/>
        <v>0</v>
      </c>
      <c r="O1522" s="4">
        <f t="shared" si="278"/>
        <v>0</v>
      </c>
      <c r="P1522" s="4">
        <f t="shared" si="279"/>
        <v>0</v>
      </c>
      <c r="Q1522" s="4">
        <f t="shared" si="280"/>
        <v>0</v>
      </c>
      <c r="R1522" s="4">
        <f t="shared" si="281"/>
        <v>0</v>
      </c>
      <c r="S1522" s="4">
        <f>IF(AND(VLOOKUP(G1522,Dados!$D:$L,2,0)=VLOOKUP(I1522,Dados!$S:$V,2,0),VLOOKUP(G1522,Dados!$D:$L,3,0)=VLOOKUP(I1522,Dados!$S:$V,3,0)),0,1)</f>
        <v>0</v>
      </c>
      <c r="T1522" s="4">
        <f>IF(AND(VLOOKUP(G1522,Dados!$D:$L,3,0)&lt;=VLOOKUP(H1522,Dados!$X:$AB,2,0),VLOOKUP(G1522,Dados!$D:$L,4,0)&gt;=VLOOKUP(H1522,Dados!$X:$AB,3,0),VLOOKUP(G1522,Dados!$D:$L,4,0)&lt;=VLOOKUP(H1522,Dados!$X:$AB,4,0)),0,1)</f>
        <v>0</v>
      </c>
      <c r="U1522" s="4">
        <f>IF(COUNTIFS(F:F,F1522,H:H,H1522)&lt;=VLOOKUP(H1522,Dados!$X:$AB,5,0),0,1)</f>
        <v>0</v>
      </c>
    </row>
    <row r="1523" spans="6:21">
      <c r="F1523" s="4">
        <v>738</v>
      </c>
      <c r="G1523" s="4">
        <v>61</v>
      </c>
      <c r="H1523" s="4">
        <v>3</v>
      </c>
      <c r="I1523" s="4">
        <v>27</v>
      </c>
      <c r="J1523" s="4">
        <v>4</v>
      </c>
      <c r="K1523" s="4">
        <f t="shared" si="277"/>
        <v>0</v>
      </c>
      <c r="L1523" s="4">
        <f t="shared" si="277"/>
        <v>0</v>
      </c>
      <c r="M1523" s="4">
        <f t="shared" si="277"/>
        <v>0</v>
      </c>
      <c r="N1523" s="4">
        <f t="shared" si="277"/>
        <v>0</v>
      </c>
      <c r="O1523" s="4">
        <f t="shared" si="278"/>
        <v>0</v>
      </c>
      <c r="P1523" s="4">
        <f t="shared" si="279"/>
        <v>0</v>
      </c>
      <c r="Q1523" s="4">
        <f t="shared" si="280"/>
        <v>0</v>
      </c>
      <c r="R1523" s="4">
        <f t="shared" si="281"/>
        <v>0</v>
      </c>
      <c r="S1523" s="4">
        <f>IF(AND(VLOOKUP(G1523,Dados!$D:$L,2,0)=VLOOKUP(I1523,Dados!$S:$V,2,0),VLOOKUP(G1523,Dados!$D:$L,3,0)=VLOOKUP(I1523,Dados!$S:$V,3,0)),0,1)</f>
        <v>0</v>
      </c>
      <c r="T1523" s="4">
        <f>IF(AND(VLOOKUP(G1523,Dados!$D:$L,3,0)&lt;=VLOOKUP(H1523,Dados!$X:$AB,2,0),VLOOKUP(G1523,Dados!$D:$L,4,0)&gt;=VLOOKUP(H1523,Dados!$X:$AB,3,0),VLOOKUP(G1523,Dados!$D:$L,4,0)&lt;=VLOOKUP(H1523,Dados!$X:$AB,4,0)),0,1)</f>
        <v>0</v>
      </c>
      <c r="U1523" s="4">
        <f>IF(COUNTIFS(F:F,F1523,H:H,H1523)&lt;=VLOOKUP(H1523,Dados!$X:$AB,5,0),0,1)</f>
        <v>0</v>
      </c>
    </row>
    <row r="1524" spans="6:21">
      <c r="F1524" s="4">
        <v>738</v>
      </c>
      <c r="G1524" s="4">
        <v>62</v>
      </c>
      <c r="H1524" s="4">
        <v>3</v>
      </c>
      <c r="I1524" s="4">
        <v>27</v>
      </c>
      <c r="J1524" s="4">
        <v>1</v>
      </c>
      <c r="K1524" s="4">
        <f t="shared" si="277"/>
        <v>0</v>
      </c>
      <c r="L1524" s="4">
        <f t="shared" si="277"/>
        <v>0</v>
      </c>
      <c r="M1524" s="4">
        <f t="shared" si="277"/>
        <v>0</v>
      </c>
      <c r="N1524" s="4">
        <f t="shared" si="277"/>
        <v>0</v>
      </c>
      <c r="O1524" s="4">
        <f t="shared" si="278"/>
        <v>0</v>
      </c>
      <c r="P1524" s="4">
        <f t="shared" si="279"/>
        <v>0</v>
      </c>
      <c r="Q1524" s="4">
        <f t="shared" si="280"/>
        <v>0</v>
      </c>
      <c r="R1524" s="4">
        <f t="shared" si="281"/>
        <v>0</v>
      </c>
      <c r="S1524" s="4">
        <f>IF(AND(VLOOKUP(G1524,Dados!$D:$L,2,0)=VLOOKUP(I1524,Dados!$S:$V,2,0),VLOOKUP(G1524,Dados!$D:$L,3,0)=VLOOKUP(I1524,Dados!$S:$V,3,0)),0,1)</f>
        <v>0</v>
      </c>
      <c r="T1524" s="4">
        <f>IF(AND(VLOOKUP(G1524,Dados!$D:$L,3,0)&lt;=VLOOKUP(H1524,Dados!$X:$AB,2,0),VLOOKUP(G1524,Dados!$D:$L,4,0)&gt;=VLOOKUP(H1524,Dados!$X:$AB,3,0),VLOOKUP(G1524,Dados!$D:$L,4,0)&lt;=VLOOKUP(H1524,Dados!$X:$AB,4,0)),0,1)</f>
        <v>0</v>
      </c>
      <c r="U1524" s="4">
        <f>IF(COUNTIFS(F:F,F1524,H:H,H1524)&lt;=VLOOKUP(H1524,Dados!$X:$AB,5,0),0,1)</f>
        <v>0</v>
      </c>
    </row>
    <row r="1525" spans="6:21">
      <c r="F1525" s="4">
        <v>738</v>
      </c>
      <c r="G1525" s="4">
        <v>66</v>
      </c>
      <c r="H1525" s="4">
        <v>3</v>
      </c>
      <c r="I1525" s="4">
        <v>27</v>
      </c>
      <c r="J1525" s="4">
        <v>2</v>
      </c>
      <c r="K1525" s="4">
        <f t="shared" si="277"/>
        <v>0</v>
      </c>
      <c r="L1525" s="4">
        <f t="shared" si="277"/>
        <v>0</v>
      </c>
      <c r="M1525" s="4">
        <f t="shared" si="277"/>
        <v>0</v>
      </c>
      <c r="N1525" s="4">
        <f t="shared" si="277"/>
        <v>0</v>
      </c>
      <c r="O1525" s="4">
        <f t="shared" si="278"/>
        <v>0</v>
      </c>
      <c r="P1525" s="4">
        <f t="shared" si="279"/>
        <v>0</v>
      </c>
      <c r="Q1525" s="4">
        <f t="shared" si="280"/>
        <v>0</v>
      </c>
      <c r="R1525" s="4">
        <f t="shared" si="281"/>
        <v>0</v>
      </c>
      <c r="S1525" s="4">
        <f>IF(AND(VLOOKUP(G1525,Dados!$D:$L,2,0)=VLOOKUP(I1525,Dados!$S:$V,2,0),VLOOKUP(G1525,Dados!$D:$L,3,0)=VLOOKUP(I1525,Dados!$S:$V,3,0)),0,1)</f>
        <v>0</v>
      </c>
      <c r="T1525" s="4">
        <f>IF(AND(VLOOKUP(G1525,Dados!$D:$L,3,0)&lt;=VLOOKUP(H1525,Dados!$X:$AB,2,0),VLOOKUP(G1525,Dados!$D:$L,4,0)&gt;=VLOOKUP(H1525,Dados!$X:$AB,3,0),VLOOKUP(G1525,Dados!$D:$L,4,0)&lt;=VLOOKUP(H1525,Dados!$X:$AB,4,0)),0,1)</f>
        <v>0</v>
      </c>
      <c r="U1525" s="4">
        <f>IF(COUNTIFS(F:F,F1525,H:H,H1525)&lt;=VLOOKUP(H1525,Dados!$X:$AB,5,0),0,1)</f>
        <v>0</v>
      </c>
    </row>
    <row r="1526" spans="6:21">
      <c r="F1526" s="4">
        <v>739</v>
      </c>
      <c r="G1526" s="4">
        <v>6</v>
      </c>
      <c r="H1526" s="4">
        <v>1</v>
      </c>
      <c r="I1526" s="4">
        <v>2</v>
      </c>
      <c r="J1526" s="4">
        <v>2</v>
      </c>
      <c r="K1526" s="4">
        <f t="shared" si="277"/>
        <v>0</v>
      </c>
      <c r="L1526" s="4">
        <f t="shared" si="277"/>
        <v>0</v>
      </c>
      <c r="M1526" s="4">
        <f t="shared" si="277"/>
        <v>0</v>
      </c>
      <c r="N1526" s="4">
        <f t="shared" si="277"/>
        <v>5</v>
      </c>
      <c r="O1526" s="4">
        <f t="shared" si="278"/>
        <v>0</v>
      </c>
      <c r="P1526" s="4">
        <f t="shared" si="279"/>
        <v>0</v>
      </c>
      <c r="Q1526" s="4">
        <f t="shared" si="280"/>
        <v>0</v>
      </c>
      <c r="R1526" s="4">
        <f t="shared" si="281"/>
        <v>10</v>
      </c>
      <c r="S1526" s="4">
        <f>IF(AND(VLOOKUP(G1526,Dados!$D:$L,2,0)=VLOOKUP(I1526,Dados!$S:$V,2,0),VLOOKUP(G1526,Dados!$D:$L,3,0)=VLOOKUP(I1526,Dados!$S:$V,3,0)),0,1)</f>
        <v>0</v>
      </c>
      <c r="T1526" s="4">
        <f>IF(AND(VLOOKUP(G1526,Dados!$D:$L,3,0)&lt;=VLOOKUP(H1526,Dados!$X:$AB,2,0),VLOOKUP(G1526,Dados!$D:$L,4,0)&gt;=VLOOKUP(H1526,Dados!$X:$AB,3,0),VLOOKUP(G1526,Dados!$D:$L,4,0)&lt;=VLOOKUP(H1526,Dados!$X:$AB,4,0)),0,1)</f>
        <v>0</v>
      </c>
      <c r="U1526" s="4">
        <f>IF(COUNTIFS(F:F,F1526,H:H,H1526)&lt;=VLOOKUP(H1526,Dados!$X:$AB,5,0),0,1)</f>
        <v>0</v>
      </c>
    </row>
    <row r="1527" spans="6:21">
      <c r="F1527" s="4">
        <v>739</v>
      </c>
      <c r="G1527" s="4">
        <v>8</v>
      </c>
      <c r="H1527" s="4">
        <v>1</v>
      </c>
      <c r="I1527" s="4">
        <v>2</v>
      </c>
      <c r="J1527" s="4">
        <v>3</v>
      </c>
      <c r="K1527" s="4">
        <f t="shared" si="277"/>
        <v>0</v>
      </c>
      <c r="L1527" s="4">
        <f t="shared" si="277"/>
        <v>0</v>
      </c>
      <c r="M1527" s="4">
        <f t="shared" si="277"/>
        <v>0</v>
      </c>
      <c r="N1527" s="4">
        <f t="shared" si="277"/>
        <v>5</v>
      </c>
      <c r="O1527" s="4">
        <f t="shared" si="278"/>
        <v>0</v>
      </c>
      <c r="P1527" s="4">
        <f t="shared" si="279"/>
        <v>0</v>
      </c>
      <c r="Q1527" s="4">
        <f t="shared" si="280"/>
        <v>0</v>
      </c>
      <c r="R1527" s="4">
        <f t="shared" si="281"/>
        <v>15</v>
      </c>
      <c r="S1527" s="4">
        <f>IF(AND(VLOOKUP(G1527,Dados!$D:$L,2,0)=VLOOKUP(I1527,Dados!$S:$V,2,0),VLOOKUP(G1527,Dados!$D:$L,3,0)=VLOOKUP(I1527,Dados!$S:$V,3,0)),0,1)</f>
        <v>0</v>
      </c>
      <c r="T1527" s="4">
        <f>IF(AND(VLOOKUP(G1527,Dados!$D:$L,3,0)&lt;=VLOOKUP(H1527,Dados!$X:$AB,2,0),VLOOKUP(G1527,Dados!$D:$L,4,0)&gt;=VLOOKUP(H1527,Dados!$X:$AB,3,0),VLOOKUP(G1527,Dados!$D:$L,4,0)&lt;=VLOOKUP(H1527,Dados!$X:$AB,4,0)),0,1)</f>
        <v>0</v>
      </c>
      <c r="U1527" s="4">
        <f>IF(COUNTIFS(F:F,F1527,H:H,H1527)&lt;=VLOOKUP(H1527,Dados!$X:$AB,5,0),0,1)</f>
        <v>0</v>
      </c>
    </row>
    <row r="1528" spans="6:21">
      <c r="F1528" s="4">
        <v>739</v>
      </c>
      <c r="G1528" s="4">
        <v>9</v>
      </c>
      <c r="H1528" s="4">
        <v>1</v>
      </c>
      <c r="I1528" s="4">
        <v>2</v>
      </c>
      <c r="J1528" s="4">
        <v>2</v>
      </c>
      <c r="K1528" s="4">
        <f t="shared" si="277"/>
        <v>0</v>
      </c>
      <c r="L1528" s="4">
        <f t="shared" si="277"/>
        <v>0</v>
      </c>
      <c r="M1528" s="4">
        <f t="shared" si="277"/>
        <v>0</v>
      </c>
      <c r="N1528" s="4">
        <f t="shared" si="277"/>
        <v>5</v>
      </c>
      <c r="O1528" s="4">
        <f t="shared" si="278"/>
        <v>0</v>
      </c>
      <c r="P1528" s="4">
        <f t="shared" si="279"/>
        <v>0</v>
      </c>
      <c r="Q1528" s="4">
        <f t="shared" si="280"/>
        <v>0</v>
      </c>
      <c r="R1528" s="4">
        <f t="shared" si="281"/>
        <v>10</v>
      </c>
      <c r="S1528" s="4">
        <f>IF(AND(VLOOKUP(G1528,Dados!$D:$L,2,0)=VLOOKUP(I1528,Dados!$S:$V,2,0),VLOOKUP(G1528,Dados!$D:$L,3,0)=VLOOKUP(I1528,Dados!$S:$V,3,0)),0,1)</f>
        <v>0</v>
      </c>
      <c r="T1528" s="4">
        <f>IF(AND(VLOOKUP(G1528,Dados!$D:$L,3,0)&lt;=VLOOKUP(H1528,Dados!$X:$AB,2,0),VLOOKUP(G1528,Dados!$D:$L,4,0)&gt;=VLOOKUP(H1528,Dados!$X:$AB,3,0),VLOOKUP(G1528,Dados!$D:$L,4,0)&lt;=VLOOKUP(H1528,Dados!$X:$AB,4,0)),0,1)</f>
        <v>0</v>
      </c>
      <c r="U1528" s="4">
        <f>IF(COUNTIFS(F:F,F1528,H:H,H1528)&lt;=VLOOKUP(H1528,Dados!$X:$AB,5,0),0,1)</f>
        <v>0</v>
      </c>
    </row>
    <row r="1529" spans="6:21">
      <c r="F1529" s="4">
        <v>740</v>
      </c>
      <c r="G1529" s="4">
        <v>12</v>
      </c>
      <c r="H1529" s="4">
        <v>1</v>
      </c>
      <c r="I1529" s="4">
        <v>8</v>
      </c>
      <c r="J1529" s="4">
        <v>4</v>
      </c>
      <c r="K1529" s="4">
        <f t="shared" si="277"/>
        <v>0</v>
      </c>
      <c r="L1529" s="4">
        <f t="shared" si="277"/>
        <v>0</v>
      </c>
      <c r="M1529" s="4">
        <f t="shared" si="277"/>
        <v>0</v>
      </c>
      <c r="N1529" s="4">
        <f t="shared" si="277"/>
        <v>1</v>
      </c>
      <c r="O1529" s="4">
        <f t="shared" si="278"/>
        <v>0</v>
      </c>
      <c r="P1529" s="4">
        <f t="shared" si="279"/>
        <v>0</v>
      </c>
      <c r="Q1529" s="4">
        <f t="shared" si="280"/>
        <v>0</v>
      </c>
      <c r="R1529" s="4">
        <f t="shared" si="281"/>
        <v>4</v>
      </c>
      <c r="S1529" s="4">
        <f>IF(AND(VLOOKUP(G1529,Dados!$D:$L,2,0)=VLOOKUP(I1529,Dados!$S:$V,2,0),VLOOKUP(G1529,Dados!$D:$L,3,0)=VLOOKUP(I1529,Dados!$S:$V,3,0)),0,1)</f>
        <v>0</v>
      </c>
      <c r="T1529" s="4">
        <f>IF(AND(VLOOKUP(G1529,Dados!$D:$L,3,0)&lt;=VLOOKUP(H1529,Dados!$X:$AB,2,0),VLOOKUP(G1529,Dados!$D:$L,4,0)&gt;=VLOOKUP(H1529,Dados!$X:$AB,3,0),VLOOKUP(G1529,Dados!$D:$L,4,0)&lt;=VLOOKUP(H1529,Dados!$X:$AB,4,0)),0,1)</f>
        <v>0</v>
      </c>
      <c r="U1529" s="4">
        <f>IF(COUNTIFS(F:F,F1529,H:H,H1529)&lt;=VLOOKUP(H1529,Dados!$X:$AB,5,0),0,1)</f>
        <v>0</v>
      </c>
    </row>
    <row r="1530" spans="6:21">
      <c r="F1530" s="4">
        <v>740</v>
      </c>
      <c r="G1530" s="4">
        <v>15</v>
      </c>
      <c r="H1530" s="4">
        <v>1</v>
      </c>
      <c r="I1530" s="4">
        <v>8</v>
      </c>
      <c r="J1530" s="4">
        <v>1</v>
      </c>
      <c r="K1530" s="4">
        <f t="shared" si="277"/>
        <v>0</v>
      </c>
      <c r="L1530" s="4">
        <f t="shared" si="277"/>
        <v>0</v>
      </c>
      <c r="M1530" s="4">
        <f t="shared" si="277"/>
        <v>0</v>
      </c>
      <c r="N1530" s="4">
        <f t="shared" si="277"/>
        <v>1</v>
      </c>
      <c r="O1530" s="4">
        <f t="shared" si="278"/>
        <v>0</v>
      </c>
      <c r="P1530" s="4">
        <f t="shared" si="279"/>
        <v>0</v>
      </c>
      <c r="Q1530" s="4">
        <f t="shared" si="280"/>
        <v>0</v>
      </c>
      <c r="R1530" s="4">
        <f t="shared" si="281"/>
        <v>1</v>
      </c>
      <c r="S1530" s="4">
        <f>IF(AND(VLOOKUP(G1530,Dados!$D:$L,2,0)=VLOOKUP(I1530,Dados!$S:$V,2,0),VLOOKUP(G1530,Dados!$D:$L,3,0)=VLOOKUP(I1530,Dados!$S:$V,3,0)),0,1)</f>
        <v>0</v>
      </c>
      <c r="T1530" s="4">
        <f>IF(AND(VLOOKUP(G1530,Dados!$D:$L,3,0)&lt;=VLOOKUP(H1530,Dados!$X:$AB,2,0),VLOOKUP(G1530,Dados!$D:$L,4,0)&gt;=VLOOKUP(H1530,Dados!$X:$AB,3,0),VLOOKUP(G1530,Dados!$D:$L,4,0)&lt;=VLOOKUP(H1530,Dados!$X:$AB,4,0)),0,1)</f>
        <v>0</v>
      </c>
      <c r="U1530" s="4">
        <f>IF(COUNTIFS(F:F,F1530,H:H,H1530)&lt;=VLOOKUP(H1530,Dados!$X:$AB,5,0),0,1)</f>
        <v>0</v>
      </c>
    </row>
    <row r="1531" spans="6:21">
      <c r="F1531" s="4">
        <v>740</v>
      </c>
      <c r="G1531" s="4">
        <v>16</v>
      </c>
      <c r="H1531" s="4">
        <v>1</v>
      </c>
      <c r="I1531" s="4">
        <v>8</v>
      </c>
      <c r="J1531" s="4">
        <v>4</v>
      </c>
      <c r="K1531" s="4">
        <f t="shared" si="277"/>
        <v>0</v>
      </c>
      <c r="L1531" s="4">
        <f t="shared" si="277"/>
        <v>0</v>
      </c>
      <c r="M1531" s="4">
        <f t="shared" si="277"/>
        <v>0</v>
      </c>
      <c r="N1531" s="4">
        <f t="shared" si="277"/>
        <v>1</v>
      </c>
      <c r="O1531" s="4">
        <f t="shared" si="278"/>
        <v>0</v>
      </c>
      <c r="P1531" s="4">
        <f t="shared" si="279"/>
        <v>0</v>
      </c>
      <c r="Q1531" s="4">
        <f t="shared" si="280"/>
        <v>0</v>
      </c>
      <c r="R1531" s="4">
        <f t="shared" si="281"/>
        <v>4</v>
      </c>
      <c r="S1531" s="4">
        <f>IF(AND(VLOOKUP(G1531,Dados!$D:$L,2,0)=VLOOKUP(I1531,Dados!$S:$V,2,0),VLOOKUP(G1531,Dados!$D:$L,3,0)=VLOOKUP(I1531,Dados!$S:$V,3,0)),0,1)</f>
        <v>0</v>
      </c>
      <c r="T1531" s="4">
        <f>IF(AND(VLOOKUP(G1531,Dados!$D:$L,3,0)&lt;=VLOOKUP(H1531,Dados!$X:$AB,2,0),VLOOKUP(G1531,Dados!$D:$L,4,0)&gt;=VLOOKUP(H1531,Dados!$X:$AB,3,0),VLOOKUP(G1531,Dados!$D:$L,4,0)&lt;=VLOOKUP(H1531,Dados!$X:$AB,4,0)),0,1)</f>
        <v>0</v>
      </c>
      <c r="U1531" s="4">
        <f>IF(COUNTIFS(F:F,F1531,H:H,H1531)&lt;=VLOOKUP(H1531,Dados!$X:$AB,5,0),0,1)</f>
        <v>0</v>
      </c>
    </row>
    <row r="1532" spans="6:21">
      <c r="F1532" s="4">
        <v>741</v>
      </c>
      <c r="G1532" s="4">
        <v>12</v>
      </c>
      <c r="H1532" s="4">
        <v>3</v>
      </c>
      <c r="I1532" s="4">
        <v>8</v>
      </c>
      <c r="J1532" s="4">
        <v>4</v>
      </c>
      <c r="K1532" s="4">
        <f t="shared" si="277"/>
        <v>0</v>
      </c>
      <c r="L1532" s="4">
        <f t="shared" si="277"/>
        <v>0</v>
      </c>
      <c r="M1532" s="4">
        <f t="shared" si="277"/>
        <v>0</v>
      </c>
      <c r="N1532" s="4">
        <f t="shared" si="277"/>
        <v>0</v>
      </c>
      <c r="O1532" s="4">
        <f t="shared" si="278"/>
        <v>0</v>
      </c>
      <c r="P1532" s="4">
        <f t="shared" si="279"/>
        <v>0</v>
      </c>
      <c r="Q1532" s="4">
        <f t="shared" si="280"/>
        <v>0</v>
      </c>
      <c r="R1532" s="4">
        <f t="shared" si="281"/>
        <v>0</v>
      </c>
      <c r="S1532" s="4">
        <f>IF(AND(VLOOKUP(G1532,Dados!$D:$L,2,0)=VLOOKUP(I1532,Dados!$S:$V,2,0),VLOOKUP(G1532,Dados!$D:$L,3,0)=VLOOKUP(I1532,Dados!$S:$V,3,0)),0,1)</f>
        <v>0</v>
      </c>
      <c r="T1532" s="4">
        <f>IF(AND(VLOOKUP(G1532,Dados!$D:$L,3,0)&lt;=VLOOKUP(H1532,Dados!$X:$AB,2,0),VLOOKUP(G1532,Dados!$D:$L,4,0)&gt;=VLOOKUP(H1532,Dados!$X:$AB,3,0),VLOOKUP(G1532,Dados!$D:$L,4,0)&lt;=VLOOKUP(H1532,Dados!$X:$AB,4,0)),0,1)</f>
        <v>0</v>
      </c>
      <c r="U1532" s="4">
        <f>IF(COUNTIFS(F:F,F1532,H:H,H1532)&lt;=VLOOKUP(H1532,Dados!$X:$AB,5,0),0,1)</f>
        <v>0</v>
      </c>
    </row>
    <row r="1533" spans="6:21">
      <c r="F1533" s="4">
        <v>741</v>
      </c>
      <c r="G1533" s="4">
        <v>15</v>
      </c>
      <c r="H1533" s="4">
        <v>3</v>
      </c>
      <c r="I1533" s="4">
        <v>8</v>
      </c>
      <c r="J1533" s="4">
        <v>1</v>
      </c>
      <c r="K1533" s="4">
        <f t="shared" si="277"/>
        <v>0</v>
      </c>
      <c r="L1533" s="4">
        <f t="shared" si="277"/>
        <v>0</v>
      </c>
      <c r="M1533" s="4">
        <f t="shared" si="277"/>
        <v>0</v>
      </c>
      <c r="N1533" s="4">
        <f t="shared" si="277"/>
        <v>0</v>
      </c>
      <c r="O1533" s="4">
        <f t="shared" si="278"/>
        <v>0</v>
      </c>
      <c r="P1533" s="4">
        <f t="shared" si="279"/>
        <v>0</v>
      </c>
      <c r="Q1533" s="4">
        <f t="shared" si="280"/>
        <v>0</v>
      </c>
      <c r="R1533" s="4">
        <f t="shared" si="281"/>
        <v>0</v>
      </c>
      <c r="S1533" s="4">
        <f>IF(AND(VLOOKUP(G1533,Dados!$D:$L,2,0)=VLOOKUP(I1533,Dados!$S:$V,2,0),VLOOKUP(G1533,Dados!$D:$L,3,0)=VLOOKUP(I1533,Dados!$S:$V,3,0)),0,1)</f>
        <v>0</v>
      </c>
      <c r="T1533" s="4">
        <f>IF(AND(VLOOKUP(G1533,Dados!$D:$L,3,0)&lt;=VLOOKUP(H1533,Dados!$X:$AB,2,0),VLOOKUP(G1533,Dados!$D:$L,4,0)&gt;=VLOOKUP(H1533,Dados!$X:$AB,3,0),VLOOKUP(G1533,Dados!$D:$L,4,0)&lt;=VLOOKUP(H1533,Dados!$X:$AB,4,0)),0,1)</f>
        <v>0</v>
      </c>
      <c r="U1533" s="4">
        <f>IF(COUNTIFS(F:F,F1533,H:H,H1533)&lt;=VLOOKUP(H1533,Dados!$X:$AB,5,0),0,1)</f>
        <v>0</v>
      </c>
    </row>
    <row r="1534" spans="6:21">
      <c r="F1534" s="4">
        <v>741</v>
      </c>
      <c r="G1534" s="4">
        <v>16</v>
      </c>
      <c r="H1534" s="4">
        <v>3</v>
      </c>
      <c r="I1534" s="4">
        <v>8</v>
      </c>
      <c r="J1534" s="4">
        <v>4</v>
      </c>
      <c r="K1534" s="4">
        <f t="shared" si="277"/>
        <v>0</v>
      </c>
      <c r="L1534" s="4">
        <f t="shared" si="277"/>
        <v>0</v>
      </c>
      <c r="M1534" s="4">
        <f t="shared" si="277"/>
        <v>0</v>
      </c>
      <c r="N1534" s="4">
        <f t="shared" si="277"/>
        <v>0</v>
      </c>
      <c r="O1534" s="4">
        <f t="shared" si="278"/>
        <v>0</v>
      </c>
      <c r="P1534" s="4">
        <f t="shared" si="279"/>
        <v>0</v>
      </c>
      <c r="Q1534" s="4">
        <f t="shared" si="280"/>
        <v>0</v>
      </c>
      <c r="R1534" s="4">
        <f t="shared" si="281"/>
        <v>0</v>
      </c>
      <c r="S1534" s="4">
        <f>IF(AND(VLOOKUP(G1534,Dados!$D:$L,2,0)=VLOOKUP(I1534,Dados!$S:$V,2,0),VLOOKUP(G1534,Dados!$D:$L,3,0)=VLOOKUP(I1534,Dados!$S:$V,3,0)),0,1)</f>
        <v>0</v>
      </c>
      <c r="T1534" s="4">
        <f>IF(AND(VLOOKUP(G1534,Dados!$D:$L,3,0)&lt;=VLOOKUP(H1534,Dados!$X:$AB,2,0),VLOOKUP(G1534,Dados!$D:$L,4,0)&gt;=VLOOKUP(H1534,Dados!$X:$AB,3,0),VLOOKUP(G1534,Dados!$D:$L,4,0)&lt;=VLOOKUP(H1534,Dados!$X:$AB,4,0)),0,1)</f>
        <v>0</v>
      </c>
      <c r="U1534" s="4">
        <f>IF(COUNTIFS(F:F,F1534,H:H,H1534)&lt;=VLOOKUP(H1534,Dados!$X:$AB,5,0),0,1)</f>
        <v>0</v>
      </c>
    </row>
    <row r="1535" spans="6:21">
      <c r="F1535" s="4">
        <v>742</v>
      </c>
      <c r="G1535" s="4">
        <v>12</v>
      </c>
      <c r="H1535" s="4">
        <v>1</v>
      </c>
      <c r="I1535" s="4">
        <v>9</v>
      </c>
      <c r="J1535" s="4">
        <v>2</v>
      </c>
      <c r="K1535" s="4">
        <f t="shared" si="277"/>
        <v>0</v>
      </c>
      <c r="L1535" s="4">
        <f t="shared" si="277"/>
        <v>0</v>
      </c>
      <c r="M1535" s="4">
        <f t="shared" si="277"/>
        <v>0</v>
      </c>
      <c r="N1535" s="4">
        <f t="shared" si="277"/>
        <v>0</v>
      </c>
      <c r="O1535" s="4">
        <f t="shared" si="278"/>
        <v>0</v>
      </c>
      <c r="P1535" s="4">
        <f t="shared" si="279"/>
        <v>0</v>
      </c>
      <c r="Q1535" s="4">
        <f t="shared" si="280"/>
        <v>0</v>
      </c>
      <c r="R1535" s="4">
        <f t="shared" si="281"/>
        <v>0</v>
      </c>
      <c r="S1535" s="4">
        <f>IF(AND(VLOOKUP(G1535,Dados!$D:$L,2,0)=VLOOKUP(I1535,Dados!$S:$V,2,0),VLOOKUP(G1535,Dados!$D:$L,3,0)=VLOOKUP(I1535,Dados!$S:$V,3,0)),0,1)</f>
        <v>0</v>
      </c>
      <c r="T1535" s="4">
        <f>IF(AND(VLOOKUP(G1535,Dados!$D:$L,3,0)&lt;=VLOOKUP(H1535,Dados!$X:$AB,2,0),VLOOKUP(G1535,Dados!$D:$L,4,0)&gt;=VLOOKUP(H1535,Dados!$X:$AB,3,0),VLOOKUP(G1535,Dados!$D:$L,4,0)&lt;=VLOOKUP(H1535,Dados!$X:$AB,4,0)),0,1)</f>
        <v>0</v>
      </c>
      <c r="U1535" s="4">
        <f>IF(COUNTIFS(F:F,F1535,H:H,H1535)&lt;=VLOOKUP(H1535,Dados!$X:$AB,5,0),0,1)</f>
        <v>0</v>
      </c>
    </row>
    <row r="1536" spans="6:21">
      <c r="F1536" s="4">
        <v>742</v>
      </c>
      <c r="G1536" s="4">
        <v>15</v>
      </c>
      <c r="H1536" s="4">
        <v>1</v>
      </c>
      <c r="I1536" s="4">
        <v>9</v>
      </c>
      <c r="J1536" s="4">
        <v>1</v>
      </c>
      <c r="K1536" s="4">
        <f t="shared" si="277"/>
        <v>0</v>
      </c>
      <c r="L1536" s="4">
        <f t="shared" si="277"/>
        <v>0</v>
      </c>
      <c r="M1536" s="4">
        <f t="shared" si="277"/>
        <v>0</v>
      </c>
      <c r="N1536" s="4">
        <f t="shared" si="277"/>
        <v>0</v>
      </c>
      <c r="O1536" s="4">
        <f t="shared" si="278"/>
        <v>0</v>
      </c>
      <c r="P1536" s="4">
        <f t="shared" si="279"/>
        <v>0</v>
      </c>
      <c r="Q1536" s="4">
        <f t="shared" si="280"/>
        <v>0</v>
      </c>
      <c r="R1536" s="4">
        <f t="shared" si="281"/>
        <v>0</v>
      </c>
      <c r="S1536" s="4">
        <f>IF(AND(VLOOKUP(G1536,Dados!$D:$L,2,0)=VLOOKUP(I1536,Dados!$S:$V,2,0),VLOOKUP(G1536,Dados!$D:$L,3,0)=VLOOKUP(I1536,Dados!$S:$V,3,0)),0,1)</f>
        <v>0</v>
      </c>
      <c r="T1536" s="4">
        <f>IF(AND(VLOOKUP(G1536,Dados!$D:$L,3,0)&lt;=VLOOKUP(H1536,Dados!$X:$AB,2,0),VLOOKUP(G1536,Dados!$D:$L,4,0)&gt;=VLOOKUP(H1536,Dados!$X:$AB,3,0),VLOOKUP(G1536,Dados!$D:$L,4,0)&lt;=VLOOKUP(H1536,Dados!$X:$AB,4,0)),0,1)</f>
        <v>0</v>
      </c>
      <c r="U1536" s="4">
        <f>IF(COUNTIFS(F:F,F1536,H:H,H1536)&lt;=VLOOKUP(H1536,Dados!$X:$AB,5,0),0,1)</f>
        <v>0</v>
      </c>
    </row>
    <row r="1537" spans="6:21">
      <c r="F1537" s="4">
        <v>742</v>
      </c>
      <c r="G1537" s="4">
        <v>16</v>
      </c>
      <c r="H1537" s="4">
        <v>1</v>
      </c>
      <c r="I1537" s="4">
        <v>9</v>
      </c>
      <c r="J1537" s="4">
        <v>5</v>
      </c>
      <c r="K1537" s="4">
        <f t="shared" si="277"/>
        <v>0</v>
      </c>
      <c r="L1537" s="4">
        <f t="shared" si="277"/>
        <v>0</v>
      </c>
      <c r="M1537" s="4">
        <f t="shared" si="277"/>
        <v>0</v>
      </c>
      <c r="N1537" s="4">
        <f t="shared" si="277"/>
        <v>0</v>
      </c>
      <c r="O1537" s="4">
        <f t="shared" si="278"/>
        <v>0</v>
      </c>
      <c r="P1537" s="4">
        <f t="shared" si="279"/>
        <v>0</v>
      </c>
      <c r="Q1537" s="4">
        <f t="shared" si="280"/>
        <v>0</v>
      </c>
      <c r="R1537" s="4">
        <f t="shared" si="281"/>
        <v>0</v>
      </c>
      <c r="S1537" s="4">
        <f>IF(AND(VLOOKUP(G1537,Dados!$D:$L,2,0)=VLOOKUP(I1537,Dados!$S:$V,2,0),VLOOKUP(G1537,Dados!$D:$L,3,0)=VLOOKUP(I1537,Dados!$S:$V,3,0)),0,1)</f>
        <v>0</v>
      </c>
      <c r="T1537" s="4">
        <f>IF(AND(VLOOKUP(G1537,Dados!$D:$L,3,0)&lt;=VLOOKUP(H1537,Dados!$X:$AB,2,0),VLOOKUP(G1537,Dados!$D:$L,4,0)&gt;=VLOOKUP(H1537,Dados!$X:$AB,3,0),VLOOKUP(G1537,Dados!$D:$L,4,0)&lt;=VLOOKUP(H1537,Dados!$X:$AB,4,0)),0,1)</f>
        <v>0</v>
      </c>
      <c r="U1537" s="4">
        <f>IF(COUNTIFS(F:F,F1537,H:H,H1537)&lt;=VLOOKUP(H1537,Dados!$X:$AB,5,0),0,1)</f>
        <v>0</v>
      </c>
    </row>
    <row r="1538" spans="6:21">
      <c r="F1538" s="4">
        <v>743</v>
      </c>
      <c r="G1538" s="4">
        <v>12</v>
      </c>
      <c r="H1538" s="4">
        <v>3</v>
      </c>
      <c r="I1538" s="4">
        <v>9</v>
      </c>
      <c r="J1538" s="4">
        <v>1</v>
      </c>
      <c r="K1538" s="4">
        <f t="shared" si="277"/>
        <v>0</v>
      </c>
      <c r="L1538" s="4">
        <f t="shared" si="277"/>
        <v>0</v>
      </c>
      <c r="M1538" s="4">
        <f t="shared" si="277"/>
        <v>0</v>
      </c>
      <c r="N1538" s="4">
        <f t="shared" si="277"/>
        <v>0</v>
      </c>
      <c r="O1538" s="4">
        <f t="shared" si="278"/>
        <v>0</v>
      </c>
      <c r="P1538" s="4">
        <f t="shared" si="279"/>
        <v>0</v>
      </c>
      <c r="Q1538" s="4">
        <f t="shared" si="280"/>
        <v>0</v>
      </c>
      <c r="R1538" s="4">
        <f t="shared" si="281"/>
        <v>0</v>
      </c>
      <c r="S1538" s="4">
        <f>IF(AND(VLOOKUP(G1538,Dados!$D:$L,2,0)=VLOOKUP(I1538,Dados!$S:$V,2,0),VLOOKUP(G1538,Dados!$D:$L,3,0)=VLOOKUP(I1538,Dados!$S:$V,3,0)),0,1)</f>
        <v>0</v>
      </c>
      <c r="T1538" s="4">
        <f>IF(AND(VLOOKUP(G1538,Dados!$D:$L,3,0)&lt;=VLOOKUP(H1538,Dados!$X:$AB,2,0),VLOOKUP(G1538,Dados!$D:$L,4,0)&gt;=VLOOKUP(H1538,Dados!$X:$AB,3,0),VLOOKUP(G1538,Dados!$D:$L,4,0)&lt;=VLOOKUP(H1538,Dados!$X:$AB,4,0)),0,1)</f>
        <v>0</v>
      </c>
      <c r="U1538" s="4">
        <f>IF(COUNTIFS(F:F,F1538,H:H,H1538)&lt;=VLOOKUP(H1538,Dados!$X:$AB,5,0),0,1)</f>
        <v>0</v>
      </c>
    </row>
    <row r="1539" spans="6:21">
      <c r="F1539" s="4">
        <v>743</v>
      </c>
      <c r="G1539" s="4">
        <v>13</v>
      </c>
      <c r="H1539" s="4">
        <v>3</v>
      </c>
      <c r="I1539" s="4">
        <v>9</v>
      </c>
      <c r="J1539" s="4">
        <v>1</v>
      </c>
      <c r="K1539" s="4">
        <f t="shared" si="277"/>
        <v>0</v>
      </c>
      <c r="L1539" s="4">
        <f t="shared" si="277"/>
        <v>0</v>
      </c>
      <c r="M1539" s="4">
        <f t="shared" si="277"/>
        <v>0</v>
      </c>
      <c r="N1539" s="4">
        <f t="shared" si="277"/>
        <v>0</v>
      </c>
      <c r="O1539" s="4">
        <f t="shared" si="278"/>
        <v>0</v>
      </c>
      <c r="P1539" s="4">
        <f t="shared" si="279"/>
        <v>0</v>
      </c>
      <c r="Q1539" s="4">
        <f t="shared" si="280"/>
        <v>0</v>
      </c>
      <c r="R1539" s="4">
        <f t="shared" si="281"/>
        <v>0</v>
      </c>
      <c r="S1539" s="4">
        <f>IF(AND(VLOOKUP(G1539,Dados!$D:$L,2,0)=VLOOKUP(I1539,Dados!$S:$V,2,0),VLOOKUP(G1539,Dados!$D:$L,3,0)=VLOOKUP(I1539,Dados!$S:$V,3,0)),0,1)</f>
        <v>0</v>
      </c>
      <c r="T1539" s="4">
        <f>IF(AND(VLOOKUP(G1539,Dados!$D:$L,3,0)&lt;=VLOOKUP(H1539,Dados!$X:$AB,2,0),VLOOKUP(G1539,Dados!$D:$L,4,0)&gt;=VLOOKUP(H1539,Dados!$X:$AB,3,0),VLOOKUP(G1539,Dados!$D:$L,4,0)&lt;=VLOOKUP(H1539,Dados!$X:$AB,4,0)),0,1)</f>
        <v>0</v>
      </c>
      <c r="U1539" s="4">
        <f>IF(COUNTIFS(F:F,F1539,H:H,H1539)&lt;=VLOOKUP(H1539,Dados!$X:$AB,5,0),0,1)</f>
        <v>0</v>
      </c>
    </row>
    <row r="1540" spans="6:21">
      <c r="F1540" s="4">
        <v>743</v>
      </c>
      <c r="G1540" s="4">
        <v>15</v>
      </c>
      <c r="H1540" s="4">
        <v>3</v>
      </c>
      <c r="I1540" s="4">
        <v>9</v>
      </c>
      <c r="J1540" s="4">
        <v>2</v>
      </c>
      <c r="K1540" s="4">
        <f t="shared" si="277"/>
        <v>0</v>
      </c>
      <c r="L1540" s="4">
        <f t="shared" si="277"/>
        <v>0</v>
      </c>
      <c r="M1540" s="4">
        <f t="shared" si="277"/>
        <v>0</v>
      </c>
      <c r="N1540" s="4">
        <f t="shared" si="277"/>
        <v>0</v>
      </c>
      <c r="O1540" s="4">
        <f t="shared" si="278"/>
        <v>0</v>
      </c>
      <c r="P1540" s="4">
        <f t="shared" si="279"/>
        <v>0</v>
      </c>
      <c r="Q1540" s="4">
        <f t="shared" si="280"/>
        <v>0</v>
      </c>
      <c r="R1540" s="4">
        <f t="shared" si="281"/>
        <v>0</v>
      </c>
      <c r="S1540" s="4">
        <f>IF(AND(VLOOKUP(G1540,Dados!$D:$L,2,0)=VLOOKUP(I1540,Dados!$S:$V,2,0),VLOOKUP(G1540,Dados!$D:$L,3,0)=VLOOKUP(I1540,Dados!$S:$V,3,0)),0,1)</f>
        <v>0</v>
      </c>
      <c r="T1540" s="4">
        <f>IF(AND(VLOOKUP(G1540,Dados!$D:$L,3,0)&lt;=VLOOKUP(H1540,Dados!$X:$AB,2,0),VLOOKUP(G1540,Dados!$D:$L,4,0)&gt;=VLOOKUP(H1540,Dados!$X:$AB,3,0),VLOOKUP(G1540,Dados!$D:$L,4,0)&lt;=VLOOKUP(H1540,Dados!$X:$AB,4,0)),0,1)</f>
        <v>0</v>
      </c>
      <c r="U1540" s="4">
        <f>IF(COUNTIFS(F:F,F1540,H:H,H1540)&lt;=VLOOKUP(H1540,Dados!$X:$AB,5,0),0,1)</f>
        <v>0</v>
      </c>
    </row>
    <row r="1541" spans="6:21">
      <c r="F1541" s="4">
        <v>743</v>
      </c>
      <c r="G1541" s="4">
        <v>16</v>
      </c>
      <c r="H1541" s="4">
        <v>3</v>
      </c>
      <c r="I1541" s="4">
        <v>9</v>
      </c>
      <c r="J1541" s="4">
        <v>4</v>
      </c>
      <c r="K1541" s="4">
        <f t="shared" si="277"/>
        <v>0</v>
      </c>
      <c r="L1541" s="4">
        <f t="shared" si="277"/>
        <v>0</v>
      </c>
      <c r="M1541" s="4">
        <f t="shared" si="277"/>
        <v>0</v>
      </c>
      <c r="N1541" s="4">
        <f t="shared" si="277"/>
        <v>0</v>
      </c>
      <c r="O1541" s="4">
        <f t="shared" si="278"/>
        <v>0</v>
      </c>
      <c r="P1541" s="4">
        <f t="shared" si="279"/>
        <v>0</v>
      </c>
      <c r="Q1541" s="4">
        <f t="shared" si="280"/>
        <v>0</v>
      </c>
      <c r="R1541" s="4">
        <f t="shared" si="281"/>
        <v>0</v>
      </c>
      <c r="S1541" s="4">
        <f>IF(AND(VLOOKUP(G1541,Dados!$D:$L,2,0)=VLOOKUP(I1541,Dados!$S:$V,2,0),VLOOKUP(G1541,Dados!$D:$L,3,0)=VLOOKUP(I1541,Dados!$S:$V,3,0)),0,1)</f>
        <v>0</v>
      </c>
      <c r="T1541" s="4">
        <f>IF(AND(VLOOKUP(G1541,Dados!$D:$L,3,0)&lt;=VLOOKUP(H1541,Dados!$X:$AB,2,0),VLOOKUP(G1541,Dados!$D:$L,4,0)&gt;=VLOOKUP(H1541,Dados!$X:$AB,3,0),VLOOKUP(G1541,Dados!$D:$L,4,0)&lt;=VLOOKUP(H1541,Dados!$X:$AB,4,0)),0,1)</f>
        <v>0</v>
      </c>
      <c r="U1541" s="4">
        <f>IF(COUNTIFS(F:F,F1541,H:H,H1541)&lt;=VLOOKUP(H1541,Dados!$X:$AB,5,0),0,1)</f>
        <v>0</v>
      </c>
    </row>
    <row r="1542" spans="6:21">
      <c r="F1542" s="4">
        <v>744</v>
      </c>
      <c r="G1542" s="4">
        <v>12</v>
      </c>
      <c r="H1542" s="4">
        <v>1</v>
      </c>
      <c r="I1542" s="4">
        <v>11</v>
      </c>
      <c r="J1542" s="4">
        <v>3</v>
      </c>
      <c r="K1542" s="4">
        <f t="shared" si="277"/>
        <v>0</v>
      </c>
      <c r="L1542" s="4">
        <f t="shared" si="277"/>
        <v>0</v>
      </c>
      <c r="M1542" s="4">
        <f t="shared" si="277"/>
        <v>0</v>
      </c>
      <c r="N1542" s="4">
        <f t="shared" si="277"/>
        <v>0</v>
      </c>
      <c r="O1542" s="4">
        <f t="shared" si="278"/>
        <v>0</v>
      </c>
      <c r="P1542" s="4">
        <f t="shared" si="279"/>
        <v>0</v>
      </c>
      <c r="Q1542" s="4">
        <f t="shared" si="280"/>
        <v>0</v>
      </c>
      <c r="R1542" s="4">
        <f t="shared" si="281"/>
        <v>0</v>
      </c>
      <c r="S1542" s="4">
        <f>IF(AND(VLOOKUP(G1542,Dados!$D:$L,2,0)=VLOOKUP(I1542,Dados!$S:$V,2,0),VLOOKUP(G1542,Dados!$D:$L,3,0)=VLOOKUP(I1542,Dados!$S:$V,3,0)),0,1)</f>
        <v>0</v>
      </c>
      <c r="T1542" s="4">
        <f>IF(AND(VLOOKUP(G1542,Dados!$D:$L,3,0)&lt;=VLOOKUP(H1542,Dados!$X:$AB,2,0),VLOOKUP(G1542,Dados!$D:$L,4,0)&gt;=VLOOKUP(H1542,Dados!$X:$AB,3,0),VLOOKUP(G1542,Dados!$D:$L,4,0)&lt;=VLOOKUP(H1542,Dados!$X:$AB,4,0)),0,1)</f>
        <v>0</v>
      </c>
      <c r="U1542" s="4">
        <f>IF(COUNTIFS(F:F,F1542,H:H,H1542)&lt;=VLOOKUP(H1542,Dados!$X:$AB,5,0),0,1)</f>
        <v>0</v>
      </c>
    </row>
    <row r="1543" spans="6:21">
      <c r="F1543" s="4">
        <v>744</v>
      </c>
      <c r="G1543" s="4">
        <v>13</v>
      </c>
      <c r="H1543" s="4">
        <v>1</v>
      </c>
      <c r="I1543" s="4">
        <v>11</v>
      </c>
      <c r="J1543" s="4">
        <v>2</v>
      </c>
      <c r="K1543" s="4">
        <f t="shared" si="277"/>
        <v>0</v>
      </c>
      <c r="L1543" s="4">
        <f t="shared" si="277"/>
        <v>0</v>
      </c>
      <c r="M1543" s="4">
        <f t="shared" si="277"/>
        <v>0</v>
      </c>
      <c r="N1543" s="4">
        <f t="shared" si="277"/>
        <v>0</v>
      </c>
      <c r="O1543" s="4">
        <f t="shared" si="278"/>
        <v>0</v>
      </c>
      <c r="P1543" s="4">
        <f t="shared" si="279"/>
        <v>0</v>
      </c>
      <c r="Q1543" s="4">
        <f t="shared" si="280"/>
        <v>0</v>
      </c>
      <c r="R1543" s="4">
        <f t="shared" si="281"/>
        <v>0</v>
      </c>
      <c r="S1543" s="4">
        <f>IF(AND(VLOOKUP(G1543,Dados!$D:$L,2,0)=VLOOKUP(I1543,Dados!$S:$V,2,0),VLOOKUP(G1543,Dados!$D:$L,3,0)=VLOOKUP(I1543,Dados!$S:$V,3,0)),0,1)</f>
        <v>0</v>
      </c>
      <c r="T1543" s="4">
        <f>IF(AND(VLOOKUP(G1543,Dados!$D:$L,3,0)&lt;=VLOOKUP(H1543,Dados!$X:$AB,2,0),VLOOKUP(G1543,Dados!$D:$L,4,0)&gt;=VLOOKUP(H1543,Dados!$X:$AB,3,0),VLOOKUP(G1543,Dados!$D:$L,4,0)&lt;=VLOOKUP(H1543,Dados!$X:$AB,4,0)),0,1)</f>
        <v>0</v>
      </c>
      <c r="U1543" s="4">
        <f>IF(COUNTIFS(F:F,F1543,H:H,H1543)&lt;=VLOOKUP(H1543,Dados!$X:$AB,5,0),0,1)</f>
        <v>0</v>
      </c>
    </row>
    <row r="1544" spans="6:21">
      <c r="F1544" s="4">
        <v>744</v>
      </c>
      <c r="G1544" s="4">
        <v>16</v>
      </c>
      <c r="H1544" s="4">
        <v>1</v>
      </c>
      <c r="I1544" s="4">
        <v>11</v>
      </c>
      <c r="J1544" s="4">
        <v>3</v>
      </c>
      <c r="K1544" s="4">
        <f t="shared" si="277"/>
        <v>0</v>
      </c>
      <c r="L1544" s="4">
        <f t="shared" si="277"/>
        <v>0</v>
      </c>
      <c r="M1544" s="4">
        <f t="shared" si="277"/>
        <v>0</v>
      </c>
      <c r="N1544" s="4">
        <f t="shared" si="277"/>
        <v>0</v>
      </c>
      <c r="O1544" s="4">
        <f t="shared" si="278"/>
        <v>0</v>
      </c>
      <c r="P1544" s="4">
        <f t="shared" si="279"/>
        <v>0</v>
      </c>
      <c r="Q1544" s="4">
        <f t="shared" si="280"/>
        <v>0</v>
      </c>
      <c r="R1544" s="4">
        <f t="shared" si="281"/>
        <v>0</v>
      </c>
      <c r="S1544" s="4">
        <f>IF(AND(VLOOKUP(G1544,Dados!$D:$L,2,0)=VLOOKUP(I1544,Dados!$S:$V,2,0),VLOOKUP(G1544,Dados!$D:$L,3,0)=VLOOKUP(I1544,Dados!$S:$V,3,0)),0,1)</f>
        <v>0</v>
      </c>
      <c r="T1544" s="4">
        <f>IF(AND(VLOOKUP(G1544,Dados!$D:$L,3,0)&lt;=VLOOKUP(H1544,Dados!$X:$AB,2,0),VLOOKUP(G1544,Dados!$D:$L,4,0)&gt;=VLOOKUP(H1544,Dados!$X:$AB,3,0),VLOOKUP(G1544,Dados!$D:$L,4,0)&lt;=VLOOKUP(H1544,Dados!$X:$AB,4,0)),0,1)</f>
        <v>0</v>
      </c>
      <c r="U1544" s="4">
        <f>IF(COUNTIFS(F:F,F1544,H:H,H1544)&lt;=VLOOKUP(H1544,Dados!$X:$AB,5,0),0,1)</f>
        <v>0</v>
      </c>
    </row>
    <row r="1545" spans="6:21">
      <c r="F1545" s="4">
        <v>745</v>
      </c>
      <c r="G1545" s="4">
        <v>12</v>
      </c>
      <c r="H1545" s="4">
        <v>3</v>
      </c>
      <c r="I1545" s="4">
        <v>11</v>
      </c>
      <c r="J1545" s="4">
        <v>3</v>
      </c>
      <c r="K1545" s="4">
        <f t="shared" si="277"/>
        <v>0</v>
      </c>
      <c r="L1545" s="4">
        <f t="shared" si="277"/>
        <v>0</v>
      </c>
      <c r="M1545" s="4">
        <f t="shared" si="277"/>
        <v>0</v>
      </c>
      <c r="N1545" s="4">
        <f t="shared" si="277"/>
        <v>0</v>
      </c>
      <c r="O1545" s="4">
        <f t="shared" si="278"/>
        <v>0</v>
      </c>
      <c r="P1545" s="4">
        <f t="shared" si="279"/>
        <v>0</v>
      </c>
      <c r="Q1545" s="4">
        <f t="shared" si="280"/>
        <v>0</v>
      </c>
      <c r="R1545" s="4">
        <f t="shared" si="281"/>
        <v>0</v>
      </c>
      <c r="S1545" s="4">
        <f>IF(AND(VLOOKUP(G1545,Dados!$D:$L,2,0)=VLOOKUP(I1545,Dados!$S:$V,2,0),VLOOKUP(G1545,Dados!$D:$L,3,0)=VLOOKUP(I1545,Dados!$S:$V,3,0)),0,1)</f>
        <v>0</v>
      </c>
      <c r="T1545" s="4">
        <f>IF(AND(VLOOKUP(G1545,Dados!$D:$L,3,0)&lt;=VLOOKUP(H1545,Dados!$X:$AB,2,0),VLOOKUP(G1545,Dados!$D:$L,4,0)&gt;=VLOOKUP(H1545,Dados!$X:$AB,3,0),VLOOKUP(G1545,Dados!$D:$L,4,0)&lt;=VLOOKUP(H1545,Dados!$X:$AB,4,0)),0,1)</f>
        <v>0</v>
      </c>
      <c r="U1545" s="4">
        <f>IF(COUNTIFS(F:F,F1545,H:H,H1545)&lt;=VLOOKUP(H1545,Dados!$X:$AB,5,0),0,1)</f>
        <v>0</v>
      </c>
    </row>
    <row r="1546" spans="6:21">
      <c r="F1546" s="4">
        <v>745</v>
      </c>
      <c r="G1546" s="4">
        <v>15</v>
      </c>
      <c r="H1546" s="4">
        <v>3</v>
      </c>
      <c r="I1546" s="4">
        <v>11</v>
      </c>
      <c r="J1546" s="4">
        <v>1</v>
      </c>
      <c r="K1546" s="4">
        <f t="shared" si="277"/>
        <v>0</v>
      </c>
      <c r="L1546" s="4">
        <f t="shared" si="277"/>
        <v>0</v>
      </c>
      <c r="M1546" s="4">
        <f t="shared" si="277"/>
        <v>0</v>
      </c>
      <c r="N1546" s="4">
        <f t="shared" si="277"/>
        <v>0</v>
      </c>
      <c r="O1546" s="4">
        <f t="shared" si="278"/>
        <v>0</v>
      </c>
      <c r="P1546" s="4">
        <f t="shared" si="279"/>
        <v>0</v>
      </c>
      <c r="Q1546" s="4">
        <f t="shared" si="280"/>
        <v>0</v>
      </c>
      <c r="R1546" s="4">
        <f t="shared" si="281"/>
        <v>0</v>
      </c>
      <c r="S1546" s="4">
        <f>IF(AND(VLOOKUP(G1546,Dados!$D:$L,2,0)=VLOOKUP(I1546,Dados!$S:$V,2,0),VLOOKUP(G1546,Dados!$D:$L,3,0)=VLOOKUP(I1546,Dados!$S:$V,3,0)),0,1)</f>
        <v>0</v>
      </c>
      <c r="T1546" s="4">
        <f>IF(AND(VLOOKUP(G1546,Dados!$D:$L,3,0)&lt;=VLOOKUP(H1546,Dados!$X:$AB,2,0),VLOOKUP(G1546,Dados!$D:$L,4,0)&gt;=VLOOKUP(H1546,Dados!$X:$AB,3,0),VLOOKUP(G1546,Dados!$D:$L,4,0)&lt;=VLOOKUP(H1546,Dados!$X:$AB,4,0)),0,1)</f>
        <v>0</v>
      </c>
      <c r="U1546" s="4">
        <f>IF(COUNTIFS(F:F,F1546,H:H,H1546)&lt;=VLOOKUP(H1546,Dados!$X:$AB,5,0),0,1)</f>
        <v>0</v>
      </c>
    </row>
    <row r="1547" spans="6:21">
      <c r="F1547" s="4">
        <v>745</v>
      </c>
      <c r="G1547" s="4">
        <v>16</v>
      </c>
      <c r="H1547" s="4">
        <v>3</v>
      </c>
      <c r="I1547" s="4">
        <v>11</v>
      </c>
      <c r="J1547" s="4">
        <v>2</v>
      </c>
      <c r="K1547" s="4">
        <f t="shared" si="277"/>
        <v>0</v>
      </c>
      <c r="L1547" s="4">
        <f t="shared" si="277"/>
        <v>0</v>
      </c>
      <c r="M1547" s="4">
        <f t="shared" si="277"/>
        <v>0</v>
      </c>
      <c r="N1547" s="4">
        <f t="shared" si="277"/>
        <v>0</v>
      </c>
      <c r="O1547" s="4">
        <f t="shared" si="278"/>
        <v>0</v>
      </c>
      <c r="P1547" s="4">
        <f t="shared" si="279"/>
        <v>0</v>
      </c>
      <c r="Q1547" s="4">
        <f t="shared" si="280"/>
        <v>0</v>
      </c>
      <c r="R1547" s="4">
        <f t="shared" si="281"/>
        <v>0</v>
      </c>
      <c r="S1547" s="4">
        <f>IF(AND(VLOOKUP(G1547,Dados!$D:$L,2,0)=VLOOKUP(I1547,Dados!$S:$V,2,0),VLOOKUP(G1547,Dados!$D:$L,3,0)=VLOOKUP(I1547,Dados!$S:$V,3,0)),0,1)</f>
        <v>0</v>
      </c>
      <c r="T1547" s="4">
        <f>IF(AND(VLOOKUP(G1547,Dados!$D:$L,3,0)&lt;=VLOOKUP(H1547,Dados!$X:$AB,2,0),VLOOKUP(G1547,Dados!$D:$L,4,0)&gt;=VLOOKUP(H1547,Dados!$X:$AB,3,0),VLOOKUP(G1547,Dados!$D:$L,4,0)&lt;=VLOOKUP(H1547,Dados!$X:$AB,4,0)),0,1)</f>
        <v>0</v>
      </c>
      <c r="U1547" s="4">
        <f>IF(COUNTIFS(F:F,F1547,H:H,H1547)&lt;=VLOOKUP(H1547,Dados!$X:$AB,5,0),0,1)</f>
        <v>0</v>
      </c>
    </row>
    <row r="1548" spans="6:21">
      <c r="F1548" s="4">
        <v>745</v>
      </c>
      <c r="G1548" s="4">
        <v>17</v>
      </c>
      <c r="H1548" s="4">
        <v>3</v>
      </c>
      <c r="I1548" s="4">
        <v>11</v>
      </c>
      <c r="J1548" s="4">
        <v>3</v>
      </c>
      <c r="K1548" s="4">
        <f t="shared" si="277"/>
        <v>0</v>
      </c>
      <c r="L1548" s="4">
        <f t="shared" si="277"/>
        <v>0</v>
      </c>
      <c r="M1548" s="4">
        <f t="shared" si="277"/>
        <v>0</v>
      </c>
      <c r="N1548" s="4">
        <f t="shared" si="277"/>
        <v>0</v>
      </c>
      <c r="O1548" s="4">
        <f t="shared" si="278"/>
        <v>0</v>
      </c>
      <c r="P1548" s="4">
        <f t="shared" si="279"/>
        <v>0</v>
      </c>
      <c r="Q1548" s="4">
        <f t="shared" si="280"/>
        <v>0</v>
      </c>
      <c r="R1548" s="4">
        <f t="shared" si="281"/>
        <v>0</v>
      </c>
      <c r="S1548" s="4">
        <f>IF(AND(VLOOKUP(G1548,Dados!$D:$L,2,0)=VLOOKUP(I1548,Dados!$S:$V,2,0),VLOOKUP(G1548,Dados!$D:$L,3,0)=VLOOKUP(I1548,Dados!$S:$V,3,0)),0,1)</f>
        <v>0</v>
      </c>
      <c r="T1548" s="4">
        <f>IF(AND(VLOOKUP(G1548,Dados!$D:$L,3,0)&lt;=VLOOKUP(H1548,Dados!$X:$AB,2,0),VLOOKUP(G1548,Dados!$D:$L,4,0)&gt;=VLOOKUP(H1548,Dados!$X:$AB,3,0),VLOOKUP(G1548,Dados!$D:$L,4,0)&lt;=VLOOKUP(H1548,Dados!$X:$AB,4,0)),0,1)</f>
        <v>0</v>
      </c>
      <c r="U1548" s="4">
        <f>IF(COUNTIFS(F:F,F1548,H:H,H1548)&lt;=VLOOKUP(H1548,Dados!$X:$AB,5,0),0,1)</f>
        <v>0</v>
      </c>
    </row>
    <row r="1549" spans="6:21">
      <c r="F1549" s="4">
        <v>746</v>
      </c>
      <c r="G1549" s="4">
        <v>20</v>
      </c>
      <c r="H1549" s="4">
        <v>1</v>
      </c>
      <c r="I1549" s="4">
        <v>13</v>
      </c>
      <c r="J1549" s="4">
        <v>4</v>
      </c>
      <c r="K1549" s="4">
        <f t="shared" si="277"/>
        <v>0</v>
      </c>
      <c r="L1549" s="4">
        <f t="shared" si="277"/>
        <v>0</v>
      </c>
      <c r="M1549" s="4">
        <f t="shared" si="277"/>
        <v>0</v>
      </c>
      <c r="N1549" s="4">
        <f t="shared" si="277"/>
        <v>0</v>
      </c>
      <c r="O1549" s="4">
        <f t="shared" si="278"/>
        <v>0</v>
      </c>
      <c r="P1549" s="4">
        <f t="shared" si="279"/>
        <v>0</v>
      </c>
      <c r="Q1549" s="4">
        <f t="shared" si="280"/>
        <v>0</v>
      </c>
      <c r="R1549" s="4">
        <f t="shared" si="281"/>
        <v>0</v>
      </c>
      <c r="S1549" s="4">
        <f>IF(AND(VLOOKUP(G1549,Dados!$D:$L,2,0)=VLOOKUP(I1549,Dados!$S:$V,2,0),VLOOKUP(G1549,Dados!$D:$L,3,0)=VLOOKUP(I1549,Dados!$S:$V,3,0)),0,1)</f>
        <v>0</v>
      </c>
      <c r="T1549" s="4">
        <f>IF(AND(VLOOKUP(G1549,Dados!$D:$L,3,0)&lt;=VLOOKUP(H1549,Dados!$X:$AB,2,0),VLOOKUP(G1549,Dados!$D:$L,4,0)&gt;=VLOOKUP(H1549,Dados!$X:$AB,3,0),VLOOKUP(G1549,Dados!$D:$L,4,0)&lt;=VLOOKUP(H1549,Dados!$X:$AB,4,0)),0,1)</f>
        <v>0</v>
      </c>
      <c r="U1549" s="4">
        <f>IF(COUNTIFS(F:F,F1549,H:H,H1549)&lt;=VLOOKUP(H1549,Dados!$X:$AB,5,0),0,1)</f>
        <v>0</v>
      </c>
    </row>
    <row r="1550" spans="6:21">
      <c r="F1550" s="4">
        <v>746</v>
      </c>
      <c r="G1550" s="4">
        <v>22</v>
      </c>
      <c r="H1550" s="4">
        <v>1</v>
      </c>
      <c r="I1550" s="4">
        <v>13</v>
      </c>
      <c r="J1550" s="4">
        <v>2</v>
      </c>
      <c r="K1550" s="4">
        <f t="shared" si="277"/>
        <v>0</v>
      </c>
      <c r="L1550" s="4">
        <f t="shared" si="277"/>
        <v>0</v>
      </c>
      <c r="M1550" s="4">
        <f t="shared" si="277"/>
        <v>0</v>
      </c>
      <c r="N1550" s="4">
        <f t="shared" si="277"/>
        <v>0</v>
      </c>
      <c r="O1550" s="4">
        <f t="shared" si="278"/>
        <v>0</v>
      </c>
      <c r="P1550" s="4">
        <f t="shared" si="279"/>
        <v>0</v>
      </c>
      <c r="Q1550" s="4">
        <f t="shared" si="280"/>
        <v>0</v>
      </c>
      <c r="R1550" s="4">
        <f t="shared" si="281"/>
        <v>0</v>
      </c>
      <c r="S1550" s="4">
        <f>IF(AND(VLOOKUP(G1550,Dados!$D:$L,2,0)=VLOOKUP(I1550,Dados!$S:$V,2,0),VLOOKUP(G1550,Dados!$D:$L,3,0)=VLOOKUP(I1550,Dados!$S:$V,3,0)),0,1)</f>
        <v>0</v>
      </c>
      <c r="T1550" s="4">
        <f>IF(AND(VLOOKUP(G1550,Dados!$D:$L,3,0)&lt;=VLOOKUP(H1550,Dados!$X:$AB,2,0),VLOOKUP(G1550,Dados!$D:$L,4,0)&gt;=VLOOKUP(H1550,Dados!$X:$AB,3,0),VLOOKUP(G1550,Dados!$D:$L,4,0)&lt;=VLOOKUP(H1550,Dados!$X:$AB,4,0)),0,1)</f>
        <v>0</v>
      </c>
      <c r="U1550" s="4">
        <f>IF(COUNTIFS(F:F,F1550,H:H,H1550)&lt;=VLOOKUP(H1550,Dados!$X:$AB,5,0),0,1)</f>
        <v>0</v>
      </c>
    </row>
    <row r="1551" spans="6:21">
      <c r="F1551" s="4">
        <v>746</v>
      </c>
      <c r="G1551" s="4">
        <v>23</v>
      </c>
      <c r="H1551" s="4">
        <v>1</v>
      </c>
      <c r="I1551" s="4">
        <v>13</v>
      </c>
      <c r="J1551" s="4">
        <v>2</v>
      </c>
      <c r="K1551" s="4">
        <f t="shared" si="277"/>
        <v>0</v>
      </c>
      <c r="L1551" s="4">
        <f t="shared" si="277"/>
        <v>0</v>
      </c>
      <c r="M1551" s="4">
        <f t="shared" si="277"/>
        <v>0</v>
      </c>
      <c r="N1551" s="4">
        <f t="shared" si="277"/>
        <v>0</v>
      </c>
      <c r="O1551" s="4">
        <f t="shared" si="278"/>
        <v>0</v>
      </c>
      <c r="P1551" s="4">
        <f t="shared" si="279"/>
        <v>0</v>
      </c>
      <c r="Q1551" s="4">
        <f t="shared" si="280"/>
        <v>0</v>
      </c>
      <c r="R1551" s="4">
        <f t="shared" si="281"/>
        <v>0</v>
      </c>
      <c r="S1551" s="4">
        <f>IF(AND(VLOOKUP(G1551,Dados!$D:$L,2,0)=VLOOKUP(I1551,Dados!$S:$V,2,0),VLOOKUP(G1551,Dados!$D:$L,3,0)=VLOOKUP(I1551,Dados!$S:$V,3,0)),0,1)</f>
        <v>0</v>
      </c>
      <c r="T1551" s="4">
        <f>IF(AND(VLOOKUP(G1551,Dados!$D:$L,3,0)&lt;=VLOOKUP(H1551,Dados!$X:$AB,2,0),VLOOKUP(G1551,Dados!$D:$L,4,0)&gt;=VLOOKUP(H1551,Dados!$X:$AB,3,0),VLOOKUP(G1551,Dados!$D:$L,4,0)&lt;=VLOOKUP(H1551,Dados!$X:$AB,4,0)),0,1)</f>
        <v>0</v>
      </c>
      <c r="U1551" s="4">
        <f>IF(COUNTIFS(F:F,F1551,H:H,H1551)&lt;=VLOOKUP(H1551,Dados!$X:$AB,5,0),0,1)</f>
        <v>0</v>
      </c>
    </row>
    <row r="1552" spans="6:21">
      <c r="F1552" s="4">
        <v>747</v>
      </c>
      <c r="G1552" s="4">
        <v>20</v>
      </c>
      <c r="H1552" s="4">
        <v>2</v>
      </c>
      <c r="I1552" s="4">
        <v>13</v>
      </c>
      <c r="J1552" s="4">
        <v>4</v>
      </c>
      <c r="K1552" s="4">
        <f t="shared" si="277"/>
        <v>0</v>
      </c>
      <c r="L1552" s="4">
        <f t="shared" si="277"/>
        <v>0</v>
      </c>
      <c r="M1552" s="4">
        <f t="shared" si="277"/>
        <v>0</v>
      </c>
      <c r="N1552" s="4">
        <f t="shared" si="277"/>
        <v>16</v>
      </c>
      <c r="O1552" s="4">
        <f t="shared" si="278"/>
        <v>0</v>
      </c>
      <c r="P1552" s="4">
        <f t="shared" si="279"/>
        <v>0</v>
      </c>
      <c r="Q1552" s="4">
        <f t="shared" si="280"/>
        <v>0</v>
      </c>
      <c r="R1552" s="4">
        <f t="shared" si="281"/>
        <v>64</v>
      </c>
      <c r="S1552" s="4">
        <f>IF(AND(VLOOKUP(G1552,Dados!$D:$L,2,0)=VLOOKUP(I1552,Dados!$S:$V,2,0),VLOOKUP(G1552,Dados!$D:$L,3,0)=VLOOKUP(I1552,Dados!$S:$V,3,0)),0,1)</f>
        <v>0</v>
      </c>
      <c r="T1552" s="4">
        <f>IF(AND(VLOOKUP(G1552,Dados!$D:$L,3,0)&lt;=VLOOKUP(H1552,Dados!$X:$AB,2,0),VLOOKUP(G1552,Dados!$D:$L,4,0)&gt;=VLOOKUP(H1552,Dados!$X:$AB,3,0),VLOOKUP(G1552,Dados!$D:$L,4,0)&lt;=VLOOKUP(H1552,Dados!$X:$AB,4,0)),0,1)</f>
        <v>0</v>
      </c>
      <c r="U1552" s="4">
        <f>IF(COUNTIFS(F:F,F1552,H:H,H1552)&lt;=VLOOKUP(H1552,Dados!$X:$AB,5,0),0,1)</f>
        <v>0</v>
      </c>
    </row>
    <row r="1553" spans="6:21">
      <c r="F1553" s="4">
        <v>747</v>
      </c>
      <c r="G1553" s="4">
        <v>22</v>
      </c>
      <c r="H1553" s="4">
        <v>2</v>
      </c>
      <c r="I1553" s="4">
        <v>13</v>
      </c>
      <c r="J1553" s="4">
        <v>2</v>
      </c>
      <c r="K1553" s="4">
        <f t="shared" si="277"/>
        <v>0</v>
      </c>
      <c r="L1553" s="4">
        <f t="shared" si="277"/>
        <v>0</v>
      </c>
      <c r="M1553" s="4">
        <f t="shared" si="277"/>
        <v>0</v>
      </c>
      <c r="N1553" s="4">
        <f t="shared" si="277"/>
        <v>16</v>
      </c>
      <c r="O1553" s="4">
        <f t="shared" si="278"/>
        <v>0</v>
      </c>
      <c r="P1553" s="4">
        <f t="shared" si="279"/>
        <v>0</v>
      </c>
      <c r="Q1553" s="4">
        <f t="shared" si="280"/>
        <v>0</v>
      </c>
      <c r="R1553" s="4">
        <f t="shared" si="281"/>
        <v>32</v>
      </c>
      <c r="S1553" s="4">
        <f>IF(AND(VLOOKUP(G1553,Dados!$D:$L,2,0)=VLOOKUP(I1553,Dados!$S:$V,2,0),VLOOKUP(G1553,Dados!$D:$L,3,0)=VLOOKUP(I1553,Dados!$S:$V,3,0)),0,1)</f>
        <v>0</v>
      </c>
      <c r="T1553" s="4">
        <f>IF(AND(VLOOKUP(G1553,Dados!$D:$L,3,0)&lt;=VLOOKUP(H1553,Dados!$X:$AB,2,0),VLOOKUP(G1553,Dados!$D:$L,4,0)&gt;=VLOOKUP(H1553,Dados!$X:$AB,3,0),VLOOKUP(G1553,Dados!$D:$L,4,0)&lt;=VLOOKUP(H1553,Dados!$X:$AB,4,0)),0,1)</f>
        <v>0</v>
      </c>
      <c r="U1553" s="4">
        <f>IF(COUNTIFS(F:F,F1553,H:H,H1553)&lt;=VLOOKUP(H1553,Dados!$X:$AB,5,0),0,1)</f>
        <v>0</v>
      </c>
    </row>
    <row r="1554" spans="6:21">
      <c r="F1554" s="4">
        <v>747</v>
      </c>
      <c r="G1554" s="4">
        <v>23</v>
      </c>
      <c r="H1554" s="4">
        <v>2</v>
      </c>
      <c r="I1554" s="4">
        <v>13</v>
      </c>
      <c r="J1554" s="4">
        <v>2</v>
      </c>
      <c r="K1554" s="4">
        <f t="shared" si="277"/>
        <v>0</v>
      </c>
      <c r="L1554" s="4">
        <f t="shared" si="277"/>
        <v>0</v>
      </c>
      <c r="M1554" s="4">
        <f t="shared" si="277"/>
        <v>0</v>
      </c>
      <c r="N1554" s="4">
        <f t="shared" si="277"/>
        <v>16</v>
      </c>
      <c r="O1554" s="4">
        <f t="shared" si="278"/>
        <v>0</v>
      </c>
      <c r="P1554" s="4">
        <f t="shared" si="279"/>
        <v>0</v>
      </c>
      <c r="Q1554" s="4">
        <f t="shared" si="280"/>
        <v>0</v>
      </c>
      <c r="R1554" s="4">
        <f t="shared" si="281"/>
        <v>32</v>
      </c>
      <c r="S1554" s="4">
        <f>IF(AND(VLOOKUP(G1554,Dados!$D:$L,2,0)=VLOOKUP(I1554,Dados!$S:$V,2,0),VLOOKUP(G1554,Dados!$D:$L,3,0)=VLOOKUP(I1554,Dados!$S:$V,3,0)),0,1)</f>
        <v>0</v>
      </c>
      <c r="T1554" s="4">
        <f>IF(AND(VLOOKUP(G1554,Dados!$D:$L,3,0)&lt;=VLOOKUP(H1554,Dados!$X:$AB,2,0),VLOOKUP(G1554,Dados!$D:$L,4,0)&gt;=VLOOKUP(H1554,Dados!$X:$AB,3,0),VLOOKUP(G1554,Dados!$D:$L,4,0)&lt;=VLOOKUP(H1554,Dados!$X:$AB,4,0)),0,1)</f>
        <v>0</v>
      </c>
      <c r="U1554" s="4">
        <f>IF(COUNTIFS(F:F,F1554,H:H,H1554)&lt;=VLOOKUP(H1554,Dados!$X:$AB,5,0),0,1)</f>
        <v>0</v>
      </c>
    </row>
    <row r="1555" spans="6:21">
      <c r="F1555" s="4">
        <v>748</v>
      </c>
      <c r="G1555" s="4">
        <v>24</v>
      </c>
      <c r="H1555" s="4">
        <v>1</v>
      </c>
      <c r="I1555" s="4">
        <v>15</v>
      </c>
      <c r="J1555" s="4">
        <v>2</v>
      </c>
      <c r="K1555" s="4">
        <f t="shared" si="277"/>
        <v>0</v>
      </c>
      <c r="L1555" s="4">
        <f t="shared" si="277"/>
        <v>0</v>
      </c>
      <c r="M1555" s="4">
        <f t="shared" si="277"/>
        <v>0</v>
      </c>
      <c r="N1555" s="4">
        <f t="shared" si="277"/>
        <v>0</v>
      </c>
      <c r="O1555" s="4">
        <f t="shared" si="278"/>
        <v>0</v>
      </c>
      <c r="P1555" s="4">
        <f t="shared" si="279"/>
        <v>0</v>
      </c>
      <c r="Q1555" s="4">
        <f t="shared" si="280"/>
        <v>0</v>
      </c>
      <c r="R1555" s="4">
        <f t="shared" si="281"/>
        <v>0</v>
      </c>
      <c r="S1555" s="4">
        <f>IF(AND(VLOOKUP(G1555,Dados!$D:$L,2,0)=VLOOKUP(I1555,Dados!$S:$V,2,0),VLOOKUP(G1555,Dados!$D:$L,3,0)=VLOOKUP(I1555,Dados!$S:$V,3,0)),0,1)</f>
        <v>0</v>
      </c>
      <c r="T1555" s="4">
        <f>IF(AND(VLOOKUP(G1555,Dados!$D:$L,3,0)&lt;=VLOOKUP(H1555,Dados!$X:$AB,2,0),VLOOKUP(G1555,Dados!$D:$L,4,0)&gt;=VLOOKUP(H1555,Dados!$X:$AB,3,0),VLOOKUP(G1555,Dados!$D:$L,4,0)&lt;=VLOOKUP(H1555,Dados!$X:$AB,4,0)),0,1)</f>
        <v>0</v>
      </c>
      <c r="U1555" s="4">
        <f>IF(COUNTIFS(F:F,F1555,H:H,H1555)&lt;=VLOOKUP(H1555,Dados!$X:$AB,5,0),0,1)</f>
        <v>0</v>
      </c>
    </row>
    <row r="1556" spans="6:21">
      <c r="F1556" s="4">
        <v>748</v>
      </c>
      <c r="G1556" s="4">
        <v>27</v>
      </c>
      <c r="H1556" s="4">
        <v>1</v>
      </c>
      <c r="I1556" s="4">
        <v>15</v>
      </c>
      <c r="J1556" s="4">
        <v>5</v>
      </c>
      <c r="K1556" s="4">
        <f t="shared" si="277"/>
        <v>0</v>
      </c>
      <c r="L1556" s="4">
        <f t="shared" si="277"/>
        <v>0</v>
      </c>
      <c r="M1556" s="4">
        <f t="shared" si="277"/>
        <v>0</v>
      </c>
      <c r="N1556" s="4">
        <f t="shared" si="277"/>
        <v>0</v>
      </c>
      <c r="O1556" s="4">
        <f t="shared" si="278"/>
        <v>0</v>
      </c>
      <c r="P1556" s="4">
        <f t="shared" si="279"/>
        <v>0</v>
      </c>
      <c r="Q1556" s="4">
        <f t="shared" si="280"/>
        <v>0</v>
      </c>
      <c r="R1556" s="4">
        <f t="shared" si="281"/>
        <v>0</v>
      </c>
      <c r="S1556" s="4">
        <f>IF(AND(VLOOKUP(G1556,Dados!$D:$L,2,0)=VLOOKUP(I1556,Dados!$S:$V,2,0),VLOOKUP(G1556,Dados!$D:$L,3,0)=VLOOKUP(I1556,Dados!$S:$V,3,0)),0,1)</f>
        <v>0</v>
      </c>
      <c r="T1556" s="4">
        <f>IF(AND(VLOOKUP(G1556,Dados!$D:$L,3,0)&lt;=VLOOKUP(H1556,Dados!$X:$AB,2,0),VLOOKUP(G1556,Dados!$D:$L,4,0)&gt;=VLOOKUP(H1556,Dados!$X:$AB,3,0),VLOOKUP(G1556,Dados!$D:$L,4,0)&lt;=VLOOKUP(H1556,Dados!$X:$AB,4,0)),0,1)</f>
        <v>0</v>
      </c>
      <c r="U1556" s="4">
        <f>IF(COUNTIFS(F:F,F1556,H:H,H1556)&lt;=VLOOKUP(H1556,Dados!$X:$AB,5,0),0,1)</f>
        <v>0</v>
      </c>
    </row>
    <row r="1557" spans="6:21">
      <c r="F1557" s="4">
        <v>749</v>
      </c>
      <c r="G1557" s="4">
        <v>24</v>
      </c>
      <c r="H1557" s="4">
        <v>3</v>
      </c>
      <c r="I1557" s="4">
        <v>15</v>
      </c>
      <c r="J1557" s="4">
        <v>2</v>
      </c>
      <c r="K1557" s="4">
        <f t="shared" si="277"/>
        <v>18</v>
      </c>
      <c r="L1557" s="4">
        <f t="shared" si="277"/>
        <v>0</v>
      </c>
      <c r="M1557" s="4">
        <f t="shared" si="277"/>
        <v>0</v>
      </c>
      <c r="N1557" s="4">
        <f t="shared" si="277"/>
        <v>0</v>
      </c>
      <c r="O1557" s="4">
        <f t="shared" si="278"/>
        <v>36</v>
      </c>
      <c r="P1557" s="4">
        <f t="shared" si="279"/>
        <v>0</v>
      </c>
      <c r="Q1557" s="4">
        <f t="shared" si="280"/>
        <v>0</v>
      </c>
      <c r="R1557" s="4">
        <f t="shared" si="281"/>
        <v>0</v>
      </c>
      <c r="S1557" s="4">
        <f>IF(AND(VLOOKUP(G1557,Dados!$D:$L,2,0)=VLOOKUP(I1557,Dados!$S:$V,2,0),VLOOKUP(G1557,Dados!$D:$L,3,0)=VLOOKUP(I1557,Dados!$S:$V,3,0)),0,1)</f>
        <v>0</v>
      </c>
      <c r="T1557" s="4">
        <f>IF(AND(VLOOKUP(G1557,Dados!$D:$L,3,0)&lt;=VLOOKUP(H1557,Dados!$X:$AB,2,0),VLOOKUP(G1557,Dados!$D:$L,4,0)&gt;=VLOOKUP(H1557,Dados!$X:$AB,3,0),VLOOKUP(G1557,Dados!$D:$L,4,0)&lt;=VLOOKUP(H1557,Dados!$X:$AB,4,0)),0,1)</f>
        <v>0</v>
      </c>
      <c r="U1557" s="4">
        <f>IF(COUNTIFS(F:F,F1557,H:H,H1557)&lt;=VLOOKUP(H1557,Dados!$X:$AB,5,0),0,1)</f>
        <v>0</v>
      </c>
    </row>
    <row r="1558" spans="6:21">
      <c r="F1558" s="4">
        <v>749</v>
      </c>
      <c r="G1558" s="4">
        <v>27</v>
      </c>
      <c r="H1558" s="4">
        <v>3</v>
      </c>
      <c r="I1558" s="4">
        <v>15</v>
      </c>
      <c r="J1558" s="4">
        <v>5</v>
      </c>
      <c r="K1558" s="4">
        <f t="shared" si="277"/>
        <v>18</v>
      </c>
      <c r="L1558" s="4">
        <f t="shared" si="277"/>
        <v>0</v>
      </c>
      <c r="M1558" s="4">
        <f t="shared" si="277"/>
        <v>0</v>
      </c>
      <c r="N1558" s="4">
        <f t="shared" si="277"/>
        <v>0</v>
      </c>
      <c r="O1558" s="4">
        <f t="shared" si="278"/>
        <v>90</v>
      </c>
      <c r="P1558" s="4">
        <f t="shared" si="279"/>
        <v>0</v>
      </c>
      <c r="Q1558" s="4">
        <f t="shared" si="280"/>
        <v>0</v>
      </c>
      <c r="R1558" s="4">
        <f t="shared" si="281"/>
        <v>0</v>
      </c>
      <c r="S1558" s="4">
        <f>IF(AND(VLOOKUP(G1558,Dados!$D:$L,2,0)=VLOOKUP(I1558,Dados!$S:$V,2,0),VLOOKUP(G1558,Dados!$D:$L,3,0)=VLOOKUP(I1558,Dados!$S:$V,3,0)),0,1)</f>
        <v>0</v>
      </c>
      <c r="T1558" s="4">
        <f>IF(AND(VLOOKUP(G1558,Dados!$D:$L,3,0)&lt;=VLOOKUP(H1558,Dados!$X:$AB,2,0),VLOOKUP(G1558,Dados!$D:$L,4,0)&gt;=VLOOKUP(H1558,Dados!$X:$AB,3,0),VLOOKUP(G1558,Dados!$D:$L,4,0)&lt;=VLOOKUP(H1558,Dados!$X:$AB,4,0)),0,1)</f>
        <v>0</v>
      </c>
      <c r="U1558" s="4">
        <f>IF(COUNTIFS(F:F,F1558,H:H,H1558)&lt;=VLOOKUP(H1558,Dados!$X:$AB,5,0),0,1)</f>
        <v>0</v>
      </c>
    </row>
    <row r="1559" spans="6:21">
      <c r="F1559" s="4">
        <v>750</v>
      </c>
      <c r="G1559" s="4">
        <v>34</v>
      </c>
      <c r="H1559" s="4">
        <v>1</v>
      </c>
      <c r="I1559" s="4">
        <v>16</v>
      </c>
      <c r="J1559" s="4">
        <v>3</v>
      </c>
      <c r="K1559" s="4">
        <f t="shared" si="277"/>
        <v>0</v>
      </c>
      <c r="L1559" s="4">
        <f t="shared" si="277"/>
        <v>0</v>
      </c>
      <c r="M1559" s="4">
        <f t="shared" si="277"/>
        <v>0</v>
      </c>
      <c r="N1559" s="4">
        <f t="shared" si="277"/>
        <v>0</v>
      </c>
      <c r="O1559" s="4">
        <f t="shared" si="278"/>
        <v>0</v>
      </c>
      <c r="P1559" s="4">
        <f t="shared" si="279"/>
        <v>0</v>
      </c>
      <c r="Q1559" s="4">
        <f t="shared" si="280"/>
        <v>0</v>
      </c>
      <c r="R1559" s="4">
        <f t="shared" si="281"/>
        <v>0</v>
      </c>
      <c r="S1559" s="4">
        <f>IF(AND(VLOOKUP(G1559,Dados!$D:$L,2,0)=VLOOKUP(I1559,Dados!$S:$V,2,0),VLOOKUP(G1559,Dados!$D:$L,3,0)=VLOOKUP(I1559,Dados!$S:$V,3,0)),0,1)</f>
        <v>0</v>
      </c>
      <c r="T1559" s="4">
        <f>IF(AND(VLOOKUP(G1559,Dados!$D:$L,3,0)&lt;=VLOOKUP(H1559,Dados!$X:$AB,2,0),VLOOKUP(G1559,Dados!$D:$L,4,0)&gt;=VLOOKUP(H1559,Dados!$X:$AB,3,0),VLOOKUP(G1559,Dados!$D:$L,4,0)&lt;=VLOOKUP(H1559,Dados!$X:$AB,4,0)),0,1)</f>
        <v>0</v>
      </c>
      <c r="U1559" s="4">
        <f>IF(COUNTIFS(F:F,F1559,H:H,H1559)&lt;=VLOOKUP(H1559,Dados!$X:$AB,5,0),0,1)</f>
        <v>0</v>
      </c>
    </row>
    <row r="1560" spans="6:21">
      <c r="F1560" s="4">
        <v>750</v>
      </c>
      <c r="G1560" s="4">
        <v>37</v>
      </c>
      <c r="H1560" s="4">
        <v>1</v>
      </c>
      <c r="I1560" s="4">
        <v>16</v>
      </c>
      <c r="J1560" s="4">
        <v>3</v>
      </c>
      <c r="K1560" s="4">
        <f t="shared" si="277"/>
        <v>0</v>
      </c>
      <c r="L1560" s="4">
        <f t="shared" si="277"/>
        <v>0</v>
      </c>
      <c r="M1560" s="4">
        <f t="shared" si="277"/>
        <v>0</v>
      </c>
      <c r="N1560" s="4">
        <f t="shared" si="277"/>
        <v>0</v>
      </c>
      <c r="O1560" s="4">
        <f t="shared" si="278"/>
        <v>0</v>
      </c>
      <c r="P1560" s="4">
        <f t="shared" si="279"/>
        <v>0</v>
      </c>
      <c r="Q1560" s="4">
        <f t="shared" si="280"/>
        <v>0</v>
      </c>
      <c r="R1560" s="4">
        <f t="shared" si="281"/>
        <v>0</v>
      </c>
      <c r="S1560" s="4">
        <f>IF(AND(VLOOKUP(G1560,Dados!$D:$L,2,0)=VLOOKUP(I1560,Dados!$S:$V,2,0),VLOOKUP(G1560,Dados!$D:$L,3,0)=VLOOKUP(I1560,Dados!$S:$V,3,0)),0,1)</f>
        <v>0</v>
      </c>
      <c r="T1560" s="4">
        <f>IF(AND(VLOOKUP(G1560,Dados!$D:$L,3,0)&lt;=VLOOKUP(H1560,Dados!$X:$AB,2,0),VLOOKUP(G1560,Dados!$D:$L,4,0)&gt;=VLOOKUP(H1560,Dados!$X:$AB,3,0),VLOOKUP(G1560,Dados!$D:$L,4,0)&lt;=VLOOKUP(H1560,Dados!$X:$AB,4,0)),0,1)</f>
        <v>0</v>
      </c>
      <c r="U1560" s="4">
        <f>IF(COUNTIFS(F:F,F1560,H:H,H1560)&lt;=VLOOKUP(H1560,Dados!$X:$AB,5,0),0,1)</f>
        <v>0</v>
      </c>
    </row>
    <row r="1561" spans="6:21">
      <c r="F1561" s="4">
        <v>751</v>
      </c>
      <c r="G1561" s="4">
        <v>34</v>
      </c>
      <c r="H1561" s="4">
        <v>2</v>
      </c>
      <c r="I1561" s="4">
        <v>16</v>
      </c>
      <c r="J1561" s="4">
        <v>3</v>
      </c>
      <c r="K1561" s="4">
        <f t="shared" si="277"/>
        <v>0</v>
      </c>
      <c r="L1561" s="4">
        <f t="shared" si="277"/>
        <v>0</v>
      </c>
      <c r="M1561" s="4">
        <f t="shared" si="277"/>
        <v>0</v>
      </c>
      <c r="N1561" s="4">
        <f t="shared" si="277"/>
        <v>0</v>
      </c>
      <c r="O1561" s="4">
        <f t="shared" si="278"/>
        <v>0</v>
      </c>
      <c r="P1561" s="4">
        <f t="shared" si="279"/>
        <v>0</v>
      </c>
      <c r="Q1561" s="4">
        <f t="shared" si="280"/>
        <v>0</v>
      </c>
      <c r="R1561" s="4">
        <f t="shared" si="281"/>
        <v>0</v>
      </c>
      <c r="S1561" s="4">
        <f>IF(AND(VLOOKUP(G1561,Dados!$D:$L,2,0)=VLOOKUP(I1561,Dados!$S:$V,2,0),VLOOKUP(G1561,Dados!$D:$L,3,0)=VLOOKUP(I1561,Dados!$S:$V,3,0)),0,1)</f>
        <v>0</v>
      </c>
      <c r="T1561" s="4">
        <f>IF(AND(VLOOKUP(G1561,Dados!$D:$L,3,0)&lt;=VLOOKUP(H1561,Dados!$X:$AB,2,0),VLOOKUP(G1561,Dados!$D:$L,4,0)&gt;=VLOOKUP(H1561,Dados!$X:$AB,3,0),VLOOKUP(G1561,Dados!$D:$L,4,0)&lt;=VLOOKUP(H1561,Dados!$X:$AB,4,0)),0,1)</f>
        <v>0</v>
      </c>
      <c r="U1561" s="4">
        <f>IF(COUNTIFS(F:F,F1561,H:H,H1561)&lt;=VLOOKUP(H1561,Dados!$X:$AB,5,0),0,1)</f>
        <v>0</v>
      </c>
    </row>
    <row r="1562" spans="6:21">
      <c r="F1562" s="4">
        <v>751</v>
      </c>
      <c r="G1562" s="4">
        <v>37</v>
      </c>
      <c r="H1562" s="4">
        <v>2</v>
      </c>
      <c r="I1562" s="4">
        <v>16</v>
      </c>
      <c r="J1562" s="4">
        <v>3</v>
      </c>
      <c r="K1562" s="4">
        <f t="shared" si="277"/>
        <v>0</v>
      </c>
      <c r="L1562" s="4">
        <f t="shared" si="277"/>
        <v>0</v>
      </c>
      <c r="M1562" s="4">
        <f t="shared" si="277"/>
        <v>0</v>
      </c>
      <c r="N1562" s="4">
        <f t="shared" si="277"/>
        <v>0</v>
      </c>
      <c r="O1562" s="4">
        <f t="shared" si="278"/>
        <v>0</v>
      </c>
      <c r="P1562" s="4">
        <f t="shared" si="279"/>
        <v>0</v>
      </c>
      <c r="Q1562" s="4">
        <f t="shared" si="280"/>
        <v>0</v>
      </c>
      <c r="R1562" s="4">
        <f t="shared" si="281"/>
        <v>0</v>
      </c>
      <c r="S1562" s="4">
        <f>IF(AND(VLOOKUP(G1562,Dados!$D:$L,2,0)=VLOOKUP(I1562,Dados!$S:$V,2,0),VLOOKUP(G1562,Dados!$D:$L,3,0)=VLOOKUP(I1562,Dados!$S:$V,3,0)),0,1)</f>
        <v>0</v>
      </c>
      <c r="T1562" s="4">
        <f>IF(AND(VLOOKUP(G1562,Dados!$D:$L,3,0)&lt;=VLOOKUP(H1562,Dados!$X:$AB,2,0),VLOOKUP(G1562,Dados!$D:$L,4,0)&gt;=VLOOKUP(H1562,Dados!$X:$AB,3,0),VLOOKUP(G1562,Dados!$D:$L,4,0)&lt;=VLOOKUP(H1562,Dados!$X:$AB,4,0)),0,1)</f>
        <v>0</v>
      </c>
      <c r="U1562" s="4">
        <f>IF(COUNTIFS(F:F,F1562,H:H,H1562)&lt;=VLOOKUP(H1562,Dados!$X:$AB,5,0),0,1)</f>
        <v>0</v>
      </c>
    </row>
    <row r="1563" spans="6:21">
      <c r="F1563" s="4">
        <v>752</v>
      </c>
      <c r="G1563" s="4">
        <v>34</v>
      </c>
      <c r="H1563" s="4">
        <v>3</v>
      </c>
      <c r="I1563" s="4">
        <v>16</v>
      </c>
      <c r="J1563" s="4">
        <v>3</v>
      </c>
      <c r="K1563" s="4">
        <f t="shared" si="277"/>
        <v>0</v>
      </c>
      <c r="L1563" s="4">
        <f t="shared" si="277"/>
        <v>0</v>
      </c>
      <c r="M1563" s="4">
        <f t="shared" si="277"/>
        <v>0</v>
      </c>
      <c r="N1563" s="4">
        <f t="shared" si="277"/>
        <v>0</v>
      </c>
      <c r="O1563" s="4">
        <f t="shared" si="278"/>
        <v>0</v>
      </c>
      <c r="P1563" s="4">
        <f t="shared" si="279"/>
        <v>0</v>
      </c>
      <c r="Q1563" s="4">
        <f t="shared" si="280"/>
        <v>0</v>
      </c>
      <c r="R1563" s="4">
        <f t="shared" si="281"/>
        <v>0</v>
      </c>
      <c r="S1563" s="4">
        <f>IF(AND(VLOOKUP(G1563,Dados!$D:$L,2,0)=VLOOKUP(I1563,Dados!$S:$V,2,0),VLOOKUP(G1563,Dados!$D:$L,3,0)=VLOOKUP(I1563,Dados!$S:$V,3,0)),0,1)</f>
        <v>0</v>
      </c>
      <c r="T1563" s="4">
        <f>IF(AND(VLOOKUP(G1563,Dados!$D:$L,3,0)&lt;=VLOOKUP(H1563,Dados!$X:$AB,2,0),VLOOKUP(G1563,Dados!$D:$L,4,0)&gt;=VLOOKUP(H1563,Dados!$X:$AB,3,0),VLOOKUP(G1563,Dados!$D:$L,4,0)&lt;=VLOOKUP(H1563,Dados!$X:$AB,4,0)),0,1)</f>
        <v>0</v>
      </c>
      <c r="U1563" s="4">
        <f>IF(COUNTIFS(F:F,F1563,H:H,H1563)&lt;=VLOOKUP(H1563,Dados!$X:$AB,5,0),0,1)</f>
        <v>0</v>
      </c>
    </row>
    <row r="1564" spans="6:21">
      <c r="F1564" s="4">
        <v>752</v>
      </c>
      <c r="G1564" s="4">
        <v>37</v>
      </c>
      <c r="H1564" s="4">
        <v>3</v>
      </c>
      <c r="I1564" s="4">
        <v>16</v>
      </c>
      <c r="J1564" s="4">
        <v>3</v>
      </c>
      <c r="K1564" s="4">
        <f t="shared" si="277"/>
        <v>0</v>
      </c>
      <c r="L1564" s="4">
        <f t="shared" si="277"/>
        <v>0</v>
      </c>
      <c r="M1564" s="4">
        <f t="shared" si="277"/>
        <v>0</v>
      </c>
      <c r="N1564" s="4">
        <f t="shared" si="277"/>
        <v>0</v>
      </c>
      <c r="O1564" s="4">
        <f t="shared" si="278"/>
        <v>0</v>
      </c>
      <c r="P1564" s="4">
        <f t="shared" si="279"/>
        <v>0</v>
      </c>
      <c r="Q1564" s="4">
        <f t="shared" si="280"/>
        <v>0</v>
      </c>
      <c r="R1564" s="4">
        <f t="shared" si="281"/>
        <v>0</v>
      </c>
      <c r="S1564" s="4">
        <f>IF(AND(VLOOKUP(G1564,Dados!$D:$L,2,0)=VLOOKUP(I1564,Dados!$S:$V,2,0),VLOOKUP(G1564,Dados!$D:$L,3,0)=VLOOKUP(I1564,Dados!$S:$V,3,0)),0,1)</f>
        <v>0</v>
      </c>
      <c r="T1564" s="4">
        <f>IF(AND(VLOOKUP(G1564,Dados!$D:$L,3,0)&lt;=VLOOKUP(H1564,Dados!$X:$AB,2,0),VLOOKUP(G1564,Dados!$D:$L,4,0)&gt;=VLOOKUP(H1564,Dados!$X:$AB,3,0),VLOOKUP(G1564,Dados!$D:$L,4,0)&lt;=VLOOKUP(H1564,Dados!$X:$AB,4,0)),0,1)</f>
        <v>0</v>
      </c>
      <c r="U1564" s="4">
        <f>IF(COUNTIFS(F:F,F1564,H:H,H1564)&lt;=VLOOKUP(H1564,Dados!$X:$AB,5,0),0,1)</f>
        <v>0</v>
      </c>
    </row>
    <row r="1565" spans="6:21">
      <c r="F1565" s="4">
        <v>753</v>
      </c>
      <c r="G1565" s="4">
        <v>42</v>
      </c>
      <c r="H1565" s="4">
        <v>1</v>
      </c>
      <c r="I1565" s="4">
        <v>17</v>
      </c>
      <c r="J1565" s="4">
        <v>5</v>
      </c>
      <c r="K1565" s="4">
        <f t="shared" si="277"/>
        <v>0</v>
      </c>
      <c r="L1565" s="4">
        <f t="shared" si="277"/>
        <v>0</v>
      </c>
      <c r="M1565" s="4">
        <f t="shared" si="277"/>
        <v>0</v>
      </c>
      <c r="N1565" s="4">
        <f t="shared" si="277"/>
        <v>0</v>
      </c>
      <c r="O1565" s="4">
        <f t="shared" si="278"/>
        <v>0</v>
      </c>
      <c r="P1565" s="4">
        <f t="shared" si="279"/>
        <v>0</v>
      </c>
      <c r="Q1565" s="4">
        <f t="shared" si="280"/>
        <v>0</v>
      </c>
      <c r="R1565" s="4">
        <f t="shared" si="281"/>
        <v>0</v>
      </c>
      <c r="S1565" s="4">
        <f>IF(AND(VLOOKUP(G1565,Dados!$D:$L,2,0)=VLOOKUP(I1565,Dados!$S:$V,2,0),VLOOKUP(G1565,Dados!$D:$L,3,0)=VLOOKUP(I1565,Dados!$S:$V,3,0)),0,1)</f>
        <v>0</v>
      </c>
      <c r="T1565" s="4">
        <f>IF(AND(VLOOKUP(G1565,Dados!$D:$L,3,0)&lt;=VLOOKUP(H1565,Dados!$X:$AB,2,0),VLOOKUP(G1565,Dados!$D:$L,4,0)&gt;=VLOOKUP(H1565,Dados!$X:$AB,3,0),VLOOKUP(G1565,Dados!$D:$L,4,0)&lt;=VLOOKUP(H1565,Dados!$X:$AB,4,0)),0,1)</f>
        <v>0</v>
      </c>
      <c r="U1565" s="4">
        <f>IF(COUNTIFS(F:F,F1565,H:H,H1565)&lt;=VLOOKUP(H1565,Dados!$X:$AB,5,0),0,1)</f>
        <v>0</v>
      </c>
    </row>
    <row r="1566" spans="6:21">
      <c r="F1566" s="4">
        <v>753</v>
      </c>
      <c r="G1566" s="4">
        <v>43</v>
      </c>
      <c r="H1566" s="4">
        <v>1</v>
      </c>
      <c r="I1566" s="4">
        <v>17</v>
      </c>
      <c r="J1566" s="4">
        <v>1</v>
      </c>
      <c r="K1566" s="4">
        <f t="shared" si="277"/>
        <v>0</v>
      </c>
      <c r="L1566" s="4">
        <f t="shared" si="277"/>
        <v>0</v>
      </c>
      <c r="M1566" s="4">
        <f t="shared" si="277"/>
        <v>0</v>
      </c>
      <c r="N1566" s="4">
        <f t="shared" si="277"/>
        <v>0</v>
      </c>
      <c r="O1566" s="4">
        <f t="shared" si="278"/>
        <v>0</v>
      </c>
      <c r="P1566" s="4">
        <f t="shared" si="279"/>
        <v>0</v>
      </c>
      <c r="Q1566" s="4">
        <f t="shared" si="280"/>
        <v>0</v>
      </c>
      <c r="R1566" s="4">
        <f t="shared" si="281"/>
        <v>0</v>
      </c>
      <c r="S1566" s="4">
        <f>IF(AND(VLOOKUP(G1566,Dados!$D:$L,2,0)=VLOOKUP(I1566,Dados!$S:$V,2,0),VLOOKUP(G1566,Dados!$D:$L,3,0)=VLOOKUP(I1566,Dados!$S:$V,3,0)),0,1)</f>
        <v>0</v>
      </c>
      <c r="T1566" s="4">
        <f>IF(AND(VLOOKUP(G1566,Dados!$D:$L,3,0)&lt;=VLOOKUP(H1566,Dados!$X:$AB,2,0),VLOOKUP(G1566,Dados!$D:$L,4,0)&gt;=VLOOKUP(H1566,Dados!$X:$AB,3,0),VLOOKUP(G1566,Dados!$D:$L,4,0)&lt;=VLOOKUP(H1566,Dados!$X:$AB,4,0)),0,1)</f>
        <v>0</v>
      </c>
      <c r="U1566" s="4">
        <f>IF(COUNTIFS(F:F,F1566,H:H,H1566)&lt;=VLOOKUP(H1566,Dados!$X:$AB,5,0),0,1)</f>
        <v>0</v>
      </c>
    </row>
    <row r="1567" spans="6:21">
      <c r="F1567" s="4">
        <v>753</v>
      </c>
      <c r="G1567" s="4">
        <v>44</v>
      </c>
      <c r="H1567" s="4">
        <v>1</v>
      </c>
      <c r="I1567" s="4">
        <v>17</v>
      </c>
      <c r="J1567" s="4">
        <v>2</v>
      </c>
      <c r="K1567" s="4">
        <f t="shared" si="277"/>
        <v>0</v>
      </c>
      <c r="L1567" s="4">
        <f t="shared" si="277"/>
        <v>0</v>
      </c>
      <c r="M1567" s="4">
        <f t="shared" si="277"/>
        <v>0</v>
      </c>
      <c r="N1567" s="4">
        <f t="shared" si="277"/>
        <v>0</v>
      </c>
      <c r="O1567" s="4">
        <f t="shared" si="278"/>
        <v>0</v>
      </c>
      <c r="P1567" s="4">
        <f t="shared" si="279"/>
        <v>0</v>
      </c>
      <c r="Q1567" s="4">
        <f t="shared" si="280"/>
        <v>0</v>
      </c>
      <c r="R1567" s="4">
        <f t="shared" si="281"/>
        <v>0</v>
      </c>
      <c r="S1567" s="4">
        <f>IF(AND(VLOOKUP(G1567,Dados!$D:$L,2,0)=VLOOKUP(I1567,Dados!$S:$V,2,0),VLOOKUP(G1567,Dados!$D:$L,3,0)=VLOOKUP(I1567,Dados!$S:$V,3,0)),0,1)</f>
        <v>0</v>
      </c>
      <c r="T1567" s="4">
        <f>IF(AND(VLOOKUP(G1567,Dados!$D:$L,3,0)&lt;=VLOOKUP(H1567,Dados!$X:$AB,2,0),VLOOKUP(G1567,Dados!$D:$L,4,0)&gt;=VLOOKUP(H1567,Dados!$X:$AB,3,0),VLOOKUP(G1567,Dados!$D:$L,4,0)&lt;=VLOOKUP(H1567,Dados!$X:$AB,4,0)),0,1)</f>
        <v>0</v>
      </c>
      <c r="U1567" s="4">
        <f>IF(COUNTIFS(F:F,F1567,H:H,H1567)&lt;=VLOOKUP(H1567,Dados!$X:$AB,5,0),0,1)</f>
        <v>0</v>
      </c>
    </row>
    <row r="1568" spans="6:21">
      <c r="F1568" s="4">
        <v>754</v>
      </c>
      <c r="G1568" s="4">
        <v>42</v>
      </c>
      <c r="H1568" s="4">
        <v>2</v>
      </c>
      <c r="I1568" s="4">
        <v>17</v>
      </c>
      <c r="J1568" s="4">
        <v>5</v>
      </c>
      <c r="K1568" s="4">
        <f t="shared" si="277"/>
        <v>0</v>
      </c>
      <c r="L1568" s="4">
        <f t="shared" si="277"/>
        <v>0</v>
      </c>
      <c r="M1568" s="4">
        <f t="shared" si="277"/>
        <v>0</v>
      </c>
      <c r="N1568" s="4">
        <f t="shared" si="277"/>
        <v>50</v>
      </c>
      <c r="O1568" s="4">
        <f t="shared" si="278"/>
        <v>0</v>
      </c>
      <c r="P1568" s="4">
        <f t="shared" si="279"/>
        <v>0</v>
      </c>
      <c r="Q1568" s="4">
        <f t="shared" si="280"/>
        <v>0</v>
      </c>
      <c r="R1568" s="4">
        <f t="shared" si="281"/>
        <v>250</v>
      </c>
      <c r="S1568" s="4">
        <f>IF(AND(VLOOKUP(G1568,Dados!$D:$L,2,0)=VLOOKUP(I1568,Dados!$S:$V,2,0),VLOOKUP(G1568,Dados!$D:$L,3,0)=VLOOKUP(I1568,Dados!$S:$V,3,0)),0,1)</f>
        <v>0</v>
      </c>
      <c r="T1568" s="4">
        <f>IF(AND(VLOOKUP(G1568,Dados!$D:$L,3,0)&lt;=VLOOKUP(H1568,Dados!$X:$AB,2,0),VLOOKUP(G1568,Dados!$D:$L,4,0)&gt;=VLOOKUP(H1568,Dados!$X:$AB,3,0),VLOOKUP(G1568,Dados!$D:$L,4,0)&lt;=VLOOKUP(H1568,Dados!$X:$AB,4,0)),0,1)</f>
        <v>0</v>
      </c>
      <c r="U1568" s="4">
        <f>IF(COUNTIFS(F:F,F1568,H:H,H1568)&lt;=VLOOKUP(H1568,Dados!$X:$AB,5,0),0,1)</f>
        <v>0</v>
      </c>
    </row>
    <row r="1569" spans="6:21">
      <c r="F1569" s="4">
        <v>754</v>
      </c>
      <c r="G1569" s="4">
        <v>43</v>
      </c>
      <c r="H1569" s="4">
        <v>2</v>
      </c>
      <c r="I1569" s="4">
        <v>17</v>
      </c>
      <c r="J1569" s="4">
        <v>1</v>
      </c>
      <c r="K1569" s="4">
        <f t="shared" si="277"/>
        <v>0</v>
      </c>
      <c r="L1569" s="4">
        <f t="shared" si="277"/>
        <v>0</v>
      </c>
      <c r="M1569" s="4">
        <f t="shared" si="277"/>
        <v>0</v>
      </c>
      <c r="N1569" s="4">
        <f t="shared" si="277"/>
        <v>50</v>
      </c>
      <c r="O1569" s="4">
        <f t="shared" si="278"/>
        <v>0</v>
      </c>
      <c r="P1569" s="4">
        <f t="shared" si="279"/>
        <v>0</v>
      </c>
      <c r="Q1569" s="4">
        <f t="shared" si="280"/>
        <v>0</v>
      </c>
      <c r="R1569" s="4">
        <f t="shared" si="281"/>
        <v>50</v>
      </c>
      <c r="S1569" s="4">
        <f>IF(AND(VLOOKUP(G1569,Dados!$D:$L,2,0)=VLOOKUP(I1569,Dados!$S:$V,2,0),VLOOKUP(G1569,Dados!$D:$L,3,0)=VLOOKUP(I1569,Dados!$S:$V,3,0)),0,1)</f>
        <v>0</v>
      </c>
      <c r="T1569" s="4">
        <f>IF(AND(VLOOKUP(G1569,Dados!$D:$L,3,0)&lt;=VLOOKUP(H1569,Dados!$X:$AB,2,0),VLOOKUP(G1569,Dados!$D:$L,4,0)&gt;=VLOOKUP(H1569,Dados!$X:$AB,3,0),VLOOKUP(G1569,Dados!$D:$L,4,0)&lt;=VLOOKUP(H1569,Dados!$X:$AB,4,0)),0,1)</f>
        <v>0</v>
      </c>
      <c r="U1569" s="4">
        <f>IF(COUNTIFS(F:F,F1569,H:H,H1569)&lt;=VLOOKUP(H1569,Dados!$X:$AB,5,0),0,1)</f>
        <v>0</v>
      </c>
    </row>
    <row r="1570" spans="6:21">
      <c r="F1570" s="4">
        <v>754</v>
      </c>
      <c r="G1570" s="4">
        <v>44</v>
      </c>
      <c r="H1570" s="4">
        <v>2</v>
      </c>
      <c r="I1570" s="4">
        <v>17</v>
      </c>
      <c r="J1570" s="4">
        <v>2</v>
      </c>
      <c r="K1570" s="4">
        <f t="shared" si="277"/>
        <v>0</v>
      </c>
      <c r="L1570" s="4">
        <f t="shared" si="277"/>
        <v>0</v>
      </c>
      <c r="M1570" s="4">
        <f t="shared" si="277"/>
        <v>0</v>
      </c>
      <c r="N1570" s="4">
        <f t="shared" si="277"/>
        <v>50</v>
      </c>
      <c r="O1570" s="4">
        <f t="shared" si="278"/>
        <v>0</v>
      </c>
      <c r="P1570" s="4">
        <f t="shared" si="279"/>
        <v>0</v>
      </c>
      <c r="Q1570" s="4">
        <f t="shared" si="280"/>
        <v>0</v>
      </c>
      <c r="R1570" s="4">
        <f t="shared" si="281"/>
        <v>100</v>
      </c>
      <c r="S1570" s="4">
        <f>IF(AND(VLOOKUP(G1570,Dados!$D:$L,2,0)=VLOOKUP(I1570,Dados!$S:$V,2,0),VLOOKUP(G1570,Dados!$D:$L,3,0)=VLOOKUP(I1570,Dados!$S:$V,3,0)),0,1)</f>
        <v>0</v>
      </c>
      <c r="T1570" s="4">
        <f>IF(AND(VLOOKUP(G1570,Dados!$D:$L,3,0)&lt;=VLOOKUP(H1570,Dados!$X:$AB,2,0),VLOOKUP(G1570,Dados!$D:$L,4,0)&gt;=VLOOKUP(H1570,Dados!$X:$AB,3,0),VLOOKUP(G1570,Dados!$D:$L,4,0)&lt;=VLOOKUP(H1570,Dados!$X:$AB,4,0)),0,1)</f>
        <v>0</v>
      </c>
      <c r="U1570" s="4">
        <f>IF(COUNTIFS(F:F,F1570,H:H,H1570)&lt;=VLOOKUP(H1570,Dados!$X:$AB,5,0),0,1)</f>
        <v>0</v>
      </c>
    </row>
    <row r="1571" spans="6:21">
      <c r="F1571" s="4">
        <v>755</v>
      </c>
      <c r="G1571" s="4">
        <v>42</v>
      </c>
      <c r="H1571" s="4">
        <v>3</v>
      </c>
      <c r="I1571" s="4">
        <v>17</v>
      </c>
      <c r="J1571" s="4">
        <v>5</v>
      </c>
      <c r="K1571" s="4">
        <f t="shared" si="277"/>
        <v>0</v>
      </c>
      <c r="L1571" s="4">
        <f t="shared" si="277"/>
        <v>0</v>
      </c>
      <c r="M1571" s="4">
        <f t="shared" si="277"/>
        <v>0</v>
      </c>
      <c r="N1571" s="4">
        <f t="shared" ref="K1571:N1634" si="282">SUMIFS($X:$X,$W:$W,$F1571,$Z:$Z,$I1571,$AA:$AA,$H1571,$AB:$AB,N$2)</f>
        <v>0</v>
      </c>
      <c r="O1571" s="4">
        <f t="shared" si="278"/>
        <v>0</v>
      </c>
      <c r="P1571" s="4">
        <f t="shared" si="279"/>
        <v>0</v>
      </c>
      <c r="Q1571" s="4">
        <f t="shared" si="280"/>
        <v>0</v>
      </c>
      <c r="R1571" s="4">
        <f t="shared" si="281"/>
        <v>0</v>
      </c>
      <c r="S1571" s="4">
        <f>IF(AND(VLOOKUP(G1571,Dados!$D:$L,2,0)=VLOOKUP(I1571,Dados!$S:$V,2,0),VLOOKUP(G1571,Dados!$D:$L,3,0)=VLOOKUP(I1571,Dados!$S:$V,3,0)),0,1)</f>
        <v>0</v>
      </c>
      <c r="T1571" s="4">
        <f>IF(AND(VLOOKUP(G1571,Dados!$D:$L,3,0)&lt;=VLOOKUP(H1571,Dados!$X:$AB,2,0),VLOOKUP(G1571,Dados!$D:$L,4,0)&gt;=VLOOKUP(H1571,Dados!$X:$AB,3,0),VLOOKUP(G1571,Dados!$D:$L,4,0)&lt;=VLOOKUP(H1571,Dados!$X:$AB,4,0)),0,1)</f>
        <v>0</v>
      </c>
      <c r="U1571" s="4">
        <f>IF(COUNTIFS(F:F,F1571,H:H,H1571)&lt;=VLOOKUP(H1571,Dados!$X:$AB,5,0),0,1)</f>
        <v>0</v>
      </c>
    </row>
    <row r="1572" spans="6:21">
      <c r="F1572" s="4">
        <v>755</v>
      </c>
      <c r="G1572" s="4">
        <v>43</v>
      </c>
      <c r="H1572" s="4">
        <v>3</v>
      </c>
      <c r="I1572" s="4">
        <v>17</v>
      </c>
      <c r="J1572" s="4">
        <v>1</v>
      </c>
      <c r="K1572" s="4">
        <f t="shared" si="282"/>
        <v>0</v>
      </c>
      <c r="L1572" s="4">
        <f t="shared" si="282"/>
        <v>0</v>
      </c>
      <c r="M1572" s="4">
        <f t="shared" si="282"/>
        <v>0</v>
      </c>
      <c r="N1572" s="4">
        <f t="shared" si="282"/>
        <v>0</v>
      </c>
      <c r="O1572" s="4">
        <f t="shared" si="278"/>
        <v>0</v>
      </c>
      <c r="P1572" s="4">
        <f t="shared" si="279"/>
        <v>0</v>
      </c>
      <c r="Q1572" s="4">
        <f t="shared" si="280"/>
        <v>0</v>
      </c>
      <c r="R1572" s="4">
        <f t="shared" si="281"/>
        <v>0</v>
      </c>
      <c r="S1572" s="4">
        <f>IF(AND(VLOOKUP(G1572,Dados!$D:$L,2,0)=VLOOKUP(I1572,Dados!$S:$V,2,0),VLOOKUP(G1572,Dados!$D:$L,3,0)=VLOOKUP(I1572,Dados!$S:$V,3,0)),0,1)</f>
        <v>0</v>
      </c>
      <c r="T1572" s="4">
        <f>IF(AND(VLOOKUP(G1572,Dados!$D:$L,3,0)&lt;=VLOOKUP(H1572,Dados!$X:$AB,2,0),VLOOKUP(G1572,Dados!$D:$L,4,0)&gt;=VLOOKUP(H1572,Dados!$X:$AB,3,0),VLOOKUP(G1572,Dados!$D:$L,4,0)&lt;=VLOOKUP(H1572,Dados!$X:$AB,4,0)),0,1)</f>
        <v>0</v>
      </c>
      <c r="U1572" s="4">
        <f>IF(COUNTIFS(F:F,F1572,H:H,H1572)&lt;=VLOOKUP(H1572,Dados!$X:$AB,5,0),0,1)</f>
        <v>0</v>
      </c>
    </row>
    <row r="1573" spans="6:21">
      <c r="F1573" s="4">
        <v>755</v>
      </c>
      <c r="G1573" s="4">
        <v>44</v>
      </c>
      <c r="H1573" s="4">
        <v>3</v>
      </c>
      <c r="I1573" s="4">
        <v>17</v>
      </c>
      <c r="J1573" s="4">
        <v>2</v>
      </c>
      <c r="K1573" s="4">
        <f t="shared" si="282"/>
        <v>0</v>
      </c>
      <c r="L1573" s="4">
        <f t="shared" si="282"/>
        <v>0</v>
      </c>
      <c r="M1573" s="4">
        <f t="shared" si="282"/>
        <v>0</v>
      </c>
      <c r="N1573" s="4">
        <f t="shared" si="282"/>
        <v>0</v>
      </c>
      <c r="O1573" s="4">
        <f t="shared" si="278"/>
        <v>0</v>
      </c>
      <c r="P1573" s="4">
        <f t="shared" si="279"/>
        <v>0</v>
      </c>
      <c r="Q1573" s="4">
        <f t="shared" si="280"/>
        <v>0</v>
      </c>
      <c r="R1573" s="4">
        <f t="shared" si="281"/>
        <v>0</v>
      </c>
      <c r="S1573" s="4">
        <f>IF(AND(VLOOKUP(G1573,Dados!$D:$L,2,0)=VLOOKUP(I1573,Dados!$S:$V,2,0),VLOOKUP(G1573,Dados!$D:$L,3,0)=VLOOKUP(I1573,Dados!$S:$V,3,0)),0,1)</f>
        <v>0</v>
      </c>
      <c r="T1573" s="4">
        <f>IF(AND(VLOOKUP(G1573,Dados!$D:$L,3,0)&lt;=VLOOKUP(H1573,Dados!$X:$AB,2,0),VLOOKUP(G1573,Dados!$D:$L,4,0)&gt;=VLOOKUP(H1573,Dados!$X:$AB,3,0),VLOOKUP(G1573,Dados!$D:$L,4,0)&lt;=VLOOKUP(H1573,Dados!$X:$AB,4,0)),0,1)</f>
        <v>0</v>
      </c>
      <c r="U1573" s="4">
        <f>IF(COUNTIFS(F:F,F1573,H:H,H1573)&lt;=VLOOKUP(H1573,Dados!$X:$AB,5,0),0,1)</f>
        <v>0</v>
      </c>
    </row>
    <row r="1574" spans="6:21">
      <c r="F1574" s="4">
        <v>756</v>
      </c>
      <c r="G1574" s="4">
        <v>47</v>
      </c>
      <c r="H1574" s="4">
        <v>1</v>
      </c>
      <c r="I1574" s="4">
        <v>18</v>
      </c>
      <c r="J1574" s="4">
        <v>1</v>
      </c>
      <c r="K1574" s="4">
        <f t="shared" si="282"/>
        <v>0</v>
      </c>
      <c r="L1574" s="4">
        <f t="shared" si="282"/>
        <v>0</v>
      </c>
      <c r="M1574" s="4">
        <f t="shared" si="282"/>
        <v>0</v>
      </c>
      <c r="N1574" s="4">
        <f t="shared" si="282"/>
        <v>0</v>
      </c>
      <c r="O1574" s="4">
        <f t="shared" si="278"/>
        <v>0</v>
      </c>
      <c r="P1574" s="4">
        <f t="shared" si="279"/>
        <v>0</v>
      </c>
      <c r="Q1574" s="4">
        <f t="shared" si="280"/>
        <v>0</v>
      </c>
      <c r="R1574" s="4">
        <f t="shared" si="281"/>
        <v>0</v>
      </c>
      <c r="S1574" s="4">
        <f>IF(AND(VLOOKUP(G1574,Dados!$D:$L,2,0)=VLOOKUP(I1574,Dados!$S:$V,2,0),VLOOKUP(G1574,Dados!$D:$L,3,0)=VLOOKUP(I1574,Dados!$S:$V,3,0)),0,1)</f>
        <v>0</v>
      </c>
      <c r="T1574" s="4">
        <f>IF(AND(VLOOKUP(G1574,Dados!$D:$L,3,0)&lt;=VLOOKUP(H1574,Dados!$X:$AB,2,0),VLOOKUP(G1574,Dados!$D:$L,4,0)&gt;=VLOOKUP(H1574,Dados!$X:$AB,3,0),VLOOKUP(G1574,Dados!$D:$L,4,0)&lt;=VLOOKUP(H1574,Dados!$X:$AB,4,0)),0,1)</f>
        <v>0</v>
      </c>
      <c r="U1574" s="4">
        <f>IF(COUNTIFS(F:F,F1574,H:H,H1574)&lt;=VLOOKUP(H1574,Dados!$X:$AB,5,0),0,1)</f>
        <v>0</v>
      </c>
    </row>
    <row r="1575" spans="6:21">
      <c r="F1575" s="4">
        <v>756</v>
      </c>
      <c r="G1575" s="4">
        <v>50</v>
      </c>
      <c r="H1575" s="4">
        <v>1</v>
      </c>
      <c r="I1575" s="4">
        <v>18</v>
      </c>
      <c r="J1575" s="4">
        <v>4</v>
      </c>
      <c r="K1575" s="4">
        <f t="shared" si="282"/>
        <v>0</v>
      </c>
      <c r="L1575" s="4">
        <f t="shared" si="282"/>
        <v>0</v>
      </c>
      <c r="M1575" s="4">
        <f t="shared" si="282"/>
        <v>0</v>
      </c>
      <c r="N1575" s="4">
        <f t="shared" si="282"/>
        <v>0</v>
      </c>
      <c r="O1575" s="4">
        <f t="shared" ref="O1575:O1638" si="283">$J1575*K1575</f>
        <v>0</v>
      </c>
      <c r="P1575" s="4">
        <f t="shared" ref="P1575:P1638" si="284">$J1575*L1575</f>
        <v>0</v>
      </c>
      <c r="Q1575" s="4">
        <f t="shared" ref="Q1575:Q1638" si="285">$J1575*M1575</f>
        <v>0</v>
      </c>
      <c r="R1575" s="4">
        <f t="shared" ref="R1575:R1638" si="286">$J1575*N1575</f>
        <v>0</v>
      </c>
      <c r="S1575" s="4">
        <f>IF(AND(VLOOKUP(G1575,Dados!$D:$L,2,0)=VLOOKUP(I1575,Dados!$S:$V,2,0),VLOOKUP(G1575,Dados!$D:$L,3,0)=VLOOKUP(I1575,Dados!$S:$V,3,0)),0,1)</f>
        <v>0</v>
      </c>
      <c r="T1575" s="4">
        <f>IF(AND(VLOOKUP(G1575,Dados!$D:$L,3,0)&lt;=VLOOKUP(H1575,Dados!$X:$AB,2,0),VLOOKUP(G1575,Dados!$D:$L,4,0)&gt;=VLOOKUP(H1575,Dados!$X:$AB,3,0),VLOOKUP(G1575,Dados!$D:$L,4,0)&lt;=VLOOKUP(H1575,Dados!$X:$AB,4,0)),0,1)</f>
        <v>0</v>
      </c>
      <c r="U1575" s="4">
        <f>IF(COUNTIFS(F:F,F1575,H:H,H1575)&lt;=VLOOKUP(H1575,Dados!$X:$AB,5,0),0,1)</f>
        <v>0</v>
      </c>
    </row>
    <row r="1576" spans="6:21">
      <c r="F1576" s="4">
        <v>756</v>
      </c>
      <c r="G1576" s="4">
        <v>51</v>
      </c>
      <c r="H1576" s="4">
        <v>1</v>
      </c>
      <c r="I1576" s="4">
        <v>18</v>
      </c>
      <c r="J1576" s="4">
        <v>1</v>
      </c>
      <c r="K1576" s="4">
        <f t="shared" si="282"/>
        <v>0</v>
      </c>
      <c r="L1576" s="4">
        <f t="shared" si="282"/>
        <v>0</v>
      </c>
      <c r="M1576" s="4">
        <f t="shared" si="282"/>
        <v>0</v>
      </c>
      <c r="N1576" s="4">
        <f t="shared" si="282"/>
        <v>0</v>
      </c>
      <c r="O1576" s="4">
        <f t="shared" si="283"/>
        <v>0</v>
      </c>
      <c r="P1576" s="4">
        <f t="shared" si="284"/>
        <v>0</v>
      </c>
      <c r="Q1576" s="4">
        <f t="shared" si="285"/>
        <v>0</v>
      </c>
      <c r="R1576" s="4">
        <f t="shared" si="286"/>
        <v>0</v>
      </c>
      <c r="S1576" s="4">
        <f>IF(AND(VLOOKUP(G1576,Dados!$D:$L,2,0)=VLOOKUP(I1576,Dados!$S:$V,2,0),VLOOKUP(G1576,Dados!$D:$L,3,0)=VLOOKUP(I1576,Dados!$S:$V,3,0)),0,1)</f>
        <v>0</v>
      </c>
      <c r="T1576" s="4">
        <f>IF(AND(VLOOKUP(G1576,Dados!$D:$L,3,0)&lt;=VLOOKUP(H1576,Dados!$X:$AB,2,0),VLOOKUP(G1576,Dados!$D:$L,4,0)&gt;=VLOOKUP(H1576,Dados!$X:$AB,3,0),VLOOKUP(G1576,Dados!$D:$L,4,0)&lt;=VLOOKUP(H1576,Dados!$X:$AB,4,0)),0,1)</f>
        <v>0</v>
      </c>
      <c r="U1576" s="4">
        <f>IF(COUNTIFS(F:F,F1576,H:H,H1576)&lt;=VLOOKUP(H1576,Dados!$X:$AB,5,0),0,1)</f>
        <v>0</v>
      </c>
    </row>
    <row r="1577" spans="6:21">
      <c r="F1577" s="4">
        <v>757</v>
      </c>
      <c r="G1577" s="4">
        <v>47</v>
      </c>
      <c r="H1577" s="4">
        <v>3</v>
      </c>
      <c r="I1577" s="4">
        <v>18</v>
      </c>
      <c r="J1577" s="4">
        <v>1</v>
      </c>
      <c r="K1577" s="4">
        <f t="shared" si="282"/>
        <v>0</v>
      </c>
      <c r="L1577" s="4">
        <f t="shared" si="282"/>
        <v>0</v>
      </c>
      <c r="M1577" s="4">
        <f t="shared" si="282"/>
        <v>0</v>
      </c>
      <c r="N1577" s="4">
        <f t="shared" si="282"/>
        <v>0</v>
      </c>
      <c r="O1577" s="4">
        <f t="shared" si="283"/>
        <v>0</v>
      </c>
      <c r="P1577" s="4">
        <f t="shared" si="284"/>
        <v>0</v>
      </c>
      <c r="Q1577" s="4">
        <f t="shared" si="285"/>
        <v>0</v>
      </c>
      <c r="R1577" s="4">
        <f t="shared" si="286"/>
        <v>0</v>
      </c>
      <c r="S1577" s="4">
        <f>IF(AND(VLOOKUP(G1577,Dados!$D:$L,2,0)=VLOOKUP(I1577,Dados!$S:$V,2,0),VLOOKUP(G1577,Dados!$D:$L,3,0)=VLOOKUP(I1577,Dados!$S:$V,3,0)),0,1)</f>
        <v>0</v>
      </c>
      <c r="T1577" s="4">
        <f>IF(AND(VLOOKUP(G1577,Dados!$D:$L,3,0)&lt;=VLOOKUP(H1577,Dados!$X:$AB,2,0),VLOOKUP(G1577,Dados!$D:$L,4,0)&gt;=VLOOKUP(H1577,Dados!$X:$AB,3,0),VLOOKUP(G1577,Dados!$D:$L,4,0)&lt;=VLOOKUP(H1577,Dados!$X:$AB,4,0)),0,1)</f>
        <v>0</v>
      </c>
      <c r="U1577" s="4">
        <f>IF(COUNTIFS(F:F,F1577,H:H,H1577)&lt;=VLOOKUP(H1577,Dados!$X:$AB,5,0),0,1)</f>
        <v>0</v>
      </c>
    </row>
    <row r="1578" spans="6:21">
      <c r="F1578" s="4">
        <v>757</v>
      </c>
      <c r="G1578" s="4">
        <v>50</v>
      </c>
      <c r="H1578" s="4">
        <v>3</v>
      </c>
      <c r="I1578" s="4">
        <v>18</v>
      </c>
      <c r="J1578" s="4">
        <v>4</v>
      </c>
      <c r="K1578" s="4">
        <f t="shared" si="282"/>
        <v>0</v>
      </c>
      <c r="L1578" s="4">
        <f t="shared" si="282"/>
        <v>0</v>
      </c>
      <c r="M1578" s="4">
        <f t="shared" si="282"/>
        <v>0</v>
      </c>
      <c r="N1578" s="4">
        <f t="shared" si="282"/>
        <v>0</v>
      </c>
      <c r="O1578" s="4">
        <f t="shared" si="283"/>
        <v>0</v>
      </c>
      <c r="P1578" s="4">
        <f t="shared" si="284"/>
        <v>0</v>
      </c>
      <c r="Q1578" s="4">
        <f t="shared" si="285"/>
        <v>0</v>
      </c>
      <c r="R1578" s="4">
        <f t="shared" si="286"/>
        <v>0</v>
      </c>
      <c r="S1578" s="4">
        <f>IF(AND(VLOOKUP(G1578,Dados!$D:$L,2,0)=VLOOKUP(I1578,Dados!$S:$V,2,0),VLOOKUP(G1578,Dados!$D:$L,3,0)=VLOOKUP(I1578,Dados!$S:$V,3,0)),0,1)</f>
        <v>0</v>
      </c>
      <c r="T1578" s="4">
        <f>IF(AND(VLOOKUP(G1578,Dados!$D:$L,3,0)&lt;=VLOOKUP(H1578,Dados!$X:$AB,2,0),VLOOKUP(G1578,Dados!$D:$L,4,0)&gt;=VLOOKUP(H1578,Dados!$X:$AB,3,0),VLOOKUP(G1578,Dados!$D:$L,4,0)&lt;=VLOOKUP(H1578,Dados!$X:$AB,4,0)),0,1)</f>
        <v>0</v>
      </c>
      <c r="U1578" s="4">
        <f>IF(COUNTIFS(F:F,F1578,H:H,H1578)&lt;=VLOOKUP(H1578,Dados!$X:$AB,5,0),0,1)</f>
        <v>0</v>
      </c>
    </row>
    <row r="1579" spans="6:21">
      <c r="F1579" s="4">
        <v>757</v>
      </c>
      <c r="G1579" s="4">
        <v>51</v>
      </c>
      <c r="H1579" s="4">
        <v>3</v>
      </c>
      <c r="I1579" s="4">
        <v>18</v>
      </c>
      <c r="J1579" s="4">
        <v>1</v>
      </c>
      <c r="K1579" s="4">
        <f t="shared" si="282"/>
        <v>0</v>
      </c>
      <c r="L1579" s="4">
        <f t="shared" si="282"/>
        <v>0</v>
      </c>
      <c r="M1579" s="4">
        <f t="shared" si="282"/>
        <v>0</v>
      </c>
      <c r="N1579" s="4">
        <f t="shared" si="282"/>
        <v>0</v>
      </c>
      <c r="O1579" s="4">
        <f t="shared" si="283"/>
        <v>0</v>
      </c>
      <c r="P1579" s="4">
        <f t="shared" si="284"/>
        <v>0</v>
      </c>
      <c r="Q1579" s="4">
        <f t="shared" si="285"/>
        <v>0</v>
      </c>
      <c r="R1579" s="4">
        <f t="shared" si="286"/>
        <v>0</v>
      </c>
      <c r="S1579" s="4">
        <f>IF(AND(VLOOKUP(G1579,Dados!$D:$L,2,0)=VLOOKUP(I1579,Dados!$S:$V,2,0),VLOOKUP(G1579,Dados!$D:$L,3,0)=VLOOKUP(I1579,Dados!$S:$V,3,0)),0,1)</f>
        <v>0</v>
      </c>
      <c r="T1579" s="4">
        <f>IF(AND(VLOOKUP(G1579,Dados!$D:$L,3,0)&lt;=VLOOKUP(H1579,Dados!$X:$AB,2,0),VLOOKUP(G1579,Dados!$D:$L,4,0)&gt;=VLOOKUP(H1579,Dados!$X:$AB,3,0),VLOOKUP(G1579,Dados!$D:$L,4,0)&lt;=VLOOKUP(H1579,Dados!$X:$AB,4,0)),0,1)</f>
        <v>0</v>
      </c>
      <c r="U1579" s="4">
        <f>IF(COUNTIFS(F:F,F1579,H:H,H1579)&lt;=VLOOKUP(H1579,Dados!$X:$AB,5,0),0,1)</f>
        <v>0</v>
      </c>
    </row>
    <row r="1580" spans="6:21">
      <c r="F1580" s="4">
        <v>758</v>
      </c>
      <c r="G1580" s="4">
        <v>50</v>
      </c>
      <c r="H1580" s="4">
        <v>1</v>
      </c>
      <c r="I1580" s="4">
        <v>19</v>
      </c>
      <c r="J1580" s="4">
        <v>6</v>
      </c>
      <c r="K1580" s="4">
        <f t="shared" si="282"/>
        <v>0</v>
      </c>
      <c r="L1580" s="4">
        <f t="shared" si="282"/>
        <v>0</v>
      </c>
      <c r="M1580" s="4">
        <f t="shared" si="282"/>
        <v>0</v>
      </c>
      <c r="N1580" s="4">
        <f t="shared" si="282"/>
        <v>2</v>
      </c>
      <c r="O1580" s="4">
        <f t="shared" si="283"/>
        <v>0</v>
      </c>
      <c r="P1580" s="4">
        <f t="shared" si="284"/>
        <v>0</v>
      </c>
      <c r="Q1580" s="4">
        <f t="shared" si="285"/>
        <v>0</v>
      </c>
      <c r="R1580" s="4">
        <f t="shared" si="286"/>
        <v>12</v>
      </c>
      <c r="S1580" s="4">
        <f>IF(AND(VLOOKUP(G1580,Dados!$D:$L,2,0)=VLOOKUP(I1580,Dados!$S:$V,2,0),VLOOKUP(G1580,Dados!$D:$L,3,0)=VLOOKUP(I1580,Dados!$S:$V,3,0)),0,1)</f>
        <v>0</v>
      </c>
      <c r="T1580" s="4">
        <f>IF(AND(VLOOKUP(G1580,Dados!$D:$L,3,0)&lt;=VLOOKUP(H1580,Dados!$X:$AB,2,0),VLOOKUP(G1580,Dados!$D:$L,4,0)&gt;=VLOOKUP(H1580,Dados!$X:$AB,3,0),VLOOKUP(G1580,Dados!$D:$L,4,0)&lt;=VLOOKUP(H1580,Dados!$X:$AB,4,0)),0,1)</f>
        <v>0</v>
      </c>
      <c r="U1580" s="4">
        <f>IF(COUNTIFS(F:F,F1580,H:H,H1580)&lt;=VLOOKUP(H1580,Dados!$X:$AB,5,0),0,1)</f>
        <v>0</v>
      </c>
    </row>
    <row r="1581" spans="6:21">
      <c r="F1581" s="4">
        <v>759</v>
      </c>
      <c r="G1581" s="4">
        <v>50</v>
      </c>
      <c r="H1581" s="4">
        <v>3</v>
      </c>
      <c r="I1581" s="4">
        <v>19</v>
      </c>
      <c r="J1581" s="4">
        <v>6</v>
      </c>
      <c r="K1581" s="4">
        <f t="shared" si="282"/>
        <v>0</v>
      </c>
      <c r="L1581" s="4">
        <f t="shared" si="282"/>
        <v>0</v>
      </c>
      <c r="M1581" s="4">
        <f t="shared" si="282"/>
        <v>0</v>
      </c>
      <c r="N1581" s="4">
        <f t="shared" si="282"/>
        <v>0</v>
      </c>
      <c r="O1581" s="4">
        <f t="shared" si="283"/>
        <v>0</v>
      </c>
      <c r="P1581" s="4">
        <f t="shared" si="284"/>
        <v>0</v>
      </c>
      <c r="Q1581" s="4">
        <f t="shared" si="285"/>
        <v>0</v>
      </c>
      <c r="R1581" s="4">
        <f t="shared" si="286"/>
        <v>0</v>
      </c>
      <c r="S1581" s="4">
        <f>IF(AND(VLOOKUP(G1581,Dados!$D:$L,2,0)=VLOOKUP(I1581,Dados!$S:$V,2,0),VLOOKUP(G1581,Dados!$D:$L,3,0)=VLOOKUP(I1581,Dados!$S:$V,3,0)),0,1)</f>
        <v>0</v>
      </c>
      <c r="T1581" s="4">
        <f>IF(AND(VLOOKUP(G1581,Dados!$D:$L,3,0)&lt;=VLOOKUP(H1581,Dados!$X:$AB,2,0),VLOOKUP(G1581,Dados!$D:$L,4,0)&gt;=VLOOKUP(H1581,Dados!$X:$AB,3,0),VLOOKUP(G1581,Dados!$D:$L,4,0)&lt;=VLOOKUP(H1581,Dados!$X:$AB,4,0)),0,1)</f>
        <v>0</v>
      </c>
      <c r="U1581" s="4">
        <f>IF(COUNTIFS(F:F,F1581,H:H,H1581)&lt;=VLOOKUP(H1581,Dados!$X:$AB,5,0),0,1)</f>
        <v>0</v>
      </c>
    </row>
    <row r="1582" spans="6:21">
      <c r="F1582" s="4">
        <v>760</v>
      </c>
      <c r="G1582" s="4">
        <v>63</v>
      </c>
      <c r="H1582" s="4">
        <v>1</v>
      </c>
      <c r="I1582" s="4">
        <v>21</v>
      </c>
      <c r="J1582" s="4">
        <v>4</v>
      </c>
      <c r="K1582" s="4">
        <f t="shared" si="282"/>
        <v>0</v>
      </c>
      <c r="L1582" s="4">
        <f t="shared" si="282"/>
        <v>0</v>
      </c>
      <c r="M1582" s="4">
        <f t="shared" si="282"/>
        <v>0</v>
      </c>
      <c r="N1582" s="4">
        <f t="shared" si="282"/>
        <v>0</v>
      </c>
      <c r="O1582" s="4">
        <f t="shared" si="283"/>
        <v>0</v>
      </c>
      <c r="P1582" s="4">
        <f t="shared" si="284"/>
        <v>0</v>
      </c>
      <c r="Q1582" s="4">
        <f t="shared" si="285"/>
        <v>0</v>
      </c>
      <c r="R1582" s="4">
        <f t="shared" si="286"/>
        <v>0</v>
      </c>
      <c r="S1582" s="4">
        <f>IF(AND(VLOOKUP(G1582,Dados!$D:$L,2,0)=VLOOKUP(I1582,Dados!$S:$V,2,0),VLOOKUP(G1582,Dados!$D:$L,3,0)=VLOOKUP(I1582,Dados!$S:$V,3,0)),0,1)</f>
        <v>0</v>
      </c>
      <c r="T1582" s="4">
        <f>IF(AND(VLOOKUP(G1582,Dados!$D:$L,3,0)&lt;=VLOOKUP(H1582,Dados!$X:$AB,2,0),VLOOKUP(G1582,Dados!$D:$L,4,0)&gt;=VLOOKUP(H1582,Dados!$X:$AB,3,0),VLOOKUP(G1582,Dados!$D:$L,4,0)&lt;=VLOOKUP(H1582,Dados!$X:$AB,4,0)),0,1)</f>
        <v>0</v>
      </c>
      <c r="U1582" s="4">
        <f>IF(COUNTIFS(F:F,F1582,H:H,H1582)&lt;=VLOOKUP(H1582,Dados!$X:$AB,5,0),0,1)</f>
        <v>0</v>
      </c>
    </row>
    <row r="1583" spans="6:21">
      <c r="F1583" s="4">
        <v>760</v>
      </c>
      <c r="G1583" s="4">
        <v>65</v>
      </c>
      <c r="H1583" s="4">
        <v>1</v>
      </c>
      <c r="I1583" s="4">
        <v>21</v>
      </c>
      <c r="J1583" s="4">
        <v>2</v>
      </c>
      <c r="K1583" s="4">
        <f t="shared" si="282"/>
        <v>0</v>
      </c>
      <c r="L1583" s="4">
        <f t="shared" si="282"/>
        <v>0</v>
      </c>
      <c r="M1583" s="4">
        <f t="shared" si="282"/>
        <v>0</v>
      </c>
      <c r="N1583" s="4">
        <f t="shared" si="282"/>
        <v>0</v>
      </c>
      <c r="O1583" s="4">
        <f t="shared" si="283"/>
        <v>0</v>
      </c>
      <c r="P1583" s="4">
        <f t="shared" si="284"/>
        <v>0</v>
      </c>
      <c r="Q1583" s="4">
        <f t="shared" si="285"/>
        <v>0</v>
      </c>
      <c r="R1583" s="4">
        <f t="shared" si="286"/>
        <v>0</v>
      </c>
      <c r="S1583" s="4">
        <f>IF(AND(VLOOKUP(G1583,Dados!$D:$L,2,0)=VLOOKUP(I1583,Dados!$S:$V,2,0),VLOOKUP(G1583,Dados!$D:$L,3,0)=VLOOKUP(I1583,Dados!$S:$V,3,0)),0,1)</f>
        <v>0</v>
      </c>
      <c r="T1583" s="4">
        <f>IF(AND(VLOOKUP(G1583,Dados!$D:$L,3,0)&lt;=VLOOKUP(H1583,Dados!$X:$AB,2,0),VLOOKUP(G1583,Dados!$D:$L,4,0)&gt;=VLOOKUP(H1583,Dados!$X:$AB,3,0),VLOOKUP(G1583,Dados!$D:$L,4,0)&lt;=VLOOKUP(H1583,Dados!$X:$AB,4,0)),0,1)</f>
        <v>0</v>
      </c>
      <c r="U1583" s="4">
        <f>IF(COUNTIFS(F:F,F1583,H:H,H1583)&lt;=VLOOKUP(H1583,Dados!$X:$AB,5,0),0,1)</f>
        <v>0</v>
      </c>
    </row>
    <row r="1584" spans="6:21">
      <c r="F1584" s="4">
        <v>760</v>
      </c>
      <c r="G1584" s="4">
        <v>66</v>
      </c>
      <c r="H1584" s="4">
        <v>1</v>
      </c>
      <c r="I1584" s="4">
        <v>21</v>
      </c>
      <c r="J1584" s="4">
        <v>3</v>
      </c>
      <c r="K1584" s="4">
        <f t="shared" si="282"/>
        <v>0</v>
      </c>
      <c r="L1584" s="4">
        <f t="shared" si="282"/>
        <v>0</v>
      </c>
      <c r="M1584" s="4">
        <f t="shared" si="282"/>
        <v>0</v>
      </c>
      <c r="N1584" s="4">
        <f t="shared" si="282"/>
        <v>0</v>
      </c>
      <c r="O1584" s="4">
        <f t="shared" si="283"/>
        <v>0</v>
      </c>
      <c r="P1584" s="4">
        <f t="shared" si="284"/>
        <v>0</v>
      </c>
      <c r="Q1584" s="4">
        <f t="shared" si="285"/>
        <v>0</v>
      </c>
      <c r="R1584" s="4">
        <f t="shared" si="286"/>
        <v>0</v>
      </c>
      <c r="S1584" s="4">
        <f>IF(AND(VLOOKUP(G1584,Dados!$D:$L,2,0)=VLOOKUP(I1584,Dados!$S:$V,2,0),VLOOKUP(G1584,Dados!$D:$L,3,0)=VLOOKUP(I1584,Dados!$S:$V,3,0)),0,1)</f>
        <v>0</v>
      </c>
      <c r="T1584" s="4">
        <f>IF(AND(VLOOKUP(G1584,Dados!$D:$L,3,0)&lt;=VLOOKUP(H1584,Dados!$X:$AB,2,0),VLOOKUP(G1584,Dados!$D:$L,4,0)&gt;=VLOOKUP(H1584,Dados!$X:$AB,3,0),VLOOKUP(G1584,Dados!$D:$L,4,0)&lt;=VLOOKUP(H1584,Dados!$X:$AB,4,0)),0,1)</f>
        <v>0</v>
      </c>
      <c r="U1584" s="4">
        <f>IF(COUNTIFS(F:F,F1584,H:H,H1584)&lt;=VLOOKUP(H1584,Dados!$X:$AB,5,0),0,1)</f>
        <v>0</v>
      </c>
    </row>
    <row r="1585" spans="6:21">
      <c r="F1585" s="4">
        <v>761</v>
      </c>
      <c r="G1585" s="4">
        <v>63</v>
      </c>
      <c r="H1585" s="4">
        <v>2</v>
      </c>
      <c r="I1585" s="4">
        <v>21</v>
      </c>
      <c r="J1585" s="4">
        <v>4</v>
      </c>
      <c r="K1585" s="4">
        <f t="shared" si="282"/>
        <v>0</v>
      </c>
      <c r="L1585" s="4">
        <f t="shared" si="282"/>
        <v>0</v>
      </c>
      <c r="M1585" s="4">
        <f t="shared" si="282"/>
        <v>0</v>
      </c>
      <c r="N1585" s="4">
        <f t="shared" si="282"/>
        <v>0</v>
      </c>
      <c r="O1585" s="4">
        <f t="shared" si="283"/>
        <v>0</v>
      </c>
      <c r="P1585" s="4">
        <f t="shared" si="284"/>
        <v>0</v>
      </c>
      <c r="Q1585" s="4">
        <f t="shared" si="285"/>
        <v>0</v>
      </c>
      <c r="R1585" s="4">
        <f t="shared" si="286"/>
        <v>0</v>
      </c>
      <c r="S1585" s="4">
        <f>IF(AND(VLOOKUP(G1585,Dados!$D:$L,2,0)=VLOOKUP(I1585,Dados!$S:$V,2,0),VLOOKUP(G1585,Dados!$D:$L,3,0)=VLOOKUP(I1585,Dados!$S:$V,3,0)),0,1)</f>
        <v>0</v>
      </c>
      <c r="T1585" s="4">
        <f>IF(AND(VLOOKUP(G1585,Dados!$D:$L,3,0)&lt;=VLOOKUP(H1585,Dados!$X:$AB,2,0),VLOOKUP(G1585,Dados!$D:$L,4,0)&gt;=VLOOKUP(H1585,Dados!$X:$AB,3,0),VLOOKUP(G1585,Dados!$D:$L,4,0)&lt;=VLOOKUP(H1585,Dados!$X:$AB,4,0)),0,1)</f>
        <v>0</v>
      </c>
      <c r="U1585" s="4">
        <f>IF(COUNTIFS(F:F,F1585,H:H,H1585)&lt;=VLOOKUP(H1585,Dados!$X:$AB,5,0),0,1)</f>
        <v>0</v>
      </c>
    </row>
    <row r="1586" spans="6:21">
      <c r="F1586" s="4">
        <v>761</v>
      </c>
      <c r="G1586" s="4">
        <v>65</v>
      </c>
      <c r="H1586" s="4">
        <v>2</v>
      </c>
      <c r="I1586" s="4">
        <v>21</v>
      </c>
      <c r="J1586" s="4">
        <v>2</v>
      </c>
      <c r="K1586" s="4">
        <f t="shared" si="282"/>
        <v>0</v>
      </c>
      <c r="L1586" s="4">
        <f t="shared" si="282"/>
        <v>0</v>
      </c>
      <c r="M1586" s="4">
        <f t="shared" si="282"/>
        <v>0</v>
      </c>
      <c r="N1586" s="4">
        <f t="shared" si="282"/>
        <v>0</v>
      </c>
      <c r="O1586" s="4">
        <f t="shared" si="283"/>
        <v>0</v>
      </c>
      <c r="P1586" s="4">
        <f t="shared" si="284"/>
        <v>0</v>
      </c>
      <c r="Q1586" s="4">
        <f t="shared" si="285"/>
        <v>0</v>
      </c>
      <c r="R1586" s="4">
        <f t="shared" si="286"/>
        <v>0</v>
      </c>
      <c r="S1586" s="4">
        <f>IF(AND(VLOOKUP(G1586,Dados!$D:$L,2,0)=VLOOKUP(I1586,Dados!$S:$V,2,0),VLOOKUP(G1586,Dados!$D:$L,3,0)=VLOOKUP(I1586,Dados!$S:$V,3,0)),0,1)</f>
        <v>0</v>
      </c>
      <c r="T1586" s="4">
        <f>IF(AND(VLOOKUP(G1586,Dados!$D:$L,3,0)&lt;=VLOOKUP(H1586,Dados!$X:$AB,2,0),VLOOKUP(G1586,Dados!$D:$L,4,0)&gt;=VLOOKUP(H1586,Dados!$X:$AB,3,0),VLOOKUP(G1586,Dados!$D:$L,4,0)&lt;=VLOOKUP(H1586,Dados!$X:$AB,4,0)),0,1)</f>
        <v>0</v>
      </c>
      <c r="U1586" s="4">
        <f>IF(COUNTIFS(F:F,F1586,H:H,H1586)&lt;=VLOOKUP(H1586,Dados!$X:$AB,5,0),0,1)</f>
        <v>0</v>
      </c>
    </row>
    <row r="1587" spans="6:21">
      <c r="F1587" s="4">
        <v>761</v>
      </c>
      <c r="G1587" s="4">
        <v>66</v>
      </c>
      <c r="H1587" s="4">
        <v>2</v>
      </c>
      <c r="I1587" s="4">
        <v>21</v>
      </c>
      <c r="J1587" s="4">
        <v>3</v>
      </c>
      <c r="K1587" s="4">
        <f t="shared" si="282"/>
        <v>0</v>
      </c>
      <c r="L1587" s="4">
        <f t="shared" si="282"/>
        <v>0</v>
      </c>
      <c r="M1587" s="4">
        <f t="shared" si="282"/>
        <v>0</v>
      </c>
      <c r="N1587" s="4">
        <f t="shared" si="282"/>
        <v>0</v>
      </c>
      <c r="O1587" s="4">
        <f t="shared" si="283"/>
        <v>0</v>
      </c>
      <c r="P1587" s="4">
        <f t="shared" si="284"/>
        <v>0</v>
      </c>
      <c r="Q1587" s="4">
        <f t="shared" si="285"/>
        <v>0</v>
      </c>
      <c r="R1587" s="4">
        <f t="shared" si="286"/>
        <v>0</v>
      </c>
      <c r="S1587" s="4">
        <f>IF(AND(VLOOKUP(G1587,Dados!$D:$L,2,0)=VLOOKUP(I1587,Dados!$S:$V,2,0),VLOOKUP(G1587,Dados!$D:$L,3,0)=VLOOKUP(I1587,Dados!$S:$V,3,0)),0,1)</f>
        <v>0</v>
      </c>
      <c r="T1587" s="4">
        <f>IF(AND(VLOOKUP(G1587,Dados!$D:$L,3,0)&lt;=VLOOKUP(H1587,Dados!$X:$AB,2,0),VLOOKUP(G1587,Dados!$D:$L,4,0)&gt;=VLOOKUP(H1587,Dados!$X:$AB,3,0),VLOOKUP(G1587,Dados!$D:$L,4,0)&lt;=VLOOKUP(H1587,Dados!$X:$AB,4,0)),0,1)</f>
        <v>0</v>
      </c>
      <c r="U1587" s="4">
        <f>IF(COUNTIFS(F:F,F1587,H:H,H1587)&lt;=VLOOKUP(H1587,Dados!$X:$AB,5,0),0,1)</f>
        <v>0</v>
      </c>
    </row>
    <row r="1588" spans="6:21">
      <c r="F1588" s="4">
        <v>762</v>
      </c>
      <c r="G1588" s="4">
        <v>63</v>
      </c>
      <c r="H1588" s="4">
        <v>3</v>
      </c>
      <c r="I1588" s="4">
        <v>21</v>
      </c>
      <c r="J1588" s="4">
        <v>4</v>
      </c>
      <c r="K1588" s="4">
        <f t="shared" si="282"/>
        <v>0</v>
      </c>
      <c r="L1588" s="4">
        <f t="shared" si="282"/>
        <v>0</v>
      </c>
      <c r="M1588" s="4">
        <f t="shared" si="282"/>
        <v>0</v>
      </c>
      <c r="N1588" s="4">
        <f t="shared" si="282"/>
        <v>0</v>
      </c>
      <c r="O1588" s="4">
        <f t="shared" si="283"/>
        <v>0</v>
      </c>
      <c r="P1588" s="4">
        <f t="shared" si="284"/>
        <v>0</v>
      </c>
      <c r="Q1588" s="4">
        <f t="shared" si="285"/>
        <v>0</v>
      </c>
      <c r="R1588" s="4">
        <f t="shared" si="286"/>
        <v>0</v>
      </c>
      <c r="S1588" s="4">
        <f>IF(AND(VLOOKUP(G1588,Dados!$D:$L,2,0)=VLOOKUP(I1588,Dados!$S:$V,2,0),VLOOKUP(G1588,Dados!$D:$L,3,0)=VLOOKUP(I1588,Dados!$S:$V,3,0)),0,1)</f>
        <v>0</v>
      </c>
      <c r="T1588" s="4">
        <f>IF(AND(VLOOKUP(G1588,Dados!$D:$L,3,0)&lt;=VLOOKUP(H1588,Dados!$X:$AB,2,0),VLOOKUP(G1588,Dados!$D:$L,4,0)&gt;=VLOOKUP(H1588,Dados!$X:$AB,3,0),VLOOKUP(G1588,Dados!$D:$L,4,0)&lt;=VLOOKUP(H1588,Dados!$X:$AB,4,0)),0,1)</f>
        <v>0</v>
      </c>
      <c r="U1588" s="4">
        <f>IF(COUNTIFS(F:F,F1588,H:H,H1588)&lt;=VLOOKUP(H1588,Dados!$X:$AB,5,0),0,1)</f>
        <v>0</v>
      </c>
    </row>
    <row r="1589" spans="6:21">
      <c r="F1589" s="4">
        <v>762</v>
      </c>
      <c r="G1589" s="4">
        <v>65</v>
      </c>
      <c r="H1589" s="4">
        <v>3</v>
      </c>
      <c r="I1589" s="4">
        <v>21</v>
      </c>
      <c r="J1589" s="4">
        <v>2</v>
      </c>
      <c r="K1589" s="4">
        <f t="shared" si="282"/>
        <v>0</v>
      </c>
      <c r="L1589" s="4">
        <f t="shared" si="282"/>
        <v>0</v>
      </c>
      <c r="M1589" s="4">
        <f t="shared" si="282"/>
        <v>0</v>
      </c>
      <c r="N1589" s="4">
        <f t="shared" si="282"/>
        <v>0</v>
      </c>
      <c r="O1589" s="4">
        <f t="shared" si="283"/>
        <v>0</v>
      </c>
      <c r="P1589" s="4">
        <f t="shared" si="284"/>
        <v>0</v>
      </c>
      <c r="Q1589" s="4">
        <f t="shared" si="285"/>
        <v>0</v>
      </c>
      <c r="R1589" s="4">
        <f t="shared" si="286"/>
        <v>0</v>
      </c>
      <c r="S1589" s="4">
        <f>IF(AND(VLOOKUP(G1589,Dados!$D:$L,2,0)=VLOOKUP(I1589,Dados!$S:$V,2,0),VLOOKUP(G1589,Dados!$D:$L,3,0)=VLOOKUP(I1589,Dados!$S:$V,3,0)),0,1)</f>
        <v>0</v>
      </c>
      <c r="T1589" s="4">
        <f>IF(AND(VLOOKUP(G1589,Dados!$D:$L,3,0)&lt;=VLOOKUP(H1589,Dados!$X:$AB,2,0),VLOOKUP(G1589,Dados!$D:$L,4,0)&gt;=VLOOKUP(H1589,Dados!$X:$AB,3,0),VLOOKUP(G1589,Dados!$D:$L,4,0)&lt;=VLOOKUP(H1589,Dados!$X:$AB,4,0)),0,1)</f>
        <v>0</v>
      </c>
      <c r="U1589" s="4">
        <f>IF(COUNTIFS(F:F,F1589,H:H,H1589)&lt;=VLOOKUP(H1589,Dados!$X:$AB,5,0),0,1)</f>
        <v>0</v>
      </c>
    </row>
    <row r="1590" spans="6:21">
      <c r="F1590" s="4">
        <v>762</v>
      </c>
      <c r="G1590" s="4">
        <v>66</v>
      </c>
      <c r="H1590" s="4">
        <v>3</v>
      </c>
      <c r="I1590" s="4">
        <v>21</v>
      </c>
      <c r="J1590" s="4">
        <v>3</v>
      </c>
      <c r="K1590" s="4">
        <f t="shared" si="282"/>
        <v>0</v>
      </c>
      <c r="L1590" s="4">
        <f t="shared" si="282"/>
        <v>0</v>
      </c>
      <c r="M1590" s="4">
        <f t="shared" si="282"/>
        <v>0</v>
      </c>
      <c r="N1590" s="4">
        <f t="shared" si="282"/>
        <v>0</v>
      </c>
      <c r="O1590" s="4">
        <f t="shared" si="283"/>
        <v>0</v>
      </c>
      <c r="P1590" s="4">
        <f t="shared" si="284"/>
        <v>0</v>
      </c>
      <c r="Q1590" s="4">
        <f t="shared" si="285"/>
        <v>0</v>
      </c>
      <c r="R1590" s="4">
        <f t="shared" si="286"/>
        <v>0</v>
      </c>
      <c r="S1590" s="4">
        <f>IF(AND(VLOOKUP(G1590,Dados!$D:$L,2,0)=VLOOKUP(I1590,Dados!$S:$V,2,0),VLOOKUP(G1590,Dados!$D:$L,3,0)=VLOOKUP(I1590,Dados!$S:$V,3,0)),0,1)</f>
        <v>0</v>
      </c>
      <c r="T1590" s="4">
        <f>IF(AND(VLOOKUP(G1590,Dados!$D:$L,3,0)&lt;=VLOOKUP(H1590,Dados!$X:$AB,2,0),VLOOKUP(G1590,Dados!$D:$L,4,0)&gt;=VLOOKUP(H1590,Dados!$X:$AB,3,0),VLOOKUP(G1590,Dados!$D:$L,4,0)&lt;=VLOOKUP(H1590,Dados!$X:$AB,4,0)),0,1)</f>
        <v>0</v>
      </c>
      <c r="U1590" s="4">
        <f>IF(COUNTIFS(F:F,F1590,H:H,H1590)&lt;=VLOOKUP(H1590,Dados!$X:$AB,5,0),0,1)</f>
        <v>0</v>
      </c>
    </row>
    <row r="1591" spans="6:21">
      <c r="F1591" s="4">
        <v>763</v>
      </c>
      <c r="G1591" s="4">
        <v>65</v>
      </c>
      <c r="H1591" s="4">
        <v>1</v>
      </c>
      <c r="I1591" s="4">
        <v>22</v>
      </c>
      <c r="J1591" s="4">
        <v>1</v>
      </c>
      <c r="K1591" s="4">
        <f t="shared" si="282"/>
        <v>0</v>
      </c>
      <c r="L1591" s="4">
        <f t="shared" si="282"/>
        <v>0</v>
      </c>
      <c r="M1591" s="4">
        <f t="shared" si="282"/>
        <v>0</v>
      </c>
      <c r="N1591" s="4">
        <f t="shared" si="282"/>
        <v>0</v>
      </c>
      <c r="O1591" s="4">
        <f t="shared" si="283"/>
        <v>0</v>
      </c>
      <c r="P1591" s="4">
        <f t="shared" si="284"/>
        <v>0</v>
      </c>
      <c r="Q1591" s="4">
        <f t="shared" si="285"/>
        <v>0</v>
      </c>
      <c r="R1591" s="4">
        <f t="shared" si="286"/>
        <v>0</v>
      </c>
      <c r="S1591" s="4">
        <f>IF(AND(VLOOKUP(G1591,Dados!$D:$L,2,0)=VLOOKUP(I1591,Dados!$S:$V,2,0),VLOOKUP(G1591,Dados!$D:$L,3,0)=VLOOKUP(I1591,Dados!$S:$V,3,0)),0,1)</f>
        <v>0</v>
      </c>
      <c r="T1591" s="4">
        <f>IF(AND(VLOOKUP(G1591,Dados!$D:$L,3,0)&lt;=VLOOKUP(H1591,Dados!$X:$AB,2,0),VLOOKUP(G1591,Dados!$D:$L,4,0)&gt;=VLOOKUP(H1591,Dados!$X:$AB,3,0),VLOOKUP(G1591,Dados!$D:$L,4,0)&lt;=VLOOKUP(H1591,Dados!$X:$AB,4,0)),0,1)</f>
        <v>0</v>
      </c>
      <c r="U1591" s="4">
        <f>IF(COUNTIFS(F:F,F1591,H:H,H1591)&lt;=VLOOKUP(H1591,Dados!$X:$AB,5,0),0,1)</f>
        <v>0</v>
      </c>
    </row>
    <row r="1592" spans="6:21">
      <c r="F1592" s="4">
        <v>763</v>
      </c>
      <c r="G1592" s="4">
        <v>66</v>
      </c>
      <c r="H1592" s="4">
        <v>1</v>
      </c>
      <c r="I1592" s="4">
        <v>22</v>
      </c>
      <c r="J1592" s="4">
        <v>5</v>
      </c>
      <c r="K1592" s="4">
        <f t="shared" si="282"/>
        <v>0</v>
      </c>
      <c r="L1592" s="4">
        <f t="shared" si="282"/>
        <v>0</v>
      </c>
      <c r="M1592" s="4">
        <f t="shared" si="282"/>
        <v>0</v>
      </c>
      <c r="N1592" s="4">
        <f t="shared" si="282"/>
        <v>0</v>
      </c>
      <c r="O1592" s="4">
        <f t="shared" si="283"/>
        <v>0</v>
      </c>
      <c r="P1592" s="4">
        <f t="shared" si="284"/>
        <v>0</v>
      </c>
      <c r="Q1592" s="4">
        <f t="shared" si="285"/>
        <v>0</v>
      </c>
      <c r="R1592" s="4">
        <f t="shared" si="286"/>
        <v>0</v>
      </c>
      <c r="S1592" s="4">
        <f>IF(AND(VLOOKUP(G1592,Dados!$D:$L,2,0)=VLOOKUP(I1592,Dados!$S:$V,2,0),VLOOKUP(G1592,Dados!$D:$L,3,0)=VLOOKUP(I1592,Dados!$S:$V,3,0)),0,1)</f>
        <v>0</v>
      </c>
      <c r="T1592" s="4">
        <f>IF(AND(VLOOKUP(G1592,Dados!$D:$L,3,0)&lt;=VLOOKUP(H1592,Dados!$X:$AB,2,0),VLOOKUP(G1592,Dados!$D:$L,4,0)&gt;=VLOOKUP(H1592,Dados!$X:$AB,3,0),VLOOKUP(G1592,Dados!$D:$L,4,0)&lt;=VLOOKUP(H1592,Dados!$X:$AB,4,0)),0,1)</f>
        <v>0</v>
      </c>
      <c r="U1592" s="4">
        <f>IF(COUNTIFS(F:F,F1592,H:H,H1592)&lt;=VLOOKUP(H1592,Dados!$X:$AB,5,0),0,1)</f>
        <v>0</v>
      </c>
    </row>
    <row r="1593" spans="6:21">
      <c r="F1593" s="4">
        <v>764</v>
      </c>
      <c r="G1593" s="4">
        <v>65</v>
      </c>
      <c r="H1593" s="4">
        <v>2</v>
      </c>
      <c r="I1593" s="4">
        <v>22</v>
      </c>
      <c r="J1593" s="4">
        <v>1</v>
      </c>
      <c r="K1593" s="4">
        <f t="shared" si="282"/>
        <v>0</v>
      </c>
      <c r="L1593" s="4">
        <f t="shared" si="282"/>
        <v>0</v>
      </c>
      <c r="M1593" s="4">
        <f t="shared" si="282"/>
        <v>0</v>
      </c>
      <c r="N1593" s="4">
        <f t="shared" si="282"/>
        <v>0</v>
      </c>
      <c r="O1593" s="4">
        <f t="shared" si="283"/>
        <v>0</v>
      </c>
      <c r="P1593" s="4">
        <f t="shared" si="284"/>
        <v>0</v>
      </c>
      <c r="Q1593" s="4">
        <f t="shared" si="285"/>
        <v>0</v>
      </c>
      <c r="R1593" s="4">
        <f t="shared" si="286"/>
        <v>0</v>
      </c>
      <c r="S1593" s="4">
        <f>IF(AND(VLOOKUP(G1593,Dados!$D:$L,2,0)=VLOOKUP(I1593,Dados!$S:$V,2,0),VLOOKUP(G1593,Dados!$D:$L,3,0)=VLOOKUP(I1593,Dados!$S:$V,3,0)),0,1)</f>
        <v>0</v>
      </c>
      <c r="T1593" s="4">
        <f>IF(AND(VLOOKUP(G1593,Dados!$D:$L,3,0)&lt;=VLOOKUP(H1593,Dados!$X:$AB,2,0),VLOOKUP(G1593,Dados!$D:$L,4,0)&gt;=VLOOKUP(H1593,Dados!$X:$AB,3,0),VLOOKUP(G1593,Dados!$D:$L,4,0)&lt;=VLOOKUP(H1593,Dados!$X:$AB,4,0)),0,1)</f>
        <v>0</v>
      </c>
      <c r="U1593" s="4">
        <f>IF(COUNTIFS(F:F,F1593,H:H,H1593)&lt;=VLOOKUP(H1593,Dados!$X:$AB,5,0),0,1)</f>
        <v>0</v>
      </c>
    </row>
    <row r="1594" spans="6:21">
      <c r="F1594" s="4">
        <v>764</v>
      </c>
      <c r="G1594" s="4">
        <v>66</v>
      </c>
      <c r="H1594" s="4">
        <v>2</v>
      </c>
      <c r="I1594" s="4">
        <v>22</v>
      </c>
      <c r="J1594" s="4">
        <v>5</v>
      </c>
      <c r="K1594" s="4">
        <f t="shared" si="282"/>
        <v>0</v>
      </c>
      <c r="L1594" s="4">
        <f t="shared" si="282"/>
        <v>0</v>
      </c>
      <c r="M1594" s="4">
        <f t="shared" si="282"/>
        <v>0</v>
      </c>
      <c r="N1594" s="4">
        <f t="shared" si="282"/>
        <v>0</v>
      </c>
      <c r="O1594" s="4">
        <f t="shared" si="283"/>
        <v>0</v>
      </c>
      <c r="P1594" s="4">
        <f t="shared" si="284"/>
        <v>0</v>
      </c>
      <c r="Q1594" s="4">
        <f t="shared" si="285"/>
        <v>0</v>
      </c>
      <c r="R1594" s="4">
        <f t="shared" si="286"/>
        <v>0</v>
      </c>
      <c r="S1594" s="4">
        <f>IF(AND(VLOOKUP(G1594,Dados!$D:$L,2,0)=VLOOKUP(I1594,Dados!$S:$V,2,0),VLOOKUP(G1594,Dados!$D:$L,3,0)=VLOOKUP(I1594,Dados!$S:$V,3,0)),0,1)</f>
        <v>0</v>
      </c>
      <c r="T1594" s="4">
        <f>IF(AND(VLOOKUP(G1594,Dados!$D:$L,3,0)&lt;=VLOOKUP(H1594,Dados!$X:$AB,2,0),VLOOKUP(G1594,Dados!$D:$L,4,0)&gt;=VLOOKUP(H1594,Dados!$X:$AB,3,0),VLOOKUP(G1594,Dados!$D:$L,4,0)&lt;=VLOOKUP(H1594,Dados!$X:$AB,4,0)),0,1)</f>
        <v>0</v>
      </c>
      <c r="U1594" s="4">
        <f>IF(COUNTIFS(F:F,F1594,H:H,H1594)&lt;=VLOOKUP(H1594,Dados!$X:$AB,5,0),0,1)</f>
        <v>0</v>
      </c>
    </row>
    <row r="1595" spans="6:21">
      <c r="F1595" s="4">
        <v>765</v>
      </c>
      <c r="G1595" s="4">
        <v>65</v>
      </c>
      <c r="H1595" s="4">
        <v>3</v>
      </c>
      <c r="I1595" s="4">
        <v>22</v>
      </c>
      <c r="J1595" s="4">
        <v>1</v>
      </c>
      <c r="K1595" s="4">
        <f t="shared" si="282"/>
        <v>0</v>
      </c>
      <c r="L1595" s="4">
        <f t="shared" si="282"/>
        <v>0</v>
      </c>
      <c r="M1595" s="4">
        <f t="shared" si="282"/>
        <v>0</v>
      </c>
      <c r="N1595" s="4">
        <f t="shared" si="282"/>
        <v>0</v>
      </c>
      <c r="O1595" s="4">
        <f t="shared" si="283"/>
        <v>0</v>
      </c>
      <c r="P1595" s="4">
        <f t="shared" si="284"/>
        <v>0</v>
      </c>
      <c r="Q1595" s="4">
        <f t="shared" si="285"/>
        <v>0</v>
      </c>
      <c r="R1595" s="4">
        <f t="shared" si="286"/>
        <v>0</v>
      </c>
      <c r="S1595" s="4">
        <f>IF(AND(VLOOKUP(G1595,Dados!$D:$L,2,0)=VLOOKUP(I1595,Dados!$S:$V,2,0),VLOOKUP(G1595,Dados!$D:$L,3,0)=VLOOKUP(I1595,Dados!$S:$V,3,0)),0,1)</f>
        <v>0</v>
      </c>
      <c r="T1595" s="4">
        <f>IF(AND(VLOOKUP(G1595,Dados!$D:$L,3,0)&lt;=VLOOKUP(H1595,Dados!$X:$AB,2,0),VLOOKUP(G1595,Dados!$D:$L,4,0)&gt;=VLOOKUP(H1595,Dados!$X:$AB,3,0),VLOOKUP(G1595,Dados!$D:$L,4,0)&lt;=VLOOKUP(H1595,Dados!$X:$AB,4,0)),0,1)</f>
        <v>0</v>
      </c>
      <c r="U1595" s="4">
        <f>IF(COUNTIFS(F:F,F1595,H:H,H1595)&lt;=VLOOKUP(H1595,Dados!$X:$AB,5,0),0,1)</f>
        <v>0</v>
      </c>
    </row>
    <row r="1596" spans="6:21">
      <c r="F1596" s="4">
        <v>765</v>
      </c>
      <c r="G1596" s="4">
        <v>66</v>
      </c>
      <c r="H1596" s="4">
        <v>3</v>
      </c>
      <c r="I1596" s="4">
        <v>22</v>
      </c>
      <c r="J1596" s="4">
        <v>5</v>
      </c>
      <c r="K1596" s="4">
        <f t="shared" si="282"/>
        <v>0</v>
      </c>
      <c r="L1596" s="4">
        <f t="shared" si="282"/>
        <v>0</v>
      </c>
      <c r="M1596" s="4">
        <f t="shared" si="282"/>
        <v>0</v>
      </c>
      <c r="N1596" s="4">
        <f t="shared" si="282"/>
        <v>0</v>
      </c>
      <c r="O1596" s="4">
        <f t="shared" si="283"/>
        <v>0</v>
      </c>
      <c r="P1596" s="4">
        <f t="shared" si="284"/>
        <v>0</v>
      </c>
      <c r="Q1596" s="4">
        <f t="shared" si="285"/>
        <v>0</v>
      </c>
      <c r="R1596" s="4">
        <f t="shared" si="286"/>
        <v>0</v>
      </c>
      <c r="S1596" s="4">
        <f>IF(AND(VLOOKUP(G1596,Dados!$D:$L,2,0)=VLOOKUP(I1596,Dados!$S:$V,2,0),VLOOKUP(G1596,Dados!$D:$L,3,0)=VLOOKUP(I1596,Dados!$S:$V,3,0)),0,1)</f>
        <v>0</v>
      </c>
      <c r="T1596" s="4">
        <f>IF(AND(VLOOKUP(G1596,Dados!$D:$L,3,0)&lt;=VLOOKUP(H1596,Dados!$X:$AB,2,0),VLOOKUP(G1596,Dados!$D:$L,4,0)&gt;=VLOOKUP(H1596,Dados!$X:$AB,3,0),VLOOKUP(G1596,Dados!$D:$L,4,0)&lt;=VLOOKUP(H1596,Dados!$X:$AB,4,0)),0,1)</f>
        <v>0</v>
      </c>
      <c r="U1596" s="4">
        <f>IF(COUNTIFS(F:F,F1596,H:H,H1596)&lt;=VLOOKUP(H1596,Dados!$X:$AB,5,0),0,1)</f>
        <v>0</v>
      </c>
    </row>
    <row r="1597" spans="6:21">
      <c r="F1597" s="4">
        <v>766</v>
      </c>
      <c r="G1597" s="4">
        <v>61</v>
      </c>
      <c r="H1597" s="4">
        <v>1</v>
      </c>
      <c r="I1597" s="4">
        <v>24</v>
      </c>
      <c r="J1597" s="4">
        <v>1</v>
      </c>
      <c r="K1597" s="4">
        <f t="shared" si="282"/>
        <v>0</v>
      </c>
      <c r="L1597" s="4">
        <f t="shared" si="282"/>
        <v>0</v>
      </c>
      <c r="M1597" s="4">
        <f t="shared" si="282"/>
        <v>3</v>
      </c>
      <c r="N1597" s="4">
        <f t="shared" si="282"/>
        <v>0</v>
      </c>
      <c r="O1597" s="4">
        <f t="shared" si="283"/>
        <v>0</v>
      </c>
      <c r="P1597" s="4">
        <f t="shared" si="284"/>
        <v>0</v>
      </c>
      <c r="Q1597" s="4">
        <f t="shared" si="285"/>
        <v>3</v>
      </c>
      <c r="R1597" s="4">
        <f t="shared" si="286"/>
        <v>0</v>
      </c>
      <c r="S1597" s="4">
        <f>IF(AND(VLOOKUP(G1597,Dados!$D:$L,2,0)=VLOOKUP(I1597,Dados!$S:$V,2,0),VLOOKUP(G1597,Dados!$D:$L,3,0)=VLOOKUP(I1597,Dados!$S:$V,3,0)),0,1)</f>
        <v>0</v>
      </c>
      <c r="T1597" s="4">
        <f>IF(AND(VLOOKUP(G1597,Dados!$D:$L,3,0)&lt;=VLOOKUP(H1597,Dados!$X:$AB,2,0),VLOOKUP(G1597,Dados!$D:$L,4,0)&gt;=VLOOKUP(H1597,Dados!$X:$AB,3,0),VLOOKUP(G1597,Dados!$D:$L,4,0)&lt;=VLOOKUP(H1597,Dados!$X:$AB,4,0)),0,1)</f>
        <v>0</v>
      </c>
      <c r="U1597" s="4">
        <f>IF(COUNTIFS(F:F,F1597,H:H,H1597)&lt;=VLOOKUP(H1597,Dados!$X:$AB,5,0),0,1)</f>
        <v>0</v>
      </c>
    </row>
    <row r="1598" spans="6:21">
      <c r="F1598" s="4">
        <v>766</v>
      </c>
      <c r="G1598" s="4">
        <v>66</v>
      </c>
      <c r="H1598" s="4">
        <v>1</v>
      </c>
      <c r="I1598" s="4">
        <v>24</v>
      </c>
      <c r="J1598" s="4">
        <v>5</v>
      </c>
      <c r="K1598" s="4">
        <f t="shared" si="282"/>
        <v>0</v>
      </c>
      <c r="L1598" s="4">
        <f t="shared" si="282"/>
        <v>0</v>
      </c>
      <c r="M1598" s="4">
        <f t="shared" si="282"/>
        <v>3</v>
      </c>
      <c r="N1598" s="4">
        <f t="shared" si="282"/>
        <v>0</v>
      </c>
      <c r="O1598" s="4">
        <f t="shared" si="283"/>
        <v>0</v>
      </c>
      <c r="P1598" s="4">
        <f t="shared" si="284"/>
        <v>0</v>
      </c>
      <c r="Q1598" s="4">
        <f t="shared" si="285"/>
        <v>15</v>
      </c>
      <c r="R1598" s="4">
        <f t="shared" si="286"/>
        <v>0</v>
      </c>
      <c r="S1598" s="4">
        <f>IF(AND(VLOOKUP(G1598,Dados!$D:$L,2,0)=VLOOKUP(I1598,Dados!$S:$V,2,0),VLOOKUP(G1598,Dados!$D:$L,3,0)=VLOOKUP(I1598,Dados!$S:$V,3,0)),0,1)</f>
        <v>0</v>
      </c>
      <c r="T1598" s="4">
        <f>IF(AND(VLOOKUP(G1598,Dados!$D:$L,3,0)&lt;=VLOOKUP(H1598,Dados!$X:$AB,2,0),VLOOKUP(G1598,Dados!$D:$L,4,0)&gt;=VLOOKUP(H1598,Dados!$X:$AB,3,0),VLOOKUP(G1598,Dados!$D:$L,4,0)&lt;=VLOOKUP(H1598,Dados!$X:$AB,4,0)),0,1)</f>
        <v>0</v>
      </c>
      <c r="U1598" s="4">
        <f>IF(COUNTIFS(F:F,F1598,H:H,H1598)&lt;=VLOOKUP(H1598,Dados!$X:$AB,5,0),0,1)</f>
        <v>0</v>
      </c>
    </row>
    <row r="1599" spans="6:21">
      <c r="F1599" s="4">
        <v>767</v>
      </c>
      <c r="G1599" s="4">
        <v>61</v>
      </c>
      <c r="H1599" s="4">
        <v>2</v>
      </c>
      <c r="I1599" s="4">
        <v>24</v>
      </c>
      <c r="J1599" s="4">
        <v>1</v>
      </c>
      <c r="K1599" s="4">
        <f t="shared" si="282"/>
        <v>0</v>
      </c>
      <c r="L1599" s="4">
        <f t="shared" si="282"/>
        <v>0</v>
      </c>
      <c r="M1599" s="4">
        <f t="shared" si="282"/>
        <v>0</v>
      </c>
      <c r="N1599" s="4">
        <f t="shared" si="282"/>
        <v>0</v>
      </c>
      <c r="O1599" s="4">
        <f t="shared" si="283"/>
        <v>0</v>
      </c>
      <c r="P1599" s="4">
        <f t="shared" si="284"/>
        <v>0</v>
      </c>
      <c r="Q1599" s="4">
        <f t="shared" si="285"/>
        <v>0</v>
      </c>
      <c r="R1599" s="4">
        <f t="shared" si="286"/>
        <v>0</v>
      </c>
      <c r="S1599" s="4">
        <f>IF(AND(VLOOKUP(G1599,Dados!$D:$L,2,0)=VLOOKUP(I1599,Dados!$S:$V,2,0),VLOOKUP(G1599,Dados!$D:$L,3,0)=VLOOKUP(I1599,Dados!$S:$V,3,0)),0,1)</f>
        <v>0</v>
      </c>
      <c r="T1599" s="4">
        <f>IF(AND(VLOOKUP(G1599,Dados!$D:$L,3,0)&lt;=VLOOKUP(H1599,Dados!$X:$AB,2,0),VLOOKUP(G1599,Dados!$D:$L,4,0)&gt;=VLOOKUP(H1599,Dados!$X:$AB,3,0),VLOOKUP(G1599,Dados!$D:$L,4,0)&lt;=VLOOKUP(H1599,Dados!$X:$AB,4,0)),0,1)</f>
        <v>0</v>
      </c>
      <c r="U1599" s="4">
        <f>IF(COUNTIFS(F:F,F1599,H:H,H1599)&lt;=VLOOKUP(H1599,Dados!$X:$AB,5,0),0,1)</f>
        <v>0</v>
      </c>
    </row>
    <row r="1600" spans="6:21">
      <c r="F1600" s="4">
        <v>767</v>
      </c>
      <c r="G1600" s="4">
        <v>66</v>
      </c>
      <c r="H1600" s="4">
        <v>2</v>
      </c>
      <c r="I1600" s="4">
        <v>24</v>
      </c>
      <c r="J1600" s="4">
        <v>5</v>
      </c>
      <c r="K1600" s="4">
        <f t="shared" si="282"/>
        <v>0</v>
      </c>
      <c r="L1600" s="4">
        <f t="shared" si="282"/>
        <v>0</v>
      </c>
      <c r="M1600" s="4">
        <f t="shared" si="282"/>
        <v>0</v>
      </c>
      <c r="N1600" s="4">
        <f t="shared" si="282"/>
        <v>0</v>
      </c>
      <c r="O1600" s="4">
        <f t="shared" si="283"/>
        <v>0</v>
      </c>
      <c r="P1600" s="4">
        <f t="shared" si="284"/>
        <v>0</v>
      </c>
      <c r="Q1600" s="4">
        <f t="shared" si="285"/>
        <v>0</v>
      </c>
      <c r="R1600" s="4">
        <f t="shared" si="286"/>
        <v>0</v>
      </c>
      <c r="S1600" s="4">
        <f>IF(AND(VLOOKUP(G1600,Dados!$D:$L,2,0)=VLOOKUP(I1600,Dados!$S:$V,2,0),VLOOKUP(G1600,Dados!$D:$L,3,0)=VLOOKUP(I1600,Dados!$S:$V,3,0)),0,1)</f>
        <v>0</v>
      </c>
      <c r="T1600" s="4">
        <f>IF(AND(VLOOKUP(G1600,Dados!$D:$L,3,0)&lt;=VLOOKUP(H1600,Dados!$X:$AB,2,0),VLOOKUP(G1600,Dados!$D:$L,4,0)&gt;=VLOOKUP(H1600,Dados!$X:$AB,3,0),VLOOKUP(G1600,Dados!$D:$L,4,0)&lt;=VLOOKUP(H1600,Dados!$X:$AB,4,0)),0,1)</f>
        <v>0</v>
      </c>
      <c r="U1600" s="4">
        <f>IF(COUNTIFS(F:F,F1600,H:H,H1600)&lt;=VLOOKUP(H1600,Dados!$X:$AB,5,0),0,1)</f>
        <v>0</v>
      </c>
    </row>
    <row r="1601" spans="6:21">
      <c r="F1601" s="4">
        <v>768</v>
      </c>
      <c r="G1601" s="4">
        <v>61</v>
      </c>
      <c r="H1601" s="4">
        <v>3</v>
      </c>
      <c r="I1601" s="4">
        <v>24</v>
      </c>
      <c r="J1601" s="4">
        <v>1</v>
      </c>
      <c r="K1601" s="4">
        <f t="shared" si="282"/>
        <v>0</v>
      </c>
      <c r="L1601" s="4">
        <f t="shared" si="282"/>
        <v>0</v>
      </c>
      <c r="M1601" s="4">
        <f t="shared" si="282"/>
        <v>0</v>
      </c>
      <c r="N1601" s="4">
        <f t="shared" si="282"/>
        <v>0</v>
      </c>
      <c r="O1601" s="4">
        <f t="shared" si="283"/>
        <v>0</v>
      </c>
      <c r="P1601" s="4">
        <f t="shared" si="284"/>
        <v>0</v>
      </c>
      <c r="Q1601" s="4">
        <f t="shared" si="285"/>
        <v>0</v>
      </c>
      <c r="R1601" s="4">
        <f t="shared" si="286"/>
        <v>0</v>
      </c>
      <c r="S1601" s="4">
        <f>IF(AND(VLOOKUP(G1601,Dados!$D:$L,2,0)=VLOOKUP(I1601,Dados!$S:$V,2,0),VLOOKUP(G1601,Dados!$D:$L,3,0)=VLOOKUP(I1601,Dados!$S:$V,3,0)),0,1)</f>
        <v>0</v>
      </c>
      <c r="T1601" s="4">
        <f>IF(AND(VLOOKUP(G1601,Dados!$D:$L,3,0)&lt;=VLOOKUP(H1601,Dados!$X:$AB,2,0),VLOOKUP(G1601,Dados!$D:$L,4,0)&gt;=VLOOKUP(H1601,Dados!$X:$AB,3,0),VLOOKUP(G1601,Dados!$D:$L,4,0)&lt;=VLOOKUP(H1601,Dados!$X:$AB,4,0)),0,1)</f>
        <v>0</v>
      </c>
      <c r="U1601" s="4">
        <f>IF(COUNTIFS(F:F,F1601,H:H,H1601)&lt;=VLOOKUP(H1601,Dados!$X:$AB,5,0),0,1)</f>
        <v>0</v>
      </c>
    </row>
    <row r="1602" spans="6:21">
      <c r="F1602" s="4">
        <v>768</v>
      </c>
      <c r="G1602" s="4">
        <v>66</v>
      </c>
      <c r="H1602" s="4">
        <v>3</v>
      </c>
      <c r="I1602" s="4">
        <v>24</v>
      </c>
      <c r="J1602" s="4">
        <v>5</v>
      </c>
      <c r="K1602" s="4">
        <f t="shared" si="282"/>
        <v>0</v>
      </c>
      <c r="L1602" s="4">
        <f t="shared" si="282"/>
        <v>0</v>
      </c>
      <c r="M1602" s="4">
        <f t="shared" si="282"/>
        <v>0</v>
      </c>
      <c r="N1602" s="4">
        <f t="shared" si="282"/>
        <v>0</v>
      </c>
      <c r="O1602" s="4">
        <f t="shared" si="283"/>
        <v>0</v>
      </c>
      <c r="P1602" s="4">
        <f t="shared" si="284"/>
        <v>0</v>
      </c>
      <c r="Q1602" s="4">
        <f t="shared" si="285"/>
        <v>0</v>
      </c>
      <c r="R1602" s="4">
        <f t="shared" si="286"/>
        <v>0</v>
      </c>
      <c r="S1602" s="4">
        <f>IF(AND(VLOOKUP(G1602,Dados!$D:$L,2,0)=VLOOKUP(I1602,Dados!$S:$V,2,0),VLOOKUP(G1602,Dados!$D:$L,3,0)=VLOOKUP(I1602,Dados!$S:$V,3,0)),0,1)</f>
        <v>0</v>
      </c>
      <c r="T1602" s="4">
        <f>IF(AND(VLOOKUP(G1602,Dados!$D:$L,3,0)&lt;=VLOOKUP(H1602,Dados!$X:$AB,2,0),VLOOKUP(G1602,Dados!$D:$L,4,0)&gt;=VLOOKUP(H1602,Dados!$X:$AB,3,0),VLOOKUP(G1602,Dados!$D:$L,4,0)&lt;=VLOOKUP(H1602,Dados!$X:$AB,4,0)),0,1)</f>
        <v>0</v>
      </c>
      <c r="U1602" s="4">
        <f>IF(COUNTIFS(F:F,F1602,H:H,H1602)&lt;=VLOOKUP(H1602,Dados!$X:$AB,5,0),0,1)</f>
        <v>0</v>
      </c>
    </row>
    <row r="1603" spans="6:21">
      <c r="F1603" s="4">
        <v>769</v>
      </c>
      <c r="G1603" s="4">
        <v>65</v>
      </c>
      <c r="H1603" s="4">
        <v>1</v>
      </c>
      <c r="I1603" s="4">
        <v>25</v>
      </c>
      <c r="J1603" s="4">
        <v>1</v>
      </c>
      <c r="K1603" s="4">
        <f t="shared" si="282"/>
        <v>0</v>
      </c>
      <c r="L1603" s="4">
        <f t="shared" si="282"/>
        <v>0</v>
      </c>
      <c r="M1603" s="4">
        <f t="shared" si="282"/>
        <v>0</v>
      </c>
      <c r="N1603" s="4">
        <f t="shared" si="282"/>
        <v>0</v>
      </c>
      <c r="O1603" s="4">
        <f t="shared" si="283"/>
        <v>0</v>
      </c>
      <c r="P1603" s="4">
        <f t="shared" si="284"/>
        <v>0</v>
      </c>
      <c r="Q1603" s="4">
        <f t="shared" si="285"/>
        <v>0</v>
      </c>
      <c r="R1603" s="4">
        <f t="shared" si="286"/>
        <v>0</v>
      </c>
      <c r="S1603" s="4">
        <f>IF(AND(VLOOKUP(G1603,Dados!$D:$L,2,0)=VLOOKUP(I1603,Dados!$S:$V,2,0),VLOOKUP(G1603,Dados!$D:$L,3,0)=VLOOKUP(I1603,Dados!$S:$V,3,0)),0,1)</f>
        <v>0</v>
      </c>
      <c r="T1603" s="4">
        <f>IF(AND(VLOOKUP(G1603,Dados!$D:$L,3,0)&lt;=VLOOKUP(H1603,Dados!$X:$AB,2,0),VLOOKUP(G1603,Dados!$D:$L,4,0)&gt;=VLOOKUP(H1603,Dados!$X:$AB,3,0),VLOOKUP(G1603,Dados!$D:$L,4,0)&lt;=VLOOKUP(H1603,Dados!$X:$AB,4,0)),0,1)</f>
        <v>0</v>
      </c>
      <c r="U1603" s="4">
        <f>IF(COUNTIFS(F:F,F1603,H:H,H1603)&lt;=VLOOKUP(H1603,Dados!$X:$AB,5,0),0,1)</f>
        <v>0</v>
      </c>
    </row>
    <row r="1604" spans="6:21">
      <c r="F1604" s="4">
        <v>769</v>
      </c>
      <c r="G1604" s="4">
        <v>66</v>
      </c>
      <c r="H1604" s="4">
        <v>1</v>
      </c>
      <c r="I1604" s="4">
        <v>25</v>
      </c>
      <c r="J1604" s="4">
        <v>6</v>
      </c>
      <c r="K1604" s="4">
        <f t="shared" si="282"/>
        <v>0</v>
      </c>
      <c r="L1604" s="4">
        <f t="shared" si="282"/>
        <v>0</v>
      </c>
      <c r="M1604" s="4">
        <f t="shared" si="282"/>
        <v>0</v>
      </c>
      <c r="N1604" s="4">
        <f t="shared" si="282"/>
        <v>0</v>
      </c>
      <c r="O1604" s="4">
        <f t="shared" si="283"/>
        <v>0</v>
      </c>
      <c r="P1604" s="4">
        <f t="shared" si="284"/>
        <v>0</v>
      </c>
      <c r="Q1604" s="4">
        <f t="shared" si="285"/>
        <v>0</v>
      </c>
      <c r="R1604" s="4">
        <f t="shared" si="286"/>
        <v>0</v>
      </c>
      <c r="S1604" s="4">
        <f>IF(AND(VLOOKUP(G1604,Dados!$D:$L,2,0)=VLOOKUP(I1604,Dados!$S:$V,2,0),VLOOKUP(G1604,Dados!$D:$L,3,0)=VLOOKUP(I1604,Dados!$S:$V,3,0)),0,1)</f>
        <v>0</v>
      </c>
      <c r="T1604" s="4">
        <f>IF(AND(VLOOKUP(G1604,Dados!$D:$L,3,0)&lt;=VLOOKUP(H1604,Dados!$X:$AB,2,0),VLOOKUP(G1604,Dados!$D:$L,4,0)&gt;=VLOOKUP(H1604,Dados!$X:$AB,3,0),VLOOKUP(G1604,Dados!$D:$L,4,0)&lt;=VLOOKUP(H1604,Dados!$X:$AB,4,0)),0,1)</f>
        <v>0</v>
      </c>
      <c r="U1604" s="4">
        <f>IF(COUNTIFS(F:F,F1604,H:H,H1604)&lt;=VLOOKUP(H1604,Dados!$X:$AB,5,0),0,1)</f>
        <v>0</v>
      </c>
    </row>
    <row r="1605" spans="6:21">
      <c r="F1605" s="4">
        <v>770</v>
      </c>
      <c r="G1605" s="4">
        <v>65</v>
      </c>
      <c r="H1605" s="4">
        <v>2</v>
      </c>
      <c r="I1605" s="4">
        <v>25</v>
      </c>
      <c r="J1605" s="4">
        <v>1</v>
      </c>
      <c r="K1605" s="4">
        <f t="shared" si="282"/>
        <v>0</v>
      </c>
      <c r="L1605" s="4">
        <f t="shared" si="282"/>
        <v>0</v>
      </c>
      <c r="M1605" s="4">
        <f t="shared" si="282"/>
        <v>0</v>
      </c>
      <c r="N1605" s="4">
        <f t="shared" si="282"/>
        <v>0</v>
      </c>
      <c r="O1605" s="4">
        <f t="shared" si="283"/>
        <v>0</v>
      </c>
      <c r="P1605" s="4">
        <f t="shared" si="284"/>
        <v>0</v>
      </c>
      <c r="Q1605" s="4">
        <f t="shared" si="285"/>
        <v>0</v>
      </c>
      <c r="R1605" s="4">
        <f t="shared" si="286"/>
        <v>0</v>
      </c>
      <c r="S1605" s="4">
        <f>IF(AND(VLOOKUP(G1605,Dados!$D:$L,2,0)=VLOOKUP(I1605,Dados!$S:$V,2,0),VLOOKUP(G1605,Dados!$D:$L,3,0)=VLOOKUP(I1605,Dados!$S:$V,3,0)),0,1)</f>
        <v>0</v>
      </c>
      <c r="T1605" s="4">
        <f>IF(AND(VLOOKUP(G1605,Dados!$D:$L,3,0)&lt;=VLOOKUP(H1605,Dados!$X:$AB,2,0),VLOOKUP(G1605,Dados!$D:$L,4,0)&gt;=VLOOKUP(H1605,Dados!$X:$AB,3,0),VLOOKUP(G1605,Dados!$D:$L,4,0)&lt;=VLOOKUP(H1605,Dados!$X:$AB,4,0)),0,1)</f>
        <v>0</v>
      </c>
      <c r="U1605" s="4">
        <f>IF(COUNTIFS(F:F,F1605,H:H,H1605)&lt;=VLOOKUP(H1605,Dados!$X:$AB,5,0),0,1)</f>
        <v>0</v>
      </c>
    </row>
    <row r="1606" spans="6:21">
      <c r="F1606" s="4">
        <v>770</v>
      </c>
      <c r="G1606" s="4">
        <v>66</v>
      </c>
      <c r="H1606" s="4">
        <v>2</v>
      </c>
      <c r="I1606" s="4">
        <v>25</v>
      </c>
      <c r="J1606" s="4">
        <v>6</v>
      </c>
      <c r="K1606" s="4">
        <f t="shared" si="282"/>
        <v>0</v>
      </c>
      <c r="L1606" s="4">
        <f t="shared" si="282"/>
        <v>0</v>
      </c>
      <c r="M1606" s="4">
        <f t="shared" si="282"/>
        <v>0</v>
      </c>
      <c r="N1606" s="4">
        <f t="shared" si="282"/>
        <v>0</v>
      </c>
      <c r="O1606" s="4">
        <f t="shared" si="283"/>
        <v>0</v>
      </c>
      <c r="P1606" s="4">
        <f t="shared" si="284"/>
        <v>0</v>
      </c>
      <c r="Q1606" s="4">
        <f t="shared" si="285"/>
        <v>0</v>
      </c>
      <c r="R1606" s="4">
        <f t="shared" si="286"/>
        <v>0</v>
      </c>
      <c r="S1606" s="4">
        <f>IF(AND(VLOOKUP(G1606,Dados!$D:$L,2,0)=VLOOKUP(I1606,Dados!$S:$V,2,0),VLOOKUP(G1606,Dados!$D:$L,3,0)=VLOOKUP(I1606,Dados!$S:$V,3,0)),0,1)</f>
        <v>0</v>
      </c>
      <c r="T1606" s="4">
        <f>IF(AND(VLOOKUP(G1606,Dados!$D:$L,3,0)&lt;=VLOOKUP(H1606,Dados!$X:$AB,2,0),VLOOKUP(G1606,Dados!$D:$L,4,0)&gt;=VLOOKUP(H1606,Dados!$X:$AB,3,0),VLOOKUP(G1606,Dados!$D:$L,4,0)&lt;=VLOOKUP(H1606,Dados!$X:$AB,4,0)),0,1)</f>
        <v>0</v>
      </c>
      <c r="U1606" s="4">
        <f>IF(COUNTIFS(F:F,F1606,H:H,H1606)&lt;=VLOOKUP(H1606,Dados!$X:$AB,5,0),0,1)</f>
        <v>0</v>
      </c>
    </row>
    <row r="1607" spans="6:21">
      <c r="F1607" s="4">
        <v>771</v>
      </c>
      <c r="G1607" s="4">
        <v>65</v>
      </c>
      <c r="H1607" s="4">
        <v>3</v>
      </c>
      <c r="I1607" s="4">
        <v>25</v>
      </c>
      <c r="J1607" s="4">
        <v>1</v>
      </c>
      <c r="K1607" s="4">
        <f t="shared" si="282"/>
        <v>0</v>
      </c>
      <c r="L1607" s="4">
        <f t="shared" si="282"/>
        <v>0</v>
      </c>
      <c r="M1607" s="4">
        <f t="shared" si="282"/>
        <v>0</v>
      </c>
      <c r="N1607" s="4">
        <f t="shared" si="282"/>
        <v>0</v>
      </c>
      <c r="O1607" s="4">
        <f t="shared" si="283"/>
        <v>0</v>
      </c>
      <c r="P1607" s="4">
        <f t="shared" si="284"/>
        <v>0</v>
      </c>
      <c r="Q1607" s="4">
        <f t="shared" si="285"/>
        <v>0</v>
      </c>
      <c r="R1607" s="4">
        <f t="shared" si="286"/>
        <v>0</v>
      </c>
      <c r="S1607" s="4">
        <f>IF(AND(VLOOKUP(G1607,Dados!$D:$L,2,0)=VLOOKUP(I1607,Dados!$S:$V,2,0),VLOOKUP(G1607,Dados!$D:$L,3,0)=VLOOKUP(I1607,Dados!$S:$V,3,0)),0,1)</f>
        <v>0</v>
      </c>
      <c r="T1607" s="4">
        <f>IF(AND(VLOOKUP(G1607,Dados!$D:$L,3,0)&lt;=VLOOKUP(H1607,Dados!$X:$AB,2,0),VLOOKUP(G1607,Dados!$D:$L,4,0)&gt;=VLOOKUP(H1607,Dados!$X:$AB,3,0),VLOOKUP(G1607,Dados!$D:$L,4,0)&lt;=VLOOKUP(H1607,Dados!$X:$AB,4,0)),0,1)</f>
        <v>0</v>
      </c>
      <c r="U1607" s="4">
        <f>IF(COUNTIFS(F:F,F1607,H:H,H1607)&lt;=VLOOKUP(H1607,Dados!$X:$AB,5,0),0,1)</f>
        <v>0</v>
      </c>
    </row>
    <row r="1608" spans="6:21">
      <c r="F1608" s="4">
        <v>771</v>
      </c>
      <c r="G1608" s="4">
        <v>66</v>
      </c>
      <c r="H1608" s="4">
        <v>3</v>
      </c>
      <c r="I1608" s="4">
        <v>25</v>
      </c>
      <c r="J1608" s="4">
        <v>6</v>
      </c>
      <c r="K1608" s="4">
        <f t="shared" si="282"/>
        <v>0</v>
      </c>
      <c r="L1608" s="4">
        <f t="shared" si="282"/>
        <v>0</v>
      </c>
      <c r="M1608" s="4">
        <f t="shared" si="282"/>
        <v>0</v>
      </c>
      <c r="N1608" s="4">
        <f t="shared" si="282"/>
        <v>0</v>
      </c>
      <c r="O1608" s="4">
        <f t="shared" si="283"/>
        <v>0</v>
      </c>
      <c r="P1608" s="4">
        <f t="shared" si="284"/>
        <v>0</v>
      </c>
      <c r="Q1608" s="4">
        <f t="shared" si="285"/>
        <v>0</v>
      </c>
      <c r="R1608" s="4">
        <f t="shared" si="286"/>
        <v>0</v>
      </c>
      <c r="S1608" s="4">
        <f>IF(AND(VLOOKUP(G1608,Dados!$D:$L,2,0)=VLOOKUP(I1608,Dados!$S:$V,2,0),VLOOKUP(G1608,Dados!$D:$L,3,0)=VLOOKUP(I1608,Dados!$S:$V,3,0)),0,1)</f>
        <v>0</v>
      </c>
      <c r="T1608" s="4">
        <f>IF(AND(VLOOKUP(G1608,Dados!$D:$L,3,0)&lt;=VLOOKUP(H1608,Dados!$X:$AB,2,0),VLOOKUP(G1608,Dados!$D:$L,4,0)&gt;=VLOOKUP(H1608,Dados!$X:$AB,3,0),VLOOKUP(G1608,Dados!$D:$L,4,0)&lt;=VLOOKUP(H1608,Dados!$X:$AB,4,0)),0,1)</f>
        <v>0</v>
      </c>
      <c r="U1608" s="4">
        <f>IF(COUNTIFS(F:F,F1608,H:H,H1608)&lt;=VLOOKUP(H1608,Dados!$X:$AB,5,0),0,1)</f>
        <v>0</v>
      </c>
    </row>
    <row r="1609" spans="6:21">
      <c r="F1609" s="4">
        <v>772</v>
      </c>
      <c r="G1609" s="4">
        <v>63</v>
      </c>
      <c r="H1609" s="4">
        <v>1</v>
      </c>
      <c r="I1609" s="4">
        <v>26</v>
      </c>
      <c r="J1609" s="4">
        <v>4</v>
      </c>
      <c r="K1609" s="4">
        <f t="shared" si="282"/>
        <v>0</v>
      </c>
      <c r="L1609" s="4">
        <f t="shared" si="282"/>
        <v>0</v>
      </c>
      <c r="M1609" s="4">
        <f t="shared" si="282"/>
        <v>0</v>
      </c>
      <c r="N1609" s="4">
        <f t="shared" si="282"/>
        <v>0</v>
      </c>
      <c r="O1609" s="4">
        <f t="shared" si="283"/>
        <v>0</v>
      </c>
      <c r="P1609" s="4">
        <f t="shared" si="284"/>
        <v>0</v>
      </c>
      <c r="Q1609" s="4">
        <f t="shared" si="285"/>
        <v>0</v>
      </c>
      <c r="R1609" s="4">
        <f t="shared" si="286"/>
        <v>0</v>
      </c>
      <c r="S1609" s="4">
        <f>IF(AND(VLOOKUP(G1609,Dados!$D:$L,2,0)=VLOOKUP(I1609,Dados!$S:$V,2,0),VLOOKUP(G1609,Dados!$D:$L,3,0)=VLOOKUP(I1609,Dados!$S:$V,3,0)),0,1)</f>
        <v>0</v>
      </c>
      <c r="T1609" s="4">
        <f>IF(AND(VLOOKUP(G1609,Dados!$D:$L,3,0)&lt;=VLOOKUP(H1609,Dados!$X:$AB,2,0),VLOOKUP(G1609,Dados!$D:$L,4,0)&gt;=VLOOKUP(H1609,Dados!$X:$AB,3,0),VLOOKUP(G1609,Dados!$D:$L,4,0)&lt;=VLOOKUP(H1609,Dados!$X:$AB,4,0)),0,1)</f>
        <v>0</v>
      </c>
      <c r="U1609" s="4">
        <f>IF(COUNTIFS(F:F,F1609,H:H,H1609)&lt;=VLOOKUP(H1609,Dados!$X:$AB,5,0),0,1)</f>
        <v>0</v>
      </c>
    </row>
    <row r="1610" spans="6:21">
      <c r="F1610" s="4">
        <v>772</v>
      </c>
      <c r="G1610" s="4">
        <v>65</v>
      </c>
      <c r="H1610" s="4">
        <v>1</v>
      </c>
      <c r="I1610" s="4">
        <v>26</v>
      </c>
      <c r="J1610" s="4">
        <v>2</v>
      </c>
      <c r="K1610" s="4">
        <f t="shared" si="282"/>
        <v>0</v>
      </c>
      <c r="L1610" s="4">
        <f t="shared" si="282"/>
        <v>0</v>
      </c>
      <c r="M1610" s="4">
        <f t="shared" si="282"/>
        <v>0</v>
      </c>
      <c r="N1610" s="4">
        <f t="shared" si="282"/>
        <v>0</v>
      </c>
      <c r="O1610" s="4">
        <f t="shared" si="283"/>
        <v>0</v>
      </c>
      <c r="P1610" s="4">
        <f t="shared" si="284"/>
        <v>0</v>
      </c>
      <c r="Q1610" s="4">
        <f t="shared" si="285"/>
        <v>0</v>
      </c>
      <c r="R1610" s="4">
        <f t="shared" si="286"/>
        <v>0</v>
      </c>
      <c r="S1610" s="4">
        <f>IF(AND(VLOOKUP(G1610,Dados!$D:$L,2,0)=VLOOKUP(I1610,Dados!$S:$V,2,0),VLOOKUP(G1610,Dados!$D:$L,3,0)=VLOOKUP(I1610,Dados!$S:$V,3,0)),0,1)</f>
        <v>0</v>
      </c>
      <c r="T1610" s="4">
        <f>IF(AND(VLOOKUP(G1610,Dados!$D:$L,3,0)&lt;=VLOOKUP(H1610,Dados!$X:$AB,2,0),VLOOKUP(G1610,Dados!$D:$L,4,0)&gt;=VLOOKUP(H1610,Dados!$X:$AB,3,0),VLOOKUP(G1610,Dados!$D:$L,4,0)&lt;=VLOOKUP(H1610,Dados!$X:$AB,4,0)),0,1)</f>
        <v>0</v>
      </c>
      <c r="U1610" s="4">
        <f>IF(COUNTIFS(F:F,F1610,H:H,H1610)&lt;=VLOOKUP(H1610,Dados!$X:$AB,5,0),0,1)</f>
        <v>0</v>
      </c>
    </row>
    <row r="1611" spans="6:21">
      <c r="F1611" s="4">
        <v>772</v>
      </c>
      <c r="G1611" s="4">
        <v>66</v>
      </c>
      <c r="H1611" s="4">
        <v>1</v>
      </c>
      <c r="I1611" s="4">
        <v>26</v>
      </c>
      <c r="J1611" s="4">
        <v>2</v>
      </c>
      <c r="K1611" s="4">
        <f t="shared" si="282"/>
        <v>0</v>
      </c>
      <c r="L1611" s="4">
        <f t="shared" si="282"/>
        <v>0</v>
      </c>
      <c r="M1611" s="4">
        <f t="shared" si="282"/>
        <v>0</v>
      </c>
      <c r="N1611" s="4">
        <f t="shared" si="282"/>
        <v>0</v>
      </c>
      <c r="O1611" s="4">
        <f t="shared" si="283"/>
        <v>0</v>
      </c>
      <c r="P1611" s="4">
        <f t="shared" si="284"/>
        <v>0</v>
      </c>
      <c r="Q1611" s="4">
        <f t="shared" si="285"/>
        <v>0</v>
      </c>
      <c r="R1611" s="4">
        <f t="shared" si="286"/>
        <v>0</v>
      </c>
      <c r="S1611" s="4">
        <f>IF(AND(VLOOKUP(G1611,Dados!$D:$L,2,0)=VLOOKUP(I1611,Dados!$S:$V,2,0),VLOOKUP(G1611,Dados!$D:$L,3,0)=VLOOKUP(I1611,Dados!$S:$V,3,0)),0,1)</f>
        <v>0</v>
      </c>
      <c r="T1611" s="4">
        <f>IF(AND(VLOOKUP(G1611,Dados!$D:$L,3,0)&lt;=VLOOKUP(H1611,Dados!$X:$AB,2,0),VLOOKUP(G1611,Dados!$D:$L,4,0)&gt;=VLOOKUP(H1611,Dados!$X:$AB,3,0),VLOOKUP(G1611,Dados!$D:$L,4,0)&lt;=VLOOKUP(H1611,Dados!$X:$AB,4,0)),0,1)</f>
        <v>0</v>
      </c>
      <c r="U1611" s="4">
        <f>IF(COUNTIFS(F:F,F1611,H:H,H1611)&lt;=VLOOKUP(H1611,Dados!$X:$AB,5,0),0,1)</f>
        <v>0</v>
      </c>
    </row>
    <row r="1612" spans="6:21">
      <c r="F1612" s="4">
        <v>773</v>
      </c>
      <c r="G1612" s="4">
        <v>63</v>
      </c>
      <c r="H1612" s="4">
        <v>2</v>
      </c>
      <c r="I1612" s="4">
        <v>26</v>
      </c>
      <c r="J1612" s="4">
        <v>4</v>
      </c>
      <c r="K1612" s="4">
        <f t="shared" si="282"/>
        <v>0</v>
      </c>
      <c r="L1612" s="4">
        <f t="shared" si="282"/>
        <v>0</v>
      </c>
      <c r="M1612" s="4">
        <f t="shared" si="282"/>
        <v>0</v>
      </c>
      <c r="N1612" s="4">
        <f t="shared" si="282"/>
        <v>0</v>
      </c>
      <c r="O1612" s="4">
        <f t="shared" si="283"/>
        <v>0</v>
      </c>
      <c r="P1612" s="4">
        <f t="shared" si="284"/>
        <v>0</v>
      </c>
      <c r="Q1612" s="4">
        <f t="shared" si="285"/>
        <v>0</v>
      </c>
      <c r="R1612" s="4">
        <f t="shared" si="286"/>
        <v>0</v>
      </c>
      <c r="S1612" s="4">
        <f>IF(AND(VLOOKUP(G1612,Dados!$D:$L,2,0)=VLOOKUP(I1612,Dados!$S:$V,2,0),VLOOKUP(G1612,Dados!$D:$L,3,0)=VLOOKUP(I1612,Dados!$S:$V,3,0)),0,1)</f>
        <v>0</v>
      </c>
      <c r="T1612" s="4">
        <f>IF(AND(VLOOKUP(G1612,Dados!$D:$L,3,0)&lt;=VLOOKUP(H1612,Dados!$X:$AB,2,0),VLOOKUP(G1612,Dados!$D:$L,4,0)&gt;=VLOOKUP(H1612,Dados!$X:$AB,3,0),VLOOKUP(G1612,Dados!$D:$L,4,0)&lt;=VLOOKUP(H1612,Dados!$X:$AB,4,0)),0,1)</f>
        <v>0</v>
      </c>
      <c r="U1612" s="4">
        <f>IF(COUNTIFS(F:F,F1612,H:H,H1612)&lt;=VLOOKUP(H1612,Dados!$X:$AB,5,0),0,1)</f>
        <v>0</v>
      </c>
    </row>
    <row r="1613" spans="6:21">
      <c r="F1613" s="4">
        <v>773</v>
      </c>
      <c r="G1613" s="4">
        <v>65</v>
      </c>
      <c r="H1613" s="4">
        <v>2</v>
      </c>
      <c r="I1613" s="4">
        <v>26</v>
      </c>
      <c r="J1613" s="4">
        <v>2</v>
      </c>
      <c r="K1613" s="4">
        <f t="shared" si="282"/>
        <v>0</v>
      </c>
      <c r="L1613" s="4">
        <f t="shared" si="282"/>
        <v>0</v>
      </c>
      <c r="M1613" s="4">
        <f t="shared" si="282"/>
        <v>0</v>
      </c>
      <c r="N1613" s="4">
        <f t="shared" si="282"/>
        <v>0</v>
      </c>
      <c r="O1613" s="4">
        <f t="shared" si="283"/>
        <v>0</v>
      </c>
      <c r="P1613" s="4">
        <f t="shared" si="284"/>
        <v>0</v>
      </c>
      <c r="Q1613" s="4">
        <f t="shared" si="285"/>
        <v>0</v>
      </c>
      <c r="R1613" s="4">
        <f t="shared" si="286"/>
        <v>0</v>
      </c>
      <c r="S1613" s="4">
        <f>IF(AND(VLOOKUP(G1613,Dados!$D:$L,2,0)=VLOOKUP(I1613,Dados!$S:$V,2,0),VLOOKUP(G1613,Dados!$D:$L,3,0)=VLOOKUP(I1613,Dados!$S:$V,3,0)),0,1)</f>
        <v>0</v>
      </c>
      <c r="T1613" s="4">
        <f>IF(AND(VLOOKUP(G1613,Dados!$D:$L,3,0)&lt;=VLOOKUP(H1613,Dados!$X:$AB,2,0),VLOOKUP(G1613,Dados!$D:$L,4,0)&gt;=VLOOKUP(H1613,Dados!$X:$AB,3,0),VLOOKUP(G1613,Dados!$D:$L,4,0)&lt;=VLOOKUP(H1613,Dados!$X:$AB,4,0)),0,1)</f>
        <v>0</v>
      </c>
      <c r="U1613" s="4">
        <f>IF(COUNTIFS(F:F,F1613,H:H,H1613)&lt;=VLOOKUP(H1613,Dados!$X:$AB,5,0),0,1)</f>
        <v>0</v>
      </c>
    </row>
    <row r="1614" spans="6:21">
      <c r="F1614" s="4">
        <v>773</v>
      </c>
      <c r="G1614" s="4">
        <v>66</v>
      </c>
      <c r="H1614" s="4">
        <v>2</v>
      </c>
      <c r="I1614" s="4">
        <v>26</v>
      </c>
      <c r="J1614" s="4">
        <v>2</v>
      </c>
      <c r="K1614" s="4">
        <f t="shared" si="282"/>
        <v>0</v>
      </c>
      <c r="L1614" s="4">
        <f t="shared" si="282"/>
        <v>0</v>
      </c>
      <c r="M1614" s="4">
        <f t="shared" si="282"/>
        <v>0</v>
      </c>
      <c r="N1614" s="4">
        <f t="shared" si="282"/>
        <v>0</v>
      </c>
      <c r="O1614" s="4">
        <f t="shared" si="283"/>
        <v>0</v>
      </c>
      <c r="P1614" s="4">
        <f t="shared" si="284"/>
        <v>0</v>
      </c>
      <c r="Q1614" s="4">
        <f t="shared" si="285"/>
        <v>0</v>
      </c>
      <c r="R1614" s="4">
        <f t="shared" si="286"/>
        <v>0</v>
      </c>
      <c r="S1614" s="4">
        <f>IF(AND(VLOOKUP(G1614,Dados!$D:$L,2,0)=VLOOKUP(I1614,Dados!$S:$V,2,0),VLOOKUP(G1614,Dados!$D:$L,3,0)=VLOOKUP(I1614,Dados!$S:$V,3,0)),0,1)</f>
        <v>0</v>
      </c>
      <c r="T1614" s="4">
        <f>IF(AND(VLOOKUP(G1614,Dados!$D:$L,3,0)&lt;=VLOOKUP(H1614,Dados!$X:$AB,2,0),VLOOKUP(G1614,Dados!$D:$L,4,0)&gt;=VLOOKUP(H1614,Dados!$X:$AB,3,0),VLOOKUP(G1614,Dados!$D:$L,4,0)&lt;=VLOOKUP(H1614,Dados!$X:$AB,4,0)),0,1)</f>
        <v>0</v>
      </c>
      <c r="U1614" s="4">
        <f>IF(COUNTIFS(F:F,F1614,H:H,H1614)&lt;=VLOOKUP(H1614,Dados!$X:$AB,5,0),0,1)</f>
        <v>0</v>
      </c>
    </row>
    <row r="1615" spans="6:21">
      <c r="F1615" s="4">
        <v>774</v>
      </c>
      <c r="G1615" s="4">
        <v>63</v>
      </c>
      <c r="H1615" s="4">
        <v>3</v>
      </c>
      <c r="I1615" s="4">
        <v>26</v>
      </c>
      <c r="J1615" s="4">
        <v>4</v>
      </c>
      <c r="K1615" s="4">
        <f t="shared" si="282"/>
        <v>0</v>
      </c>
      <c r="L1615" s="4">
        <f t="shared" si="282"/>
        <v>0</v>
      </c>
      <c r="M1615" s="4">
        <f t="shared" si="282"/>
        <v>0</v>
      </c>
      <c r="N1615" s="4">
        <f t="shared" si="282"/>
        <v>0</v>
      </c>
      <c r="O1615" s="4">
        <f t="shared" si="283"/>
        <v>0</v>
      </c>
      <c r="P1615" s="4">
        <f t="shared" si="284"/>
        <v>0</v>
      </c>
      <c r="Q1615" s="4">
        <f t="shared" si="285"/>
        <v>0</v>
      </c>
      <c r="R1615" s="4">
        <f t="shared" si="286"/>
        <v>0</v>
      </c>
      <c r="S1615" s="4">
        <f>IF(AND(VLOOKUP(G1615,Dados!$D:$L,2,0)=VLOOKUP(I1615,Dados!$S:$V,2,0),VLOOKUP(G1615,Dados!$D:$L,3,0)=VLOOKUP(I1615,Dados!$S:$V,3,0)),0,1)</f>
        <v>0</v>
      </c>
      <c r="T1615" s="4">
        <f>IF(AND(VLOOKUP(G1615,Dados!$D:$L,3,0)&lt;=VLOOKUP(H1615,Dados!$X:$AB,2,0),VLOOKUP(G1615,Dados!$D:$L,4,0)&gt;=VLOOKUP(H1615,Dados!$X:$AB,3,0),VLOOKUP(G1615,Dados!$D:$L,4,0)&lt;=VLOOKUP(H1615,Dados!$X:$AB,4,0)),0,1)</f>
        <v>0</v>
      </c>
      <c r="U1615" s="4">
        <f>IF(COUNTIFS(F:F,F1615,H:H,H1615)&lt;=VLOOKUP(H1615,Dados!$X:$AB,5,0),0,1)</f>
        <v>0</v>
      </c>
    </row>
    <row r="1616" spans="6:21">
      <c r="F1616" s="4">
        <v>774</v>
      </c>
      <c r="G1616" s="4">
        <v>65</v>
      </c>
      <c r="H1616" s="4">
        <v>3</v>
      </c>
      <c r="I1616" s="4">
        <v>26</v>
      </c>
      <c r="J1616" s="4">
        <v>2</v>
      </c>
      <c r="K1616" s="4">
        <f t="shared" si="282"/>
        <v>0</v>
      </c>
      <c r="L1616" s="4">
        <f t="shared" si="282"/>
        <v>0</v>
      </c>
      <c r="M1616" s="4">
        <f t="shared" si="282"/>
        <v>0</v>
      </c>
      <c r="N1616" s="4">
        <f t="shared" si="282"/>
        <v>0</v>
      </c>
      <c r="O1616" s="4">
        <f t="shared" si="283"/>
        <v>0</v>
      </c>
      <c r="P1616" s="4">
        <f t="shared" si="284"/>
        <v>0</v>
      </c>
      <c r="Q1616" s="4">
        <f t="shared" si="285"/>
        <v>0</v>
      </c>
      <c r="R1616" s="4">
        <f t="shared" si="286"/>
        <v>0</v>
      </c>
      <c r="S1616" s="4">
        <f>IF(AND(VLOOKUP(G1616,Dados!$D:$L,2,0)=VLOOKUP(I1616,Dados!$S:$V,2,0),VLOOKUP(G1616,Dados!$D:$L,3,0)=VLOOKUP(I1616,Dados!$S:$V,3,0)),0,1)</f>
        <v>0</v>
      </c>
      <c r="T1616" s="4">
        <f>IF(AND(VLOOKUP(G1616,Dados!$D:$L,3,0)&lt;=VLOOKUP(H1616,Dados!$X:$AB,2,0),VLOOKUP(G1616,Dados!$D:$L,4,0)&gt;=VLOOKUP(H1616,Dados!$X:$AB,3,0),VLOOKUP(G1616,Dados!$D:$L,4,0)&lt;=VLOOKUP(H1616,Dados!$X:$AB,4,0)),0,1)</f>
        <v>0</v>
      </c>
      <c r="U1616" s="4">
        <f>IF(COUNTIFS(F:F,F1616,H:H,H1616)&lt;=VLOOKUP(H1616,Dados!$X:$AB,5,0),0,1)</f>
        <v>0</v>
      </c>
    </row>
    <row r="1617" spans="6:21">
      <c r="F1617" s="4">
        <v>774</v>
      </c>
      <c r="G1617" s="4">
        <v>66</v>
      </c>
      <c r="H1617" s="4">
        <v>3</v>
      </c>
      <c r="I1617" s="4">
        <v>26</v>
      </c>
      <c r="J1617" s="4">
        <v>2</v>
      </c>
      <c r="K1617" s="4">
        <f t="shared" si="282"/>
        <v>0</v>
      </c>
      <c r="L1617" s="4">
        <f t="shared" si="282"/>
        <v>0</v>
      </c>
      <c r="M1617" s="4">
        <f t="shared" si="282"/>
        <v>0</v>
      </c>
      <c r="N1617" s="4">
        <f t="shared" si="282"/>
        <v>0</v>
      </c>
      <c r="O1617" s="4">
        <f t="shared" si="283"/>
        <v>0</v>
      </c>
      <c r="P1617" s="4">
        <f t="shared" si="284"/>
        <v>0</v>
      </c>
      <c r="Q1617" s="4">
        <f t="shared" si="285"/>
        <v>0</v>
      </c>
      <c r="R1617" s="4">
        <f t="shared" si="286"/>
        <v>0</v>
      </c>
      <c r="S1617" s="4">
        <f>IF(AND(VLOOKUP(G1617,Dados!$D:$L,2,0)=VLOOKUP(I1617,Dados!$S:$V,2,0),VLOOKUP(G1617,Dados!$D:$L,3,0)=VLOOKUP(I1617,Dados!$S:$V,3,0)),0,1)</f>
        <v>0</v>
      </c>
      <c r="T1617" s="4">
        <f>IF(AND(VLOOKUP(G1617,Dados!$D:$L,3,0)&lt;=VLOOKUP(H1617,Dados!$X:$AB,2,0),VLOOKUP(G1617,Dados!$D:$L,4,0)&gt;=VLOOKUP(H1617,Dados!$X:$AB,3,0),VLOOKUP(G1617,Dados!$D:$L,4,0)&lt;=VLOOKUP(H1617,Dados!$X:$AB,4,0)),0,1)</f>
        <v>0</v>
      </c>
      <c r="U1617" s="4">
        <f>IF(COUNTIFS(F:F,F1617,H:H,H1617)&lt;=VLOOKUP(H1617,Dados!$X:$AB,5,0),0,1)</f>
        <v>0</v>
      </c>
    </row>
    <row r="1618" spans="6:21">
      <c r="F1618" s="4">
        <v>775</v>
      </c>
      <c r="G1618" s="4">
        <v>60</v>
      </c>
      <c r="H1618" s="4">
        <v>1</v>
      </c>
      <c r="I1618" s="4">
        <v>27</v>
      </c>
      <c r="J1618" s="4">
        <v>1</v>
      </c>
      <c r="K1618" s="4">
        <f t="shared" si="282"/>
        <v>0</v>
      </c>
      <c r="L1618" s="4">
        <f t="shared" si="282"/>
        <v>0</v>
      </c>
      <c r="M1618" s="4">
        <f t="shared" si="282"/>
        <v>0</v>
      </c>
      <c r="N1618" s="4">
        <f t="shared" si="282"/>
        <v>0</v>
      </c>
      <c r="O1618" s="4">
        <f t="shared" si="283"/>
        <v>0</v>
      </c>
      <c r="P1618" s="4">
        <f t="shared" si="284"/>
        <v>0</v>
      </c>
      <c r="Q1618" s="4">
        <f t="shared" si="285"/>
        <v>0</v>
      </c>
      <c r="R1618" s="4">
        <f t="shared" si="286"/>
        <v>0</v>
      </c>
      <c r="S1618" s="4">
        <f>IF(AND(VLOOKUP(G1618,Dados!$D:$L,2,0)=VLOOKUP(I1618,Dados!$S:$V,2,0),VLOOKUP(G1618,Dados!$D:$L,3,0)=VLOOKUP(I1618,Dados!$S:$V,3,0)),0,1)</f>
        <v>0</v>
      </c>
      <c r="T1618" s="4">
        <f>IF(AND(VLOOKUP(G1618,Dados!$D:$L,3,0)&lt;=VLOOKUP(H1618,Dados!$X:$AB,2,0),VLOOKUP(G1618,Dados!$D:$L,4,0)&gt;=VLOOKUP(H1618,Dados!$X:$AB,3,0),VLOOKUP(G1618,Dados!$D:$L,4,0)&lt;=VLOOKUP(H1618,Dados!$X:$AB,4,0)),0,1)</f>
        <v>0</v>
      </c>
      <c r="U1618" s="4">
        <f>IF(COUNTIFS(F:F,F1618,H:H,H1618)&lt;=VLOOKUP(H1618,Dados!$X:$AB,5,0),0,1)</f>
        <v>0</v>
      </c>
    </row>
    <row r="1619" spans="6:21">
      <c r="F1619" s="4">
        <v>775</v>
      </c>
      <c r="G1619" s="4">
        <v>63</v>
      </c>
      <c r="H1619" s="4">
        <v>1</v>
      </c>
      <c r="I1619" s="4">
        <v>27</v>
      </c>
      <c r="J1619" s="4">
        <v>3</v>
      </c>
      <c r="K1619" s="4">
        <f t="shared" si="282"/>
        <v>0</v>
      </c>
      <c r="L1619" s="4">
        <f t="shared" si="282"/>
        <v>0</v>
      </c>
      <c r="M1619" s="4">
        <f t="shared" si="282"/>
        <v>0</v>
      </c>
      <c r="N1619" s="4">
        <f t="shared" si="282"/>
        <v>0</v>
      </c>
      <c r="O1619" s="4">
        <f t="shared" si="283"/>
        <v>0</v>
      </c>
      <c r="P1619" s="4">
        <f t="shared" si="284"/>
        <v>0</v>
      </c>
      <c r="Q1619" s="4">
        <f t="shared" si="285"/>
        <v>0</v>
      </c>
      <c r="R1619" s="4">
        <f t="shared" si="286"/>
        <v>0</v>
      </c>
      <c r="S1619" s="4">
        <f>IF(AND(VLOOKUP(G1619,Dados!$D:$L,2,0)=VLOOKUP(I1619,Dados!$S:$V,2,0),VLOOKUP(G1619,Dados!$D:$L,3,0)=VLOOKUP(I1619,Dados!$S:$V,3,0)),0,1)</f>
        <v>0</v>
      </c>
      <c r="T1619" s="4">
        <f>IF(AND(VLOOKUP(G1619,Dados!$D:$L,3,0)&lt;=VLOOKUP(H1619,Dados!$X:$AB,2,0),VLOOKUP(G1619,Dados!$D:$L,4,0)&gt;=VLOOKUP(H1619,Dados!$X:$AB,3,0),VLOOKUP(G1619,Dados!$D:$L,4,0)&lt;=VLOOKUP(H1619,Dados!$X:$AB,4,0)),0,1)</f>
        <v>0</v>
      </c>
      <c r="U1619" s="4">
        <f>IF(COUNTIFS(F:F,F1619,H:H,H1619)&lt;=VLOOKUP(H1619,Dados!$X:$AB,5,0),0,1)</f>
        <v>0</v>
      </c>
    </row>
    <row r="1620" spans="6:21">
      <c r="F1620" s="4">
        <v>775</v>
      </c>
      <c r="G1620" s="4">
        <v>66</v>
      </c>
      <c r="H1620" s="4">
        <v>1</v>
      </c>
      <c r="I1620" s="4">
        <v>27</v>
      </c>
      <c r="J1620" s="4">
        <v>5</v>
      </c>
      <c r="K1620" s="4">
        <f t="shared" si="282"/>
        <v>0</v>
      </c>
      <c r="L1620" s="4">
        <f t="shared" si="282"/>
        <v>0</v>
      </c>
      <c r="M1620" s="4">
        <f t="shared" si="282"/>
        <v>0</v>
      </c>
      <c r="N1620" s="4">
        <f t="shared" si="282"/>
        <v>0</v>
      </c>
      <c r="O1620" s="4">
        <f t="shared" si="283"/>
        <v>0</v>
      </c>
      <c r="P1620" s="4">
        <f t="shared" si="284"/>
        <v>0</v>
      </c>
      <c r="Q1620" s="4">
        <f t="shared" si="285"/>
        <v>0</v>
      </c>
      <c r="R1620" s="4">
        <f t="shared" si="286"/>
        <v>0</v>
      </c>
      <c r="S1620" s="4">
        <f>IF(AND(VLOOKUP(G1620,Dados!$D:$L,2,0)=VLOOKUP(I1620,Dados!$S:$V,2,0),VLOOKUP(G1620,Dados!$D:$L,3,0)=VLOOKUP(I1620,Dados!$S:$V,3,0)),0,1)</f>
        <v>0</v>
      </c>
      <c r="T1620" s="4">
        <f>IF(AND(VLOOKUP(G1620,Dados!$D:$L,3,0)&lt;=VLOOKUP(H1620,Dados!$X:$AB,2,0),VLOOKUP(G1620,Dados!$D:$L,4,0)&gt;=VLOOKUP(H1620,Dados!$X:$AB,3,0),VLOOKUP(G1620,Dados!$D:$L,4,0)&lt;=VLOOKUP(H1620,Dados!$X:$AB,4,0)),0,1)</f>
        <v>0</v>
      </c>
      <c r="U1620" s="4">
        <f>IF(COUNTIFS(F:F,F1620,H:H,H1620)&lt;=VLOOKUP(H1620,Dados!$X:$AB,5,0),0,1)</f>
        <v>0</v>
      </c>
    </row>
    <row r="1621" spans="6:21">
      <c r="F1621" s="4">
        <v>776</v>
      </c>
      <c r="G1621" s="4">
        <v>60</v>
      </c>
      <c r="H1621" s="4">
        <v>2</v>
      </c>
      <c r="I1621" s="4">
        <v>27</v>
      </c>
      <c r="J1621" s="4">
        <v>1</v>
      </c>
      <c r="K1621" s="4">
        <f t="shared" si="282"/>
        <v>0</v>
      </c>
      <c r="L1621" s="4">
        <f t="shared" si="282"/>
        <v>0</v>
      </c>
      <c r="M1621" s="4">
        <f t="shared" si="282"/>
        <v>0</v>
      </c>
      <c r="N1621" s="4">
        <f t="shared" si="282"/>
        <v>0</v>
      </c>
      <c r="O1621" s="4">
        <f t="shared" si="283"/>
        <v>0</v>
      </c>
      <c r="P1621" s="4">
        <f t="shared" si="284"/>
        <v>0</v>
      </c>
      <c r="Q1621" s="4">
        <f t="shared" si="285"/>
        <v>0</v>
      </c>
      <c r="R1621" s="4">
        <f t="shared" si="286"/>
        <v>0</v>
      </c>
      <c r="S1621" s="4">
        <f>IF(AND(VLOOKUP(G1621,Dados!$D:$L,2,0)=VLOOKUP(I1621,Dados!$S:$V,2,0),VLOOKUP(G1621,Dados!$D:$L,3,0)=VLOOKUP(I1621,Dados!$S:$V,3,0)),0,1)</f>
        <v>0</v>
      </c>
      <c r="T1621" s="4">
        <f>IF(AND(VLOOKUP(G1621,Dados!$D:$L,3,0)&lt;=VLOOKUP(H1621,Dados!$X:$AB,2,0),VLOOKUP(G1621,Dados!$D:$L,4,0)&gt;=VLOOKUP(H1621,Dados!$X:$AB,3,0),VLOOKUP(G1621,Dados!$D:$L,4,0)&lt;=VLOOKUP(H1621,Dados!$X:$AB,4,0)),0,1)</f>
        <v>0</v>
      </c>
      <c r="U1621" s="4">
        <f>IF(COUNTIFS(F:F,F1621,H:H,H1621)&lt;=VLOOKUP(H1621,Dados!$X:$AB,5,0),0,1)</f>
        <v>0</v>
      </c>
    </row>
    <row r="1622" spans="6:21">
      <c r="F1622" s="4">
        <v>776</v>
      </c>
      <c r="G1622" s="4">
        <v>63</v>
      </c>
      <c r="H1622" s="4">
        <v>2</v>
      </c>
      <c r="I1622" s="4">
        <v>27</v>
      </c>
      <c r="J1622" s="4">
        <v>3</v>
      </c>
      <c r="K1622" s="4">
        <f t="shared" si="282"/>
        <v>0</v>
      </c>
      <c r="L1622" s="4">
        <f t="shared" si="282"/>
        <v>0</v>
      </c>
      <c r="M1622" s="4">
        <f t="shared" si="282"/>
        <v>0</v>
      </c>
      <c r="N1622" s="4">
        <f t="shared" si="282"/>
        <v>0</v>
      </c>
      <c r="O1622" s="4">
        <f t="shared" si="283"/>
        <v>0</v>
      </c>
      <c r="P1622" s="4">
        <f t="shared" si="284"/>
        <v>0</v>
      </c>
      <c r="Q1622" s="4">
        <f t="shared" si="285"/>
        <v>0</v>
      </c>
      <c r="R1622" s="4">
        <f t="shared" si="286"/>
        <v>0</v>
      </c>
      <c r="S1622" s="4">
        <f>IF(AND(VLOOKUP(G1622,Dados!$D:$L,2,0)=VLOOKUP(I1622,Dados!$S:$V,2,0),VLOOKUP(G1622,Dados!$D:$L,3,0)=VLOOKUP(I1622,Dados!$S:$V,3,0)),0,1)</f>
        <v>0</v>
      </c>
      <c r="T1622" s="4">
        <f>IF(AND(VLOOKUP(G1622,Dados!$D:$L,3,0)&lt;=VLOOKUP(H1622,Dados!$X:$AB,2,0),VLOOKUP(G1622,Dados!$D:$L,4,0)&gt;=VLOOKUP(H1622,Dados!$X:$AB,3,0),VLOOKUP(G1622,Dados!$D:$L,4,0)&lt;=VLOOKUP(H1622,Dados!$X:$AB,4,0)),0,1)</f>
        <v>0</v>
      </c>
      <c r="U1622" s="4">
        <f>IF(COUNTIFS(F:F,F1622,H:H,H1622)&lt;=VLOOKUP(H1622,Dados!$X:$AB,5,0),0,1)</f>
        <v>0</v>
      </c>
    </row>
    <row r="1623" spans="6:21">
      <c r="F1623" s="4">
        <v>776</v>
      </c>
      <c r="G1623" s="4">
        <v>66</v>
      </c>
      <c r="H1623" s="4">
        <v>2</v>
      </c>
      <c r="I1623" s="4">
        <v>27</v>
      </c>
      <c r="J1623" s="4">
        <v>5</v>
      </c>
      <c r="K1623" s="4">
        <f t="shared" si="282"/>
        <v>0</v>
      </c>
      <c r="L1623" s="4">
        <f t="shared" si="282"/>
        <v>0</v>
      </c>
      <c r="M1623" s="4">
        <f t="shared" si="282"/>
        <v>0</v>
      </c>
      <c r="N1623" s="4">
        <f t="shared" si="282"/>
        <v>0</v>
      </c>
      <c r="O1623" s="4">
        <f t="shared" si="283"/>
        <v>0</v>
      </c>
      <c r="P1623" s="4">
        <f t="shared" si="284"/>
        <v>0</v>
      </c>
      <c r="Q1623" s="4">
        <f t="shared" si="285"/>
        <v>0</v>
      </c>
      <c r="R1623" s="4">
        <f t="shared" si="286"/>
        <v>0</v>
      </c>
      <c r="S1623" s="4">
        <f>IF(AND(VLOOKUP(G1623,Dados!$D:$L,2,0)=VLOOKUP(I1623,Dados!$S:$V,2,0),VLOOKUP(G1623,Dados!$D:$L,3,0)=VLOOKUP(I1623,Dados!$S:$V,3,0)),0,1)</f>
        <v>0</v>
      </c>
      <c r="T1623" s="4">
        <f>IF(AND(VLOOKUP(G1623,Dados!$D:$L,3,0)&lt;=VLOOKUP(H1623,Dados!$X:$AB,2,0),VLOOKUP(G1623,Dados!$D:$L,4,0)&gt;=VLOOKUP(H1623,Dados!$X:$AB,3,0),VLOOKUP(G1623,Dados!$D:$L,4,0)&lt;=VLOOKUP(H1623,Dados!$X:$AB,4,0)),0,1)</f>
        <v>0</v>
      </c>
      <c r="U1623" s="4">
        <f>IF(COUNTIFS(F:F,F1623,H:H,H1623)&lt;=VLOOKUP(H1623,Dados!$X:$AB,5,0),0,1)</f>
        <v>0</v>
      </c>
    </row>
    <row r="1624" spans="6:21">
      <c r="F1624" s="4">
        <v>777</v>
      </c>
      <c r="G1624" s="4">
        <v>60</v>
      </c>
      <c r="H1624" s="4">
        <v>3</v>
      </c>
      <c r="I1624" s="4">
        <v>27</v>
      </c>
      <c r="J1624" s="4">
        <v>1</v>
      </c>
      <c r="K1624" s="4">
        <f t="shared" si="282"/>
        <v>0</v>
      </c>
      <c r="L1624" s="4">
        <f t="shared" si="282"/>
        <v>0</v>
      </c>
      <c r="M1624" s="4">
        <f t="shared" si="282"/>
        <v>0</v>
      </c>
      <c r="N1624" s="4">
        <f t="shared" si="282"/>
        <v>0</v>
      </c>
      <c r="O1624" s="4">
        <f t="shared" si="283"/>
        <v>0</v>
      </c>
      <c r="P1624" s="4">
        <f t="shared" si="284"/>
        <v>0</v>
      </c>
      <c r="Q1624" s="4">
        <f t="shared" si="285"/>
        <v>0</v>
      </c>
      <c r="R1624" s="4">
        <f t="shared" si="286"/>
        <v>0</v>
      </c>
      <c r="S1624" s="4">
        <f>IF(AND(VLOOKUP(G1624,Dados!$D:$L,2,0)=VLOOKUP(I1624,Dados!$S:$V,2,0),VLOOKUP(G1624,Dados!$D:$L,3,0)=VLOOKUP(I1624,Dados!$S:$V,3,0)),0,1)</f>
        <v>0</v>
      </c>
      <c r="T1624" s="4">
        <f>IF(AND(VLOOKUP(G1624,Dados!$D:$L,3,0)&lt;=VLOOKUP(H1624,Dados!$X:$AB,2,0),VLOOKUP(G1624,Dados!$D:$L,4,0)&gt;=VLOOKUP(H1624,Dados!$X:$AB,3,0),VLOOKUP(G1624,Dados!$D:$L,4,0)&lt;=VLOOKUP(H1624,Dados!$X:$AB,4,0)),0,1)</f>
        <v>0</v>
      </c>
      <c r="U1624" s="4">
        <f>IF(COUNTIFS(F:F,F1624,H:H,H1624)&lt;=VLOOKUP(H1624,Dados!$X:$AB,5,0),0,1)</f>
        <v>0</v>
      </c>
    </row>
    <row r="1625" spans="6:21">
      <c r="F1625" s="4">
        <v>777</v>
      </c>
      <c r="G1625" s="4">
        <v>63</v>
      </c>
      <c r="H1625" s="4">
        <v>3</v>
      </c>
      <c r="I1625" s="4">
        <v>27</v>
      </c>
      <c r="J1625" s="4">
        <v>3</v>
      </c>
      <c r="K1625" s="4">
        <f t="shared" si="282"/>
        <v>0</v>
      </c>
      <c r="L1625" s="4">
        <f t="shared" si="282"/>
        <v>0</v>
      </c>
      <c r="M1625" s="4">
        <f t="shared" si="282"/>
        <v>0</v>
      </c>
      <c r="N1625" s="4">
        <f t="shared" si="282"/>
        <v>0</v>
      </c>
      <c r="O1625" s="4">
        <f t="shared" si="283"/>
        <v>0</v>
      </c>
      <c r="P1625" s="4">
        <f t="shared" si="284"/>
        <v>0</v>
      </c>
      <c r="Q1625" s="4">
        <f t="shared" si="285"/>
        <v>0</v>
      </c>
      <c r="R1625" s="4">
        <f t="shared" si="286"/>
        <v>0</v>
      </c>
      <c r="S1625" s="4">
        <f>IF(AND(VLOOKUP(G1625,Dados!$D:$L,2,0)=VLOOKUP(I1625,Dados!$S:$V,2,0),VLOOKUP(G1625,Dados!$D:$L,3,0)=VLOOKUP(I1625,Dados!$S:$V,3,0)),0,1)</f>
        <v>0</v>
      </c>
      <c r="T1625" s="4">
        <f>IF(AND(VLOOKUP(G1625,Dados!$D:$L,3,0)&lt;=VLOOKUP(H1625,Dados!$X:$AB,2,0),VLOOKUP(G1625,Dados!$D:$L,4,0)&gt;=VLOOKUP(H1625,Dados!$X:$AB,3,0),VLOOKUP(G1625,Dados!$D:$L,4,0)&lt;=VLOOKUP(H1625,Dados!$X:$AB,4,0)),0,1)</f>
        <v>0</v>
      </c>
      <c r="U1625" s="4">
        <f>IF(COUNTIFS(F:F,F1625,H:H,H1625)&lt;=VLOOKUP(H1625,Dados!$X:$AB,5,0),0,1)</f>
        <v>0</v>
      </c>
    </row>
    <row r="1626" spans="6:21">
      <c r="F1626" s="4">
        <v>777</v>
      </c>
      <c r="G1626" s="4">
        <v>66</v>
      </c>
      <c r="H1626" s="4">
        <v>3</v>
      </c>
      <c r="I1626" s="4">
        <v>27</v>
      </c>
      <c r="J1626" s="4">
        <v>5</v>
      </c>
      <c r="K1626" s="4">
        <f t="shared" si="282"/>
        <v>0</v>
      </c>
      <c r="L1626" s="4">
        <f t="shared" si="282"/>
        <v>0</v>
      </c>
      <c r="M1626" s="4">
        <f t="shared" si="282"/>
        <v>0</v>
      </c>
      <c r="N1626" s="4">
        <f t="shared" si="282"/>
        <v>0</v>
      </c>
      <c r="O1626" s="4">
        <f t="shared" si="283"/>
        <v>0</v>
      </c>
      <c r="P1626" s="4">
        <f t="shared" si="284"/>
        <v>0</v>
      </c>
      <c r="Q1626" s="4">
        <f t="shared" si="285"/>
        <v>0</v>
      </c>
      <c r="R1626" s="4">
        <f t="shared" si="286"/>
        <v>0</v>
      </c>
      <c r="S1626" s="4">
        <f>IF(AND(VLOOKUP(G1626,Dados!$D:$L,2,0)=VLOOKUP(I1626,Dados!$S:$V,2,0),VLOOKUP(G1626,Dados!$D:$L,3,0)=VLOOKUP(I1626,Dados!$S:$V,3,0)),0,1)</f>
        <v>0</v>
      </c>
      <c r="T1626" s="4">
        <f>IF(AND(VLOOKUP(G1626,Dados!$D:$L,3,0)&lt;=VLOOKUP(H1626,Dados!$X:$AB,2,0),VLOOKUP(G1626,Dados!$D:$L,4,0)&gt;=VLOOKUP(H1626,Dados!$X:$AB,3,0),VLOOKUP(G1626,Dados!$D:$L,4,0)&lt;=VLOOKUP(H1626,Dados!$X:$AB,4,0)),0,1)</f>
        <v>0</v>
      </c>
      <c r="U1626" s="4">
        <f>IF(COUNTIFS(F:F,F1626,H:H,H1626)&lt;=VLOOKUP(H1626,Dados!$X:$AB,5,0),0,1)</f>
        <v>0</v>
      </c>
    </row>
    <row r="1627" spans="6:21">
      <c r="F1627" s="4">
        <v>778</v>
      </c>
      <c r="G1627" s="4">
        <v>63</v>
      </c>
      <c r="H1627" s="4">
        <v>1</v>
      </c>
      <c r="I1627" s="4">
        <v>28</v>
      </c>
      <c r="J1627" s="4">
        <v>2</v>
      </c>
      <c r="K1627" s="4">
        <f t="shared" si="282"/>
        <v>0</v>
      </c>
      <c r="L1627" s="4">
        <f t="shared" si="282"/>
        <v>0</v>
      </c>
      <c r="M1627" s="4">
        <f t="shared" si="282"/>
        <v>0</v>
      </c>
      <c r="N1627" s="4">
        <f t="shared" si="282"/>
        <v>0</v>
      </c>
      <c r="O1627" s="4">
        <f t="shared" si="283"/>
        <v>0</v>
      </c>
      <c r="P1627" s="4">
        <f t="shared" si="284"/>
        <v>0</v>
      </c>
      <c r="Q1627" s="4">
        <f t="shared" si="285"/>
        <v>0</v>
      </c>
      <c r="R1627" s="4">
        <f t="shared" si="286"/>
        <v>0</v>
      </c>
      <c r="S1627" s="4">
        <f>IF(AND(VLOOKUP(G1627,Dados!$D:$L,2,0)=VLOOKUP(I1627,Dados!$S:$V,2,0),VLOOKUP(G1627,Dados!$D:$L,3,0)=VLOOKUP(I1627,Dados!$S:$V,3,0)),0,1)</f>
        <v>0</v>
      </c>
      <c r="T1627" s="4">
        <f>IF(AND(VLOOKUP(G1627,Dados!$D:$L,3,0)&lt;=VLOOKUP(H1627,Dados!$X:$AB,2,0),VLOOKUP(G1627,Dados!$D:$L,4,0)&gt;=VLOOKUP(H1627,Dados!$X:$AB,3,0),VLOOKUP(G1627,Dados!$D:$L,4,0)&lt;=VLOOKUP(H1627,Dados!$X:$AB,4,0)),0,1)</f>
        <v>0</v>
      </c>
      <c r="U1627" s="4">
        <f>IF(COUNTIFS(F:F,F1627,H:H,H1627)&lt;=VLOOKUP(H1627,Dados!$X:$AB,5,0),0,1)</f>
        <v>0</v>
      </c>
    </row>
    <row r="1628" spans="6:21">
      <c r="F1628" s="4">
        <v>778</v>
      </c>
      <c r="G1628" s="4">
        <v>65</v>
      </c>
      <c r="H1628" s="4">
        <v>1</v>
      </c>
      <c r="I1628" s="4">
        <v>28</v>
      </c>
      <c r="J1628" s="4">
        <v>1</v>
      </c>
      <c r="K1628" s="4">
        <f t="shared" si="282"/>
        <v>0</v>
      </c>
      <c r="L1628" s="4">
        <f t="shared" si="282"/>
        <v>0</v>
      </c>
      <c r="M1628" s="4">
        <f t="shared" si="282"/>
        <v>0</v>
      </c>
      <c r="N1628" s="4">
        <f t="shared" si="282"/>
        <v>0</v>
      </c>
      <c r="O1628" s="4">
        <f t="shared" si="283"/>
        <v>0</v>
      </c>
      <c r="P1628" s="4">
        <f t="shared" si="284"/>
        <v>0</v>
      </c>
      <c r="Q1628" s="4">
        <f t="shared" si="285"/>
        <v>0</v>
      </c>
      <c r="R1628" s="4">
        <f t="shared" si="286"/>
        <v>0</v>
      </c>
      <c r="S1628" s="4">
        <f>IF(AND(VLOOKUP(G1628,Dados!$D:$L,2,0)=VLOOKUP(I1628,Dados!$S:$V,2,0),VLOOKUP(G1628,Dados!$D:$L,3,0)=VLOOKUP(I1628,Dados!$S:$V,3,0)),0,1)</f>
        <v>0</v>
      </c>
      <c r="T1628" s="4">
        <f>IF(AND(VLOOKUP(G1628,Dados!$D:$L,3,0)&lt;=VLOOKUP(H1628,Dados!$X:$AB,2,0),VLOOKUP(G1628,Dados!$D:$L,4,0)&gt;=VLOOKUP(H1628,Dados!$X:$AB,3,0),VLOOKUP(G1628,Dados!$D:$L,4,0)&lt;=VLOOKUP(H1628,Dados!$X:$AB,4,0)),0,1)</f>
        <v>0</v>
      </c>
      <c r="U1628" s="4">
        <f>IF(COUNTIFS(F:F,F1628,H:H,H1628)&lt;=VLOOKUP(H1628,Dados!$X:$AB,5,0),0,1)</f>
        <v>0</v>
      </c>
    </row>
    <row r="1629" spans="6:21">
      <c r="F1629" s="4">
        <v>778</v>
      </c>
      <c r="G1629" s="4">
        <v>66</v>
      </c>
      <c r="H1629" s="4">
        <v>1</v>
      </c>
      <c r="I1629" s="4">
        <v>28</v>
      </c>
      <c r="J1629" s="4">
        <v>5</v>
      </c>
      <c r="K1629" s="4">
        <f t="shared" si="282"/>
        <v>0</v>
      </c>
      <c r="L1629" s="4">
        <f t="shared" si="282"/>
        <v>0</v>
      </c>
      <c r="M1629" s="4">
        <f t="shared" si="282"/>
        <v>0</v>
      </c>
      <c r="N1629" s="4">
        <f t="shared" si="282"/>
        <v>0</v>
      </c>
      <c r="O1629" s="4">
        <f t="shared" si="283"/>
        <v>0</v>
      </c>
      <c r="P1629" s="4">
        <f t="shared" si="284"/>
        <v>0</v>
      </c>
      <c r="Q1629" s="4">
        <f t="shared" si="285"/>
        <v>0</v>
      </c>
      <c r="R1629" s="4">
        <f t="shared" si="286"/>
        <v>0</v>
      </c>
      <c r="S1629" s="4">
        <f>IF(AND(VLOOKUP(G1629,Dados!$D:$L,2,0)=VLOOKUP(I1629,Dados!$S:$V,2,0),VLOOKUP(G1629,Dados!$D:$L,3,0)=VLOOKUP(I1629,Dados!$S:$V,3,0)),0,1)</f>
        <v>0</v>
      </c>
      <c r="T1629" s="4">
        <f>IF(AND(VLOOKUP(G1629,Dados!$D:$L,3,0)&lt;=VLOOKUP(H1629,Dados!$X:$AB,2,0),VLOOKUP(G1629,Dados!$D:$L,4,0)&gt;=VLOOKUP(H1629,Dados!$X:$AB,3,0),VLOOKUP(G1629,Dados!$D:$L,4,0)&lt;=VLOOKUP(H1629,Dados!$X:$AB,4,0)),0,1)</f>
        <v>0</v>
      </c>
      <c r="U1629" s="4">
        <f>IF(COUNTIFS(F:F,F1629,H:H,H1629)&lt;=VLOOKUP(H1629,Dados!$X:$AB,5,0),0,1)</f>
        <v>0</v>
      </c>
    </row>
    <row r="1630" spans="6:21">
      <c r="F1630" s="4">
        <v>779</v>
      </c>
      <c r="G1630" s="4">
        <v>63</v>
      </c>
      <c r="H1630" s="4">
        <v>2</v>
      </c>
      <c r="I1630" s="4">
        <v>28</v>
      </c>
      <c r="J1630" s="4">
        <v>2</v>
      </c>
      <c r="K1630" s="4">
        <f t="shared" si="282"/>
        <v>0</v>
      </c>
      <c r="L1630" s="4">
        <f t="shared" si="282"/>
        <v>0</v>
      </c>
      <c r="M1630" s="4">
        <f t="shared" si="282"/>
        <v>0</v>
      </c>
      <c r="N1630" s="4">
        <f t="shared" si="282"/>
        <v>0</v>
      </c>
      <c r="O1630" s="4">
        <f t="shared" si="283"/>
        <v>0</v>
      </c>
      <c r="P1630" s="4">
        <f t="shared" si="284"/>
        <v>0</v>
      </c>
      <c r="Q1630" s="4">
        <f t="shared" si="285"/>
        <v>0</v>
      </c>
      <c r="R1630" s="4">
        <f t="shared" si="286"/>
        <v>0</v>
      </c>
      <c r="S1630" s="4">
        <f>IF(AND(VLOOKUP(G1630,Dados!$D:$L,2,0)=VLOOKUP(I1630,Dados!$S:$V,2,0),VLOOKUP(G1630,Dados!$D:$L,3,0)=VLOOKUP(I1630,Dados!$S:$V,3,0)),0,1)</f>
        <v>0</v>
      </c>
      <c r="T1630" s="4">
        <f>IF(AND(VLOOKUP(G1630,Dados!$D:$L,3,0)&lt;=VLOOKUP(H1630,Dados!$X:$AB,2,0),VLOOKUP(G1630,Dados!$D:$L,4,0)&gt;=VLOOKUP(H1630,Dados!$X:$AB,3,0),VLOOKUP(G1630,Dados!$D:$L,4,0)&lt;=VLOOKUP(H1630,Dados!$X:$AB,4,0)),0,1)</f>
        <v>0</v>
      </c>
      <c r="U1630" s="4">
        <f>IF(COUNTIFS(F:F,F1630,H:H,H1630)&lt;=VLOOKUP(H1630,Dados!$X:$AB,5,0),0,1)</f>
        <v>0</v>
      </c>
    </row>
    <row r="1631" spans="6:21">
      <c r="F1631" s="4">
        <v>779</v>
      </c>
      <c r="G1631" s="4">
        <v>65</v>
      </c>
      <c r="H1631" s="4">
        <v>2</v>
      </c>
      <c r="I1631" s="4">
        <v>28</v>
      </c>
      <c r="J1631" s="4">
        <v>1</v>
      </c>
      <c r="K1631" s="4">
        <f t="shared" si="282"/>
        <v>0</v>
      </c>
      <c r="L1631" s="4">
        <f t="shared" si="282"/>
        <v>0</v>
      </c>
      <c r="M1631" s="4">
        <f t="shared" si="282"/>
        <v>0</v>
      </c>
      <c r="N1631" s="4">
        <f t="shared" si="282"/>
        <v>0</v>
      </c>
      <c r="O1631" s="4">
        <f t="shared" si="283"/>
        <v>0</v>
      </c>
      <c r="P1631" s="4">
        <f t="shared" si="284"/>
        <v>0</v>
      </c>
      <c r="Q1631" s="4">
        <f t="shared" si="285"/>
        <v>0</v>
      </c>
      <c r="R1631" s="4">
        <f t="shared" si="286"/>
        <v>0</v>
      </c>
      <c r="S1631" s="4">
        <f>IF(AND(VLOOKUP(G1631,Dados!$D:$L,2,0)=VLOOKUP(I1631,Dados!$S:$V,2,0),VLOOKUP(G1631,Dados!$D:$L,3,0)=VLOOKUP(I1631,Dados!$S:$V,3,0)),0,1)</f>
        <v>0</v>
      </c>
      <c r="T1631" s="4">
        <f>IF(AND(VLOOKUP(G1631,Dados!$D:$L,3,0)&lt;=VLOOKUP(H1631,Dados!$X:$AB,2,0),VLOOKUP(G1631,Dados!$D:$L,4,0)&gt;=VLOOKUP(H1631,Dados!$X:$AB,3,0),VLOOKUP(G1631,Dados!$D:$L,4,0)&lt;=VLOOKUP(H1631,Dados!$X:$AB,4,0)),0,1)</f>
        <v>0</v>
      </c>
      <c r="U1631" s="4">
        <f>IF(COUNTIFS(F:F,F1631,H:H,H1631)&lt;=VLOOKUP(H1631,Dados!$X:$AB,5,0),0,1)</f>
        <v>0</v>
      </c>
    </row>
    <row r="1632" spans="6:21">
      <c r="F1632" s="4">
        <v>779</v>
      </c>
      <c r="G1632" s="4">
        <v>66</v>
      </c>
      <c r="H1632" s="4">
        <v>2</v>
      </c>
      <c r="I1632" s="4">
        <v>28</v>
      </c>
      <c r="J1632" s="4">
        <v>5</v>
      </c>
      <c r="K1632" s="4">
        <f t="shared" si="282"/>
        <v>0</v>
      </c>
      <c r="L1632" s="4">
        <f t="shared" si="282"/>
        <v>0</v>
      </c>
      <c r="M1632" s="4">
        <f t="shared" si="282"/>
        <v>0</v>
      </c>
      <c r="N1632" s="4">
        <f t="shared" si="282"/>
        <v>0</v>
      </c>
      <c r="O1632" s="4">
        <f t="shared" si="283"/>
        <v>0</v>
      </c>
      <c r="P1632" s="4">
        <f t="shared" si="284"/>
        <v>0</v>
      </c>
      <c r="Q1632" s="4">
        <f t="shared" si="285"/>
        <v>0</v>
      </c>
      <c r="R1632" s="4">
        <f t="shared" si="286"/>
        <v>0</v>
      </c>
      <c r="S1632" s="4">
        <f>IF(AND(VLOOKUP(G1632,Dados!$D:$L,2,0)=VLOOKUP(I1632,Dados!$S:$V,2,0),VLOOKUP(G1632,Dados!$D:$L,3,0)=VLOOKUP(I1632,Dados!$S:$V,3,0)),0,1)</f>
        <v>0</v>
      </c>
      <c r="T1632" s="4">
        <f>IF(AND(VLOOKUP(G1632,Dados!$D:$L,3,0)&lt;=VLOOKUP(H1632,Dados!$X:$AB,2,0),VLOOKUP(G1632,Dados!$D:$L,4,0)&gt;=VLOOKUP(H1632,Dados!$X:$AB,3,0),VLOOKUP(G1632,Dados!$D:$L,4,0)&lt;=VLOOKUP(H1632,Dados!$X:$AB,4,0)),0,1)</f>
        <v>0</v>
      </c>
      <c r="U1632" s="4">
        <f>IF(COUNTIFS(F:F,F1632,H:H,H1632)&lt;=VLOOKUP(H1632,Dados!$X:$AB,5,0),0,1)</f>
        <v>0</v>
      </c>
    </row>
    <row r="1633" spans="6:21">
      <c r="F1633" s="4">
        <v>780</v>
      </c>
      <c r="G1633" s="4">
        <v>59</v>
      </c>
      <c r="H1633" s="4">
        <v>3</v>
      </c>
      <c r="I1633" s="4">
        <v>28</v>
      </c>
      <c r="J1633" s="4">
        <v>1</v>
      </c>
      <c r="K1633" s="4">
        <f t="shared" si="282"/>
        <v>0</v>
      </c>
      <c r="L1633" s="4">
        <f t="shared" si="282"/>
        <v>0</v>
      </c>
      <c r="M1633" s="4">
        <f t="shared" si="282"/>
        <v>0</v>
      </c>
      <c r="N1633" s="4">
        <f t="shared" si="282"/>
        <v>0</v>
      </c>
      <c r="O1633" s="4">
        <f t="shared" si="283"/>
        <v>0</v>
      </c>
      <c r="P1633" s="4">
        <f t="shared" si="284"/>
        <v>0</v>
      </c>
      <c r="Q1633" s="4">
        <f t="shared" si="285"/>
        <v>0</v>
      </c>
      <c r="R1633" s="4">
        <f t="shared" si="286"/>
        <v>0</v>
      </c>
      <c r="S1633" s="4">
        <f>IF(AND(VLOOKUP(G1633,Dados!$D:$L,2,0)=VLOOKUP(I1633,Dados!$S:$V,2,0),VLOOKUP(G1633,Dados!$D:$L,3,0)=VLOOKUP(I1633,Dados!$S:$V,3,0)),0,1)</f>
        <v>0</v>
      </c>
      <c r="T1633" s="4">
        <f>IF(AND(VLOOKUP(G1633,Dados!$D:$L,3,0)&lt;=VLOOKUP(H1633,Dados!$X:$AB,2,0),VLOOKUP(G1633,Dados!$D:$L,4,0)&gt;=VLOOKUP(H1633,Dados!$X:$AB,3,0),VLOOKUP(G1633,Dados!$D:$L,4,0)&lt;=VLOOKUP(H1633,Dados!$X:$AB,4,0)),0,1)</f>
        <v>0</v>
      </c>
      <c r="U1633" s="4">
        <f>IF(COUNTIFS(F:F,F1633,H:H,H1633)&lt;=VLOOKUP(H1633,Dados!$X:$AB,5,0),0,1)</f>
        <v>0</v>
      </c>
    </row>
    <row r="1634" spans="6:21">
      <c r="F1634" s="4">
        <v>780</v>
      </c>
      <c r="G1634" s="4">
        <v>61</v>
      </c>
      <c r="H1634" s="4">
        <v>3</v>
      </c>
      <c r="I1634" s="4">
        <v>28</v>
      </c>
      <c r="J1634" s="4">
        <v>1</v>
      </c>
      <c r="K1634" s="4">
        <f t="shared" si="282"/>
        <v>0</v>
      </c>
      <c r="L1634" s="4">
        <f t="shared" si="282"/>
        <v>0</v>
      </c>
      <c r="M1634" s="4">
        <f t="shared" si="282"/>
        <v>0</v>
      </c>
      <c r="N1634" s="4">
        <f t="shared" si="282"/>
        <v>0</v>
      </c>
      <c r="O1634" s="4">
        <f t="shared" si="283"/>
        <v>0</v>
      </c>
      <c r="P1634" s="4">
        <f t="shared" si="284"/>
        <v>0</v>
      </c>
      <c r="Q1634" s="4">
        <f t="shared" si="285"/>
        <v>0</v>
      </c>
      <c r="R1634" s="4">
        <f t="shared" si="286"/>
        <v>0</v>
      </c>
      <c r="S1634" s="4">
        <f>IF(AND(VLOOKUP(G1634,Dados!$D:$L,2,0)=VLOOKUP(I1634,Dados!$S:$V,2,0),VLOOKUP(G1634,Dados!$D:$L,3,0)=VLOOKUP(I1634,Dados!$S:$V,3,0)),0,1)</f>
        <v>0</v>
      </c>
      <c r="T1634" s="4">
        <f>IF(AND(VLOOKUP(G1634,Dados!$D:$L,3,0)&lt;=VLOOKUP(H1634,Dados!$X:$AB,2,0),VLOOKUP(G1634,Dados!$D:$L,4,0)&gt;=VLOOKUP(H1634,Dados!$X:$AB,3,0),VLOOKUP(G1634,Dados!$D:$L,4,0)&lt;=VLOOKUP(H1634,Dados!$X:$AB,4,0)),0,1)</f>
        <v>0</v>
      </c>
      <c r="U1634" s="4">
        <f>IF(COUNTIFS(F:F,F1634,H:H,H1634)&lt;=VLOOKUP(H1634,Dados!$X:$AB,5,0),0,1)</f>
        <v>0</v>
      </c>
    </row>
    <row r="1635" spans="6:21">
      <c r="F1635" s="4">
        <v>780</v>
      </c>
      <c r="G1635" s="4">
        <v>63</v>
      </c>
      <c r="H1635" s="4">
        <v>3</v>
      </c>
      <c r="I1635" s="4">
        <v>28</v>
      </c>
      <c r="J1635" s="4">
        <v>1</v>
      </c>
      <c r="K1635" s="4">
        <f t="shared" ref="K1635:N1698" si="287">SUMIFS($X:$X,$W:$W,$F1635,$Z:$Z,$I1635,$AA:$AA,$H1635,$AB:$AB,K$2)</f>
        <v>0</v>
      </c>
      <c r="L1635" s="4">
        <f t="shared" si="287"/>
        <v>0</v>
      </c>
      <c r="M1635" s="4">
        <f t="shared" si="287"/>
        <v>0</v>
      </c>
      <c r="N1635" s="4">
        <f t="shared" si="287"/>
        <v>0</v>
      </c>
      <c r="O1635" s="4">
        <f t="shared" si="283"/>
        <v>0</v>
      </c>
      <c r="P1635" s="4">
        <f t="shared" si="284"/>
        <v>0</v>
      </c>
      <c r="Q1635" s="4">
        <f t="shared" si="285"/>
        <v>0</v>
      </c>
      <c r="R1635" s="4">
        <f t="shared" si="286"/>
        <v>0</v>
      </c>
      <c r="S1635" s="4">
        <f>IF(AND(VLOOKUP(G1635,Dados!$D:$L,2,0)=VLOOKUP(I1635,Dados!$S:$V,2,0),VLOOKUP(G1635,Dados!$D:$L,3,0)=VLOOKUP(I1635,Dados!$S:$V,3,0)),0,1)</f>
        <v>0</v>
      </c>
      <c r="T1635" s="4">
        <f>IF(AND(VLOOKUP(G1635,Dados!$D:$L,3,0)&lt;=VLOOKUP(H1635,Dados!$X:$AB,2,0),VLOOKUP(G1635,Dados!$D:$L,4,0)&gt;=VLOOKUP(H1635,Dados!$X:$AB,3,0),VLOOKUP(G1635,Dados!$D:$L,4,0)&lt;=VLOOKUP(H1635,Dados!$X:$AB,4,0)),0,1)</f>
        <v>0</v>
      </c>
      <c r="U1635" s="4">
        <f>IF(COUNTIFS(F:F,F1635,H:H,H1635)&lt;=VLOOKUP(H1635,Dados!$X:$AB,5,0),0,1)</f>
        <v>0</v>
      </c>
    </row>
    <row r="1636" spans="6:21">
      <c r="F1636" s="4">
        <v>780</v>
      </c>
      <c r="G1636" s="4">
        <v>66</v>
      </c>
      <c r="H1636" s="4">
        <v>3</v>
      </c>
      <c r="I1636" s="4">
        <v>28</v>
      </c>
      <c r="J1636" s="4">
        <v>5</v>
      </c>
      <c r="K1636" s="4">
        <f t="shared" si="287"/>
        <v>0</v>
      </c>
      <c r="L1636" s="4">
        <f t="shared" si="287"/>
        <v>0</v>
      </c>
      <c r="M1636" s="4">
        <f t="shared" si="287"/>
        <v>0</v>
      </c>
      <c r="N1636" s="4">
        <f t="shared" si="287"/>
        <v>0</v>
      </c>
      <c r="O1636" s="4">
        <f t="shared" si="283"/>
        <v>0</v>
      </c>
      <c r="P1636" s="4">
        <f t="shared" si="284"/>
        <v>0</v>
      </c>
      <c r="Q1636" s="4">
        <f t="shared" si="285"/>
        <v>0</v>
      </c>
      <c r="R1636" s="4">
        <f t="shared" si="286"/>
        <v>0</v>
      </c>
      <c r="S1636" s="4">
        <f>IF(AND(VLOOKUP(G1636,Dados!$D:$L,2,0)=VLOOKUP(I1636,Dados!$S:$V,2,0),VLOOKUP(G1636,Dados!$D:$L,3,0)=VLOOKUP(I1636,Dados!$S:$V,3,0)),0,1)</f>
        <v>0</v>
      </c>
      <c r="T1636" s="4">
        <f>IF(AND(VLOOKUP(G1636,Dados!$D:$L,3,0)&lt;=VLOOKUP(H1636,Dados!$X:$AB,2,0),VLOOKUP(G1636,Dados!$D:$L,4,0)&gt;=VLOOKUP(H1636,Dados!$X:$AB,3,0),VLOOKUP(G1636,Dados!$D:$L,4,0)&lt;=VLOOKUP(H1636,Dados!$X:$AB,4,0)),0,1)</f>
        <v>0</v>
      </c>
      <c r="U1636" s="4">
        <f>IF(COUNTIFS(F:F,F1636,H:H,H1636)&lt;=VLOOKUP(H1636,Dados!$X:$AB,5,0),0,1)</f>
        <v>0</v>
      </c>
    </row>
    <row r="1637" spans="6:21">
      <c r="F1637" s="4">
        <v>781</v>
      </c>
      <c r="G1637" s="4">
        <v>63</v>
      </c>
      <c r="H1637" s="4">
        <v>1</v>
      </c>
      <c r="I1637" s="4">
        <v>29</v>
      </c>
      <c r="J1637" s="4">
        <v>4</v>
      </c>
      <c r="K1637" s="4">
        <f t="shared" si="287"/>
        <v>0</v>
      </c>
      <c r="L1637" s="4">
        <f t="shared" si="287"/>
        <v>0</v>
      </c>
      <c r="M1637" s="4">
        <f t="shared" si="287"/>
        <v>0</v>
      </c>
      <c r="N1637" s="4">
        <f t="shared" si="287"/>
        <v>5</v>
      </c>
      <c r="O1637" s="4">
        <f t="shared" si="283"/>
        <v>0</v>
      </c>
      <c r="P1637" s="4">
        <f t="shared" si="284"/>
        <v>0</v>
      </c>
      <c r="Q1637" s="4">
        <f t="shared" si="285"/>
        <v>0</v>
      </c>
      <c r="R1637" s="4">
        <f t="shared" si="286"/>
        <v>20</v>
      </c>
      <c r="S1637" s="4">
        <f>IF(AND(VLOOKUP(G1637,Dados!$D:$L,2,0)=VLOOKUP(I1637,Dados!$S:$V,2,0),VLOOKUP(G1637,Dados!$D:$L,3,0)=VLOOKUP(I1637,Dados!$S:$V,3,0)),0,1)</f>
        <v>0</v>
      </c>
      <c r="T1637" s="4">
        <f>IF(AND(VLOOKUP(G1637,Dados!$D:$L,3,0)&lt;=VLOOKUP(H1637,Dados!$X:$AB,2,0),VLOOKUP(G1637,Dados!$D:$L,4,0)&gt;=VLOOKUP(H1637,Dados!$X:$AB,3,0),VLOOKUP(G1637,Dados!$D:$L,4,0)&lt;=VLOOKUP(H1637,Dados!$X:$AB,4,0)),0,1)</f>
        <v>0</v>
      </c>
      <c r="U1637" s="4">
        <f>IF(COUNTIFS(F:F,F1637,H:H,H1637)&lt;=VLOOKUP(H1637,Dados!$X:$AB,5,0),0,1)</f>
        <v>0</v>
      </c>
    </row>
    <row r="1638" spans="6:21">
      <c r="F1638" s="4">
        <v>781</v>
      </c>
      <c r="G1638" s="4">
        <v>66</v>
      </c>
      <c r="H1638" s="4">
        <v>1</v>
      </c>
      <c r="I1638" s="4">
        <v>29</v>
      </c>
      <c r="J1638" s="4">
        <v>5</v>
      </c>
      <c r="K1638" s="4">
        <f t="shared" si="287"/>
        <v>0</v>
      </c>
      <c r="L1638" s="4">
        <f t="shared" si="287"/>
        <v>0</v>
      </c>
      <c r="M1638" s="4">
        <f t="shared" si="287"/>
        <v>0</v>
      </c>
      <c r="N1638" s="4">
        <f t="shared" si="287"/>
        <v>5</v>
      </c>
      <c r="O1638" s="4">
        <f t="shared" si="283"/>
        <v>0</v>
      </c>
      <c r="P1638" s="4">
        <f t="shared" si="284"/>
        <v>0</v>
      </c>
      <c r="Q1638" s="4">
        <f t="shared" si="285"/>
        <v>0</v>
      </c>
      <c r="R1638" s="4">
        <f t="shared" si="286"/>
        <v>25</v>
      </c>
      <c r="S1638" s="4">
        <f>IF(AND(VLOOKUP(G1638,Dados!$D:$L,2,0)=VLOOKUP(I1638,Dados!$S:$V,2,0),VLOOKUP(G1638,Dados!$D:$L,3,0)=VLOOKUP(I1638,Dados!$S:$V,3,0)),0,1)</f>
        <v>0</v>
      </c>
      <c r="T1638" s="4">
        <f>IF(AND(VLOOKUP(G1638,Dados!$D:$L,3,0)&lt;=VLOOKUP(H1638,Dados!$X:$AB,2,0),VLOOKUP(G1638,Dados!$D:$L,4,0)&gt;=VLOOKUP(H1638,Dados!$X:$AB,3,0),VLOOKUP(G1638,Dados!$D:$L,4,0)&lt;=VLOOKUP(H1638,Dados!$X:$AB,4,0)),0,1)</f>
        <v>0</v>
      </c>
      <c r="U1638" s="4">
        <f>IF(COUNTIFS(F:F,F1638,H:H,H1638)&lt;=VLOOKUP(H1638,Dados!$X:$AB,5,0),0,1)</f>
        <v>0</v>
      </c>
    </row>
    <row r="1639" spans="6:21">
      <c r="F1639" s="4">
        <v>782</v>
      </c>
      <c r="G1639" s="4">
        <v>63</v>
      </c>
      <c r="H1639" s="4">
        <v>2</v>
      </c>
      <c r="I1639" s="4">
        <v>29</v>
      </c>
      <c r="J1639" s="4">
        <v>4</v>
      </c>
      <c r="K1639" s="4">
        <f t="shared" si="287"/>
        <v>0</v>
      </c>
      <c r="L1639" s="4">
        <f t="shared" si="287"/>
        <v>0</v>
      </c>
      <c r="M1639" s="4">
        <f t="shared" si="287"/>
        <v>0</v>
      </c>
      <c r="N1639" s="4">
        <f t="shared" si="287"/>
        <v>0</v>
      </c>
      <c r="O1639" s="4">
        <f t="shared" ref="O1639:O1702" si="288">$J1639*K1639</f>
        <v>0</v>
      </c>
      <c r="P1639" s="4">
        <f t="shared" ref="P1639:P1702" si="289">$J1639*L1639</f>
        <v>0</v>
      </c>
      <c r="Q1639" s="4">
        <f t="shared" ref="Q1639:Q1702" si="290">$J1639*M1639</f>
        <v>0</v>
      </c>
      <c r="R1639" s="4">
        <f t="shared" ref="R1639:R1702" si="291">$J1639*N1639</f>
        <v>0</v>
      </c>
      <c r="S1639" s="4">
        <f>IF(AND(VLOOKUP(G1639,Dados!$D:$L,2,0)=VLOOKUP(I1639,Dados!$S:$V,2,0),VLOOKUP(G1639,Dados!$D:$L,3,0)=VLOOKUP(I1639,Dados!$S:$V,3,0)),0,1)</f>
        <v>0</v>
      </c>
      <c r="T1639" s="4">
        <f>IF(AND(VLOOKUP(G1639,Dados!$D:$L,3,0)&lt;=VLOOKUP(H1639,Dados!$X:$AB,2,0),VLOOKUP(G1639,Dados!$D:$L,4,0)&gt;=VLOOKUP(H1639,Dados!$X:$AB,3,0),VLOOKUP(G1639,Dados!$D:$L,4,0)&lt;=VLOOKUP(H1639,Dados!$X:$AB,4,0)),0,1)</f>
        <v>0</v>
      </c>
      <c r="U1639" s="4">
        <f>IF(COUNTIFS(F:F,F1639,H:H,H1639)&lt;=VLOOKUP(H1639,Dados!$X:$AB,5,0),0,1)</f>
        <v>0</v>
      </c>
    </row>
    <row r="1640" spans="6:21">
      <c r="F1640" s="4">
        <v>782</v>
      </c>
      <c r="G1640" s="4">
        <v>66</v>
      </c>
      <c r="H1640" s="4">
        <v>2</v>
      </c>
      <c r="I1640" s="4">
        <v>29</v>
      </c>
      <c r="J1640" s="4">
        <v>5</v>
      </c>
      <c r="K1640" s="4">
        <f t="shared" si="287"/>
        <v>0</v>
      </c>
      <c r="L1640" s="4">
        <f t="shared" si="287"/>
        <v>0</v>
      </c>
      <c r="M1640" s="4">
        <f t="shared" si="287"/>
        <v>0</v>
      </c>
      <c r="N1640" s="4">
        <f t="shared" si="287"/>
        <v>0</v>
      </c>
      <c r="O1640" s="4">
        <f t="shared" si="288"/>
        <v>0</v>
      </c>
      <c r="P1640" s="4">
        <f t="shared" si="289"/>
        <v>0</v>
      </c>
      <c r="Q1640" s="4">
        <f t="shared" si="290"/>
        <v>0</v>
      </c>
      <c r="R1640" s="4">
        <f t="shared" si="291"/>
        <v>0</v>
      </c>
      <c r="S1640" s="4">
        <f>IF(AND(VLOOKUP(G1640,Dados!$D:$L,2,0)=VLOOKUP(I1640,Dados!$S:$V,2,0),VLOOKUP(G1640,Dados!$D:$L,3,0)=VLOOKUP(I1640,Dados!$S:$V,3,0)),0,1)</f>
        <v>0</v>
      </c>
      <c r="T1640" s="4">
        <f>IF(AND(VLOOKUP(G1640,Dados!$D:$L,3,0)&lt;=VLOOKUP(H1640,Dados!$X:$AB,2,0),VLOOKUP(G1640,Dados!$D:$L,4,0)&gt;=VLOOKUP(H1640,Dados!$X:$AB,3,0),VLOOKUP(G1640,Dados!$D:$L,4,0)&lt;=VLOOKUP(H1640,Dados!$X:$AB,4,0)),0,1)</f>
        <v>0</v>
      </c>
      <c r="U1640" s="4">
        <f>IF(COUNTIFS(F:F,F1640,H:H,H1640)&lt;=VLOOKUP(H1640,Dados!$X:$AB,5,0),0,1)</f>
        <v>0</v>
      </c>
    </row>
    <row r="1641" spans="6:21">
      <c r="F1641" s="4">
        <v>783</v>
      </c>
      <c r="G1641" s="4">
        <v>62</v>
      </c>
      <c r="H1641" s="4">
        <v>3</v>
      </c>
      <c r="I1641" s="4">
        <v>29</v>
      </c>
      <c r="J1641" s="4">
        <v>1</v>
      </c>
      <c r="K1641" s="4">
        <f t="shared" si="287"/>
        <v>0</v>
      </c>
      <c r="L1641" s="4">
        <f t="shared" si="287"/>
        <v>0</v>
      </c>
      <c r="M1641" s="4">
        <f t="shared" si="287"/>
        <v>0</v>
      </c>
      <c r="N1641" s="4">
        <f t="shared" si="287"/>
        <v>0</v>
      </c>
      <c r="O1641" s="4">
        <f t="shared" si="288"/>
        <v>0</v>
      </c>
      <c r="P1641" s="4">
        <f t="shared" si="289"/>
        <v>0</v>
      </c>
      <c r="Q1641" s="4">
        <f t="shared" si="290"/>
        <v>0</v>
      </c>
      <c r="R1641" s="4">
        <f t="shared" si="291"/>
        <v>0</v>
      </c>
      <c r="S1641" s="4">
        <f>IF(AND(VLOOKUP(G1641,Dados!$D:$L,2,0)=VLOOKUP(I1641,Dados!$S:$V,2,0),VLOOKUP(G1641,Dados!$D:$L,3,0)=VLOOKUP(I1641,Dados!$S:$V,3,0)),0,1)</f>
        <v>0</v>
      </c>
      <c r="T1641" s="4">
        <f>IF(AND(VLOOKUP(G1641,Dados!$D:$L,3,0)&lt;=VLOOKUP(H1641,Dados!$X:$AB,2,0),VLOOKUP(G1641,Dados!$D:$L,4,0)&gt;=VLOOKUP(H1641,Dados!$X:$AB,3,0),VLOOKUP(G1641,Dados!$D:$L,4,0)&lt;=VLOOKUP(H1641,Dados!$X:$AB,4,0)),0,1)</f>
        <v>0</v>
      </c>
      <c r="U1641" s="4">
        <f>IF(COUNTIFS(F:F,F1641,H:H,H1641)&lt;=VLOOKUP(H1641,Dados!$X:$AB,5,0),0,1)</f>
        <v>0</v>
      </c>
    </row>
    <row r="1642" spans="6:21">
      <c r="F1642" s="4">
        <v>783</v>
      </c>
      <c r="G1642" s="4">
        <v>63</v>
      </c>
      <c r="H1642" s="4">
        <v>3</v>
      </c>
      <c r="I1642" s="4">
        <v>29</v>
      </c>
      <c r="J1642" s="4">
        <v>1</v>
      </c>
      <c r="K1642" s="4">
        <f t="shared" si="287"/>
        <v>0</v>
      </c>
      <c r="L1642" s="4">
        <f t="shared" si="287"/>
        <v>0</v>
      </c>
      <c r="M1642" s="4">
        <f t="shared" si="287"/>
        <v>0</v>
      </c>
      <c r="N1642" s="4">
        <f t="shared" si="287"/>
        <v>0</v>
      </c>
      <c r="O1642" s="4">
        <f t="shared" si="288"/>
        <v>0</v>
      </c>
      <c r="P1642" s="4">
        <f t="shared" si="289"/>
        <v>0</v>
      </c>
      <c r="Q1642" s="4">
        <f t="shared" si="290"/>
        <v>0</v>
      </c>
      <c r="R1642" s="4">
        <f t="shared" si="291"/>
        <v>0</v>
      </c>
      <c r="S1642" s="4">
        <f>IF(AND(VLOOKUP(G1642,Dados!$D:$L,2,0)=VLOOKUP(I1642,Dados!$S:$V,2,0),VLOOKUP(G1642,Dados!$D:$L,3,0)=VLOOKUP(I1642,Dados!$S:$V,3,0)),0,1)</f>
        <v>0</v>
      </c>
      <c r="T1642" s="4">
        <f>IF(AND(VLOOKUP(G1642,Dados!$D:$L,3,0)&lt;=VLOOKUP(H1642,Dados!$X:$AB,2,0),VLOOKUP(G1642,Dados!$D:$L,4,0)&gt;=VLOOKUP(H1642,Dados!$X:$AB,3,0),VLOOKUP(G1642,Dados!$D:$L,4,0)&lt;=VLOOKUP(H1642,Dados!$X:$AB,4,0)),0,1)</f>
        <v>0</v>
      </c>
      <c r="U1642" s="4">
        <f>IF(COUNTIFS(F:F,F1642,H:H,H1642)&lt;=VLOOKUP(H1642,Dados!$X:$AB,5,0),0,1)</f>
        <v>0</v>
      </c>
    </row>
    <row r="1643" spans="6:21">
      <c r="F1643" s="4">
        <v>783</v>
      </c>
      <c r="G1643" s="4">
        <v>64</v>
      </c>
      <c r="H1643" s="4">
        <v>3</v>
      </c>
      <c r="I1643" s="4">
        <v>29</v>
      </c>
      <c r="J1643" s="4">
        <v>1</v>
      </c>
      <c r="K1643" s="4">
        <f t="shared" si="287"/>
        <v>0</v>
      </c>
      <c r="L1643" s="4">
        <f t="shared" si="287"/>
        <v>0</v>
      </c>
      <c r="M1643" s="4">
        <f t="shared" si="287"/>
        <v>0</v>
      </c>
      <c r="N1643" s="4">
        <f t="shared" si="287"/>
        <v>0</v>
      </c>
      <c r="O1643" s="4">
        <f t="shared" si="288"/>
        <v>0</v>
      </c>
      <c r="P1643" s="4">
        <f t="shared" si="289"/>
        <v>0</v>
      </c>
      <c r="Q1643" s="4">
        <f t="shared" si="290"/>
        <v>0</v>
      </c>
      <c r="R1643" s="4">
        <f t="shared" si="291"/>
        <v>0</v>
      </c>
      <c r="S1643" s="4">
        <f>IF(AND(VLOOKUP(G1643,Dados!$D:$L,2,0)=VLOOKUP(I1643,Dados!$S:$V,2,0),VLOOKUP(G1643,Dados!$D:$L,3,0)=VLOOKUP(I1643,Dados!$S:$V,3,0)),0,1)</f>
        <v>0</v>
      </c>
      <c r="T1643" s="4">
        <f>IF(AND(VLOOKUP(G1643,Dados!$D:$L,3,0)&lt;=VLOOKUP(H1643,Dados!$X:$AB,2,0),VLOOKUP(G1643,Dados!$D:$L,4,0)&gt;=VLOOKUP(H1643,Dados!$X:$AB,3,0),VLOOKUP(G1643,Dados!$D:$L,4,0)&lt;=VLOOKUP(H1643,Dados!$X:$AB,4,0)),0,1)</f>
        <v>0</v>
      </c>
      <c r="U1643" s="4">
        <f>IF(COUNTIFS(F:F,F1643,H:H,H1643)&lt;=VLOOKUP(H1643,Dados!$X:$AB,5,0),0,1)</f>
        <v>0</v>
      </c>
    </row>
    <row r="1644" spans="6:21">
      <c r="F1644" s="4">
        <v>783</v>
      </c>
      <c r="G1644" s="4">
        <v>66</v>
      </c>
      <c r="H1644" s="4">
        <v>3</v>
      </c>
      <c r="I1644" s="4">
        <v>29</v>
      </c>
      <c r="J1644" s="4">
        <v>5</v>
      </c>
      <c r="K1644" s="4">
        <f t="shared" si="287"/>
        <v>0</v>
      </c>
      <c r="L1644" s="4">
        <f t="shared" si="287"/>
        <v>0</v>
      </c>
      <c r="M1644" s="4">
        <f t="shared" si="287"/>
        <v>0</v>
      </c>
      <c r="N1644" s="4">
        <f t="shared" si="287"/>
        <v>0</v>
      </c>
      <c r="O1644" s="4">
        <f t="shared" si="288"/>
        <v>0</v>
      </c>
      <c r="P1644" s="4">
        <f t="shared" si="289"/>
        <v>0</v>
      </c>
      <c r="Q1644" s="4">
        <f t="shared" si="290"/>
        <v>0</v>
      </c>
      <c r="R1644" s="4">
        <f t="shared" si="291"/>
        <v>0</v>
      </c>
      <c r="S1644" s="4">
        <f>IF(AND(VLOOKUP(G1644,Dados!$D:$L,2,0)=VLOOKUP(I1644,Dados!$S:$V,2,0),VLOOKUP(G1644,Dados!$D:$L,3,0)=VLOOKUP(I1644,Dados!$S:$V,3,0)),0,1)</f>
        <v>0</v>
      </c>
      <c r="T1644" s="4">
        <f>IF(AND(VLOOKUP(G1644,Dados!$D:$L,3,0)&lt;=VLOOKUP(H1644,Dados!$X:$AB,2,0),VLOOKUP(G1644,Dados!$D:$L,4,0)&gt;=VLOOKUP(H1644,Dados!$X:$AB,3,0),VLOOKUP(G1644,Dados!$D:$L,4,0)&lt;=VLOOKUP(H1644,Dados!$X:$AB,4,0)),0,1)</f>
        <v>0</v>
      </c>
      <c r="U1644" s="4">
        <f>IF(COUNTIFS(F:F,F1644,H:H,H1644)&lt;=VLOOKUP(H1644,Dados!$X:$AB,5,0),0,1)</f>
        <v>0</v>
      </c>
    </row>
    <row r="1645" spans="6:21">
      <c r="F1645" s="4">
        <v>784</v>
      </c>
      <c r="G1645" s="4">
        <v>24</v>
      </c>
      <c r="H1645" s="4">
        <v>1</v>
      </c>
      <c r="I1645" s="4">
        <v>15</v>
      </c>
      <c r="J1645" s="4">
        <v>2</v>
      </c>
      <c r="K1645" s="4">
        <f t="shared" si="287"/>
        <v>0</v>
      </c>
      <c r="L1645" s="4">
        <f t="shared" si="287"/>
        <v>0</v>
      </c>
      <c r="M1645" s="4">
        <f t="shared" si="287"/>
        <v>0</v>
      </c>
      <c r="N1645" s="4">
        <f t="shared" si="287"/>
        <v>0</v>
      </c>
      <c r="O1645" s="4">
        <f t="shared" si="288"/>
        <v>0</v>
      </c>
      <c r="P1645" s="4">
        <f t="shared" si="289"/>
        <v>0</v>
      </c>
      <c r="Q1645" s="4">
        <f t="shared" si="290"/>
        <v>0</v>
      </c>
      <c r="R1645" s="4">
        <f t="shared" si="291"/>
        <v>0</v>
      </c>
      <c r="S1645" s="4">
        <f>IF(AND(VLOOKUP(G1645,Dados!$D:$L,2,0)=VLOOKUP(I1645,Dados!$S:$V,2,0),VLOOKUP(G1645,Dados!$D:$L,3,0)=VLOOKUP(I1645,Dados!$S:$V,3,0)),0,1)</f>
        <v>0</v>
      </c>
      <c r="T1645" s="4">
        <f>IF(AND(VLOOKUP(G1645,Dados!$D:$L,3,0)&lt;=VLOOKUP(H1645,Dados!$X:$AB,2,0),VLOOKUP(G1645,Dados!$D:$L,4,0)&gt;=VLOOKUP(H1645,Dados!$X:$AB,3,0),VLOOKUP(G1645,Dados!$D:$L,4,0)&lt;=VLOOKUP(H1645,Dados!$X:$AB,4,0)),0,1)</f>
        <v>0</v>
      </c>
      <c r="U1645" s="4">
        <f>IF(COUNTIFS(F:F,F1645,H:H,H1645)&lt;=VLOOKUP(H1645,Dados!$X:$AB,5,0),0,1)</f>
        <v>0</v>
      </c>
    </row>
    <row r="1646" spans="6:21">
      <c r="F1646" s="4">
        <v>784</v>
      </c>
      <c r="G1646" s="4">
        <v>27</v>
      </c>
      <c r="H1646" s="4">
        <v>1</v>
      </c>
      <c r="I1646" s="4">
        <v>15</v>
      </c>
      <c r="J1646" s="4">
        <v>4</v>
      </c>
      <c r="K1646" s="4">
        <f t="shared" si="287"/>
        <v>0</v>
      </c>
      <c r="L1646" s="4">
        <f t="shared" si="287"/>
        <v>0</v>
      </c>
      <c r="M1646" s="4">
        <f t="shared" si="287"/>
        <v>0</v>
      </c>
      <c r="N1646" s="4">
        <f t="shared" si="287"/>
        <v>0</v>
      </c>
      <c r="O1646" s="4">
        <f t="shared" si="288"/>
        <v>0</v>
      </c>
      <c r="P1646" s="4">
        <f t="shared" si="289"/>
        <v>0</v>
      </c>
      <c r="Q1646" s="4">
        <f t="shared" si="290"/>
        <v>0</v>
      </c>
      <c r="R1646" s="4">
        <f t="shared" si="291"/>
        <v>0</v>
      </c>
      <c r="S1646" s="4">
        <f>IF(AND(VLOOKUP(G1646,Dados!$D:$L,2,0)=VLOOKUP(I1646,Dados!$S:$V,2,0),VLOOKUP(G1646,Dados!$D:$L,3,0)=VLOOKUP(I1646,Dados!$S:$V,3,0)),0,1)</f>
        <v>0</v>
      </c>
      <c r="T1646" s="4">
        <f>IF(AND(VLOOKUP(G1646,Dados!$D:$L,3,0)&lt;=VLOOKUP(H1646,Dados!$X:$AB,2,0),VLOOKUP(G1646,Dados!$D:$L,4,0)&gt;=VLOOKUP(H1646,Dados!$X:$AB,3,0),VLOOKUP(G1646,Dados!$D:$L,4,0)&lt;=VLOOKUP(H1646,Dados!$X:$AB,4,0)),0,1)</f>
        <v>0</v>
      </c>
      <c r="U1646" s="4">
        <f>IF(COUNTIFS(F:F,F1646,H:H,H1646)&lt;=VLOOKUP(H1646,Dados!$X:$AB,5,0),0,1)</f>
        <v>0</v>
      </c>
    </row>
    <row r="1647" spans="6:21">
      <c r="F1647" s="4">
        <v>784</v>
      </c>
      <c r="G1647" s="4">
        <v>29</v>
      </c>
      <c r="H1647" s="4">
        <v>1</v>
      </c>
      <c r="I1647" s="4">
        <v>15</v>
      </c>
      <c r="J1647" s="4">
        <v>1</v>
      </c>
      <c r="K1647" s="4">
        <f t="shared" si="287"/>
        <v>0</v>
      </c>
      <c r="L1647" s="4">
        <f t="shared" si="287"/>
        <v>0</v>
      </c>
      <c r="M1647" s="4">
        <f t="shared" si="287"/>
        <v>0</v>
      </c>
      <c r="N1647" s="4">
        <f t="shared" si="287"/>
        <v>0</v>
      </c>
      <c r="O1647" s="4">
        <f t="shared" si="288"/>
        <v>0</v>
      </c>
      <c r="P1647" s="4">
        <f t="shared" si="289"/>
        <v>0</v>
      </c>
      <c r="Q1647" s="4">
        <f t="shared" si="290"/>
        <v>0</v>
      </c>
      <c r="R1647" s="4">
        <f t="shared" si="291"/>
        <v>0</v>
      </c>
      <c r="S1647" s="4">
        <f>IF(AND(VLOOKUP(G1647,Dados!$D:$L,2,0)=VLOOKUP(I1647,Dados!$S:$V,2,0),VLOOKUP(G1647,Dados!$D:$L,3,0)=VLOOKUP(I1647,Dados!$S:$V,3,0)),0,1)</f>
        <v>0</v>
      </c>
      <c r="T1647" s="4">
        <f>IF(AND(VLOOKUP(G1647,Dados!$D:$L,3,0)&lt;=VLOOKUP(H1647,Dados!$X:$AB,2,0),VLOOKUP(G1647,Dados!$D:$L,4,0)&gt;=VLOOKUP(H1647,Dados!$X:$AB,3,0),VLOOKUP(G1647,Dados!$D:$L,4,0)&lt;=VLOOKUP(H1647,Dados!$X:$AB,4,0)),0,1)</f>
        <v>0</v>
      </c>
      <c r="U1647" s="4">
        <f>IF(COUNTIFS(F:F,F1647,H:H,H1647)&lt;=VLOOKUP(H1647,Dados!$X:$AB,5,0),0,1)</f>
        <v>0</v>
      </c>
    </row>
    <row r="1648" spans="6:21">
      <c r="F1648" s="4">
        <v>785</v>
      </c>
      <c r="G1648" s="4">
        <v>24</v>
      </c>
      <c r="H1648" s="4">
        <v>3</v>
      </c>
      <c r="I1648" s="4">
        <v>15</v>
      </c>
      <c r="J1648" s="4">
        <v>2</v>
      </c>
      <c r="K1648" s="4">
        <f t="shared" si="287"/>
        <v>2</v>
      </c>
      <c r="L1648" s="4">
        <f t="shared" si="287"/>
        <v>0</v>
      </c>
      <c r="M1648" s="4">
        <f t="shared" si="287"/>
        <v>0</v>
      </c>
      <c r="N1648" s="4">
        <f t="shared" si="287"/>
        <v>0</v>
      </c>
      <c r="O1648" s="4">
        <f t="shared" si="288"/>
        <v>4</v>
      </c>
      <c r="P1648" s="4">
        <f t="shared" si="289"/>
        <v>0</v>
      </c>
      <c r="Q1648" s="4">
        <f t="shared" si="290"/>
        <v>0</v>
      </c>
      <c r="R1648" s="4">
        <f t="shared" si="291"/>
        <v>0</v>
      </c>
      <c r="S1648" s="4">
        <f>IF(AND(VLOOKUP(G1648,Dados!$D:$L,2,0)=VLOOKUP(I1648,Dados!$S:$V,2,0),VLOOKUP(G1648,Dados!$D:$L,3,0)=VLOOKUP(I1648,Dados!$S:$V,3,0)),0,1)</f>
        <v>0</v>
      </c>
      <c r="T1648" s="4">
        <f>IF(AND(VLOOKUP(G1648,Dados!$D:$L,3,0)&lt;=VLOOKUP(H1648,Dados!$X:$AB,2,0),VLOOKUP(G1648,Dados!$D:$L,4,0)&gt;=VLOOKUP(H1648,Dados!$X:$AB,3,0),VLOOKUP(G1648,Dados!$D:$L,4,0)&lt;=VLOOKUP(H1648,Dados!$X:$AB,4,0)),0,1)</f>
        <v>0</v>
      </c>
      <c r="U1648" s="4">
        <f>IF(COUNTIFS(F:F,F1648,H:H,H1648)&lt;=VLOOKUP(H1648,Dados!$X:$AB,5,0),0,1)</f>
        <v>0</v>
      </c>
    </row>
    <row r="1649" spans="6:21">
      <c r="F1649" s="4">
        <v>785</v>
      </c>
      <c r="G1649" s="4">
        <v>27</v>
      </c>
      <c r="H1649" s="4">
        <v>3</v>
      </c>
      <c r="I1649" s="4">
        <v>15</v>
      </c>
      <c r="J1649" s="4">
        <v>4</v>
      </c>
      <c r="K1649" s="4">
        <f t="shared" si="287"/>
        <v>2</v>
      </c>
      <c r="L1649" s="4">
        <f t="shared" si="287"/>
        <v>0</v>
      </c>
      <c r="M1649" s="4">
        <f t="shared" si="287"/>
        <v>0</v>
      </c>
      <c r="N1649" s="4">
        <f t="shared" si="287"/>
        <v>0</v>
      </c>
      <c r="O1649" s="4">
        <f t="shared" si="288"/>
        <v>8</v>
      </c>
      <c r="P1649" s="4">
        <f t="shared" si="289"/>
        <v>0</v>
      </c>
      <c r="Q1649" s="4">
        <f t="shared" si="290"/>
        <v>0</v>
      </c>
      <c r="R1649" s="4">
        <f t="shared" si="291"/>
        <v>0</v>
      </c>
      <c r="S1649" s="4">
        <f>IF(AND(VLOOKUP(G1649,Dados!$D:$L,2,0)=VLOOKUP(I1649,Dados!$S:$V,2,0),VLOOKUP(G1649,Dados!$D:$L,3,0)=VLOOKUP(I1649,Dados!$S:$V,3,0)),0,1)</f>
        <v>0</v>
      </c>
      <c r="T1649" s="4">
        <f>IF(AND(VLOOKUP(G1649,Dados!$D:$L,3,0)&lt;=VLOOKUP(H1649,Dados!$X:$AB,2,0),VLOOKUP(G1649,Dados!$D:$L,4,0)&gt;=VLOOKUP(H1649,Dados!$X:$AB,3,0),VLOOKUP(G1649,Dados!$D:$L,4,0)&lt;=VLOOKUP(H1649,Dados!$X:$AB,4,0)),0,1)</f>
        <v>0</v>
      </c>
      <c r="U1649" s="4">
        <f>IF(COUNTIFS(F:F,F1649,H:H,H1649)&lt;=VLOOKUP(H1649,Dados!$X:$AB,5,0),0,1)</f>
        <v>0</v>
      </c>
    </row>
    <row r="1650" spans="6:21">
      <c r="F1650" s="4">
        <v>785</v>
      </c>
      <c r="G1650" s="4">
        <v>29</v>
      </c>
      <c r="H1650" s="4">
        <v>3</v>
      </c>
      <c r="I1650" s="4">
        <v>15</v>
      </c>
      <c r="J1650" s="4">
        <v>1</v>
      </c>
      <c r="K1650" s="4">
        <f t="shared" si="287"/>
        <v>2</v>
      </c>
      <c r="L1650" s="4">
        <f t="shared" si="287"/>
        <v>0</v>
      </c>
      <c r="M1650" s="4">
        <f t="shared" si="287"/>
        <v>0</v>
      </c>
      <c r="N1650" s="4">
        <f t="shared" si="287"/>
        <v>0</v>
      </c>
      <c r="O1650" s="4">
        <f t="shared" si="288"/>
        <v>2</v>
      </c>
      <c r="P1650" s="4">
        <f t="shared" si="289"/>
        <v>0</v>
      </c>
      <c r="Q1650" s="4">
        <f t="shared" si="290"/>
        <v>0</v>
      </c>
      <c r="R1650" s="4">
        <f t="shared" si="291"/>
        <v>0</v>
      </c>
      <c r="S1650" s="4">
        <f>IF(AND(VLOOKUP(G1650,Dados!$D:$L,2,0)=VLOOKUP(I1650,Dados!$S:$V,2,0),VLOOKUP(G1650,Dados!$D:$L,3,0)=VLOOKUP(I1650,Dados!$S:$V,3,0)),0,1)</f>
        <v>0</v>
      </c>
      <c r="T1650" s="4">
        <f>IF(AND(VLOOKUP(G1650,Dados!$D:$L,3,0)&lt;=VLOOKUP(H1650,Dados!$X:$AB,2,0),VLOOKUP(G1650,Dados!$D:$L,4,0)&gt;=VLOOKUP(H1650,Dados!$X:$AB,3,0),VLOOKUP(G1650,Dados!$D:$L,4,0)&lt;=VLOOKUP(H1650,Dados!$X:$AB,4,0)),0,1)</f>
        <v>0</v>
      </c>
      <c r="U1650" s="4">
        <f>IF(COUNTIFS(F:F,F1650,H:H,H1650)&lt;=VLOOKUP(H1650,Dados!$X:$AB,5,0),0,1)</f>
        <v>0</v>
      </c>
    </row>
    <row r="1651" spans="6:21">
      <c r="F1651" s="4">
        <v>786</v>
      </c>
      <c r="G1651" s="4">
        <v>30</v>
      </c>
      <c r="H1651" s="4">
        <v>1</v>
      </c>
      <c r="I1651" s="4">
        <v>16</v>
      </c>
      <c r="J1651" s="4">
        <v>1</v>
      </c>
      <c r="K1651" s="4">
        <f t="shared" si="287"/>
        <v>0</v>
      </c>
      <c r="L1651" s="4">
        <f t="shared" si="287"/>
        <v>0</v>
      </c>
      <c r="M1651" s="4">
        <f t="shared" si="287"/>
        <v>0</v>
      </c>
      <c r="N1651" s="4">
        <f t="shared" si="287"/>
        <v>0</v>
      </c>
      <c r="O1651" s="4">
        <f t="shared" si="288"/>
        <v>0</v>
      </c>
      <c r="P1651" s="4">
        <f t="shared" si="289"/>
        <v>0</v>
      </c>
      <c r="Q1651" s="4">
        <f t="shared" si="290"/>
        <v>0</v>
      </c>
      <c r="R1651" s="4">
        <f t="shared" si="291"/>
        <v>0</v>
      </c>
      <c r="S1651" s="4">
        <f>IF(AND(VLOOKUP(G1651,Dados!$D:$L,2,0)=VLOOKUP(I1651,Dados!$S:$V,2,0),VLOOKUP(G1651,Dados!$D:$L,3,0)=VLOOKUP(I1651,Dados!$S:$V,3,0)),0,1)</f>
        <v>0</v>
      </c>
      <c r="T1651" s="4">
        <f>IF(AND(VLOOKUP(G1651,Dados!$D:$L,3,0)&lt;=VLOOKUP(H1651,Dados!$X:$AB,2,0),VLOOKUP(G1651,Dados!$D:$L,4,0)&gt;=VLOOKUP(H1651,Dados!$X:$AB,3,0),VLOOKUP(G1651,Dados!$D:$L,4,0)&lt;=VLOOKUP(H1651,Dados!$X:$AB,4,0)),0,1)</f>
        <v>0</v>
      </c>
      <c r="U1651" s="4">
        <f>IF(COUNTIFS(F:F,F1651,H:H,H1651)&lt;=VLOOKUP(H1651,Dados!$X:$AB,5,0),0,1)</f>
        <v>0</v>
      </c>
    </row>
    <row r="1652" spans="6:21">
      <c r="F1652" s="4">
        <v>786</v>
      </c>
      <c r="G1652" s="4">
        <v>31</v>
      </c>
      <c r="H1652" s="4">
        <v>1</v>
      </c>
      <c r="I1652" s="4">
        <v>16</v>
      </c>
      <c r="J1652" s="4">
        <v>7</v>
      </c>
      <c r="K1652" s="4">
        <f t="shared" si="287"/>
        <v>0</v>
      </c>
      <c r="L1652" s="4">
        <f t="shared" si="287"/>
        <v>0</v>
      </c>
      <c r="M1652" s="4">
        <f t="shared" si="287"/>
        <v>0</v>
      </c>
      <c r="N1652" s="4">
        <f t="shared" si="287"/>
        <v>0</v>
      </c>
      <c r="O1652" s="4">
        <f t="shared" si="288"/>
        <v>0</v>
      </c>
      <c r="P1652" s="4">
        <f t="shared" si="289"/>
        <v>0</v>
      </c>
      <c r="Q1652" s="4">
        <f t="shared" si="290"/>
        <v>0</v>
      </c>
      <c r="R1652" s="4">
        <f t="shared" si="291"/>
        <v>0</v>
      </c>
      <c r="S1652" s="4">
        <f>IF(AND(VLOOKUP(G1652,Dados!$D:$L,2,0)=VLOOKUP(I1652,Dados!$S:$V,2,0),VLOOKUP(G1652,Dados!$D:$L,3,0)=VLOOKUP(I1652,Dados!$S:$V,3,0)),0,1)</f>
        <v>0</v>
      </c>
      <c r="T1652" s="4">
        <f>IF(AND(VLOOKUP(G1652,Dados!$D:$L,3,0)&lt;=VLOOKUP(H1652,Dados!$X:$AB,2,0),VLOOKUP(G1652,Dados!$D:$L,4,0)&gt;=VLOOKUP(H1652,Dados!$X:$AB,3,0),VLOOKUP(G1652,Dados!$D:$L,4,0)&lt;=VLOOKUP(H1652,Dados!$X:$AB,4,0)),0,1)</f>
        <v>0</v>
      </c>
      <c r="U1652" s="4">
        <f>IF(COUNTIFS(F:F,F1652,H:H,H1652)&lt;=VLOOKUP(H1652,Dados!$X:$AB,5,0),0,1)</f>
        <v>0</v>
      </c>
    </row>
    <row r="1653" spans="6:21">
      <c r="F1653" s="4">
        <v>786</v>
      </c>
      <c r="G1653" s="4">
        <v>35</v>
      </c>
      <c r="H1653" s="4">
        <v>1</v>
      </c>
      <c r="I1653" s="4">
        <v>16</v>
      </c>
      <c r="J1653" s="4">
        <v>1</v>
      </c>
      <c r="K1653" s="4">
        <f t="shared" si="287"/>
        <v>0</v>
      </c>
      <c r="L1653" s="4">
        <f t="shared" si="287"/>
        <v>0</v>
      </c>
      <c r="M1653" s="4">
        <f t="shared" si="287"/>
        <v>0</v>
      </c>
      <c r="N1653" s="4">
        <f t="shared" si="287"/>
        <v>0</v>
      </c>
      <c r="O1653" s="4">
        <f t="shared" si="288"/>
        <v>0</v>
      </c>
      <c r="P1653" s="4">
        <f t="shared" si="289"/>
        <v>0</v>
      </c>
      <c r="Q1653" s="4">
        <f t="shared" si="290"/>
        <v>0</v>
      </c>
      <c r="R1653" s="4">
        <f t="shared" si="291"/>
        <v>0</v>
      </c>
      <c r="S1653" s="4">
        <f>IF(AND(VLOOKUP(G1653,Dados!$D:$L,2,0)=VLOOKUP(I1653,Dados!$S:$V,2,0),VLOOKUP(G1653,Dados!$D:$L,3,0)=VLOOKUP(I1653,Dados!$S:$V,3,0)),0,1)</f>
        <v>0</v>
      </c>
      <c r="T1653" s="4">
        <f>IF(AND(VLOOKUP(G1653,Dados!$D:$L,3,0)&lt;=VLOOKUP(H1653,Dados!$X:$AB,2,0),VLOOKUP(G1653,Dados!$D:$L,4,0)&gt;=VLOOKUP(H1653,Dados!$X:$AB,3,0),VLOOKUP(G1653,Dados!$D:$L,4,0)&lt;=VLOOKUP(H1653,Dados!$X:$AB,4,0)),0,1)</f>
        <v>0</v>
      </c>
      <c r="U1653" s="4">
        <f>IF(COUNTIFS(F:F,F1653,H:H,H1653)&lt;=VLOOKUP(H1653,Dados!$X:$AB,5,0),0,1)</f>
        <v>0</v>
      </c>
    </row>
    <row r="1654" spans="6:21">
      <c r="F1654" s="4">
        <v>787</v>
      </c>
      <c r="G1654" s="4">
        <v>30</v>
      </c>
      <c r="H1654" s="4">
        <v>2</v>
      </c>
      <c r="I1654" s="4">
        <v>16</v>
      </c>
      <c r="J1654" s="4">
        <v>1</v>
      </c>
      <c r="K1654" s="4">
        <f t="shared" si="287"/>
        <v>0</v>
      </c>
      <c r="L1654" s="4">
        <f t="shared" si="287"/>
        <v>0</v>
      </c>
      <c r="M1654" s="4">
        <f t="shared" si="287"/>
        <v>0</v>
      </c>
      <c r="N1654" s="4">
        <f t="shared" si="287"/>
        <v>0</v>
      </c>
      <c r="O1654" s="4">
        <f t="shared" si="288"/>
        <v>0</v>
      </c>
      <c r="P1654" s="4">
        <f t="shared" si="289"/>
        <v>0</v>
      </c>
      <c r="Q1654" s="4">
        <f t="shared" si="290"/>
        <v>0</v>
      </c>
      <c r="R1654" s="4">
        <f t="shared" si="291"/>
        <v>0</v>
      </c>
      <c r="S1654" s="4">
        <f>IF(AND(VLOOKUP(G1654,Dados!$D:$L,2,0)=VLOOKUP(I1654,Dados!$S:$V,2,0),VLOOKUP(G1654,Dados!$D:$L,3,0)=VLOOKUP(I1654,Dados!$S:$V,3,0)),0,1)</f>
        <v>0</v>
      </c>
      <c r="T1654" s="4">
        <f>IF(AND(VLOOKUP(G1654,Dados!$D:$L,3,0)&lt;=VLOOKUP(H1654,Dados!$X:$AB,2,0),VLOOKUP(G1654,Dados!$D:$L,4,0)&gt;=VLOOKUP(H1654,Dados!$X:$AB,3,0),VLOOKUP(G1654,Dados!$D:$L,4,0)&lt;=VLOOKUP(H1654,Dados!$X:$AB,4,0)),0,1)</f>
        <v>0</v>
      </c>
      <c r="U1654" s="4">
        <f>IF(COUNTIFS(F:F,F1654,H:H,H1654)&lt;=VLOOKUP(H1654,Dados!$X:$AB,5,0),0,1)</f>
        <v>0</v>
      </c>
    </row>
    <row r="1655" spans="6:21">
      <c r="F1655" s="4">
        <v>787</v>
      </c>
      <c r="G1655" s="4">
        <v>31</v>
      </c>
      <c r="H1655" s="4">
        <v>2</v>
      </c>
      <c r="I1655" s="4">
        <v>16</v>
      </c>
      <c r="J1655" s="4">
        <v>7</v>
      </c>
      <c r="K1655" s="4">
        <f t="shared" si="287"/>
        <v>0</v>
      </c>
      <c r="L1655" s="4">
        <f t="shared" si="287"/>
        <v>0</v>
      </c>
      <c r="M1655" s="4">
        <f t="shared" si="287"/>
        <v>0</v>
      </c>
      <c r="N1655" s="4">
        <f t="shared" si="287"/>
        <v>0</v>
      </c>
      <c r="O1655" s="4">
        <f t="shared" si="288"/>
        <v>0</v>
      </c>
      <c r="P1655" s="4">
        <f t="shared" si="289"/>
        <v>0</v>
      </c>
      <c r="Q1655" s="4">
        <f t="shared" si="290"/>
        <v>0</v>
      </c>
      <c r="R1655" s="4">
        <f t="shared" si="291"/>
        <v>0</v>
      </c>
      <c r="S1655" s="4">
        <f>IF(AND(VLOOKUP(G1655,Dados!$D:$L,2,0)=VLOOKUP(I1655,Dados!$S:$V,2,0),VLOOKUP(G1655,Dados!$D:$L,3,0)=VLOOKUP(I1655,Dados!$S:$V,3,0)),0,1)</f>
        <v>0</v>
      </c>
      <c r="T1655" s="4">
        <f>IF(AND(VLOOKUP(G1655,Dados!$D:$L,3,0)&lt;=VLOOKUP(H1655,Dados!$X:$AB,2,0),VLOOKUP(G1655,Dados!$D:$L,4,0)&gt;=VLOOKUP(H1655,Dados!$X:$AB,3,0),VLOOKUP(G1655,Dados!$D:$L,4,0)&lt;=VLOOKUP(H1655,Dados!$X:$AB,4,0)),0,1)</f>
        <v>0</v>
      </c>
      <c r="U1655" s="4">
        <f>IF(COUNTIFS(F:F,F1655,H:H,H1655)&lt;=VLOOKUP(H1655,Dados!$X:$AB,5,0),0,1)</f>
        <v>0</v>
      </c>
    </row>
    <row r="1656" spans="6:21">
      <c r="F1656" s="4">
        <v>787</v>
      </c>
      <c r="G1656" s="4">
        <v>35</v>
      </c>
      <c r="H1656" s="4">
        <v>2</v>
      </c>
      <c r="I1656" s="4">
        <v>16</v>
      </c>
      <c r="J1656" s="4">
        <v>1</v>
      </c>
      <c r="K1656" s="4">
        <f t="shared" si="287"/>
        <v>0</v>
      </c>
      <c r="L1656" s="4">
        <f t="shared" si="287"/>
        <v>0</v>
      </c>
      <c r="M1656" s="4">
        <f t="shared" si="287"/>
        <v>0</v>
      </c>
      <c r="N1656" s="4">
        <f t="shared" si="287"/>
        <v>0</v>
      </c>
      <c r="O1656" s="4">
        <f t="shared" si="288"/>
        <v>0</v>
      </c>
      <c r="P1656" s="4">
        <f t="shared" si="289"/>
        <v>0</v>
      </c>
      <c r="Q1656" s="4">
        <f t="shared" si="290"/>
        <v>0</v>
      </c>
      <c r="R1656" s="4">
        <f t="shared" si="291"/>
        <v>0</v>
      </c>
      <c r="S1656" s="4">
        <f>IF(AND(VLOOKUP(G1656,Dados!$D:$L,2,0)=VLOOKUP(I1656,Dados!$S:$V,2,0),VLOOKUP(G1656,Dados!$D:$L,3,0)=VLOOKUP(I1656,Dados!$S:$V,3,0)),0,1)</f>
        <v>0</v>
      </c>
      <c r="T1656" s="4">
        <f>IF(AND(VLOOKUP(G1656,Dados!$D:$L,3,0)&lt;=VLOOKUP(H1656,Dados!$X:$AB,2,0),VLOOKUP(G1656,Dados!$D:$L,4,0)&gt;=VLOOKUP(H1656,Dados!$X:$AB,3,0),VLOOKUP(G1656,Dados!$D:$L,4,0)&lt;=VLOOKUP(H1656,Dados!$X:$AB,4,0)),0,1)</f>
        <v>0</v>
      </c>
      <c r="U1656" s="4">
        <f>IF(COUNTIFS(F:F,F1656,H:H,H1656)&lt;=VLOOKUP(H1656,Dados!$X:$AB,5,0),0,1)</f>
        <v>0</v>
      </c>
    </row>
    <row r="1657" spans="6:21">
      <c r="F1657" s="4">
        <v>788</v>
      </c>
      <c r="G1657" s="4">
        <v>30</v>
      </c>
      <c r="H1657" s="4">
        <v>3</v>
      </c>
      <c r="I1657" s="4">
        <v>16</v>
      </c>
      <c r="J1657" s="4">
        <v>1</v>
      </c>
      <c r="K1657" s="4">
        <f t="shared" si="287"/>
        <v>0</v>
      </c>
      <c r="L1657" s="4">
        <f t="shared" si="287"/>
        <v>0</v>
      </c>
      <c r="M1657" s="4">
        <f t="shared" si="287"/>
        <v>0</v>
      </c>
      <c r="N1657" s="4">
        <f t="shared" si="287"/>
        <v>0</v>
      </c>
      <c r="O1657" s="4">
        <f t="shared" si="288"/>
        <v>0</v>
      </c>
      <c r="P1657" s="4">
        <f t="shared" si="289"/>
        <v>0</v>
      </c>
      <c r="Q1657" s="4">
        <f t="shared" si="290"/>
        <v>0</v>
      </c>
      <c r="R1657" s="4">
        <f t="shared" si="291"/>
        <v>0</v>
      </c>
      <c r="S1657" s="4">
        <f>IF(AND(VLOOKUP(G1657,Dados!$D:$L,2,0)=VLOOKUP(I1657,Dados!$S:$V,2,0),VLOOKUP(G1657,Dados!$D:$L,3,0)=VLOOKUP(I1657,Dados!$S:$V,3,0)),0,1)</f>
        <v>0</v>
      </c>
      <c r="T1657" s="4">
        <f>IF(AND(VLOOKUP(G1657,Dados!$D:$L,3,0)&lt;=VLOOKUP(H1657,Dados!$X:$AB,2,0),VLOOKUP(G1657,Dados!$D:$L,4,0)&gt;=VLOOKUP(H1657,Dados!$X:$AB,3,0),VLOOKUP(G1657,Dados!$D:$L,4,0)&lt;=VLOOKUP(H1657,Dados!$X:$AB,4,0)),0,1)</f>
        <v>0</v>
      </c>
      <c r="U1657" s="4">
        <f>IF(COUNTIFS(F:F,F1657,H:H,H1657)&lt;=VLOOKUP(H1657,Dados!$X:$AB,5,0),0,1)</f>
        <v>0</v>
      </c>
    </row>
    <row r="1658" spans="6:21">
      <c r="F1658" s="4">
        <v>788</v>
      </c>
      <c r="G1658" s="4">
        <v>31</v>
      </c>
      <c r="H1658" s="4">
        <v>3</v>
      </c>
      <c r="I1658" s="4">
        <v>16</v>
      </c>
      <c r="J1658" s="4">
        <v>7</v>
      </c>
      <c r="K1658" s="4">
        <f t="shared" si="287"/>
        <v>0</v>
      </c>
      <c r="L1658" s="4">
        <f t="shared" si="287"/>
        <v>0</v>
      </c>
      <c r="M1658" s="4">
        <f t="shared" si="287"/>
        <v>0</v>
      </c>
      <c r="N1658" s="4">
        <f t="shared" si="287"/>
        <v>0</v>
      </c>
      <c r="O1658" s="4">
        <f t="shared" si="288"/>
        <v>0</v>
      </c>
      <c r="P1658" s="4">
        <f t="shared" si="289"/>
        <v>0</v>
      </c>
      <c r="Q1658" s="4">
        <f t="shared" si="290"/>
        <v>0</v>
      </c>
      <c r="R1658" s="4">
        <f t="shared" si="291"/>
        <v>0</v>
      </c>
      <c r="S1658" s="4">
        <f>IF(AND(VLOOKUP(G1658,Dados!$D:$L,2,0)=VLOOKUP(I1658,Dados!$S:$V,2,0),VLOOKUP(G1658,Dados!$D:$L,3,0)=VLOOKUP(I1658,Dados!$S:$V,3,0)),0,1)</f>
        <v>0</v>
      </c>
      <c r="T1658" s="4">
        <f>IF(AND(VLOOKUP(G1658,Dados!$D:$L,3,0)&lt;=VLOOKUP(H1658,Dados!$X:$AB,2,0),VLOOKUP(G1658,Dados!$D:$L,4,0)&gt;=VLOOKUP(H1658,Dados!$X:$AB,3,0),VLOOKUP(G1658,Dados!$D:$L,4,0)&lt;=VLOOKUP(H1658,Dados!$X:$AB,4,0)),0,1)</f>
        <v>0</v>
      </c>
      <c r="U1658" s="4">
        <f>IF(COUNTIFS(F:F,F1658,H:H,H1658)&lt;=VLOOKUP(H1658,Dados!$X:$AB,5,0),0,1)</f>
        <v>0</v>
      </c>
    </row>
    <row r="1659" spans="6:21">
      <c r="F1659" s="4">
        <v>788</v>
      </c>
      <c r="G1659" s="4">
        <v>35</v>
      </c>
      <c r="H1659" s="4">
        <v>3</v>
      </c>
      <c r="I1659" s="4">
        <v>16</v>
      </c>
      <c r="J1659" s="4">
        <v>1</v>
      </c>
      <c r="K1659" s="4">
        <f t="shared" si="287"/>
        <v>0</v>
      </c>
      <c r="L1659" s="4">
        <f t="shared" si="287"/>
        <v>0</v>
      </c>
      <c r="M1659" s="4">
        <f t="shared" si="287"/>
        <v>0</v>
      </c>
      <c r="N1659" s="4">
        <f t="shared" si="287"/>
        <v>0</v>
      </c>
      <c r="O1659" s="4">
        <f t="shared" si="288"/>
        <v>0</v>
      </c>
      <c r="P1659" s="4">
        <f t="shared" si="289"/>
        <v>0</v>
      </c>
      <c r="Q1659" s="4">
        <f t="shared" si="290"/>
        <v>0</v>
      </c>
      <c r="R1659" s="4">
        <f t="shared" si="291"/>
        <v>0</v>
      </c>
      <c r="S1659" s="4">
        <f>IF(AND(VLOOKUP(G1659,Dados!$D:$L,2,0)=VLOOKUP(I1659,Dados!$S:$V,2,0),VLOOKUP(G1659,Dados!$D:$L,3,0)=VLOOKUP(I1659,Dados!$S:$V,3,0)),0,1)</f>
        <v>0</v>
      </c>
      <c r="T1659" s="4">
        <f>IF(AND(VLOOKUP(G1659,Dados!$D:$L,3,0)&lt;=VLOOKUP(H1659,Dados!$X:$AB,2,0),VLOOKUP(G1659,Dados!$D:$L,4,0)&gt;=VLOOKUP(H1659,Dados!$X:$AB,3,0),VLOOKUP(G1659,Dados!$D:$L,4,0)&lt;=VLOOKUP(H1659,Dados!$X:$AB,4,0)),0,1)</f>
        <v>0</v>
      </c>
      <c r="U1659" s="4">
        <f>IF(COUNTIFS(F:F,F1659,H:H,H1659)&lt;=VLOOKUP(H1659,Dados!$X:$AB,5,0),0,1)</f>
        <v>0</v>
      </c>
    </row>
    <row r="1660" spans="6:21">
      <c r="F1660" s="4">
        <v>789</v>
      </c>
      <c r="G1660" s="4">
        <v>41</v>
      </c>
      <c r="H1660" s="4">
        <v>1</v>
      </c>
      <c r="I1660" s="4">
        <v>17</v>
      </c>
      <c r="J1660" s="4">
        <v>1</v>
      </c>
      <c r="K1660" s="4">
        <f t="shared" si="287"/>
        <v>1</v>
      </c>
      <c r="L1660" s="4">
        <f t="shared" si="287"/>
        <v>0</v>
      </c>
      <c r="M1660" s="4">
        <f t="shared" si="287"/>
        <v>0</v>
      </c>
      <c r="N1660" s="4">
        <f t="shared" si="287"/>
        <v>0</v>
      </c>
      <c r="O1660" s="4">
        <f t="shared" si="288"/>
        <v>1</v>
      </c>
      <c r="P1660" s="4">
        <f t="shared" si="289"/>
        <v>0</v>
      </c>
      <c r="Q1660" s="4">
        <f t="shared" si="290"/>
        <v>0</v>
      </c>
      <c r="R1660" s="4">
        <f t="shared" si="291"/>
        <v>0</v>
      </c>
      <c r="S1660" s="4">
        <f>IF(AND(VLOOKUP(G1660,Dados!$D:$L,2,0)=VLOOKUP(I1660,Dados!$S:$V,2,0),VLOOKUP(G1660,Dados!$D:$L,3,0)=VLOOKUP(I1660,Dados!$S:$V,3,0)),0,1)</f>
        <v>0</v>
      </c>
      <c r="T1660" s="4">
        <f>IF(AND(VLOOKUP(G1660,Dados!$D:$L,3,0)&lt;=VLOOKUP(H1660,Dados!$X:$AB,2,0),VLOOKUP(G1660,Dados!$D:$L,4,0)&gt;=VLOOKUP(H1660,Dados!$X:$AB,3,0),VLOOKUP(G1660,Dados!$D:$L,4,0)&lt;=VLOOKUP(H1660,Dados!$X:$AB,4,0)),0,1)</f>
        <v>0</v>
      </c>
      <c r="U1660" s="4">
        <f>IF(COUNTIFS(F:F,F1660,H:H,H1660)&lt;=VLOOKUP(H1660,Dados!$X:$AB,5,0),0,1)</f>
        <v>0</v>
      </c>
    </row>
    <row r="1661" spans="6:21">
      <c r="F1661" s="4">
        <v>789</v>
      </c>
      <c r="G1661" s="4">
        <v>43</v>
      </c>
      <c r="H1661" s="4">
        <v>1</v>
      </c>
      <c r="I1661" s="4">
        <v>17</v>
      </c>
      <c r="J1661" s="4">
        <v>3</v>
      </c>
      <c r="K1661" s="4">
        <f t="shared" si="287"/>
        <v>1</v>
      </c>
      <c r="L1661" s="4">
        <f t="shared" si="287"/>
        <v>0</v>
      </c>
      <c r="M1661" s="4">
        <f t="shared" si="287"/>
        <v>0</v>
      </c>
      <c r="N1661" s="4">
        <f t="shared" si="287"/>
        <v>0</v>
      </c>
      <c r="O1661" s="4">
        <f t="shared" si="288"/>
        <v>3</v>
      </c>
      <c r="P1661" s="4">
        <f t="shared" si="289"/>
        <v>0</v>
      </c>
      <c r="Q1661" s="4">
        <f t="shared" si="290"/>
        <v>0</v>
      </c>
      <c r="R1661" s="4">
        <f t="shared" si="291"/>
        <v>0</v>
      </c>
      <c r="S1661" s="4">
        <f>IF(AND(VLOOKUP(G1661,Dados!$D:$L,2,0)=VLOOKUP(I1661,Dados!$S:$V,2,0),VLOOKUP(G1661,Dados!$D:$L,3,0)=VLOOKUP(I1661,Dados!$S:$V,3,0)),0,1)</f>
        <v>0</v>
      </c>
      <c r="T1661" s="4">
        <f>IF(AND(VLOOKUP(G1661,Dados!$D:$L,3,0)&lt;=VLOOKUP(H1661,Dados!$X:$AB,2,0),VLOOKUP(G1661,Dados!$D:$L,4,0)&gt;=VLOOKUP(H1661,Dados!$X:$AB,3,0),VLOOKUP(G1661,Dados!$D:$L,4,0)&lt;=VLOOKUP(H1661,Dados!$X:$AB,4,0)),0,1)</f>
        <v>0</v>
      </c>
      <c r="U1661" s="4">
        <f>IF(COUNTIFS(F:F,F1661,H:H,H1661)&lt;=VLOOKUP(H1661,Dados!$X:$AB,5,0),0,1)</f>
        <v>0</v>
      </c>
    </row>
    <row r="1662" spans="6:21">
      <c r="F1662" s="4">
        <v>789</v>
      </c>
      <c r="G1662" s="4">
        <v>45</v>
      </c>
      <c r="H1662" s="4">
        <v>1</v>
      </c>
      <c r="I1662" s="4">
        <v>17</v>
      </c>
      <c r="J1662" s="4">
        <v>5</v>
      </c>
      <c r="K1662" s="4">
        <f t="shared" si="287"/>
        <v>1</v>
      </c>
      <c r="L1662" s="4">
        <f t="shared" si="287"/>
        <v>0</v>
      </c>
      <c r="M1662" s="4">
        <f t="shared" si="287"/>
        <v>0</v>
      </c>
      <c r="N1662" s="4">
        <f t="shared" si="287"/>
        <v>0</v>
      </c>
      <c r="O1662" s="4">
        <f t="shared" si="288"/>
        <v>5</v>
      </c>
      <c r="P1662" s="4">
        <f t="shared" si="289"/>
        <v>0</v>
      </c>
      <c r="Q1662" s="4">
        <f t="shared" si="290"/>
        <v>0</v>
      </c>
      <c r="R1662" s="4">
        <f t="shared" si="291"/>
        <v>0</v>
      </c>
      <c r="S1662" s="4">
        <f>IF(AND(VLOOKUP(G1662,Dados!$D:$L,2,0)=VLOOKUP(I1662,Dados!$S:$V,2,0),VLOOKUP(G1662,Dados!$D:$L,3,0)=VLOOKUP(I1662,Dados!$S:$V,3,0)),0,1)</f>
        <v>0</v>
      </c>
      <c r="T1662" s="4">
        <f>IF(AND(VLOOKUP(G1662,Dados!$D:$L,3,0)&lt;=VLOOKUP(H1662,Dados!$X:$AB,2,0),VLOOKUP(G1662,Dados!$D:$L,4,0)&gt;=VLOOKUP(H1662,Dados!$X:$AB,3,0),VLOOKUP(G1662,Dados!$D:$L,4,0)&lt;=VLOOKUP(H1662,Dados!$X:$AB,4,0)),0,1)</f>
        <v>0</v>
      </c>
      <c r="U1662" s="4">
        <f>IF(COUNTIFS(F:F,F1662,H:H,H1662)&lt;=VLOOKUP(H1662,Dados!$X:$AB,5,0),0,1)</f>
        <v>0</v>
      </c>
    </row>
    <row r="1663" spans="6:21">
      <c r="F1663" s="4">
        <v>790</v>
      </c>
      <c r="G1663" s="4">
        <v>41</v>
      </c>
      <c r="H1663" s="4">
        <v>2</v>
      </c>
      <c r="I1663" s="4">
        <v>17</v>
      </c>
      <c r="J1663" s="4">
        <v>1</v>
      </c>
      <c r="K1663" s="4">
        <f t="shared" si="287"/>
        <v>0</v>
      </c>
      <c r="L1663" s="4">
        <f t="shared" si="287"/>
        <v>0</v>
      </c>
      <c r="M1663" s="4">
        <f t="shared" si="287"/>
        <v>0</v>
      </c>
      <c r="N1663" s="4">
        <f t="shared" si="287"/>
        <v>0</v>
      </c>
      <c r="O1663" s="4">
        <f t="shared" si="288"/>
        <v>0</v>
      </c>
      <c r="P1663" s="4">
        <f t="shared" si="289"/>
        <v>0</v>
      </c>
      <c r="Q1663" s="4">
        <f t="shared" si="290"/>
        <v>0</v>
      </c>
      <c r="R1663" s="4">
        <f t="shared" si="291"/>
        <v>0</v>
      </c>
      <c r="S1663" s="4">
        <f>IF(AND(VLOOKUP(G1663,Dados!$D:$L,2,0)=VLOOKUP(I1663,Dados!$S:$V,2,0),VLOOKUP(G1663,Dados!$D:$L,3,0)=VLOOKUP(I1663,Dados!$S:$V,3,0)),0,1)</f>
        <v>0</v>
      </c>
      <c r="T1663" s="4">
        <f>IF(AND(VLOOKUP(G1663,Dados!$D:$L,3,0)&lt;=VLOOKUP(H1663,Dados!$X:$AB,2,0),VLOOKUP(G1663,Dados!$D:$L,4,0)&gt;=VLOOKUP(H1663,Dados!$X:$AB,3,0),VLOOKUP(G1663,Dados!$D:$L,4,0)&lt;=VLOOKUP(H1663,Dados!$X:$AB,4,0)),0,1)</f>
        <v>0</v>
      </c>
      <c r="U1663" s="4">
        <f>IF(COUNTIFS(F:F,F1663,H:H,H1663)&lt;=VLOOKUP(H1663,Dados!$X:$AB,5,0),0,1)</f>
        <v>0</v>
      </c>
    </row>
    <row r="1664" spans="6:21">
      <c r="F1664" s="4">
        <v>790</v>
      </c>
      <c r="G1664" s="4">
        <v>43</v>
      </c>
      <c r="H1664" s="4">
        <v>2</v>
      </c>
      <c r="I1664" s="4">
        <v>17</v>
      </c>
      <c r="J1664" s="4">
        <v>3</v>
      </c>
      <c r="K1664" s="4">
        <f t="shared" si="287"/>
        <v>0</v>
      </c>
      <c r="L1664" s="4">
        <f t="shared" si="287"/>
        <v>0</v>
      </c>
      <c r="M1664" s="4">
        <f t="shared" si="287"/>
        <v>0</v>
      </c>
      <c r="N1664" s="4">
        <f t="shared" si="287"/>
        <v>0</v>
      </c>
      <c r="O1664" s="4">
        <f t="shared" si="288"/>
        <v>0</v>
      </c>
      <c r="P1664" s="4">
        <f t="shared" si="289"/>
        <v>0</v>
      </c>
      <c r="Q1664" s="4">
        <f t="shared" si="290"/>
        <v>0</v>
      </c>
      <c r="R1664" s="4">
        <f t="shared" si="291"/>
        <v>0</v>
      </c>
      <c r="S1664" s="4">
        <f>IF(AND(VLOOKUP(G1664,Dados!$D:$L,2,0)=VLOOKUP(I1664,Dados!$S:$V,2,0),VLOOKUP(G1664,Dados!$D:$L,3,0)=VLOOKUP(I1664,Dados!$S:$V,3,0)),0,1)</f>
        <v>0</v>
      </c>
      <c r="T1664" s="4">
        <f>IF(AND(VLOOKUP(G1664,Dados!$D:$L,3,0)&lt;=VLOOKUP(H1664,Dados!$X:$AB,2,0),VLOOKUP(G1664,Dados!$D:$L,4,0)&gt;=VLOOKUP(H1664,Dados!$X:$AB,3,0),VLOOKUP(G1664,Dados!$D:$L,4,0)&lt;=VLOOKUP(H1664,Dados!$X:$AB,4,0)),0,1)</f>
        <v>0</v>
      </c>
      <c r="U1664" s="4">
        <f>IF(COUNTIFS(F:F,F1664,H:H,H1664)&lt;=VLOOKUP(H1664,Dados!$X:$AB,5,0),0,1)</f>
        <v>0</v>
      </c>
    </row>
    <row r="1665" spans="6:21">
      <c r="F1665" s="4">
        <v>790</v>
      </c>
      <c r="G1665" s="4">
        <v>45</v>
      </c>
      <c r="H1665" s="4">
        <v>2</v>
      </c>
      <c r="I1665" s="4">
        <v>17</v>
      </c>
      <c r="J1665" s="4">
        <v>5</v>
      </c>
      <c r="K1665" s="4">
        <f t="shared" si="287"/>
        <v>0</v>
      </c>
      <c r="L1665" s="4">
        <f t="shared" si="287"/>
        <v>0</v>
      </c>
      <c r="M1665" s="4">
        <f t="shared" si="287"/>
        <v>0</v>
      </c>
      <c r="N1665" s="4">
        <f t="shared" si="287"/>
        <v>0</v>
      </c>
      <c r="O1665" s="4">
        <f t="shared" si="288"/>
        <v>0</v>
      </c>
      <c r="P1665" s="4">
        <f t="shared" si="289"/>
        <v>0</v>
      </c>
      <c r="Q1665" s="4">
        <f t="shared" si="290"/>
        <v>0</v>
      </c>
      <c r="R1665" s="4">
        <f t="shared" si="291"/>
        <v>0</v>
      </c>
      <c r="S1665" s="4">
        <f>IF(AND(VLOOKUP(G1665,Dados!$D:$L,2,0)=VLOOKUP(I1665,Dados!$S:$V,2,0),VLOOKUP(G1665,Dados!$D:$L,3,0)=VLOOKUP(I1665,Dados!$S:$V,3,0)),0,1)</f>
        <v>0</v>
      </c>
      <c r="T1665" s="4">
        <f>IF(AND(VLOOKUP(G1665,Dados!$D:$L,3,0)&lt;=VLOOKUP(H1665,Dados!$X:$AB,2,0),VLOOKUP(G1665,Dados!$D:$L,4,0)&gt;=VLOOKUP(H1665,Dados!$X:$AB,3,0),VLOOKUP(G1665,Dados!$D:$L,4,0)&lt;=VLOOKUP(H1665,Dados!$X:$AB,4,0)),0,1)</f>
        <v>0</v>
      </c>
      <c r="U1665" s="4">
        <f>IF(COUNTIFS(F:F,F1665,H:H,H1665)&lt;=VLOOKUP(H1665,Dados!$X:$AB,5,0),0,1)</f>
        <v>0</v>
      </c>
    </row>
    <row r="1666" spans="6:21">
      <c r="F1666" s="4">
        <v>791</v>
      </c>
      <c r="G1666" s="4">
        <v>41</v>
      </c>
      <c r="H1666" s="4">
        <v>3</v>
      </c>
      <c r="I1666" s="4">
        <v>17</v>
      </c>
      <c r="J1666" s="4">
        <v>1</v>
      </c>
      <c r="K1666" s="4">
        <f t="shared" si="287"/>
        <v>0</v>
      </c>
      <c r="L1666" s="4">
        <f t="shared" si="287"/>
        <v>0</v>
      </c>
      <c r="M1666" s="4">
        <f t="shared" si="287"/>
        <v>0</v>
      </c>
      <c r="N1666" s="4">
        <f t="shared" si="287"/>
        <v>0</v>
      </c>
      <c r="O1666" s="4">
        <f t="shared" si="288"/>
        <v>0</v>
      </c>
      <c r="P1666" s="4">
        <f t="shared" si="289"/>
        <v>0</v>
      </c>
      <c r="Q1666" s="4">
        <f t="shared" si="290"/>
        <v>0</v>
      </c>
      <c r="R1666" s="4">
        <f t="shared" si="291"/>
        <v>0</v>
      </c>
      <c r="S1666" s="4">
        <f>IF(AND(VLOOKUP(G1666,Dados!$D:$L,2,0)=VLOOKUP(I1666,Dados!$S:$V,2,0),VLOOKUP(G1666,Dados!$D:$L,3,0)=VLOOKUP(I1666,Dados!$S:$V,3,0)),0,1)</f>
        <v>0</v>
      </c>
      <c r="T1666" s="4">
        <f>IF(AND(VLOOKUP(G1666,Dados!$D:$L,3,0)&lt;=VLOOKUP(H1666,Dados!$X:$AB,2,0),VLOOKUP(G1666,Dados!$D:$L,4,0)&gt;=VLOOKUP(H1666,Dados!$X:$AB,3,0),VLOOKUP(G1666,Dados!$D:$L,4,0)&lt;=VLOOKUP(H1666,Dados!$X:$AB,4,0)),0,1)</f>
        <v>0</v>
      </c>
      <c r="U1666" s="4">
        <f>IF(COUNTIFS(F:F,F1666,H:H,H1666)&lt;=VLOOKUP(H1666,Dados!$X:$AB,5,0),0,1)</f>
        <v>0</v>
      </c>
    </row>
    <row r="1667" spans="6:21">
      <c r="F1667" s="4">
        <v>791</v>
      </c>
      <c r="G1667" s="4">
        <v>43</v>
      </c>
      <c r="H1667" s="4">
        <v>3</v>
      </c>
      <c r="I1667" s="4">
        <v>17</v>
      </c>
      <c r="J1667" s="4">
        <v>3</v>
      </c>
      <c r="K1667" s="4">
        <f t="shared" si="287"/>
        <v>0</v>
      </c>
      <c r="L1667" s="4">
        <f t="shared" si="287"/>
        <v>0</v>
      </c>
      <c r="M1667" s="4">
        <f t="shared" si="287"/>
        <v>0</v>
      </c>
      <c r="N1667" s="4">
        <f t="shared" si="287"/>
        <v>0</v>
      </c>
      <c r="O1667" s="4">
        <f t="shared" si="288"/>
        <v>0</v>
      </c>
      <c r="P1667" s="4">
        <f t="shared" si="289"/>
        <v>0</v>
      </c>
      <c r="Q1667" s="4">
        <f t="shared" si="290"/>
        <v>0</v>
      </c>
      <c r="R1667" s="4">
        <f t="shared" si="291"/>
        <v>0</v>
      </c>
      <c r="S1667" s="4">
        <f>IF(AND(VLOOKUP(G1667,Dados!$D:$L,2,0)=VLOOKUP(I1667,Dados!$S:$V,2,0),VLOOKUP(G1667,Dados!$D:$L,3,0)=VLOOKUP(I1667,Dados!$S:$V,3,0)),0,1)</f>
        <v>0</v>
      </c>
      <c r="T1667" s="4">
        <f>IF(AND(VLOOKUP(G1667,Dados!$D:$L,3,0)&lt;=VLOOKUP(H1667,Dados!$X:$AB,2,0),VLOOKUP(G1667,Dados!$D:$L,4,0)&gt;=VLOOKUP(H1667,Dados!$X:$AB,3,0),VLOOKUP(G1667,Dados!$D:$L,4,0)&lt;=VLOOKUP(H1667,Dados!$X:$AB,4,0)),0,1)</f>
        <v>0</v>
      </c>
      <c r="U1667" s="4">
        <f>IF(COUNTIFS(F:F,F1667,H:H,H1667)&lt;=VLOOKUP(H1667,Dados!$X:$AB,5,0),0,1)</f>
        <v>0</v>
      </c>
    </row>
    <row r="1668" spans="6:21">
      <c r="F1668" s="4">
        <v>791</v>
      </c>
      <c r="G1668" s="4">
        <v>45</v>
      </c>
      <c r="H1668" s="4">
        <v>3</v>
      </c>
      <c r="I1668" s="4">
        <v>17</v>
      </c>
      <c r="J1668" s="4">
        <v>5</v>
      </c>
      <c r="K1668" s="4">
        <f t="shared" si="287"/>
        <v>0</v>
      </c>
      <c r="L1668" s="4">
        <f t="shared" si="287"/>
        <v>0</v>
      </c>
      <c r="M1668" s="4">
        <f t="shared" si="287"/>
        <v>0</v>
      </c>
      <c r="N1668" s="4">
        <f t="shared" si="287"/>
        <v>0</v>
      </c>
      <c r="O1668" s="4">
        <f t="shared" si="288"/>
        <v>0</v>
      </c>
      <c r="P1668" s="4">
        <f t="shared" si="289"/>
        <v>0</v>
      </c>
      <c r="Q1668" s="4">
        <f t="shared" si="290"/>
        <v>0</v>
      </c>
      <c r="R1668" s="4">
        <f t="shared" si="291"/>
        <v>0</v>
      </c>
      <c r="S1668" s="4">
        <f>IF(AND(VLOOKUP(G1668,Dados!$D:$L,2,0)=VLOOKUP(I1668,Dados!$S:$V,2,0),VLOOKUP(G1668,Dados!$D:$L,3,0)=VLOOKUP(I1668,Dados!$S:$V,3,0)),0,1)</f>
        <v>0</v>
      </c>
      <c r="T1668" s="4">
        <f>IF(AND(VLOOKUP(G1668,Dados!$D:$L,3,0)&lt;=VLOOKUP(H1668,Dados!$X:$AB,2,0),VLOOKUP(G1668,Dados!$D:$L,4,0)&gt;=VLOOKUP(H1668,Dados!$X:$AB,3,0),VLOOKUP(G1668,Dados!$D:$L,4,0)&lt;=VLOOKUP(H1668,Dados!$X:$AB,4,0)),0,1)</f>
        <v>0</v>
      </c>
      <c r="U1668" s="4">
        <f>IF(COUNTIFS(F:F,F1668,H:H,H1668)&lt;=VLOOKUP(H1668,Dados!$X:$AB,5,0),0,1)</f>
        <v>0</v>
      </c>
    </row>
    <row r="1669" spans="6:21">
      <c r="F1669" s="4">
        <v>792</v>
      </c>
      <c r="G1669" s="4">
        <v>49</v>
      </c>
      <c r="H1669" s="4">
        <v>1</v>
      </c>
      <c r="I1669" s="4">
        <v>18</v>
      </c>
      <c r="J1669" s="4">
        <v>7</v>
      </c>
      <c r="K1669" s="4">
        <f t="shared" si="287"/>
        <v>0</v>
      </c>
      <c r="L1669" s="4">
        <f t="shared" si="287"/>
        <v>0</v>
      </c>
      <c r="M1669" s="4">
        <f t="shared" si="287"/>
        <v>0</v>
      </c>
      <c r="N1669" s="4">
        <f t="shared" si="287"/>
        <v>0</v>
      </c>
      <c r="O1669" s="4">
        <f t="shared" si="288"/>
        <v>0</v>
      </c>
      <c r="P1669" s="4">
        <f t="shared" si="289"/>
        <v>0</v>
      </c>
      <c r="Q1669" s="4">
        <f t="shared" si="290"/>
        <v>0</v>
      </c>
      <c r="R1669" s="4">
        <f t="shared" si="291"/>
        <v>0</v>
      </c>
      <c r="S1669" s="4">
        <f>IF(AND(VLOOKUP(G1669,Dados!$D:$L,2,0)=VLOOKUP(I1669,Dados!$S:$V,2,0),VLOOKUP(G1669,Dados!$D:$L,3,0)=VLOOKUP(I1669,Dados!$S:$V,3,0)),0,1)</f>
        <v>0</v>
      </c>
      <c r="T1669" s="4">
        <f>IF(AND(VLOOKUP(G1669,Dados!$D:$L,3,0)&lt;=VLOOKUP(H1669,Dados!$X:$AB,2,0),VLOOKUP(G1669,Dados!$D:$L,4,0)&gt;=VLOOKUP(H1669,Dados!$X:$AB,3,0),VLOOKUP(G1669,Dados!$D:$L,4,0)&lt;=VLOOKUP(H1669,Dados!$X:$AB,4,0)),0,1)</f>
        <v>0</v>
      </c>
      <c r="U1669" s="4">
        <f>IF(COUNTIFS(F:F,F1669,H:H,H1669)&lt;=VLOOKUP(H1669,Dados!$X:$AB,5,0),0,1)</f>
        <v>0</v>
      </c>
    </row>
    <row r="1670" spans="6:21">
      <c r="F1670" s="4">
        <v>792</v>
      </c>
      <c r="G1670" s="4">
        <v>50</v>
      </c>
      <c r="H1670" s="4">
        <v>1</v>
      </c>
      <c r="I1670" s="4">
        <v>18</v>
      </c>
      <c r="J1670" s="4">
        <v>1</v>
      </c>
      <c r="K1670" s="4">
        <f t="shared" si="287"/>
        <v>0</v>
      </c>
      <c r="L1670" s="4">
        <f t="shared" si="287"/>
        <v>0</v>
      </c>
      <c r="M1670" s="4">
        <f t="shared" si="287"/>
        <v>0</v>
      </c>
      <c r="N1670" s="4">
        <f t="shared" si="287"/>
        <v>0</v>
      </c>
      <c r="O1670" s="4">
        <f t="shared" si="288"/>
        <v>0</v>
      </c>
      <c r="P1670" s="4">
        <f t="shared" si="289"/>
        <v>0</v>
      </c>
      <c r="Q1670" s="4">
        <f t="shared" si="290"/>
        <v>0</v>
      </c>
      <c r="R1670" s="4">
        <f t="shared" si="291"/>
        <v>0</v>
      </c>
      <c r="S1670" s="4">
        <f>IF(AND(VLOOKUP(G1670,Dados!$D:$L,2,0)=VLOOKUP(I1670,Dados!$S:$V,2,0),VLOOKUP(G1670,Dados!$D:$L,3,0)=VLOOKUP(I1670,Dados!$S:$V,3,0)),0,1)</f>
        <v>0</v>
      </c>
      <c r="T1670" s="4">
        <f>IF(AND(VLOOKUP(G1670,Dados!$D:$L,3,0)&lt;=VLOOKUP(H1670,Dados!$X:$AB,2,0),VLOOKUP(G1670,Dados!$D:$L,4,0)&gt;=VLOOKUP(H1670,Dados!$X:$AB,3,0),VLOOKUP(G1670,Dados!$D:$L,4,0)&lt;=VLOOKUP(H1670,Dados!$X:$AB,4,0)),0,1)</f>
        <v>0</v>
      </c>
      <c r="U1670" s="4">
        <f>IF(COUNTIFS(F:F,F1670,H:H,H1670)&lt;=VLOOKUP(H1670,Dados!$X:$AB,5,0),0,1)</f>
        <v>0</v>
      </c>
    </row>
    <row r="1671" spans="6:21">
      <c r="F1671" s="4">
        <v>792</v>
      </c>
      <c r="G1671" s="4">
        <v>51</v>
      </c>
      <c r="H1671" s="4">
        <v>1</v>
      </c>
      <c r="I1671" s="4">
        <v>18</v>
      </c>
      <c r="J1671" s="4">
        <v>1</v>
      </c>
      <c r="K1671" s="4">
        <f t="shared" si="287"/>
        <v>0</v>
      </c>
      <c r="L1671" s="4">
        <f t="shared" si="287"/>
        <v>0</v>
      </c>
      <c r="M1671" s="4">
        <f t="shared" si="287"/>
        <v>0</v>
      </c>
      <c r="N1671" s="4">
        <f t="shared" si="287"/>
        <v>0</v>
      </c>
      <c r="O1671" s="4">
        <f t="shared" si="288"/>
        <v>0</v>
      </c>
      <c r="P1671" s="4">
        <f t="shared" si="289"/>
        <v>0</v>
      </c>
      <c r="Q1671" s="4">
        <f t="shared" si="290"/>
        <v>0</v>
      </c>
      <c r="R1671" s="4">
        <f t="shared" si="291"/>
        <v>0</v>
      </c>
      <c r="S1671" s="4">
        <f>IF(AND(VLOOKUP(G1671,Dados!$D:$L,2,0)=VLOOKUP(I1671,Dados!$S:$V,2,0),VLOOKUP(G1671,Dados!$D:$L,3,0)=VLOOKUP(I1671,Dados!$S:$V,3,0)),0,1)</f>
        <v>0</v>
      </c>
      <c r="T1671" s="4">
        <f>IF(AND(VLOOKUP(G1671,Dados!$D:$L,3,0)&lt;=VLOOKUP(H1671,Dados!$X:$AB,2,0),VLOOKUP(G1671,Dados!$D:$L,4,0)&gt;=VLOOKUP(H1671,Dados!$X:$AB,3,0),VLOOKUP(G1671,Dados!$D:$L,4,0)&lt;=VLOOKUP(H1671,Dados!$X:$AB,4,0)),0,1)</f>
        <v>0</v>
      </c>
      <c r="U1671" s="4">
        <f>IF(COUNTIFS(F:F,F1671,H:H,H1671)&lt;=VLOOKUP(H1671,Dados!$X:$AB,5,0),0,1)</f>
        <v>0</v>
      </c>
    </row>
    <row r="1672" spans="6:21">
      <c r="F1672" s="4">
        <v>793</v>
      </c>
      <c r="G1672" s="4">
        <v>49</v>
      </c>
      <c r="H1672" s="4">
        <v>3</v>
      </c>
      <c r="I1672" s="4">
        <v>18</v>
      </c>
      <c r="J1672" s="4">
        <v>7</v>
      </c>
      <c r="K1672" s="4">
        <f t="shared" si="287"/>
        <v>0</v>
      </c>
      <c r="L1672" s="4">
        <f t="shared" si="287"/>
        <v>0</v>
      </c>
      <c r="M1672" s="4">
        <f t="shared" si="287"/>
        <v>0</v>
      </c>
      <c r="N1672" s="4">
        <f t="shared" si="287"/>
        <v>0</v>
      </c>
      <c r="O1672" s="4">
        <f t="shared" si="288"/>
        <v>0</v>
      </c>
      <c r="P1672" s="4">
        <f t="shared" si="289"/>
        <v>0</v>
      </c>
      <c r="Q1672" s="4">
        <f t="shared" si="290"/>
        <v>0</v>
      </c>
      <c r="R1672" s="4">
        <f t="shared" si="291"/>
        <v>0</v>
      </c>
      <c r="S1672" s="4">
        <f>IF(AND(VLOOKUP(G1672,Dados!$D:$L,2,0)=VLOOKUP(I1672,Dados!$S:$V,2,0),VLOOKUP(G1672,Dados!$D:$L,3,0)=VLOOKUP(I1672,Dados!$S:$V,3,0)),0,1)</f>
        <v>0</v>
      </c>
      <c r="T1672" s="4">
        <f>IF(AND(VLOOKUP(G1672,Dados!$D:$L,3,0)&lt;=VLOOKUP(H1672,Dados!$X:$AB,2,0),VLOOKUP(G1672,Dados!$D:$L,4,0)&gt;=VLOOKUP(H1672,Dados!$X:$AB,3,0),VLOOKUP(G1672,Dados!$D:$L,4,0)&lt;=VLOOKUP(H1672,Dados!$X:$AB,4,0)),0,1)</f>
        <v>0</v>
      </c>
      <c r="U1672" s="4">
        <f>IF(COUNTIFS(F:F,F1672,H:H,H1672)&lt;=VLOOKUP(H1672,Dados!$X:$AB,5,0),0,1)</f>
        <v>0</v>
      </c>
    </row>
    <row r="1673" spans="6:21">
      <c r="F1673" s="4">
        <v>793</v>
      </c>
      <c r="G1673" s="4">
        <v>50</v>
      </c>
      <c r="H1673" s="4">
        <v>3</v>
      </c>
      <c r="I1673" s="4">
        <v>18</v>
      </c>
      <c r="J1673" s="4">
        <v>1</v>
      </c>
      <c r="K1673" s="4">
        <f t="shared" si="287"/>
        <v>0</v>
      </c>
      <c r="L1673" s="4">
        <f t="shared" si="287"/>
        <v>0</v>
      </c>
      <c r="M1673" s="4">
        <f t="shared" si="287"/>
        <v>0</v>
      </c>
      <c r="N1673" s="4">
        <f t="shared" si="287"/>
        <v>0</v>
      </c>
      <c r="O1673" s="4">
        <f t="shared" si="288"/>
        <v>0</v>
      </c>
      <c r="P1673" s="4">
        <f t="shared" si="289"/>
        <v>0</v>
      </c>
      <c r="Q1673" s="4">
        <f t="shared" si="290"/>
        <v>0</v>
      </c>
      <c r="R1673" s="4">
        <f t="shared" si="291"/>
        <v>0</v>
      </c>
      <c r="S1673" s="4">
        <f>IF(AND(VLOOKUP(G1673,Dados!$D:$L,2,0)=VLOOKUP(I1673,Dados!$S:$V,2,0),VLOOKUP(G1673,Dados!$D:$L,3,0)=VLOOKUP(I1673,Dados!$S:$V,3,0)),0,1)</f>
        <v>0</v>
      </c>
      <c r="T1673" s="4">
        <f>IF(AND(VLOOKUP(G1673,Dados!$D:$L,3,0)&lt;=VLOOKUP(H1673,Dados!$X:$AB,2,0),VLOOKUP(G1673,Dados!$D:$L,4,0)&gt;=VLOOKUP(H1673,Dados!$X:$AB,3,0),VLOOKUP(G1673,Dados!$D:$L,4,0)&lt;=VLOOKUP(H1673,Dados!$X:$AB,4,0)),0,1)</f>
        <v>0</v>
      </c>
      <c r="U1673" s="4">
        <f>IF(COUNTIFS(F:F,F1673,H:H,H1673)&lt;=VLOOKUP(H1673,Dados!$X:$AB,5,0),0,1)</f>
        <v>0</v>
      </c>
    </row>
    <row r="1674" spans="6:21">
      <c r="F1674" s="4">
        <v>793</v>
      </c>
      <c r="G1674" s="4">
        <v>51</v>
      </c>
      <c r="H1674" s="4">
        <v>3</v>
      </c>
      <c r="I1674" s="4">
        <v>18</v>
      </c>
      <c r="J1674" s="4">
        <v>1</v>
      </c>
      <c r="K1674" s="4">
        <f t="shared" si="287"/>
        <v>0</v>
      </c>
      <c r="L1674" s="4">
        <f t="shared" si="287"/>
        <v>0</v>
      </c>
      <c r="M1674" s="4">
        <f t="shared" si="287"/>
        <v>0</v>
      </c>
      <c r="N1674" s="4">
        <f t="shared" si="287"/>
        <v>0</v>
      </c>
      <c r="O1674" s="4">
        <f t="shared" si="288"/>
        <v>0</v>
      </c>
      <c r="P1674" s="4">
        <f t="shared" si="289"/>
        <v>0</v>
      </c>
      <c r="Q1674" s="4">
        <f t="shared" si="290"/>
        <v>0</v>
      </c>
      <c r="R1674" s="4">
        <f t="shared" si="291"/>
        <v>0</v>
      </c>
      <c r="S1674" s="4">
        <f>IF(AND(VLOOKUP(G1674,Dados!$D:$L,2,0)=VLOOKUP(I1674,Dados!$S:$V,2,0),VLOOKUP(G1674,Dados!$D:$L,3,0)=VLOOKUP(I1674,Dados!$S:$V,3,0)),0,1)</f>
        <v>0</v>
      </c>
      <c r="T1674" s="4">
        <f>IF(AND(VLOOKUP(G1674,Dados!$D:$L,3,0)&lt;=VLOOKUP(H1674,Dados!$X:$AB,2,0),VLOOKUP(G1674,Dados!$D:$L,4,0)&gt;=VLOOKUP(H1674,Dados!$X:$AB,3,0),VLOOKUP(G1674,Dados!$D:$L,4,0)&lt;=VLOOKUP(H1674,Dados!$X:$AB,4,0)),0,1)</f>
        <v>0</v>
      </c>
      <c r="U1674" s="4">
        <f>IF(COUNTIFS(F:F,F1674,H:H,H1674)&lt;=VLOOKUP(H1674,Dados!$X:$AB,5,0),0,1)</f>
        <v>0</v>
      </c>
    </row>
    <row r="1675" spans="6:21">
      <c r="F1675" s="4">
        <v>794</v>
      </c>
      <c r="G1675" s="4">
        <v>46</v>
      </c>
      <c r="H1675" s="4">
        <v>1</v>
      </c>
      <c r="I1675" s="4">
        <v>19</v>
      </c>
      <c r="J1675" s="4">
        <v>1</v>
      </c>
      <c r="K1675" s="4">
        <f t="shared" si="287"/>
        <v>0</v>
      </c>
      <c r="L1675" s="4">
        <f t="shared" si="287"/>
        <v>11</v>
      </c>
      <c r="M1675" s="4">
        <f t="shared" si="287"/>
        <v>0</v>
      </c>
      <c r="N1675" s="4">
        <f t="shared" si="287"/>
        <v>0</v>
      </c>
      <c r="O1675" s="4">
        <f t="shared" si="288"/>
        <v>0</v>
      </c>
      <c r="P1675" s="4">
        <f t="shared" si="289"/>
        <v>11</v>
      </c>
      <c r="Q1675" s="4">
        <f t="shared" si="290"/>
        <v>0</v>
      </c>
      <c r="R1675" s="4">
        <f t="shared" si="291"/>
        <v>0</v>
      </c>
      <c r="S1675" s="4">
        <f>IF(AND(VLOOKUP(G1675,Dados!$D:$L,2,0)=VLOOKUP(I1675,Dados!$S:$V,2,0),VLOOKUP(G1675,Dados!$D:$L,3,0)=VLOOKUP(I1675,Dados!$S:$V,3,0)),0,1)</f>
        <v>0</v>
      </c>
      <c r="T1675" s="4">
        <f>IF(AND(VLOOKUP(G1675,Dados!$D:$L,3,0)&lt;=VLOOKUP(H1675,Dados!$X:$AB,2,0),VLOOKUP(G1675,Dados!$D:$L,4,0)&gt;=VLOOKUP(H1675,Dados!$X:$AB,3,0),VLOOKUP(G1675,Dados!$D:$L,4,0)&lt;=VLOOKUP(H1675,Dados!$X:$AB,4,0)),0,1)</f>
        <v>0</v>
      </c>
      <c r="U1675" s="4">
        <f>IF(COUNTIFS(F:F,F1675,H:H,H1675)&lt;=VLOOKUP(H1675,Dados!$X:$AB,5,0),0,1)</f>
        <v>0</v>
      </c>
    </row>
    <row r="1676" spans="6:21">
      <c r="F1676" s="4">
        <v>794</v>
      </c>
      <c r="G1676" s="4">
        <v>49</v>
      </c>
      <c r="H1676" s="4">
        <v>1</v>
      </c>
      <c r="I1676" s="4">
        <v>19</v>
      </c>
      <c r="J1676" s="4">
        <v>10</v>
      </c>
      <c r="K1676" s="4">
        <f t="shared" si="287"/>
        <v>0</v>
      </c>
      <c r="L1676" s="4">
        <f t="shared" si="287"/>
        <v>11</v>
      </c>
      <c r="M1676" s="4">
        <f t="shared" si="287"/>
        <v>0</v>
      </c>
      <c r="N1676" s="4">
        <f t="shared" si="287"/>
        <v>0</v>
      </c>
      <c r="O1676" s="4">
        <f t="shared" si="288"/>
        <v>0</v>
      </c>
      <c r="P1676" s="4">
        <f t="shared" si="289"/>
        <v>110</v>
      </c>
      <c r="Q1676" s="4">
        <f t="shared" si="290"/>
        <v>0</v>
      </c>
      <c r="R1676" s="4">
        <f t="shared" si="291"/>
        <v>0</v>
      </c>
      <c r="S1676" s="4">
        <f>IF(AND(VLOOKUP(G1676,Dados!$D:$L,2,0)=VLOOKUP(I1676,Dados!$S:$V,2,0),VLOOKUP(G1676,Dados!$D:$L,3,0)=VLOOKUP(I1676,Dados!$S:$V,3,0)),0,1)</f>
        <v>0</v>
      </c>
      <c r="T1676" s="4">
        <f>IF(AND(VLOOKUP(G1676,Dados!$D:$L,3,0)&lt;=VLOOKUP(H1676,Dados!$X:$AB,2,0),VLOOKUP(G1676,Dados!$D:$L,4,0)&gt;=VLOOKUP(H1676,Dados!$X:$AB,3,0),VLOOKUP(G1676,Dados!$D:$L,4,0)&lt;=VLOOKUP(H1676,Dados!$X:$AB,4,0)),0,1)</f>
        <v>0</v>
      </c>
      <c r="U1676" s="4">
        <f>IF(COUNTIFS(F:F,F1676,H:H,H1676)&lt;=VLOOKUP(H1676,Dados!$X:$AB,5,0),0,1)</f>
        <v>0</v>
      </c>
    </row>
    <row r="1677" spans="6:21">
      <c r="F1677" s="4">
        <v>795</v>
      </c>
      <c r="G1677" s="4">
        <v>46</v>
      </c>
      <c r="H1677" s="4">
        <v>3</v>
      </c>
      <c r="I1677" s="4">
        <v>19</v>
      </c>
      <c r="J1677" s="4">
        <v>1</v>
      </c>
      <c r="K1677" s="4">
        <f t="shared" si="287"/>
        <v>0</v>
      </c>
      <c r="L1677" s="4">
        <f t="shared" si="287"/>
        <v>0</v>
      </c>
      <c r="M1677" s="4">
        <f t="shared" si="287"/>
        <v>0</v>
      </c>
      <c r="N1677" s="4">
        <f t="shared" si="287"/>
        <v>0</v>
      </c>
      <c r="O1677" s="4">
        <f t="shared" si="288"/>
        <v>0</v>
      </c>
      <c r="P1677" s="4">
        <f t="shared" si="289"/>
        <v>0</v>
      </c>
      <c r="Q1677" s="4">
        <f t="shared" si="290"/>
        <v>0</v>
      </c>
      <c r="R1677" s="4">
        <f t="shared" si="291"/>
        <v>0</v>
      </c>
      <c r="S1677" s="4">
        <f>IF(AND(VLOOKUP(G1677,Dados!$D:$L,2,0)=VLOOKUP(I1677,Dados!$S:$V,2,0),VLOOKUP(G1677,Dados!$D:$L,3,0)=VLOOKUP(I1677,Dados!$S:$V,3,0)),0,1)</f>
        <v>0</v>
      </c>
      <c r="T1677" s="4">
        <f>IF(AND(VLOOKUP(G1677,Dados!$D:$L,3,0)&lt;=VLOOKUP(H1677,Dados!$X:$AB,2,0),VLOOKUP(G1677,Dados!$D:$L,4,0)&gt;=VLOOKUP(H1677,Dados!$X:$AB,3,0),VLOOKUP(G1677,Dados!$D:$L,4,0)&lt;=VLOOKUP(H1677,Dados!$X:$AB,4,0)),0,1)</f>
        <v>0</v>
      </c>
      <c r="U1677" s="4">
        <f>IF(COUNTIFS(F:F,F1677,H:H,H1677)&lt;=VLOOKUP(H1677,Dados!$X:$AB,5,0),0,1)</f>
        <v>0</v>
      </c>
    </row>
    <row r="1678" spans="6:21">
      <c r="F1678" s="4">
        <v>795</v>
      </c>
      <c r="G1678" s="4">
        <v>49</v>
      </c>
      <c r="H1678" s="4">
        <v>3</v>
      </c>
      <c r="I1678" s="4">
        <v>19</v>
      </c>
      <c r="J1678" s="4">
        <v>10</v>
      </c>
      <c r="K1678" s="4">
        <f t="shared" si="287"/>
        <v>0</v>
      </c>
      <c r="L1678" s="4">
        <f t="shared" si="287"/>
        <v>0</v>
      </c>
      <c r="M1678" s="4">
        <f t="shared" si="287"/>
        <v>0</v>
      </c>
      <c r="N1678" s="4">
        <f t="shared" si="287"/>
        <v>0</v>
      </c>
      <c r="O1678" s="4">
        <f t="shared" si="288"/>
        <v>0</v>
      </c>
      <c r="P1678" s="4">
        <f t="shared" si="289"/>
        <v>0</v>
      </c>
      <c r="Q1678" s="4">
        <f t="shared" si="290"/>
        <v>0</v>
      </c>
      <c r="R1678" s="4">
        <f t="shared" si="291"/>
        <v>0</v>
      </c>
      <c r="S1678" s="4">
        <f>IF(AND(VLOOKUP(G1678,Dados!$D:$L,2,0)=VLOOKUP(I1678,Dados!$S:$V,2,0),VLOOKUP(G1678,Dados!$D:$L,3,0)=VLOOKUP(I1678,Dados!$S:$V,3,0)),0,1)</f>
        <v>0</v>
      </c>
      <c r="T1678" s="4">
        <f>IF(AND(VLOOKUP(G1678,Dados!$D:$L,3,0)&lt;=VLOOKUP(H1678,Dados!$X:$AB,2,0),VLOOKUP(G1678,Dados!$D:$L,4,0)&gt;=VLOOKUP(H1678,Dados!$X:$AB,3,0),VLOOKUP(G1678,Dados!$D:$L,4,0)&lt;=VLOOKUP(H1678,Dados!$X:$AB,4,0)),0,1)</f>
        <v>0</v>
      </c>
      <c r="U1678" s="4">
        <f>IF(COUNTIFS(F:F,F1678,H:H,H1678)&lt;=VLOOKUP(H1678,Dados!$X:$AB,5,0),0,1)</f>
        <v>0</v>
      </c>
    </row>
    <row r="1679" spans="6:21">
      <c r="F1679" s="4">
        <v>796</v>
      </c>
      <c r="G1679" s="4">
        <v>63</v>
      </c>
      <c r="H1679" s="4">
        <v>1</v>
      </c>
      <c r="I1679" s="4">
        <v>21</v>
      </c>
      <c r="J1679" s="4">
        <v>11</v>
      </c>
      <c r="K1679" s="4">
        <f t="shared" si="287"/>
        <v>0</v>
      </c>
      <c r="L1679" s="4">
        <f t="shared" si="287"/>
        <v>0</v>
      </c>
      <c r="M1679" s="4">
        <f t="shared" si="287"/>
        <v>0</v>
      </c>
      <c r="N1679" s="4">
        <f t="shared" si="287"/>
        <v>0</v>
      </c>
      <c r="O1679" s="4">
        <f t="shared" si="288"/>
        <v>0</v>
      </c>
      <c r="P1679" s="4">
        <f t="shared" si="289"/>
        <v>0</v>
      </c>
      <c r="Q1679" s="4">
        <f t="shared" si="290"/>
        <v>0</v>
      </c>
      <c r="R1679" s="4">
        <f t="shared" si="291"/>
        <v>0</v>
      </c>
      <c r="S1679" s="4">
        <f>IF(AND(VLOOKUP(G1679,Dados!$D:$L,2,0)=VLOOKUP(I1679,Dados!$S:$V,2,0),VLOOKUP(G1679,Dados!$D:$L,3,0)=VLOOKUP(I1679,Dados!$S:$V,3,0)),0,1)</f>
        <v>0</v>
      </c>
      <c r="T1679" s="4">
        <f>IF(AND(VLOOKUP(G1679,Dados!$D:$L,3,0)&lt;=VLOOKUP(H1679,Dados!$X:$AB,2,0),VLOOKUP(G1679,Dados!$D:$L,4,0)&gt;=VLOOKUP(H1679,Dados!$X:$AB,3,0),VLOOKUP(G1679,Dados!$D:$L,4,0)&lt;=VLOOKUP(H1679,Dados!$X:$AB,4,0)),0,1)</f>
        <v>0</v>
      </c>
      <c r="U1679" s="4">
        <f>IF(COUNTIFS(F:F,F1679,H:H,H1679)&lt;=VLOOKUP(H1679,Dados!$X:$AB,5,0),0,1)</f>
        <v>0</v>
      </c>
    </row>
    <row r="1680" spans="6:21">
      <c r="F1680" s="4">
        <v>796</v>
      </c>
      <c r="G1680" s="4">
        <v>65</v>
      </c>
      <c r="H1680" s="4">
        <v>1</v>
      </c>
      <c r="I1680" s="4">
        <v>21</v>
      </c>
      <c r="J1680" s="4">
        <v>1</v>
      </c>
      <c r="K1680" s="4">
        <f t="shared" si="287"/>
        <v>0</v>
      </c>
      <c r="L1680" s="4">
        <f t="shared" si="287"/>
        <v>0</v>
      </c>
      <c r="M1680" s="4">
        <f t="shared" si="287"/>
        <v>0</v>
      </c>
      <c r="N1680" s="4">
        <f t="shared" si="287"/>
        <v>0</v>
      </c>
      <c r="O1680" s="4">
        <f t="shared" si="288"/>
        <v>0</v>
      </c>
      <c r="P1680" s="4">
        <f t="shared" si="289"/>
        <v>0</v>
      </c>
      <c r="Q1680" s="4">
        <f t="shared" si="290"/>
        <v>0</v>
      </c>
      <c r="R1680" s="4">
        <f t="shared" si="291"/>
        <v>0</v>
      </c>
      <c r="S1680" s="4">
        <f>IF(AND(VLOOKUP(G1680,Dados!$D:$L,2,0)=VLOOKUP(I1680,Dados!$S:$V,2,0),VLOOKUP(G1680,Dados!$D:$L,3,0)=VLOOKUP(I1680,Dados!$S:$V,3,0)),0,1)</f>
        <v>0</v>
      </c>
      <c r="T1680" s="4">
        <f>IF(AND(VLOOKUP(G1680,Dados!$D:$L,3,0)&lt;=VLOOKUP(H1680,Dados!$X:$AB,2,0),VLOOKUP(G1680,Dados!$D:$L,4,0)&gt;=VLOOKUP(H1680,Dados!$X:$AB,3,0),VLOOKUP(G1680,Dados!$D:$L,4,0)&lt;=VLOOKUP(H1680,Dados!$X:$AB,4,0)),0,1)</f>
        <v>0</v>
      </c>
      <c r="U1680" s="4">
        <f>IF(COUNTIFS(F:F,F1680,H:H,H1680)&lt;=VLOOKUP(H1680,Dados!$X:$AB,5,0),0,1)</f>
        <v>0</v>
      </c>
    </row>
    <row r="1681" spans="6:21">
      <c r="F1681" s="4">
        <v>797</v>
      </c>
      <c r="G1681" s="4">
        <v>63</v>
      </c>
      <c r="H1681" s="4">
        <v>2</v>
      </c>
      <c r="I1681" s="4">
        <v>21</v>
      </c>
      <c r="J1681" s="4">
        <v>11</v>
      </c>
      <c r="K1681" s="4">
        <f t="shared" si="287"/>
        <v>0</v>
      </c>
      <c r="L1681" s="4">
        <f t="shared" si="287"/>
        <v>0</v>
      </c>
      <c r="M1681" s="4">
        <f t="shared" si="287"/>
        <v>0</v>
      </c>
      <c r="N1681" s="4">
        <f t="shared" si="287"/>
        <v>0</v>
      </c>
      <c r="O1681" s="4">
        <f t="shared" si="288"/>
        <v>0</v>
      </c>
      <c r="P1681" s="4">
        <f t="shared" si="289"/>
        <v>0</v>
      </c>
      <c r="Q1681" s="4">
        <f t="shared" si="290"/>
        <v>0</v>
      </c>
      <c r="R1681" s="4">
        <f t="shared" si="291"/>
        <v>0</v>
      </c>
      <c r="S1681" s="4">
        <f>IF(AND(VLOOKUP(G1681,Dados!$D:$L,2,0)=VLOOKUP(I1681,Dados!$S:$V,2,0),VLOOKUP(G1681,Dados!$D:$L,3,0)=VLOOKUP(I1681,Dados!$S:$V,3,0)),0,1)</f>
        <v>0</v>
      </c>
      <c r="T1681" s="4">
        <f>IF(AND(VLOOKUP(G1681,Dados!$D:$L,3,0)&lt;=VLOOKUP(H1681,Dados!$X:$AB,2,0),VLOOKUP(G1681,Dados!$D:$L,4,0)&gt;=VLOOKUP(H1681,Dados!$X:$AB,3,0),VLOOKUP(G1681,Dados!$D:$L,4,0)&lt;=VLOOKUP(H1681,Dados!$X:$AB,4,0)),0,1)</f>
        <v>0</v>
      </c>
      <c r="U1681" s="4">
        <f>IF(COUNTIFS(F:F,F1681,H:H,H1681)&lt;=VLOOKUP(H1681,Dados!$X:$AB,5,0),0,1)</f>
        <v>0</v>
      </c>
    </row>
    <row r="1682" spans="6:21">
      <c r="F1682" s="4">
        <v>797</v>
      </c>
      <c r="G1682" s="4">
        <v>65</v>
      </c>
      <c r="H1682" s="4">
        <v>2</v>
      </c>
      <c r="I1682" s="4">
        <v>21</v>
      </c>
      <c r="J1682" s="4">
        <v>1</v>
      </c>
      <c r="K1682" s="4">
        <f t="shared" si="287"/>
        <v>0</v>
      </c>
      <c r="L1682" s="4">
        <f t="shared" si="287"/>
        <v>0</v>
      </c>
      <c r="M1682" s="4">
        <f t="shared" si="287"/>
        <v>0</v>
      </c>
      <c r="N1682" s="4">
        <f t="shared" si="287"/>
        <v>0</v>
      </c>
      <c r="O1682" s="4">
        <f t="shared" si="288"/>
        <v>0</v>
      </c>
      <c r="P1682" s="4">
        <f t="shared" si="289"/>
        <v>0</v>
      </c>
      <c r="Q1682" s="4">
        <f t="shared" si="290"/>
        <v>0</v>
      </c>
      <c r="R1682" s="4">
        <f t="shared" si="291"/>
        <v>0</v>
      </c>
      <c r="S1682" s="4">
        <f>IF(AND(VLOOKUP(G1682,Dados!$D:$L,2,0)=VLOOKUP(I1682,Dados!$S:$V,2,0),VLOOKUP(G1682,Dados!$D:$L,3,0)=VLOOKUP(I1682,Dados!$S:$V,3,0)),0,1)</f>
        <v>0</v>
      </c>
      <c r="T1682" s="4">
        <f>IF(AND(VLOOKUP(G1682,Dados!$D:$L,3,0)&lt;=VLOOKUP(H1682,Dados!$X:$AB,2,0),VLOOKUP(G1682,Dados!$D:$L,4,0)&gt;=VLOOKUP(H1682,Dados!$X:$AB,3,0),VLOOKUP(G1682,Dados!$D:$L,4,0)&lt;=VLOOKUP(H1682,Dados!$X:$AB,4,0)),0,1)</f>
        <v>0</v>
      </c>
      <c r="U1682" s="4">
        <f>IF(COUNTIFS(F:F,F1682,H:H,H1682)&lt;=VLOOKUP(H1682,Dados!$X:$AB,5,0),0,1)</f>
        <v>0</v>
      </c>
    </row>
    <row r="1683" spans="6:21">
      <c r="F1683" s="4">
        <v>798</v>
      </c>
      <c r="G1683" s="4">
        <v>63</v>
      </c>
      <c r="H1683" s="4">
        <v>3</v>
      </c>
      <c r="I1683" s="4">
        <v>21</v>
      </c>
      <c r="J1683" s="4">
        <v>11</v>
      </c>
      <c r="K1683" s="4">
        <f t="shared" si="287"/>
        <v>0</v>
      </c>
      <c r="L1683" s="4">
        <f t="shared" si="287"/>
        <v>0</v>
      </c>
      <c r="M1683" s="4">
        <f t="shared" si="287"/>
        <v>0</v>
      </c>
      <c r="N1683" s="4">
        <f t="shared" si="287"/>
        <v>0</v>
      </c>
      <c r="O1683" s="4">
        <f t="shared" si="288"/>
        <v>0</v>
      </c>
      <c r="P1683" s="4">
        <f t="shared" si="289"/>
        <v>0</v>
      </c>
      <c r="Q1683" s="4">
        <f t="shared" si="290"/>
        <v>0</v>
      </c>
      <c r="R1683" s="4">
        <f t="shared" si="291"/>
        <v>0</v>
      </c>
      <c r="S1683" s="4">
        <f>IF(AND(VLOOKUP(G1683,Dados!$D:$L,2,0)=VLOOKUP(I1683,Dados!$S:$V,2,0),VLOOKUP(G1683,Dados!$D:$L,3,0)=VLOOKUP(I1683,Dados!$S:$V,3,0)),0,1)</f>
        <v>0</v>
      </c>
      <c r="T1683" s="4">
        <f>IF(AND(VLOOKUP(G1683,Dados!$D:$L,3,0)&lt;=VLOOKUP(H1683,Dados!$X:$AB,2,0),VLOOKUP(G1683,Dados!$D:$L,4,0)&gt;=VLOOKUP(H1683,Dados!$X:$AB,3,0),VLOOKUP(G1683,Dados!$D:$L,4,0)&lt;=VLOOKUP(H1683,Dados!$X:$AB,4,0)),0,1)</f>
        <v>0</v>
      </c>
      <c r="U1683" s="4">
        <f>IF(COUNTIFS(F:F,F1683,H:H,H1683)&lt;=VLOOKUP(H1683,Dados!$X:$AB,5,0),0,1)</f>
        <v>0</v>
      </c>
    </row>
    <row r="1684" spans="6:21">
      <c r="F1684" s="4">
        <v>798</v>
      </c>
      <c r="G1684" s="4">
        <v>65</v>
      </c>
      <c r="H1684" s="4">
        <v>3</v>
      </c>
      <c r="I1684" s="4">
        <v>21</v>
      </c>
      <c r="J1684" s="4">
        <v>1</v>
      </c>
      <c r="K1684" s="4">
        <f t="shared" si="287"/>
        <v>0</v>
      </c>
      <c r="L1684" s="4">
        <f t="shared" si="287"/>
        <v>0</v>
      </c>
      <c r="M1684" s="4">
        <f t="shared" si="287"/>
        <v>0</v>
      </c>
      <c r="N1684" s="4">
        <f t="shared" si="287"/>
        <v>0</v>
      </c>
      <c r="O1684" s="4">
        <f t="shared" si="288"/>
        <v>0</v>
      </c>
      <c r="P1684" s="4">
        <f t="shared" si="289"/>
        <v>0</v>
      </c>
      <c r="Q1684" s="4">
        <f t="shared" si="290"/>
        <v>0</v>
      </c>
      <c r="R1684" s="4">
        <f t="shared" si="291"/>
        <v>0</v>
      </c>
      <c r="S1684" s="4">
        <f>IF(AND(VLOOKUP(G1684,Dados!$D:$L,2,0)=VLOOKUP(I1684,Dados!$S:$V,2,0),VLOOKUP(G1684,Dados!$D:$L,3,0)=VLOOKUP(I1684,Dados!$S:$V,3,0)),0,1)</f>
        <v>0</v>
      </c>
      <c r="T1684" s="4">
        <f>IF(AND(VLOOKUP(G1684,Dados!$D:$L,3,0)&lt;=VLOOKUP(H1684,Dados!$X:$AB,2,0),VLOOKUP(G1684,Dados!$D:$L,4,0)&gt;=VLOOKUP(H1684,Dados!$X:$AB,3,0),VLOOKUP(G1684,Dados!$D:$L,4,0)&lt;=VLOOKUP(H1684,Dados!$X:$AB,4,0)),0,1)</f>
        <v>0</v>
      </c>
      <c r="U1684" s="4">
        <f>IF(COUNTIFS(F:F,F1684,H:H,H1684)&lt;=VLOOKUP(H1684,Dados!$X:$AB,5,0),0,1)</f>
        <v>0</v>
      </c>
    </row>
    <row r="1685" spans="6:21">
      <c r="F1685" s="4">
        <v>799</v>
      </c>
      <c r="G1685" s="4">
        <v>61</v>
      </c>
      <c r="H1685" s="4">
        <v>1</v>
      </c>
      <c r="I1685" s="4">
        <v>23</v>
      </c>
      <c r="J1685" s="4">
        <v>1</v>
      </c>
      <c r="K1685" s="4">
        <f t="shared" si="287"/>
        <v>0</v>
      </c>
      <c r="L1685" s="4">
        <f t="shared" si="287"/>
        <v>0</v>
      </c>
      <c r="M1685" s="4">
        <f t="shared" si="287"/>
        <v>0</v>
      </c>
      <c r="N1685" s="4">
        <f t="shared" si="287"/>
        <v>0</v>
      </c>
      <c r="O1685" s="4">
        <f t="shared" si="288"/>
        <v>0</v>
      </c>
      <c r="P1685" s="4">
        <f t="shared" si="289"/>
        <v>0</v>
      </c>
      <c r="Q1685" s="4">
        <f t="shared" si="290"/>
        <v>0</v>
      </c>
      <c r="R1685" s="4">
        <f t="shared" si="291"/>
        <v>0</v>
      </c>
      <c r="S1685" s="4">
        <f>IF(AND(VLOOKUP(G1685,Dados!$D:$L,2,0)=VLOOKUP(I1685,Dados!$S:$V,2,0),VLOOKUP(G1685,Dados!$D:$L,3,0)=VLOOKUP(I1685,Dados!$S:$V,3,0)),0,1)</f>
        <v>0</v>
      </c>
      <c r="T1685" s="4">
        <f>IF(AND(VLOOKUP(G1685,Dados!$D:$L,3,0)&lt;=VLOOKUP(H1685,Dados!$X:$AB,2,0),VLOOKUP(G1685,Dados!$D:$L,4,0)&gt;=VLOOKUP(H1685,Dados!$X:$AB,3,0),VLOOKUP(G1685,Dados!$D:$L,4,0)&lt;=VLOOKUP(H1685,Dados!$X:$AB,4,0)),0,1)</f>
        <v>0</v>
      </c>
      <c r="U1685" s="4">
        <f>IF(COUNTIFS(F:F,F1685,H:H,H1685)&lt;=VLOOKUP(H1685,Dados!$X:$AB,5,0),0,1)</f>
        <v>0</v>
      </c>
    </row>
    <row r="1686" spans="6:21">
      <c r="F1686" s="4">
        <v>799</v>
      </c>
      <c r="G1686" s="4">
        <v>62</v>
      </c>
      <c r="H1686" s="4">
        <v>1</v>
      </c>
      <c r="I1686" s="4">
        <v>23</v>
      </c>
      <c r="J1686" s="4">
        <v>4</v>
      </c>
      <c r="K1686" s="4">
        <f t="shared" si="287"/>
        <v>0</v>
      </c>
      <c r="L1686" s="4">
        <f t="shared" si="287"/>
        <v>0</v>
      </c>
      <c r="M1686" s="4">
        <f t="shared" si="287"/>
        <v>0</v>
      </c>
      <c r="N1686" s="4">
        <f t="shared" si="287"/>
        <v>0</v>
      </c>
      <c r="O1686" s="4">
        <f t="shared" si="288"/>
        <v>0</v>
      </c>
      <c r="P1686" s="4">
        <f t="shared" si="289"/>
        <v>0</v>
      </c>
      <c r="Q1686" s="4">
        <f t="shared" si="290"/>
        <v>0</v>
      </c>
      <c r="R1686" s="4">
        <f t="shared" si="291"/>
        <v>0</v>
      </c>
      <c r="S1686" s="4">
        <f>IF(AND(VLOOKUP(G1686,Dados!$D:$L,2,0)=VLOOKUP(I1686,Dados!$S:$V,2,0),VLOOKUP(G1686,Dados!$D:$L,3,0)=VLOOKUP(I1686,Dados!$S:$V,3,0)),0,1)</f>
        <v>0</v>
      </c>
      <c r="T1686" s="4">
        <f>IF(AND(VLOOKUP(G1686,Dados!$D:$L,3,0)&lt;=VLOOKUP(H1686,Dados!$X:$AB,2,0),VLOOKUP(G1686,Dados!$D:$L,4,0)&gt;=VLOOKUP(H1686,Dados!$X:$AB,3,0),VLOOKUP(G1686,Dados!$D:$L,4,0)&lt;=VLOOKUP(H1686,Dados!$X:$AB,4,0)),0,1)</f>
        <v>0</v>
      </c>
      <c r="U1686" s="4">
        <f>IF(COUNTIFS(F:F,F1686,H:H,H1686)&lt;=VLOOKUP(H1686,Dados!$X:$AB,5,0),0,1)</f>
        <v>0</v>
      </c>
    </row>
    <row r="1687" spans="6:21">
      <c r="F1687" s="4">
        <v>799</v>
      </c>
      <c r="G1687" s="4">
        <v>63</v>
      </c>
      <c r="H1687" s="4">
        <v>1</v>
      </c>
      <c r="I1687" s="4">
        <v>23</v>
      </c>
      <c r="J1687" s="4">
        <v>4</v>
      </c>
      <c r="K1687" s="4">
        <f t="shared" si="287"/>
        <v>0</v>
      </c>
      <c r="L1687" s="4">
        <f t="shared" si="287"/>
        <v>0</v>
      </c>
      <c r="M1687" s="4">
        <f t="shared" si="287"/>
        <v>0</v>
      </c>
      <c r="N1687" s="4">
        <f t="shared" si="287"/>
        <v>0</v>
      </c>
      <c r="O1687" s="4">
        <f t="shared" si="288"/>
        <v>0</v>
      </c>
      <c r="P1687" s="4">
        <f t="shared" si="289"/>
        <v>0</v>
      </c>
      <c r="Q1687" s="4">
        <f t="shared" si="290"/>
        <v>0</v>
      </c>
      <c r="R1687" s="4">
        <f t="shared" si="291"/>
        <v>0</v>
      </c>
      <c r="S1687" s="4">
        <f>IF(AND(VLOOKUP(G1687,Dados!$D:$L,2,0)=VLOOKUP(I1687,Dados!$S:$V,2,0),VLOOKUP(G1687,Dados!$D:$L,3,0)=VLOOKUP(I1687,Dados!$S:$V,3,0)),0,1)</f>
        <v>0</v>
      </c>
      <c r="T1687" s="4">
        <f>IF(AND(VLOOKUP(G1687,Dados!$D:$L,3,0)&lt;=VLOOKUP(H1687,Dados!$X:$AB,2,0),VLOOKUP(G1687,Dados!$D:$L,4,0)&gt;=VLOOKUP(H1687,Dados!$X:$AB,3,0),VLOOKUP(G1687,Dados!$D:$L,4,0)&lt;=VLOOKUP(H1687,Dados!$X:$AB,4,0)),0,1)</f>
        <v>0</v>
      </c>
      <c r="U1687" s="4">
        <f>IF(COUNTIFS(F:F,F1687,H:H,H1687)&lt;=VLOOKUP(H1687,Dados!$X:$AB,5,0),0,1)</f>
        <v>0</v>
      </c>
    </row>
    <row r="1688" spans="6:21">
      <c r="F1688" s="4">
        <v>800</v>
      </c>
      <c r="G1688" s="4">
        <v>61</v>
      </c>
      <c r="H1688" s="4">
        <v>2</v>
      </c>
      <c r="I1688" s="4">
        <v>23</v>
      </c>
      <c r="J1688" s="4">
        <v>1</v>
      </c>
      <c r="K1688" s="4">
        <f t="shared" si="287"/>
        <v>0</v>
      </c>
      <c r="L1688" s="4">
        <f t="shared" si="287"/>
        <v>0</v>
      </c>
      <c r="M1688" s="4">
        <f t="shared" si="287"/>
        <v>0</v>
      </c>
      <c r="N1688" s="4">
        <f t="shared" si="287"/>
        <v>0</v>
      </c>
      <c r="O1688" s="4">
        <f t="shared" si="288"/>
        <v>0</v>
      </c>
      <c r="P1688" s="4">
        <f t="shared" si="289"/>
        <v>0</v>
      </c>
      <c r="Q1688" s="4">
        <f t="shared" si="290"/>
        <v>0</v>
      </c>
      <c r="R1688" s="4">
        <f t="shared" si="291"/>
        <v>0</v>
      </c>
      <c r="S1688" s="4">
        <f>IF(AND(VLOOKUP(G1688,Dados!$D:$L,2,0)=VLOOKUP(I1688,Dados!$S:$V,2,0),VLOOKUP(G1688,Dados!$D:$L,3,0)=VLOOKUP(I1688,Dados!$S:$V,3,0)),0,1)</f>
        <v>0</v>
      </c>
      <c r="T1688" s="4">
        <f>IF(AND(VLOOKUP(G1688,Dados!$D:$L,3,0)&lt;=VLOOKUP(H1688,Dados!$X:$AB,2,0),VLOOKUP(G1688,Dados!$D:$L,4,0)&gt;=VLOOKUP(H1688,Dados!$X:$AB,3,0),VLOOKUP(G1688,Dados!$D:$L,4,0)&lt;=VLOOKUP(H1688,Dados!$X:$AB,4,0)),0,1)</f>
        <v>0</v>
      </c>
      <c r="U1688" s="4">
        <f>IF(COUNTIFS(F:F,F1688,H:H,H1688)&lt;=VLOOKUP(H1688,Dados!$X:$AB,5,0),0,1)</f>
        <v>0</v>
      </c>
    </row>
    <row r="1689" spans="6:21">
      <c r="F1689" s="4">
        <v>800</v>
      </c>
      <c r="G1689" s="4">
        <v>62</v>
      </c>
      <c r="H1689" s="4">
        <v>2</v>
      </c>
      <c r="I1689" s="4">
        <v>23</v>
      </c>
      <c r="J1689" s="4">
        <v>4</v>
      </c>
      <c r="K1689" s="4">
        <f t="shared" si="287"/>
        <v>0</v>
      </c>
      <c r="L1689" s="4">
        <f t="shared" si="287"/>
        <v>0</v>
      </c>
      <c r="M1689" s="4">
        <f t="shared" si="287"/>
        <v>0</v>
      </c>
      <c r="N1689" s="4">
        <f t="shared" si="287"/>
        <v>0</v>
      </c>
      <c r="O1689" s="4">
        <f t="shared" si="288"/>
        <v>0</v>
      </c>
      <c r="P1689" s="4">
        <f t="shared" si="289"/>
        <v>0</v>
      </c>
      <c r="Q1689" s="4">
        <f t="shared" si="290"/>
        <v>0</v>
      </c>
      <c r="R1689" s="4">
        <f t="shared" si="291"/>
        <v>0</v>
      </c>
      <c r="S1689" s="4">
        <f>IF(AND(VLOOKUP(G1689,Dados!$D:$L,2,0)=VLOOKUP(I1689,Dados!$S:$V,2,0),VLOOKUP(G1689,Dados!$D:$L,3,0)=VLOOKUP(I1689,Dados!$S:$V,3,0)),0,1)</f>
        <v>0</v>
      </c>
      <c r="T1689" s="4">
        <f>IF(AND(VLOOKUP(G1689,Dados!$D:$L,3,0)&lt;=VLOOKUP(H1689,Dados!$X:$AB,2,0),VLOOKUP(G1689,Dados!$D:$L,4,0)&gt;=VLOOKUP(H1689,Dados!$X:$AB,3,0),VLOOKUP(G1689,Dados!$D:$L,4,0)&lt;=VLOOKUP(H1689,Dados!$X:$AB,4,0)),0,1)</f>
        <v>0</v>
      </c>
      <c r="U1689" s="4">
        <f>IF(COUNTIFS(F:F,F1689,H:H,H1689)&lt;=VLOOKUP(H1689,Dados!$X:$AB,5,0),0,1)</f>
        <v>0</v>
      </c>
    </row>
    <row r="1690" spans="6:21">
      <c r="F1690" s="4">
        <v>800</v>
      </c>
      <c r="G1690" s="4">
        <v>63</v>
      </c>
      <c r="H1690" s="4">
        <v>2</v>
      </c>
      <c r="I1690" s="4">
        <v>23</v>
      </c>
      <c r="J1690" s="4">
        <v>4</v>
      </c>
      <c r="K1690" s="4">
        <f t="shared" si="287"/>
        <v>0</v>
      </c>
      <c r="L1690" s="4">
        <f t="shared" si="287"/>
        <v>0</v>
      </c>
      <c r="M1690" s="4">
        <f t="shared" si="287"/>
        <v>0</v>
      </c>
      <c r="N1690" s="4">
        <f t="shared" si="287"/>
        <v>0</v>
      </c>
      <c r="O1690" s="4">
        <f t="shared" si="288"/>
        <v>0</v>
      </c>
      <c r="P1690" s="4">
        <f t="shared" si="289"/>
        <v>0</v>
      </c>
      <c r="Q1690" s="4">
        <f t="shared" si="290"/>
        <v>0</v>
      </c>
      <c r="R1690" s="4">
        <f t="shared" si="291"/>
        <v>0</v>
      </c>
      <c r="S1690" s="4">
        <f>IF(AND(VLOOKUP(G1690,Dados!$D:$L,2,0)=VLOOKUP(I1690,Dados!$S:$V,2,0),VLOOKUP(G1690,Dados!$D:$L,3,0)=VLOOKUP(I1690,Dados!$S:$V,3,0)),0,1)</f>
        <v>0</v>
      </c>
      <c r="T1690" s="4">
        <f>IF(AND(VLOOKUP(G1690,Dados!$D:$L,3,0)&lt;=VLOOKUP(H1690,Dados!$X:$AB,2,0),VLOOKUP(G1690,Dados!$D:$L,4,0)&gt;=VLOOKUP(H1690,Dados!$X:$AB,3,0),VLOOKUP(G1690,Dados!$D:$L,4,0)&lt;=VLOOKUP(H1690,Dados!$X:$AB,4,0)),0,1)</f>
        <v>0</v>
      </c>
      <c r="U1690" s="4">
        <f>IF(COUNTIFS(F:F,F1690,H:H,H1690)&lt;=VLOOKUP(H1690,Dados!$X:$AB,5,0),0,1)</f>
        <v>0</v>
      </c>
    </row>
    <row r="1691" spans="6:21">
      <c r="F1691" s="4">
        <v>801</v>
      </c>
      <c r="G1691" s="4">
        <v>62</v>
      </c>
      <c r="H1691" s="4">
        <v>3</v>
      </c>
      <c r="I1691" s="4">
        <v>23</v>
      </c>
      <c r="J1691" s="4">
        <v>2</v>
      </c>
      <c r="K1691" s="4">
        <f t="shared" si="287"/>
        <v>0</v>
      </c>
      <c r="L1691" s="4">
        <f t="shared" si="287"/>
        <v>0</v>
      </c>
      <c r="M1691" s="4">
        <f t="shared" si="287"/>
        <v>0</v>
      </c>
      <c r="N1691" s="4">
        <f t="shared" si="287"/>
        <v>0</v>
      </c>
      <c r="O1691" s="4">
        <f t="shared" si="288"/>
        <v>0</v>
      </c>
      <c r="P1691" s="4">
        <f t="shared" si="289"/>
        <v>0</v>
      </c>
      <c r="Q1691" s="4">
        <f t="shared" si="290"/>
        <v>0</v>
      </c>
      <c r="R1691" s="4">
        <f t="shared" si="291"/>
        <v>0</v>
      </c>
      <c r="S1691" s="4">
        <f>IF(AND(VLOOKUP(G1691,Dados!$D:$L,2,0)=VLOOKUP(I1691,Dados!$S:$V,2,0),VLOOKUP(G1691,Dados!$D:$L,3,0)=VLOOKUP(I1691,Dados!$S:$V,3,0)),0,1)</f>
        <v>0</v>
      </c>
      <c r="T1691" s="4">
        <f>IF(AND(VLOOKUP(G1691,Dados!$D:$L,3,0)&lt;=VLOOKUP(H1691,Dados!$X:$AB,2,0),VLOOKUP(G1691,Dados!$D:$L,4,0)&gt;=VLOOKUP(H1691,Dados!$X:$AB,3,0),VLOOKUP(G1691,Dados!$D:$L,4,0)&lt;=VLOOKUP(H1691,Dados!$X:$AB,4,0)),0,1)</f>
        <v>0</v>
      </c>
      <c r="U1691" s="4">
        <f>IF(COUNTIFS(F:F,F1691,H:H,H1691)&lt;=VLOOKUP(H1691,Dados!$X:$AB,5,0),0,1)</f>
        <v>0</v>
      </c>
    </row>
    <row r="1692" spans="6:21">
      <c r="F1692" s="4">
        <v>801</v>
      </c>
      <c r="G1692" s="4">
        <v>63</v>
      </c>
      <c r="H1692" s="4">
        <v>3</v>
      </c>
      <c r="I1692" s="4">
        <v>23</v>
      </c>
      <c r="J1692" s="4">
        <v>5</v>
      </c>
      <c r="K1692" s="4">
        <f t="shared" si="287"/>
        <v>0</v>
      </c>
      <c r="L1692" s="4">
        <f t="shared" si="287"/>
        <v>0</v>
      </c>
      <c r="M1692" s="4">
        <f t="shared" si="287"/>
        <v>0</v>
      </c>
      <c r="N1692" s="4">
        <f t="shared" si="287"/>
        <v>0</v>
      </c>
      <c r="O1692" s="4">
        <f t="shared" si="288"/>
        <v>0</v>
      </c>
      <c r="P1692" s="4">
        <f t="shared" si="289"/>
        <v>0</v>
      </c>
      <c r="Q1692" s="4">
        <f t="shared" si="290"/>
        <v>0</v>
      </c>
      <c r="R1692" s="4">
        <f t="shared" si="291"/>
        <v>0</v>
      </c>
      <c r="S1692" s="4">
        <f>IF(AND(VLOOKUP(G1692,Dados!$D:$L,2,0)=VLOOKUP(I1692,Dados!$S:$V,2,0),VLOOKUP(G1692,Dados!$D:$L,3,0)=VLOOKUP(I1692,Dados!$S:$V,3,0)),0,1)</f>
        <v>0</v>
      </c>
      <c r="T1692" s="4">
        <f>IF(AND(VLOOKUP(G1692,Dados!$D:$L,3,0)&lt;=VLOOKUP(H1692,Dados!$X:$AB,2,0),VLOOKUP(G1692,Dados!$D:$L,4,0)&gt;=VLOOKUP(H1692,Dados!$X:$AB,3,0),VLOOKUP(G1692,Dados!$D:$L,4,0)&lt;=VLOOKUP(H1692,Dados!$X:$AB,4,0)),0,1)</f>
        <v>0</v>
      </c>
      <c r="U1692" s="4">
        <f>IF(COUNTIFS(F:F,F1692,H:H,H1692)&lt;=VLOOKUP(H1692,Dados!$X:$AB,5,0),0,1)</f>
        <v>0</v>
      </c>
    </row>
    <row r="1693" spans="6:21">
      <c r="F1693" s="4">
        <v>801</v>
      </c>
      <c r="G1693" s="4">
        <v>65</v>
      </c>
      <c r="H1693" s="4">
        <v>3</v>
      </c>
      <c r="I1693" s="4">
        <v>23</v>
      </c>
      <c r="J1693" s="4">
        <v>1</v>
      </c>
      <c r="K1693" s="4">
        <f t="shared" si="287"/>
        <v>0</v>
      </c>
      <c r="L1693" s="4">
        <f t="shared" si="287"/>
        <v>0</v>
      </c>
      <c r="M1693" s="4">
        <f t="shared" si="287"/>
        <v>0</v>
      </c>
      <c r="N1693" s="4">
        <f t="shared" si="287"/>
        <v>0</v>
      </c>
      <c r="O1693" s="4">
        <f t="shared" si="288"/>
        <v>0</v>
      </c>
      <c r="P1693" s="4">
        <f t="shared" si="289"/>
        <v>0</v>
      </c>
      <c r="Q1693" s="4">
        <f t="shared" si="290"/>
        <v>0</v>
      </c>
      <c r="R1693" s="4">
        <f t="shared" si="291"/>
        <v>0</v>
      </c>
      <c r="S1693" s="4">
        <f>IF(AND(VLOOKUP(G1693,Dados!$D:$L,2,0)=VLOOKUP(I1693,Dados!$S:$V,2,0),VLOOKUP(G1693,Dados!$D:$L,3,0)=VLOOKUP(I1693,Dados!$S:$V,3,0)),0,1)</f>
        <v>0</v>
      </c>
      <c r="T1693" s="4">
        <f>IF(AND(VLOOKUP(G1693,Dados!$D:$L,3,0)&lt;=VLOOKUP(H1693,Dados!$X:$AB,2,0),VLOOKUP(G1693,Dados!$D:$L,4,0)&gt;=VLOOKUP(H1693,Dados!$X:$AB,3,0),VLOOKUP(G1693,Dados!$D:$L,4,0)&lt;=VLOOKUP(H1693,Dados!$X:$AB,4,0)),0,1)</f>
        <v>0</v>
      </c>
      <c r="U1693" s="4">
        <f>IF(COUNTIFS(F:F,F1693,H:H,H1693)&lt;=VLOOKUP(H1693,Dados!$X:$AB,5,0),0,1)</f>
        <v>0</v>
      </c>
    </row>
    <row r="1694" spans="6:21">
      <c r="F1694" s="4">
        <v>801</v>
      </c>
      <c r="G1694" s="4">
        <v>67</v>
      </c>
      <c r="H1694" s="4">
        <v>3</v>
      </c>
      <c r="I1694" s="4">
        <v>23</v>
      </c>
      <c r="J1694" s="4">
        <v>1</v>
      </c>
      <c r="K1694" s="4">
        <f t="shared" si="287"/>
        <v>0</v>
      </c>
      <c r="L1694" s="4">
        <f t="shared" si="287"/>
        <v>0</v>
      </c>
      <c r="M1694" s="4">
        <f t="shared" si="287"/>
        <v>0</v>
      </c>
      <c r="N1694" s="4">
        <f t="shared" si="287"/>
        <v>0</v>
      </c>
      <c r="O1694" s="4">
        <f t="shared" si="288"/>
        <v>0</v>
      </c>
      <c r="P1694" s="4">
        <f t="shared" si="289"/>
        <v>0</v>
      </c>
      <c r="Q1694" s="4">
        <f t="shared" si="290"/>
        <v>0</v>
      </c>
      <c r="R1694" s="4">
        <f t="shared" si="291"/>
        <v>0</v>
      </c>
      <c r="S1694" s="4">
        <f>IF(AND(VLOOKUP(G1694,Dados!$D:$L,2,0)=VLOOKUP(I1694,Dados!$S:$V,2,0),VLOOKUP(G1694,Dados!$D:$L,3,0)=VLOOKUP(I1694,Dados!$S:$V,3,0)),0,1)</f>
        <v>0</v>
      </c>
      <c r="T1694" s="4">
        <f>IF(AND(VLOOKUP(G1694,Dados!$D:$L,3,0)&lt;=VLOOKUP(H1694,Dados!$X:$AB,2,0),VLOOKUP(G1694,Dados!$D:$L,4,0)&gt;=VLOOKUP(H1694,Dados!$X:$AB,3,0),VLOOKUP(G1694,Dados!$D:$L,4,0)&lt;=VLOOKUP(H1694,Dados!$X:$AB,4,0)),0,1)</f>
        <v>0</v>
      </c>
      <c r="U1694" s="4">
        <f>IF(COUNTIFS(F:F,F1694,H:H,H1694)&lt;=VLOOKUP(H1694,Dados!$X:$AB,5,0),0,1)</f>
        <v>0</v>
      </c>
    </row>
    <row r="1695" spans="6:21">
      <c r="F1695" s="4">
        <v>802</v>
      </c>
      <c r="G1695" s="4">
        <v>63</v>
      </c>
      <c r="H1695" s="4">
        <v>1</v>
      </c>
      <c r="I1695" s="4">
        <v>25</v>
      </c>
      <c r="J1695" s="4">
        <v>9</v>
      </c>
      <c r="K1695" s="4">
        <f t="shared" si="287"/>
        <v>0</v>
      </c>
      <c r="L1695" s="4">
        <f t="shared" si="287"/>
        <v>0</v>
      </c>
      <c r="M1695" s="4">
        <f t="shared" si="287"/>
        <v>0</v>
      </c>
      <c r="N1695" s="4">
        <f t="shared" si="287"/>
        <v>0</v>
      </c>
      <c r="O1695" s="4">
        <f t="shared" si="288"/>
        <v>0</v>
      </c>
      <c r="P1695" s="4">
        <f t="shared" si="289"/>
        <v>0</v>
      </c>
      <c r="Q1695" s="4">
        <f t="shared" si="290"/>
        <v>0</v>
      </c>
      <c r="R1695" s="4">
        <f t="shared" si="291"/>
        <v>0</v>
      </c>
      <c r="S1695" s="4">
        <f>IF(AND(VLOOKUP(G1695,Dados!$D:$L,2,0)=VLOOKUP(I1695,Dados!$S:$V,2,0),VLOOKUP(G1695,Dados!$D:$L,3,0)=VLOOKUP(I1695,Dados!$S:$V,3,0)),0,1)</f>
        <v>0</v>
      </c>
      <c r="T1695" s="4">
        <f>IF(AND(VLOOKUP(G1695,Dados!$D:$L,3,0)&lt;=VLOOKUP(H1695,Dados!$X:$AB,2,0),VLOOKUP(G1695,Dados!$D:$L,4,0)&gt;=VLOOKUP(H1695,Dados!$X:$AB,3,0),VLOOKUP(G1695,Dados!$D:$L,4,0)&lt;=VLOOKUP(H1695,Dados!$X:$AB,4,0)),0,1)</f>
        <v>0</v>
      </c>
      <c r="U1695" s="4">
        <f>IF(COUNTIFS(F:F,F1695,H:H,H1695)&lt;=VLOOKUP(H1695,Dados!$X:$AB,5,0),0,1)</f>
        <v>0</v>
      </c>
    </row>
    <row r="1696" spans="6:21">
      <c r="F1696" s="4">
        <v>802</v>
      </c>
      <c r="G1696" s="4">
        <v>67</v>
      </c>
      <c r="H1696" s="4">
        <v>1</v>
      </c>
      <c r="I1696" s="4">
        <v>25</v>
      </c>
      <c r="J1696" s="4">
        <v>2</v>
      </c>
      <c r="K1696" s="4">
        <f t="shared" si="287"/>
        <v>0</v>
      </c>
      <c r="L1696" s="4">
        <f t="shared" si="287"/>
        <v>0</v>
      </c>
      <c r="M1696" s="4">
        <f t="shared" si="287"/>
        <v>0</v>
      </c>
      <c r="N1696" s="4">
        <f t="shared" si="287"/>
        <v>0</v>
      </c>
      <c r="O1696" s="4">
        <f t="shared" si="288"/>
        <v>0</v>
      </c>
      <c r="P1696" s="4">
        <f t="shared" si="289"/>
        <v>0</v>
      </c>
      <c r="Q1696" s="4">
        <f t="shared" si="290"/>
        <v>0</v>
      </c>
      <c r="R1696" s="4">
        <f t="shared" si="291"/>
        <v>0</v>
      </c>
      <c r="S1696" s="4">
        <f>IF(AND(VLOOKUP(G1696,Dados!$D:$L,2,0)=VLOOKUP(I1696,Dados!$S:$V,2,0),VLOOKUP(G1696,Dados!$D:$L,3,0)=VLOOKUP(I1696,Dados!$S:$V,3,0)),0,1)</f>
        <v>0</v>
      </c>
      <c r="T1696" s="4">
        <f>IF(AND(VLOOKUP(G1696,Dados!$D:$L,3,0)&lt;=VLOOKUP(H1696,Dados!$X:$AB,2,0),VLOOKUP(G1696,Dados!$D:$L,4,0)&gt;=VLOOKUP(H1696,Dados!$X:$AB,3,0),VLOOKUP(G1696,Dados!$D:$L,4,0)&lt;=VLOOKUP(H1696,Dados!$X:$AB,4,0)),0,1)</f>
        <v>0</v>
      </c>
      <c r="U1696" s="4">
        <f>IF(COUNTIFS(F:F,F1696,H:H,H1696)&lt;=VLOOKUP(H1696,Dados!$X:$AB,5,0),0,1)</f>
        <v>0</v>
      </c>
    </row>
    <row r="1697" spans="6:21">
      <c r="F1697" s="4">
        <v>803</v>
      </c>
      <c r="G1697" s="4">
        <v>63</v>
      </c>
      <c r="H1697" s="4">
        <v>2</v>
      </c>
      <c r="I1697" s="4">
        <v>25</v>
      </c>
      <c r="J1697" s="4">
        <v>9</v>
      </c>
      <c r="K1697" s="4">
        <f t="shared" si="287"/>
        <v>0</v>
      </c>
      <c r="L1697" s="4">
        <f t="shared" si="287"/>
        <v>0</v>
      </c>
      <c r="M1697" s="4">
        <f t="shared" si="287"/>
        <v>0</v>
      </c>
      <c r="N1697" s="4">
        <f t="shared" si="287"/>
        <v>0</v>
      </c>
      <c r="O1697" s="4">
        <f t="shared" si="288"/>
        <v>0</v>
      </c>
      <c r="P1697" s="4">
        <f t="shared" si="289"/>
        <v>0</v>
      </c>
      <c r="Q1697" s="4">
        <f t="shared" si="290"/>
        <v>0</v>
      </c>
      <c r="R1697" s="4">
        <f t="shared" si="291"/>
        <v>0</v>
      </c>
      <c r="S1697" s="4">
        <f>IF(AND(VLOOKUP(G1697,Dados!$D:$L,2,0)=VLOOKUP(I1697,Dados!$S:$V,2,0),VLOOKUP(G1697,Dados!$D:$L,3,0)=VLOOKUP(I1697,Dados!$S:$V,3,0)),0,1)</f>
        <v>0</v>
      </c>
      <c r="T1697" s="4">
        <f>IF(AND(VLOOKUP(G1697,Dados!$D:$L,3,0)&lt;=VLOOKUP(H1697,Dados!$X:$AB,2,0),VLOOKUP(G1697,Dados!$D:$L,4,0)&gt;=VLOOKUP(H1697,Dados!$X:$AB,3,0),VLOOKUP(G1697,Dados!$D:$L,4,0)&lt;=VLOOKUP(H1697,Dados!$X:$AB,4,0)),0,1)</f>
        <v>0</v>
      </c>
      <c r="U1697" s="4">
        <f>IF(COUNTIFS(F:F,F1697,H:H,H1697)&lt;=VLOOKUP(H1697,Dados!$X:$AB,5,0),0,1)</f>
        <v>0</v>
      </c>
    </row>
    <row r="1698" spans="6:21">
      <c r="F1698" s="4">
        <v>803</v>
      </c>
      <c r="G1698" s="4">
        <v>67</v>
      </c>
      <c r="H1698" s="4">
        <v>2</v>
      </c>
      <c r="I1698" s="4">
        <v>25</v>
      </c>
      <c r="J1698" s="4">
        <v>2</v>
      </c>
      <c r="K1698" s="4">
        <f t="shared" si="287"/>
        <v>0</v>
      </c>
      <c r="L1698" s="4">
        <f t="shared" si="287"/>
        <v>0</v>
      </c>
      <c r="M1698" s="4">
        <f t="shared" si="287"/>
        <v>0</v>
      </c>
      <c r="N1698" s="4">
        <f t="shared" ref="K1698:N1761" si="292">SUMIFS($X:$X,$W:$W,$F1698,$Z:$Z,$I1698,$AA:$AA,$H1698,$AB:$AB,N$2)</f>
        <v>0</v>
      </c>
      <c r="O1698" s="4">
        <f t="shared" si="288"/>
        <v>0</v>
      </c>
      <c r="P1698" s="4">
        <f t="shared" si="289"/>
        <v>0</v>
      </c>
      <c r="Q1698" s="4">
        <f t="shared" si="290"/>
        <v>0</v>
      </c>
      <c r="R1698" s="4">
        <f t="shared" si="291"/>
        <v>0</v>
      </c>
      <c r="S1698" s="4">
        <f>IF(AND(VLOOKUP(G1698,Dados!$D:$L,2,0)=VLOOKUP(I1698,Dados!$S:$V,2,0),VLOOKUP(G1698,Dados!$D:$L,3,0)=VLOOKUP(I1698,Dados!$S:$V,3,0)),0,1)</f>
        <v>0</v>
      </c>
      <c r="T1698" s="4">
        <f>IF(AND(VLOOKUP(G1698,Dados!$D:$L,3,0)&lt;=VLOOKUP(H1698,Dados!$X:$AB,2,0),VLOOKUP(G1698,Dados!$D:$L,4,0)&gt;=VLOOKUP(H1698,Dados!$X:$AB,3,0),VLOOKUP(G1698,Dados!$D:$L,4,0)&lt;=VLOOKUP(H1698,Dados!$X:$AB,4,0)),0,1)</f>
        <v>0</v>
      </c>
      <c r="U1698" s="4">
        <f>IF(COUNTIFS(F:F,F1698,H:H,H1698)&lt;=VLOOKUP(H1698,Dados!$X:$AB,5,0),0,1)</f>
        <v>0</v>
      </c>
    </row>
    <row r="1699" spans="6:21">
      <c r="F1699" s="4">
        <v>804</v>
      </c>
      <c r="G1699" s="4">
        <v>63</v>
      </c>
      <c r="H1699" s="4">
        <v>3</v>
      </c>
      <c r="I1699" s="4">
        <v>25</v>
      </c>
      <c r="J1699" s="4">
        <v>9</v>
      </c>
      <c r="K1699" s="4">
        <f t="shared" si="292"/>
        <v>0</v>
      </c>
      <c r="L1699" s="4">
        <f t="shared" si="292"/>
        <v>0</v>
      </c>
      <c r="M1699" s="4">
        <f t="shared" si="292"/>
        <v>0</v>
      </c>
      <c r="N1699" s="4">
        <f t="shared" si="292"/>
        <v>0</v>
      </c>
      <c r="O1699" s="4">
        <f t="shared" si="288"/>
        <v>0</v>
      </c>
      <c r="P1699" s="4">
        <f t="shared" si="289"/>
        <v>0</v>
      </c>
      <c r="Q1699" s="4">
        <f t="shared" si="290"/>
        <v>0</v>
      </c>
      <c r="R1699" s="4">
        <f t="shared" si="291"/>
        <v>0</v>
      </c>
      <c r="S1699" s="4">
        <f>IF(AND(VLOOKUP(G1699,Dados!$D:$L,2,0)=VLOOKUP(I1699,Dados!$S:$V,2,0),VLOOKUP(G1699,Dados!$D:$L,3,0)=VLOOKUP(I1699,Dados!$S:$V,3,0)),0,1)</f>
        <v>0</v>
      </c>
      <c r="T1699" s="4">
        <f>IF(AND(VLOOKUP(G1699,Dados!$D:$L,3,0)&lt;=VLOOKUP(H1699,Dados!$X:$AB,2,0),VLOOKUP(G1699,Dados!$D:$L,4,0)&gt;=VLOOKUP(H1699,Dados!$X:$AB,3,0),VLOOKUP(G1699,Dados!$D:$L,4,0)&lt;=VLOOKUP(H1699,Dados!$X:$AB,4,0)),0,1)</f>
        <v>0</v>
      </c>
      <c r="U1699" s="4">
        <f>IF(COUNTIFS(F:F,F1699,H:H,H1699)&lt;=VLOOKUP(H1699,Dados!$X:$AB,5,0),0,1)</f>
        <v>0</v>
      </c>
    </row>
    <row r="1700" spans="6:21">
      <c r="F1700" s="4">
        <v>804</v>
      </c>
      <c r="G1700" s="4">
        <v>67</v>
      </c>
      <c r="H1700" s="4">
        <v>3</v>
      </c>
      <c r="I1700" s="4">
        <v>25</v>
      </c>
      <c r="J1700" s="4">
        <v>2</v>
      </c>
      <c r="K1700" s="4">
        <f t="shared" si="292"/>
        <v>0</v>
      </c>
      <c r="L1700" s="4">
        <f t="shared" si="292"/>
        <v>0</v>
      </c>
      <c r="M1700" s="4">
        <f t="shared" si="292"/>
        <v>0</v>
      </c>
      <c r="N1700" s="4">
        <f t="shared" si="292"/>
        <v>0</v>
      </c>
      <c r="O1700" s="4">
        <f t="shared" si="288"/>
        <v>0</v>
      </c>
      <c r="P1700" s="4">
        <f t="shared" si="289"/>
        <v>0</v>
      </c>
      <c r="Q1700" s="4">
        <f t="shared" si="290"/>
        <v>0</v>
      </c>
      <c r="R1700" s="4">
        <f t="shared" si="291"/>
        <v>0</v>
      </c>
      <c r="S1700" s="4">
        <f>IF(AND(VLOOKUP(G1700,Dados!$D:$L,2,0)=VLOOKUP(I1700,Dados!$S:$V,2,0),VLOOKUP(G1700,Dados!$D:$L,3,0)=VLOOKUP(I1700,Dados!$S:$V,3,0)),0,1)</f>
        <v>0</v>
      </c>
      <c r="T1700" s="4">
        <f>IF(AND(VLOOKUP(G1700,Dados!$D:$L,3,0)&lt;=VLOOKUP(H1700,Dados!$X:$AB,2,0),VLOOKUP(G1700,Dados!$D:$L,4,0)&gt;=VLOOKUP(H1700,Dados!$X:$AB,3,0),VLOOKUP(G1700,Dados!$D:$L,4,0)&lt;=VLOOKUP(H1700,Dados!$X:$AB,4,0)),0,1)</f>
        <v>0</v>
      </c>
      <c r="U1700" s="4">
        <f>IF(COUNTIFS(F:F,F1700,H:H,H1700)&lt;=VLOOKUP(H1700,Dados!$X:$AB,5,0),0,1)</f>
        <v>0</v>
      </c>
    </row>
    <row r="1701" spans="6:21">
      <c r="F1701" s="4">
        <v>805</v>
      </c>
      <c r="G1701" s="4">
        <v>61</v>
      </c>
      <c r="H1701" s="4">
        <v>1</v>
      </c>
      <c r="I1701" s="4">
        <v>26</v>
      </c>
      <c r="J1701" s="4">
        <v>1</v>
      </c>
      <c r="K1701" s="4">
        <f t="shared" si="292"/>
        <v>0</v>
      </c>
      <c r="L1701" s="4">
        <f t="shared" si="292"/>
        <v>0</v>
      </c>
      <c r="M1701" s="4">
        <f t="shared" si="292"/>
        <v>0</v>
      </c>
      <c r="N1701" s="4">
        <f t="shared" si="292"/>
        <v>0</v>
      </c>
      <c r="O1701" s="4">
        <f t="shared" si="288"/>
        <v>0</v>
      </c>
      <c r="P1701" s="4">
        <f t="shared" si="289"/>
        <v>0</v>
      </c>
      <c r="Q1701" s="4">
        <f t="shared" si="290"/>
        <v>0</v>
      </c>
      <c r="R1701" s="4">
        <f t="shared" si="291"/>
        <v>0</v>
      </c>
      <c r="S1701" s="4">
        <f>IF(AND(VLOOKUP(G1701,Dados!$D:$L,2,0)=VLOOKUP(I1701,Dados!$S:$V,2,0),VLOOKUP(G1701,Dados!$D:$L,3,0)=VLOOKUP(I1701,Dados!$S:$V,3,0)),0,1)</f>
        <v>0</v>
      </c>
      <c r="T1701" s="4">
        <f>IF(AND(VLOOKUP(G1701,Dados!$D:$L,3,0)&lt;=VLOOKUP(H1701,Dados!$X:$AB,2,0),VLOOKUP(G1701,Dados!$D:$L,4,0)&gt;=VLOOKUP(H1701,Dados!$X:$AB,3,0),VLOOKUP(G1701,Dados!$D:$L,4,0)&lt;=VLOOKUP(H1701,Dados!$X:$AB,4,0)),0,1)</f>
        <v>0</v>
      </c>
      <c r="U1701" s="4">
        <f>IF(COUNTIFS(F:F,F1701,H:H,H1701)&lt;=VLOOKUP(H1701,Dados!$X:$AB,5,0),0,1)</f>
        <v>0</v>
      </c>
    </row>
    <row r="1702" spans="6:21">
      <c r="F1702" s="4">
        <v>805</v>
      </c>
      <c r="G1702" s="4">
        <v>62</v>
      </c>
      <c r="H1702" s="4">
        <v>1</v>
      </c>
      <c r="I1702" s="4">
        <v>26</v>
      </c>
      <c r="J1702" s="4">
        <v>1</v>
      </c>
      <c r="K1702" s="4">
        <f t="shared" si="292"/>
        <v>0</v>
      </c>
      <c r="L1702" s="4">
        <f t="shared" si="292"/>
        <v>0</v>
      </c>
      <c r="M1702" s="4">
        <f t="shared" si="292"/>
        <v>0</v>
      </c>
      <c r="N1702" s="4">
        <f t="shared" si="292"/>
        <v>0</v>
      </c>
      <c r="O1702" s="4">
        <f t="shared" si="288"/>
        <v>0</v>
      </c>
      <c r="P1702" s="4">
        <f t="shared" si="289"/>
        <v>0</v>
      </c>
      <c r="Q1702" s="4">
        <f t="shared" si="290"/>
        <v>0</v>
      </c>
      <c r="R1702" s="4">
        <f t="shared" si="291"/>
        <v>0</v>
      </c>
      <c r="S1702" s="4">
        <f>IF(AND(VLOOKUP(G1702,Dados!$D:$L,2,0)=VLOOKUP(I1702,Dados!$S:$V,2,0),VLOOKUP(G1702,Dados!$D:$L,3,0)=VLOOKUP(I1702,Dados!$S:$V,3,0)),0,1)</f>
        <v>0</v>
      </c>
      <c r="T1702" s="4">
        <f>IF(AND(VLOOKUP(G1702,Dados!$D:$L,3,0)&lt;=VLOOKUP(H1702,Dados!$X:$AB,2,0),VLOOKUP(G1702,Dados!$D:$L,4,0)&gt;=VLOOKUP(H1702,Dados!$X:$AB,3,0),VLOOKUP(G1702,Dados!$D:$L,4,0)&lt;=VLOOKUP(H1702,Dados!$X:$AB,4,0)),0,1)</f>
        <v>0</v>
      </c>
      <c r="U1702" s="4">
        <f>IF(COUNTIFS(F:F,F1702,H:H,H1702)&lt;=VLOOKUP(H1702,Dados!$X:$AB,5,0),0,1)</f>
        <v>0</v>
      </c>
    </row>
    <row r="1703" spans="6:21">
      <c r="F1703" s="4">
        <v>805</v>
      </c>
      <c r="G1703" s="4">
        <v>63</v>
      </c>
      <c r="H1703" s="4">
        <v>1</v>
      </c>
      <c r="I1703" s="4">
        <v>26</v>
      </c>
      <c r="J1703" s="4">
        <v>8</v>
      </c>
      <c r="K1703" s="4">
        <f t="shared" si="292"/>
        <v>0</v>
      </c>
      <c r="L1703" s="4">
        <f t="shared" si="292"/>
        <v>0</v>
      </c>
      <c r="M1703" s="4">
        <f t="shared" si="292"/>
        <v>0</v>
      </c>
      <c r="N1703" s="4">
        <f t="shared" si="292"/>
        <v>0</v>
      </c>
      <c r="O1703" s="4">
        <f t="shared" ref="O1703:O1766" si="293">$J1703*K1703</f>
        <v>0</v>
      </c>
      <c r="P1703" s="4">
        <f t="shared" ref="P1703:P1766" si="294">$J1703*L1703</f>
        <v>0</v>
      </c>
      <c r="Q1703" s="4">
        <f t="shared" ref="Q1703:Q1766" si="295">$J1703*M1703</f>
        <v>0</v>
      </c>
      <c r="R1703" s="4">
        <f t="shared" ref="R1703:R1766" si="296">$J1703*N1703</f>
        <v>0</v>
      </c>
      <c r="S1703" s="4">
        <f>IF(AND(VLOOKUP(G1703,Dados!$D:$L,2,0)=VLOOKUP(I1703,Dados!$S:$V,2,0),VLOOKUP(G1703,Dados!$D:$L,3,0)=VLOOKUP(I1703,Dados!$S:$V,3,0)),0,1)</f>
        <v>0</v>
      </c>
      <c r="T1703" s="4">
        <f>IF(AND(VLOOKUP(G1703,Dados!$D:$L,3,0)&lt;=VLOOKUP(H1703,Dados!$X:$AB,2,0),VLOOKUP(G1703,Dados!$D:$L,4,0)&gt;=VLOOKUP(H1703,Dados!$X:$AB,3,0),VLOOKUP(G1703,Dados!$D:$L,4,0)&lt;=VLOOKUP(H1703,Dados!$X:$AB,4,0)),0,1)</f>
        <v>0</v>
      </c>
      <c r="U1703" s="4">
        <f>IF(COUNTIFS(F:F,F1703,H:H,H1703)&lt;=VLOOKUP(H1703,Dados!$X:$AB,5,0),0,1)</f>
        <v>0</v>
      </c>
    </row>
    <row r="1704" spans="6:21">
      <c r="F1704" s="4">
        <v>806</v>
      </c>
      <c r="G1704" s="4">
        <v>61</v>
      </c>
      <c r="H1704" s="4">
        <v>2</v>
      </c>
      <c r="I1704" s="4">
        <v>26</v>
      </c>
      <c r="J1704" s="4">
        <v>1</v>
      </c>
      <c r="K1704" s="4">
        <f t="shared" si="292"/>
        <v>0</v>
      </c>
      <c r="L1704" s="4">
        <f t="shared" si="292"/>
        <v>0</v>
      </c>
      <c r="M1704" s="4">
        <f t="shared" si="292"/>
        <v>0</v>
      </c>
      <c r="N1704" s="4">
        <f t="shared" si="292"/>
        <v>0</v>
      </c>
      <c r="O1704" s="4">
        <f t="shared" si="293"/>
        <v>0</v>
      </c>
      <c r="P1704" s="4">
        <f t="shared" si="294"/>
        <v>0</v>
      </c>
      <c r="Q1704" s="4">
        <f t="shared" si="295"/>
        <v>0</v>
      </c>
      <c r="R1704" s="4">
        <f t="shared" si="296"/>
        <v>0</v>
      </c>
      <c r="S1704" s="4">
        <f>IF(AND(VLOOKUP(G1704,Dados!$D:$L,2,0)=VLOOKUP(I1704,Dados!$S:$V,2,0),VLOOKUP(G1704,Dados!$D:$L,3,0)=VLOOKUP(I1704,Dados!$S:$V,3,0)),0,1)</f>
        <v>0</v>
      </c>
      <c r="T1704" s="4">
        <f>IF(AND(VLOOKUP(G1704,Dados!$D:$L,3,0)&lt;=VLOOKUP(H1704,Dados!$X:$AB,2,0),VLOOKUP(G1704,Dados!$D:$L,4,0)&gt;=VLOOKUP(H1704,Dados!$X:$AB,3,0),VLOOKUP(G1704,Dados!$D:$L,4,0)&lt;=VLOOKUP(H1704,Dados!$X:$AB,4,0)),0,1)</f>
        <v>0</v>
      </c>
      <c r="U1704" s="4">
        <f>IF(COUNTIFS(F:F,F1704,H:H,H1704)&lt;=VLOOKUP(H1704,Dados!$X:$AB,5,0),0,1)</f>
        <v>0</v>
      </c>
    </row>
    <row r="1705" spans="6:21">
      <c r="F1705" s="4">
        <v>806</v>
      </c>
      <c r="G1705" s="4">
        <v>62</v>
      </c>
      <c r="H1705" s="4">
        <v>2</v>
      </c>
      <c r="I1705" s="4">
        <v>26</v>
      </c>
      <c r="J1705" s="4">
        <v>1</v>
      </c>
      <c r="K1705" s="4">
        <f t="shared" si="292"/>
        <v>0</v>
      </c>
      <c r="L1705" s="4">
        <f t="shared" si="292"/>
        <v>0</v>
      </c>
      <c r="M1705" s="4">
        <f t="shared" si="292"/>
        <v>0</v>
      </c>
      <c r="N1705" s="4">
        <f t="shared" si="292"/>
        <v>0</v>
      </c>
      <c r="O1705" s="4">
        <f t="shared" si="293"/>
        <v>0</v>
      </c>
      <c r="P1705" s="4">
        <f t="shared" si="294"/>
        <v>0</v>
      </c>
      <c r="Q1705" s="4">
        <f t="shared" si="295"/>
        <v>0</v>
      </c>
      <c r="R1705" s="4">
        <f t="shared" si="296"/>
        <v>0</v>
      </c>
      <c r="S1705" s="4">
        <f>IF(AND(VLOOKUP(G1705,Dados!$D:$L,2,0)=VLOOKUP(I1705,Dados!$S:$V,2,0),VLOOKUP(G1705,Dados!$D:$L,3,0)=VLOOKUP(I1705,Dados!$S:$V,3,0)),0,1)</f>
        <v>0</v>
      </c>
      <c r="T1705" s="4">
        <f>IF(AND(VLOOKUP(G1705,Dados!$D:$L,3,0)&lt;=VLOOKUP(H1705,Dados!$X:$AB,2,0),VLOOKUP(G1705,Dados!$D:$L,4,0)&gt;=VLOOKUP(H1705,Dados!$X:$AB,3,0),VLOOKUP(G1705,Dados!$D:$L,4,0)&lt;=VLOOKUP(H1705,Dados!$X:$AB,4,0)),0,1)</f>
        <v>0</v>
      </c>
      <c r="U1705" s="4">
        <f>IF(COUNTIFS(F:F,F1705,H:H,H1705)&lt;=VLOOKUP(H1705,Dados!$X:$AB,5,0),0,1)</f>
        <v>0</v>
      </c>
    </row>
    <row r="1706" spans="6:21">
      <c r="F1706" s="4">
        <v>806</v>
      </c>
      <c r="G1706" s="4">
        <v>63</v>
      </c>
      <c r="H1706" s="4">
        <v>2</v>
      </c>
      <c r="I1706" s="4">
        <v>26</v>
      </c>
      <c r="J1706" s="4">
        <v>8</v>
      </c>
      <c r="K1706" s="4">
        <f t="shared" si="292"/>
        <v>0</v>
      </c>
      <c r="L1706" s="4">
        <f t="shared" si="292"/>
        <v>0</v>
      </c>
      <c r="M1706" s="4">
        <f t="shared" si="292"/>
        <v>0</v>
      </c>
      <c r="N1706" s="4">
        <f t="shared" si="292"/>
        <v>0</v>
      </c>
      <c r="O1706" s="4">
        <f t="shared" si="293"/>
        <v>0</v>
      </c>
      <c r="P1706" s="4">
        <f t="shared" si="294"/>
        <v>0</v>
      </c>
      <c r="Q1706" s="4">
        <f t="shared" si="295"/>
        <v>0</v>
      </c>
      <c r="R1706" s="4">
        <f t="shared" si="296"/>
        <v>0</v>
      </c>
      <c r="S1706" s="4">
        <f>IF(AND(VLOOKUP(G1706,Dados!$D:$L,2,0)=VLOOKUP(I1706,Dados!$S:$V,2,0),VLOOKUP(G1706,Dados!$D:$L,3,0)=VLOOKUP(I1706,Dados!$S:$V,3,0)),0,1)</f>
        <v>0</v>
      </c>
      <c r="T1706" s="4">
        <f>IF(AND(VLOOKUP(G1706,Dados!$D:$L,3,0)&lt;=VLOOKUP(H1706,Dados!$X:$AB,2,0),VLOOKUP(G1706,Dados!$D:$L,4,0)&gt;=VLOOKUP(H1706,Dados!$X:$AB,3,0),VLOOKUP(G1706,Dados!$D:$L,4,0)&lt;=VLOOKUP(H1706,Dados!$X:$AB,4,0)),0,1)</f>
        <v>0</v>
      </c>
      <c r="U1706" s="4">
        <f>IF(COUNTIFS(F:F,F1706,H:H,H1706)&lt;=VLOOKUP(H1706,Dados!$X:$AB,5,0),0,1)</f>
        <v>0</v>
      </c>
    </row>
    <row r="1707" spans="6:21">
      <c r="F1707" s="4">
        <v>807</v>
      </c>
      <c r="G1707" s="4">
        <v>61</v>
      </c>
      <c r="H1707" s="4">
        <v>3</v>
      </c>
      <c r="I1707" s="4">
        <v>26</v>
      </c>
      <c r="J1707" s="4">
        <v>1</v>
      </c>
      <c r="K1707" s="4">
        <f t="shared" si="292"/>
        <v>0</v>
      </c>
      <c r="L1707" s="4">
        <f t="shared" si="292"/>
        <v>0</v>
      </c>
      <c r="M1707" s="4">
        <f t="shared" si="292"/>
        <v>0</v>
      </c>
      <c r="N1707" s="4">
        <f t="shared" si="292"/>
        <v>0</v>
      </c>
      <c r="O1707" s="4">
        <f t="shared" si="293"/>
        <v>0</v>
      </c>
      <c r="P1707" s="4">
        <f t="shared" si="294"/>
        <v>0</v>
      </c>
      <c r="Q1707" s="4">
        <f t="shared" si="295"/>
        <v>0</v>
      </c>
      <c r="R1707" s="4">
        <f t="shared" si="296"/>
        <v>0</v>
      </c>
      <c r="S1707" s="4">
        <f>IF(AND(VLOOKUP(G1707,Dados!$D:$L,2,0)=VLOOKUP(I1707,Dados!$S:$V,2,0),VLOOKUP(G1707,Dados!$D:$L,3,0)=VLOOKUP(I1707,Dados!$S:$V,3,0)),0,1)</f>
        <v>0</v>
      </c>
      <c r="T1707" s="4">
        <f>IF(AND(VLOOKUP(G1707,Dados!$D:$L,3,0)&lt;=VLOOKUP(H1707,Dados!$X:$AB,2,0),VLOOKUP(G1707,Dados!$D:$L,4,0)&gt;=VLOOKUP(H1707,Dados!$X:$AB,3,0),VLOOKUP(G1707,Dados!$D:$L,4,0)&lt;=VLOOKUP(H1707,Dados!$X:$AB,4,0)),0,1)</f>
        <v>0</v>
      </c>
      <c r="U1707" s="4">
        <f>IF(COUNTIFS(F:F,F1707,H:H,H1707)&lt;=VLOOKUP(H1707,Dados!$X:$AB,5,0),0,1)</f>
        <v>0</v>
      </c>
    </row>
    <row r="1708" spans="6:21">
      <c r="F1708" s="4">
        <v>807</v>
      </c>
      <c r="G1708" s="4">
        <v>62</v>
      </c>
      <c r="H1708" s="4">
        <v>3</v>
      </c>
      <c r="I1708" s="4">
        <v>26</v>
      </c>
      <c r="J1708" s="4">
        <v>1</v>
      </c>
      <c r="K1708" s="4">
        <f t="shared" si="292"/>
        <v>0</v>
      </c>
      <c r="L1708" s="4">
        <f t="shared" si="292"/>
        <v>0</v>
      </c>
      <c r="M1708" s="4">
        <f t="shared" si="292"/>
        <v>0</v>
      </c>
      <c r="N1708" s="4">
        <f t="shared" si="292"/>
        <v>0</v>
      </c>
      <c r="O1708" s="4">
        <f t="shared" si="293"/>
        <v>0</v>
      </c>
      <c r="P1708" s="4">
        <f t="shared" si="294"/>
        <v>0</v>
      </c>
      <c r="Q1708" s="4">
        <f t="shared" si="295"/>
        <v>0</v>
      </c>
      <c r="R1708" s="4">
        <f t="shared" si="296"/>
        <v>0</v>
      </c>
      <c r="S1708" s="4">
        <f>IF(AND(VLOOKUP(G1708,Dados!$D:$L,2,0)=VLOOKUP(I1708,Dados!$S:$V,2,0),VLOOKUP(G1708,Dados!$D:$L,3,0)=VLOOKUP(I1708,Dados!$S:$V,3,0)),0,1)</f>
        <v>0</v>
      </c>
      <c r="T1708" s="4">
        <f>IF(AND(VLOOKUP(G1708,Dados!$D:$L,3,0)&lt;=VLOOKUP(H1708,Dados!$X:$AB,2,0),VLOOKUP(G1708,Dados!$D:$L,4,0)&gt;=VLOOKUP(H1708,Dados!$X:$AB,3,0),VLOOKUP(G1708,Dados!$D:$L,4,0)&lt;=VLOOKUP(H1708,Dados!$X:$AB,4,0)),0,1)</f>
        <v>0</v>
      </c>
      <c r="U1708" s="4">
        <f>IF(COUNTIFS(F:F,F1708,H:H,H1708)&lt;=VLOOKUP(H1708,Dados!$X:$AB,5,0),0,1)</f>
        <v>0</v>
      </c>
    </row>
    <row r="1709" spans="6:21">
      <c r="F1709" s="4">
        <v>807</v>
      </c>
      <c r="G1709" s="4">
        <v>63</v>
      </c>
      <c r="H1709" s="4">
        <v>3</v>
      </c>
      <c r="I1709" s="4">
        <v>26</v>
      </c>
      <c r="J1709" s="4">
        <v>8</v>
      </c>
      <c r="K1709" s="4">
        <f t="shared" si="292"/>
        <v>0</v>
      </c>
      <c r="L1709" s="4">
        <f t="shared" si="292"/>
        <v>0</v>
      </c>
      <c r="M1709" s="4">
        <f t="shared" si="292"/>
        <v>0</v>
      </c>
      <c r="N1709" s="4">
        <f t="shared" si="292"/>
        <v>0</v>
      </c>
      <c r="O1709" s="4">
        <f t="shared" si="293"/>
        <v>0</v>
      </c>
      <c r="P1709" s="4">
        <f t="shared" si="294"/>
        <v>0</v>
      </c>
      <c r="Q1709" s="4">
        <f t="shared" si="295"/>
        <v>0</v>
      </c>
      <c r="R1709" s="4">
        <f t="shared" si="296"/>
        <v>0</v>
      </c>
      <c r="S1709" s="4">
        <f>IF(AND(VLOOKUP(G1709,Dados!$D:$L,2,0)=VLOOKUP(I1709,Dados!$S:$V,2,0),VLOOKUP(G1709,Dados!$D:$L,3,0)=VLOOKUP(I1709,Dados!$S:$V,3,0)),0,1)</f>
        <v>0</v>
      </c>
      <c r="T1709" s="4">
        <f>IF(AND(VLOOKUP(G1709,Dados!$D:$L,3,0)&lt;=VLOOKUP(H1709,Dados!$X:$AB,2,0),VLOOKUP(G1709,Dados!$D:$L,4,0)&gt;=VLOOKUP(H1709,Dados!$X:$AB,3,0),VLOOKUP(G1709,Dados!$D:$L,4,0)&lt;=VLOOKUP(H1709,Dados!$X:$AB,4,0)),0,1)</f>
        <v>0</v>
      </c>
      <c r="U1709" s="4">
        <f>IF(COUNTIFS(F:F,F1709,H:H,H1709)&lt;=VLOOKUP(H1709,Dados!$X:$AB,5,0),0,1)</f>
        <v>0</v>
      </c>
    </row>
    <row r="1710" spans="6:21">
      <c r="F1710" s="4">
        <v>808</v>
      </c>
      <c r="G1710" s="4">
        <v>62</v>
      </c>
      <c r="H1710" s="4">
        <v>1</v>
      </c>
      <c r="I1710" s="4">
        <v>27</v>
      </c>
      <c r="J1710" s="4">
        <v>1</v>
      </c>
      <c r="K1710" s="4">
        <f t="shared" si="292"/>
        <v>0</v>
      </c>
      <c r="L1710" s="4">
        <f t="shared" si="292"/>
        <v>0</v>
      </c>
      <c r="M1710" s="4">
        <f t="shared" si="292"/>
        <v>0</v>
      </c>
      <c r="N1710" s="4">
        <f t="shared" si="292"/>
        <v>0</v>
      </c>
      <c r="O1710" s="4">
        <f t="shared" si="293"/>
        <v>0</v>
      </c>
      <c r="P1710" s="4">
        <f t="shared" si="294"/>
        <v>0</v>
      </c>
      <c r="Q1710" s="4">
        <f t="shared" si="295"/>
        <v>0</v>
      </c>
      <c r="R1710" s="4">
        <f t="shared" si="296"/>
        <v>0</v>
      </c>
      <c r="S1710" s="4">
        <f>IF(AND(VLOOKUP(G1710,Dados!$D:$L,2,0)=VLOOKUP(I1710,Dados!$S:$V,2,0),VLOOKUP(G1710,Dados!$D:$L,3,0)=VLOOKUP(I1710,Dados!$S:$V,3,0)),0,1)</f>
        <v>0</v>
      </c>
      <c r="T1710" s="4">
        <f>IF(AND(VLOOKUP(G1710,Dados!$D:$L,3,0)&lt;=VLOOKUP(H1710,Dados!$X:$AB,2,0),VLOOKUP(G1710,Dados!$D:$L,4,0)&gt;=VLOOKUP(H1710,Dados!$X:$AB,3,0),VLOOKUP(G1710,Dados!$D:$L,4,0)&lt;=VLOOKUP(H1710,Dados!$X:$AB,4,0)),0,1)</f>
        <v>0</v>
      </c>
      <c r="U1710" s="4">
        <f>IF(COUNTIFS(F:F,F1710,H:H,H1710)&lt;=VLOOKUP(H1710,Dados!$X:$AB,5,0),0,1)</f>
        <v>0</v>
      </c>
    </row>
    <row r="1711" spans="6:21">
      <c r="F1711" s="4">
        <v>808</v>
      </c>
      <c r="G1711" s="4">
        <v>63</v>
      </c>
      <c r="H1711" s="4">
        <v>1</v>
      </c>
      <c r="I1711" s="4">
        <v>27</v>
      </c>
      <c r="J1711" s="4">
        <v>8</v>
      </c>
      <c r="K1711" s="4">
        <f t="shared" si="292"/>
        <v>0</v>
      </c>
      <c r="L1711" s="4">
        <f t="shared" si="292"/>
        <v>0</v>
      </c>
      <c r="M1711" s="4">
        <f t="shared" si="292"/>
        <v>0</v>
      </c>
      <c r="N1711" s="4">
        <f t="shared" si="292"/>
        <v>0</v>
      </c>
      <c r="O1711" s="4">
        <f t="shared" si="293"/>
        <v>0</v>
      </c>
      <c r="P1711" s="4">
        <f t="shared" si="294"/>
        <v>0</v>
      </c>
      <c r="Q1711" s="4">
        <f t="shared" si="295"/>
        <v>0</v>
      </c>
      <c r="R1711" s="4">
        <f t="shared" si="296"/>
        <v>0</v>
      </c>
      <c r="S1711" s="4">
        <f>IF(AND(VLOOKUP(G1711,Dados!$D:$L,2,0)=VLOOKUP(I1711,Dados!$S:$V,2,0),VLOOKUP(G1711,Dados!$D:$L,3,0)=VLOOKUP(I1711,Dados!$S:$V,3,0)),0,1)</f>
        <v>0</v>
      </c>
      <c r="T1711" s="4">
        <f>IF(AND(VLOOKUP(G1711,Dados!$D:$L,3,0)&lt;=VLOOKUP(H1711,Dados!$X:$AB,2,0),VLOOKUP(G1711,Dados!$D:$L,4,0)&gt;=VLOOKUP(H1711,Dados!$X:$AB,3,0),VLOOKUP(G1711,Dados!$D:$L,4,0)&lt;=VLOOKUP(H1711,Dados!$X:$AB,4,0)),0,1)</f>
        <v>0</v>
      </c>
      <c r="U1711" s="4">
        <f>IF(COUNTIFS(F:F,F1711,H:H,H1711)&lt;=VLOOKUP(H1711,Dados!$X:$AB,5,0),0,1)</f>
        <v>0</v>
      </c>
    </row>
    <row r="1712" spans="6:21">
      <c r="F1712" s="4">
        <v>808</v>
      </c>
      <c r="G1712" s="4">
        <v>65</v>
      </c>
      <c r="H1712" s="4">
        <v>1</v>
      </c>
      <c r="I1712" s="4">
        <v>27</v>
      </c>
      <c r="J1712" s="4">
        <v>2</v>
      </c>
      <c r="K1712" s="4">
        <f t="shared" si="292"/>
        <v>0</v>
      </c>
      <c r="L1712" s="4">
        <f t="shared" si="292"/>
        <v>0</v>
      </c>
      <c r="M1712" s="4">
        <f t="shared" si="292"/>
        <v>0</v>
      </c>
      <c r="N1712" s="4">
        <f t="shared" si="292"/>
        <v>0</v>
      </c>
      <c r="O1712" s="4">
        <f t="shared" si="293"/>
        <v>0</v>
      </c>
      <c r="P1712" s="4">
        <f t="shared" si="294"/>
        <v>0</v>
      </c>
      <c r="Q1712" s="4">
        <f t="shared" si="295"/>
        <v>0</v>
      </c>
      <c r="R1712" s="4">
        <f t="shared" si="296"/>
        <v>0</v>
      </c>
      <c r="S1712" s="4">
        <f>IF(AND(VLOOKUP(G1712,Dados!$D:$L,2,0)=VLOOKUP(I1712,Dados!$S:$V,2,0),VLOOKUP(G1712,Dados!$D:$L,3,0)=VLOOKUP(I1712,Dados!$S:$V,3,0)),0,1)</f>
        <v>0</v>
      </c>
      <c r="T1712" s="4">
        <f>IF(AND(VLOOKUP(G1712,Dados!$D:$L,3,0)&lt;=VLOOKUP(H1712,Dados!$X:$AB,2,0),VLOOKUP(G1712,Dados!$D:$L,4,0)&gt;=VLOOKUP(H1712,Dados!$X:$AB,3,0),VLOOKUP(G1712,Dados!$D:$L,4,0)&lt;=VLOOKUP(H1712,Dados!$X:$AB,4,0)),0,1)</f>
        <v>0</v>
      </c>
      <c r="U1712" s="4">
        <f>IF(COUNTIFS(F:F,F1712,H:H,H1712)&lt;=VLOOKUP(H1712,Dados!$X:$AB,5,0),0,1)</f>
        <v>0</v>
      </c>
    </row>
    <row r="1713" spans="6:21">
      <c r="F1713" s="4">
        <v>809</v>
      </c>
      <c r="G1713" s="4">
        <v>62</v>
      </c>
      <c r="H1713" s="4">
        <v>2</v>
      </c>
      <c r="I1713" s="4">
        <v>27</v>
      </c>
      <c r="J1713" s="4">
        <v>1</v>
      </c>
      <c r="K1713" s="4">
        <f t="shared" si="292"/>
        <v>0</v>
      </c>
      <c r="L1713" s="4">
        <f t="shared" si="292"/>
        <v>0</v>
      </c>
      <c r="M1713" s="4">
        <f t="shared" si="292"/>
        <v>0</v>
      </c>
      <c r="N1713" s="4">
        <f t="shared" si="292"/>
        <v>0</v>
      </c>
      <c r="O1713" s="4">
        <f t="shared" si="293"/>
        <v>0</v>
      </c>
      <c r="P1713" s="4">
        <f t="shared" si="294"/>
        <v>0</v>
      </c>
      <c r="Q1713" s="4">
        <f t="shared" si="295"/>
        <v>0</v>
      </c>
      <c r="R1713" s="4">
        <f t="shared" si="296"/>
        <v>0</v>
      </c>
      <c r="S1713" s="4">
        <f>IF(AND(VLOOKUP(G1713,Dados!$D:$L,2,0)=VLOOKUP(I1713,Dados!$S:$V,2,0),VLOOKUP(G1713,Dados!$D:$L,3,0)=VLOOKUP(I1713,Dados!$S:$V,3,0)),0,1)</f>
        <v>0</v>
      </c>
      <c r="T1713" s="4">
        <f>IF(AND(VLOOKUP(G1713,Dados!$D:$L,3,0)&lt;=VLOOKUP(H1713,Dados!$X:$AB,2,0),VLOOKUP(G1713,Dados!$D:$L,4,0)&gt;=VLOOKUP(H1713,Dados!$X:$AB,3,0),VLOOKUP(G1713,Dados!$D:$L,4,0)&lt;=VLOOKUP(H1713,Dados!$X:$AB,4,0)),0,1)</f>
        <v>0</v>
      </c>
      <c r="U1713" s="4">
        <f>IF(COUNTIFS(F:F,F1713,H:H,H1713)&lt;=VLOOKUP(H1713,Dados!$X:$AB,5,0),0,1)</f>
        <v>0</v>
      </c>
    </row>
    <row r="1714" spans="6:21">
      <c r="F1714" s="4">
        <v>809</v>
      </c>
      <c r="G1714" s="4">
        <v>63</v>
      </c>
      <c r="H1714" s="4">
        <v>2</v>
      </c>
      <c r="I1714" s="4">
        <v>27</v>
      </c>
      <c r="J1714" s="4">
        <v>8</v>
      </c>
      <c r="K1714" s="4">
        <f t="shared" si="292"/>
        <v>0</v>
      </c>
      <c r="L1714" s="4">
        <f t="shared" si="292"/>
        <v>0</v>
      </c>
      <c r="M1714" s="4">
        <f t="shared" si="292"/>
        <v>0</v>
      </c>
      <c r="N1714" s="4">
        <f t="shared" si="292"/>
        <v>0</v>
      </c>
      <c r="O1714" s="4">
        <f t="shared" si="293"/>
        <v>0</v>
      </c>
      <c r="P1714" s="4">
        <f t="shared" si="294"/>
        <v>0</v>
      </c>
      <c r="Q1714" s="4">
        <f t="shared" si="295"/>
        <v>0</v>
      </c>
      <c r="R1714" s="4">
        <f t="shared" si="296"/>
        <v>0</v>
      </c>
      <c r="S1714" s="4">
        <f>IF(AND(VLOOKUP(G1714,Dados!$D:$L,2,0)=VLOOKUP(I1714,Dados!$S:$V,2,0),VLOOKUP(G1714,Dados!$D:$L,3,0)=VLOOKUP(I1714,Dados!$S:$V,3,0)),0,1)</f>
        <v>0</v>
      </c>
      <c r="T1714" s="4">
        <f>IF(AND(VLOOKUP(G1714,Dados!$D:$L,3,0)&lt;=VLOOKUP(H1714,Dados!$X:$AB,2,0),VLOOKUP(G1714,Dados!$D:$L,4,0)&gt;=VLOOKUP(H1714,Dados!$X:$AB,3,0),VLOOKUP(G1714,Dados!$D:$L,4,0)&lt;=VLOOKUP(H1714,Dados!$X:$AB,4,0)),0,1)</f>
        <v>0</v>
      </c>
      <c r="U1714" s="4">
        <f>IF(COUNTIFS(F:F,F1714,H:H,H1714)&lt;=VLOOKUP(H1714,Dados!$X:$AB,5,0),0,1)</f>
        <v>0</v>
      </c>
    </row>
    <row r="1715" spans="6:21">
      <c r="F1715" s="4">
        <v>809</v>
      </c>
      <c r="G1715" s="4">
        <v>65</v>
      </c>
      <c r="H1715" s="4">
        <v>2</v>
      </c>
      <c r="I1715" s="4">
        <v>27</v>
      </c>
      <c r="J1715" s="4">
        <v>2</v>
      </c>
      <c r="K1715" s="4">
        <f t="shared" si="292"/>
        <v>0</v>
      </c>
      <c r="L1715" s="4">
        <f t="shared" si="292"/>
        <v>0</v>
      </c>
      <c r="M1715" s="4">
        <f t="shared" si="292"/>
        <v>0</v>
      </c>
      <c r="N1715" s="4">
        <f t="shared" si="292"/>
        <v>0</v>
      </c>
      <c r="O1715" s="4">
        <f t="shared" si="293"/>
        <v>0</v>
      </c>
      <c r="P1715" s="4">
        <f t="shared" si="294"/>
        <v>0</v>
      </c>
      <c r="Q1715" s="4">
        <f t="shared" si="295"/>
        <v>0</v>
      </c>
      <c r="R1715" s="4">
        <f t="shared" si="296"/>
        <v>0</v>
      </c>
      <c r="S1715" s="4">
        <f>IF(AND(VLOOKUP(G1715,Dados!$D:$L,2,0)=VLOOKUP(I1715,Dados!$S:$V,2,0),VLOOKUP(G1715,Dados!$D:$L,3,0)=VLOOKUP(I1715,Dados!$S:$V,3,0)),0,1)</f>
        <v>0</v>
      </c>
      <c r="T1715" s="4">
        <f>IF(AND(VLOOKUP(G1715,Dados!$D:$L,3,0)&lt;=VLOOKUP(H1715,Dados!$X:$AB,2,0),VLOOKUP(G1715,Dados!$D:$L,4,0)&gt;=VLOOKUP(H1715,Dados!$X:$AB,3,0),VLOOKUP(G1715,Dados!$D:$L,4,0)&lt;=VLOOKUP(H1715,Dados!$X:$AB,4,0)),0,1)</f>
        <v>0</v>
      </c>
      <c r="U1715" s="4">
        <f>IF(COUNTIFS(F:F,F1715,H:H,H1715)&lt;=VLOOKUP(H1715,Dados!$X:$AB,5,0),0,1)</f>
        <v>0</v>
      </c>
    </row>
    <row r="1716" spans="6:21">
      <c r="F1716" s="4">
        <v>810</v>
      </c>
      <c r="G1716" s="4">
        <v>62</v>
      </c>
      <c r="H1716" s="4">
        <v>3</v>
      </c>
      <c r="I1716" s="4">
        <v>27</v>
      </c>
      <c r="J1716" s="4">
        <v>1</v>
      </c>
      <c r="K1716" s="4">
        <f t="shared" si="292"/>
        <v>0</v>
      </c>
      <c r="L1716" s="4">
        <f t="shared" si="292"/>
        <v>0</v>
      </c>
      <c r="M1716" s="4">
        <f t="shared" si="292"/>
        <v>0</v>
      </c>
      <c r="N1716" s="4">
        <f t="shared" si="292"/>
        <v>0</v>
      </c>
      <c r="O1716" s="4">
        <f t="shared" si="293"/>
        <v>0</v>
      </c>
      <c r="P1716" s="4">
        <f t="shared" si="294"/>
        <v>0</v>
      </c>
      <c r="Q1716" s="4">
        <f t="shared" si="295"/>
        <v>0</v>
      </c>
      <c r="R1716" s="4">
        <f t="shared" si="296"/>
        <v>0</v>
      </c>
      <c r="S1716" s="4">
        <f>IF(AND(VLOOKUP(G1716,Dados!$D:$L,2,0)=VLOOKUP(I1716,Dados!$S:$V,2,0),VLOOKUP(G1716,Dados!$D:$L,3,0)=VLOOKUP(I1716,Dados!$S:$V,3,0)),0,1)</f>
        <v>0</v>
      </c>
      <c r="T1716" s="4">
        <f>IF(AND(VLOOKUP(G1716,Dados!$D:$L,3,0)&lt;=VLOOKUP(H1716,Dados!$X:$AB,2,0),VLOOKUP(G1716,Dados!$D:$L,4,0)&gt;=VLOOKUP(H1716,Dados!$X:$AB,3,0),VLOOKUP(G1716,Dados!$D:$L,4,0)&lt;=VLOOKUP(H1716,Dados!$X:$AB,4,0)),0,1)</f>
        <v>0</v>
      </c>
      <c r="U1716" s="4">
        <f>IF(COUNTIFS(F:F,F1716,H:H,H1716)&lt;=VLOOKUP(H1716,Dados!$X:$AB,5,0),0,1)</f>
        <v>0</v>
      </c>
    </row>
    <row r="1717" spans="6:21">
      <c r="F1717" s="4">
        <v>810</v>
      </c>
      <c r="G1717" s="4">
        <v>63</v>
      </c>
      <c r="H1717" s="4">
        <v>3</v>
      </c>
      <c r="I1717" s="4">
        <v>27</v>
      </c>
      <c r="J1717" s="4">
        <v>8</v>
      </c>
      <c r="K1717" s="4">
        <f t="shared" si="292"/>
        <v>0</v>
      </c>
      <c r="L1717" s="4">
        <f t="shared" si="292"/>
        <v>0</v>
      </c>
      <c r="M1717" s="4">
        <f t="shared" si="292"/>
        <v>0</v>
      </c>
      <c r="N1717" s="4">
        <f t="shared" si="292"/>
        <v>0</v>
      </c>
      <c r="O1717" s="4">
        <f t="shared" si="293"/>
        <v>0</v>
      </c>
      <c r="P1717" s="4">
        <f t="shared" si="294"/>
        <v>0</v>
      </c>
      <c r="Q1717" s="4">
        <f t="shared" si="295"/>
        <v>0</v>
      </c>
      <c r="R1717" s="4">
        <f t="shared" si="296"/>
        <v>0</v>
      </c>
      <c r="S1717" s="4">
        <f>IF(AND(VLOOKUP(G1717,Dados!$D:$L,2,0)=VLOOKUP(I1717,Dados!$S:$V,2,0),VLOOKUP(G1717,Dados!$D:$L,3,0)=VLOOKUP(I1717,Dados!$S:$V,3,0)),0,1)</f>
        <v>0</v>
      </c>
      <c r="T1717" s="4">
        <f>IF(AND(VLOOKUP(G1717,Dados!$D:$L,3,0)&lt;=VLOOKUP(H1717,Dados!$X:$AB,2,0),VLOOKUP(G1717,Dados!$D:$L,4,0)&gt;=VLOOKUP(H1717,Dados!$X:$AB,3,0),VLOOKUP(G1717,Dados!$D:$L,4,0)&lt;=VLOOKUP(H1717,Dados!$X:$AB,4,0)),0,1)</f>
        <v>0</v>
      </c>
      <c r="U1717" s="4">
        <f>IF(COUNTIFS(F:F,F1717,H:H,H1717)&lt;=VLOOKUP(H1717,Dados!$X:$AB,5,0),0,1)</f>
        <v>0</v>
      </c>
    </row>
    <row r="1718" spans="6:21">
      <c r="F1718" s="4">
        <v>810</v>
      </c>
      <c r="G1718" s="4">
        <v>65</v>
      </c>
      <c r="H1718" s="4">
        <v>3</v>
      </c>
      <c r="I1718" s="4">
        <v>27</v>
      </c>
      <c r="J1718" s="4">
        <v>2</v>
      </c>
      <c r="K1718" s="4">
        <f t="shared" si="292"/>
        <v>0</v>
      </c>
      <c r="L1718" s="4">
        <f t="shared" si="292"/>
        <v>0</v>
      </c>
      <c r="M1718" s="4">
        <f t="shared" si="292"/>
        <v>0</v>
      </c>
      <c r="N1718" s="4">
        <f t="shared" si="292"/>
        <v>0</v>
      </c>
      <c r="O1718" s="4">
        <f t="shared" si="293"/>
        <v>0</v>
      </c>
      <c r="P1718" s="4">
        <f t="shared" si="294"/>
        <v>0</v>
      </c>
      <c r="Q1718" s="4">
        <f t="shared" si="295"/>
        <v>0</v>
      </c>
      <c r="R1718" s="4">
        <f t="shared" si="296"/>
        <v>0</v>
      </c>
      <c r="S1718" s="4">
        <f>IF(AND(VLOOKUP(G1718,Dados!$D:$L,2,0)=VLOOKUP(I1718,Dados!$S:$V,2,0),VLOOKUP(G1718,Dados!$D:$L,3,0)=VLOOKUP(I1718,Dados!$S:$V,3,0)),0,1)</f>
        <v>0</v>
      </c>
      <c r="T1718" s="4">
        <f>IF(AND(VLOOKUP(G1718,Dados!$D:$L,3,0)&lt;=VLOOKUP(H1718,Dados!$X:$AB,2,0),VLOOKUP(G1718,Dados!$D:$L,4,0)&gt;=VLOOKUP(H1718,Dados!$X:$AB,3,0),VLOOKUP(G1718,Dados!$D:$L,4,0)&lt;=VLOOKUP(H1718,Dados!$X:$AB,4,0)),0,1)</f>
        <v>0</v>
      </c>
      <c r="U1718" s="4">
        <f>IF(COUNTIFS(F:F,F1718,H:H,H1718)&lt;=VLOOKUP(H1718,Dados!$X:$AB,5,0),0,1)</f>
        <v>0</v>
      </c>
    </row>
    <row r="1719" spans="6:21">
      <c r="F1719" s="4">
        <v>811</v>
      </c>
      <c r="G1719" s="4">
        <v>62</v>
      </c>
      <c r="H1719" s="4">
        <v>1</v>
      </c>
      <c r="I1719" s="4">
        <v>28</v>
      </c>
      <c r="J1719" s="4">
        <v>2</v>
      </c>
      <c r="K1719" s="4">
        <f t="shared" si="292"/>
        <v>0</v>
      </c>
      <c r="L1719" s="4">
        <f t="shared" si="292"/>
        <v>0</v>
      </c>
      <c r="M1719" s="4">
        <f t="shared" si="292"/>
        <v>0</v>
      </c>
      <c r="N1719" s="4">
        <f t="shared" si="292"/>
        <v>0</v>
      </c>
      <c r="O1719" s="4">
        <f t="shared" si="293"/>
        <v>0</v>
      </c>
      <c r="P1719" s="4">
        <f t="shared" si="294"/>
        <v>0</v>
      </c>
      <c r="Q1719" s="4">
        <f t="shared" si="295"/>
        <v>0</v>
      </c>
      <c r="R1719" s="4">
        <f t="shared" si="296"/>
        <v>0</v>
      </c>
      <c r="S1719" s="4">
        <f>IF(AND(VLOOKUP(G1719,Dados!$D:$L,2,0)=VLOOKUP(I1719,Dados!$S:$V,2,0),VLOOKUP(G1719,Dados!$D:$L,3,0)=VLOOKUP(I1719,Dados!$S:$V,3,0)),0,1)</f>
        <v>0</v>
      </c>
      <c r="T1719" s="4">
        <f>IF(AND(VLOOKUP(G1719,Dados!$D:$L,3,0)&lt;=VLOOKUP(H1719,Dados!$X:$AB,2,0),VLOOKUP(G1719,Dados!$D:$L,4,0)&gt;=VLOOKUP(H1719,Dados!$X:$AB,3,0),VLOOKUP(G1719,Dados!$D:$L,4,0)&lt;=VLOOKUP(H1719,Dados!$X:$AB,4,0)),0,1)</f>
        <v>0</v>
      </c>
      <c r="U1719" s="4">
        <f>IF(COUNTIFS(F:F,F1719,H:H,H1719)&lt;=VLOOKUP(H1719,Dados!$X:$AB,5,0),0,1)</f>
        <v>0</v>
      </c>
    </row>
    <row r="1720" spans="6:21">
      <c r="F1720" s="4">
        <v>811</v>
      </c>
      <c r="G1720" s="4">
        <v>63</v>
      </c>
      <c r="H1720" s="4">
        <v>1</v>
      </c>
      <c r="I1720" s="4">
        <v>28</v>
      </c>
      <c r="J1720" s="4">
        <v>8</v>
      </c>
      <c r="K1720" s="4">
        <f t="shared" si="292"/>
        <v>0</v>
      </c>
      <c r="L1720" s="4">
        <f t="shared" si="292"/>
        <v>0</v>
      </c>
      <c r="M1720" s="4">
        <f t="shared" si="292"/>
        <v>0</v>
      </c>
      <c r="N1720" s="4">
        <f t="shared" si="292"/>
        <v>0</v>
      </c>
      <c r="O1720" s="4">
        <f t="shared" si="293"/>
        <v>0</v>
      </c>
      <c r="P1720" s="4">
        <f t="shared" si="294"/>
        <v>0</v>
      </c>
      <c r="Q1720" s="4">
        <f t="shared" si="295"/>
        <v>0</v>
      </c>
      <c r="R1720" s="4">
        <f t="shared" si="296"/>
        <v>0</v>
      </c>
      <c r="S1720" s="4">
        <f>IF(AND(VLOOKUP(G1720,Dados!$D:$L,2,0)=VLOOKUP(I1720,Dados!$S:$V,2,0),VLOOKUP(G1720,Dados!$D:$L,3,0)=VLOOKUP(I1720,Dados!$S:$V,3,0)),0,1)</f>
        <v>0</v>
      </c>
      <c r="T1720" s="4">
        <f>IF(AND(VLOOKUP(G1720,Dados!$D:$L,3,0)&lt;=VLOOKUP(H1720,Dados!$X:$AB,2,0),VLOOKUP(G1720,Dados!$D:$L,4,0)&gt;=VLOOKUP(H1720,Dados!$X:$AB,3,0),VLOOKUP(G1720,Dados!$D:$L,4,0)&lt;=VLOOKUP(H1720,Dados!$X:$AB,4,0)),0,1)</f>
        <v>0</v>
      </c>
      <c r="U1720" s="4">
        <f>IF(COUNTIFS(F:F,F1720,H:H,H1720)&lt;=VLOOKUP(H1720,Dados!$X:$AB,5,0),0,1)</f>
        <v>0</v>
      </c>
    </row>
    <row r="1721" spans="6:21">
      <c r="F1721" s="4">
        <v>811</v>
      </c>
      <c r="G1721" s="4">
        <v>65</v>
      </c>
      <c r="H1721" s="4">
        <v>1</v>
      </c>
      <c r="I1721" s="4">
        <v>28</v>
      </c>
      <c r="J1721" s="4">
        <v>1</v>
      </c>
      <c r="K1721" s="4">
        <f t="shared" si="292"/>
        <v>0</v>
      </c>
      <c r="L1721" s="4">
        <f t="shared" si="292"/>
        <v>0</v>
      </c>
      <c r="M1721" s="4">
        <f t="shared" si="292"/>
        <v>0</v>
      </c>
      <c r="N1721" s="4">
        <f t="shared" si="292"/>
        <v>0</v>
      </c>
      <c r="O1721" s="4">
        <f t="shared" si="293"/>
        <v>0</v>
      </c>
      <c r="P1721" s="4">
        <f t="shared" si="294"/>
        <v>0</v>
      </c>
      <c r="Q1721" s="4">
        <f t="shared" si="295"/>
        <v>0</v>
      </c>
      <c r="R1721" s="4">
        <f t="shared" si="296"/>
        <v>0</v>
      </c>
      <c r="S1721" s="4">
        <f>IF(AND(VLOOKUP(G1721,Dados!$D:$L,2,0)=VLOOKUP(I1721,Dados!$S:$V,2,0),VLOOKUP(G1721,Dados!$D:$L,3,0)=VLOOKUP(I1721,Dados!$S:$V,3,0)),0,1)</f>
        <v>0</v>
      </c>
      <c r="T1721" s="4">
        <f>IF(AND(VLOOKUP(G1721,Dados!$D:$L,3,0)&lt;=VLOOKUP(H1721,Dados!$X:$AB,2,0),VLOOKUP(G1721,Dados!$D:$L,4,0)&gt;=VLOOKUP(H1721,Dados!$X:$AB,3,0),VLOOKUP(G1721,Dados!$D:$L,4,0)&lt;=VLOOKUP(H1721,Dados!$X:$AB,4,0)),0,1)</f>
        <v>0</v>
      </c>
      <c r="U1721" s="4">
        <f>IF(COUNTIFS(F:F,F1721,H:H,H1721)&lt;=VLOOKUP(H1721,Dados!$X:$AB,5,0),0,1)</f>
        <v>0</v>
      </c>
    </row>
    <row r="1722" spans="6:21">
      <c r="F1722" s="4">
        <v>812</v>
      </c>
      <c r="G1722" s="4">
        <v>62</v>
      </c>
      <c r="H1722" s="4">
        <v>2</v>
      </c>
      <c r="I1722" s="4">
        <v>28</v>
      </c>
      <c r="J1722" s="4">
        <v>2</v>
      </c>
      <c r="K1722" s="4">
        <f t="shared" si="292"/>
        <v>0</v>
      </c>
      <c r="L1722" s="4">
        <f t="shared" si="292"/>
        <v>0</v>
      </c>
      <c r="M1722" s="4">
        <f t="shared" si="292"/>
        <v>0</v>
      </c>
      <c r="N1722" s="4">
        <f t="shared" si="292"/>
        <v>0</v>
      </c>
      <c r="O1722" s="4">
        <f t="shared" si="293"/>
        <v>0</v>
      </c>
      <c r="P1722" s="4">
        <f t="shared" si="294"/>
        <v>0</v>
      </c>
      <c r="Q1722" s="4">
        <f t="shared" si="295"/>
        <v>0</v>
      </c>
      <c r="R1722" s="4">
        <f t="shared" si="296"/>
        <v>0</v>
      </c>
      <c r="S1722" s="4">
        <f>IF(AND(VLOOKUP(G1722,Dados!$D:$L,2,0)=VLOOKUP(I1722,Dados!$S:$V,2,0),VLOOKUP(G1722,Dados!$D:$L,3,0)=VLOOKUP(I1722,Dados!$S:$V,3,0)),0,1)</f>
        <v>0</v>
      </c>
      <c r="T1722" s="4">
        <f>IF(AND(VLOOKUP(G1722,Dados!$D:$L,3,0)&lt;=VLOOKUP(H1722,Dados!$X:$AB,2,0),VLOOKUP(G1722,Dados!$D:$L,4,0)&gt;=VLOOKUP(H1722,Dados!$X:$AB,3,0),VLOOKUP(G1722,Dados!$D:$L,4,0)&lt;=VLOOKUP(H1722,Dados!$X:$AB,4,0)),0,1)</f>
        <v>0</v>
      </c>
      <c r="U1722" s="4">
        <f>IF(COUNTIFS(F:F,F1722,H:H,H1722)&lt;=VLOOKUP(H1722,Dados!$X:$AB,5,0),0,1)</f>
        <v>0</v>
      </c>
    </row>
    <row r="1723" spans="6:21">
      <c r="F1723" s="4">
        <v>812</v>
      </c>
      <c r="G1723" s="4">
        <v>63</v>
      </c>
      <c r="H1723" s="4">
        <v>2</v>
      </c>
      <c r="I1723" s="4">
        <v>28</v>
      </c>
      <c r="J1723" s="4">
        <v>8</v>
      </c>
      <c r="K1723" s="4">
        <f t="shared" si="292"/>
        <v>0</v>
      </c>
      <c r="L1723" s="4">
        <f t="shared" si="292"/>
        <v>0</v>
      </c>
      <c r="M1723" s="4">
        <f t="shared" si="292"/>
        <v>0</v>
      </c>
      <c r="N1723" s="4">
        <f t="shared" si="292"/>
        <v>0</v>
      </c>
      <c r="O1723" s="4">
        <f t="shared" si="293"/>
        <v>0</v>
      </c>
      <c r="P1723" s="4">
        <f t="shared" si="294"/>
        <v>0</v>
      </c>
      <c r="Q1723" s="4">
        <f t="shared" si="295"/>
        <v>0</v>
      </c>
      <c r="R1723" s="4">
        <f t="shared" si="296"/>
        <v>0</v>
      </c>
      <c r="S1723" s="4">
        <f>IF(AND(VLOOKUP(G1723,Dados!$D:$L,2,0)=VLOOKUP(I1723,Dados!$S:$V,2,0),VLOOKUP(G1723,Dados!$D:$L,3,0)=VLOOKUP(I1723,Dados!$S:$V,3,0)),0,1)</f>
        <v>0</v>
      </c>
      <c r="T1723" s="4">
        <f>IF(AND(VLOOKUP(G1723,Dados!$D:$L,3,0)&lt;=VLOOKUP(H1723,Dados!$X:$AB,2,0),VLOOKUP(G1723,Dados!$D:$L,4,0)&gt;=VLOOKUP(H1723,Dados!$X:$AB,3,0),VLOOKUP(G1723,Dados!$D:$L,4,0)&lt;=VLOOKUP(H1723,Dados!$X:$AB,4,0)),0,1)</f>
        <v>0</v>
      </c>
      <c r="U1723" s="4">
        <f>IF(COUNTIFS(F:F,F1723,H:H,H1723)&lt;=VLOOKUP(H1723,Dados!$X:$AB,5,0),0,1)</f>
        <v>0</v>
      </c>
    </row>
    <row r="1724" spans="6:21">
      <c r="F1724" s="4">
        <v>812</v>
      </c>
      <c r="G1724" s="4">
        <v>65</v>
      </c>
      <c r="H1724" s="4">
        <v>2</v>
      </c>
      <c r="I1724" s="4">
        <v>28</v>
      </c>
      <c r="J1724" s="4">
        <v>1</v>
      </c>
      <c r="K1724" s="4">
        <f t="shared" si="292"/>
        <v>0</v>
      </c>
      <c r="L1724" s="4">
        <f t="shared" si="292"/>
        <v>0</v>
      </c>
      <c r="M1724" s="4">
        <f t="shared" si="292"/>
        <v>0</v>
      </c>
      <c r="N1724" s="4">
        <f t="shared" si="292"/>
        <v>0</v>
      </c>
      <c r="O1724" s="4">
        <f t="shared" si="293"/>
        <v>0</v>
      </c>
      <c r="P1724" s="4">
        <f t="shared" si="294"/>
        <v>0</v>
      </c>
      <c r="Q1724" s="4">
        <f t="shared" si="295"/>
        <v>0</v>
      </c>
      <c r="R1724" s="4">
        <f t="shared" si="296"/>
        <v>0</v>
      </c>
      <c r="S1724" s="4">
        <f>IF(AND(VLOOKUP(G1724,Dados!$D:$L,2,0)=VLOOKUP(I1724,Dados!$S:$V,2,0),VLOOKUP(G1724,Dados!$D:$L,3,0)=VLOOKUP(I1724,Dados!$S:$V,3,0)),0,1)</f>
        <v>0</v>
      </c>
      <c r="T1724" s="4">
        <f>IF(AND(VLOOKUP(G1724,Dados!$D:$L,3,0)&lt;=VLOOKUP(H1724,Dados!$X:$AB,2,0),VLOOKUP(G1724,Dados!$D:$L,4,0)&gt;=VLOOKUP(H1724,Dados!$X:$AB,3,0),VLOOKUP(G1724,Dados!$D:$L,4,0)&lt;=VLOOKUP(H1724,Dados!$X:$AB,4,0)),0,1)</f>
        <v>0</v>
      </c>
      <c r="U1724" s="4">
        <f>IF(COUNTIFS(F:F,F1724,H:H,H1724)&lt;=VLOOKUP(H1724,Dados!$X:$AB,5,0),0,1)</f>
        <v>0</v>
      </c>
    </row>
    <row r="1725" spans="6:21">
      <c r="F1725" s="4">
        <v>813</v>
      </c>
      <c r="G1725" s="4">
        <v>62</v>
      </c>
      <c r="H1725" s="4">
        <v>3</v>
      </c>
      <c r="I1725" s="4">
        <v>28</v>
      </c>
      <c r="J1725" s="4">
        <v>2</v>
      </c>
      <c r="K1725" s="4">
        <f t="shared" si="292"/>
        <v>0</v>
      </c>
      <c r="L1725" s="4">
        <f t="shared" si="292"/>
        <v>0</v>
      </c>
      <c r="M1725" s="4">
        <f t="shared" si="292"/>
        <v>0</v>
      </c>
      <c r="N1725" s="4">
        <f t="shared" si="292"/>
        <v>0</v>
      </c>
      <c r="O1725" s="4">
        <f t="shared" si="293"/>
        <v>0</v>
      </c>
      <c r="P1725" s="4">
        <f t="shared" si="294"/>
        <v>0</v>
      </c>
      <c r="Q1725" s="4">
        <f t="shared" si="295"/>
        <v>0</v>
      </c>
      <c r="R1725" s="4">
        <f t="shared" si="296"/>
        <v>0</v>
      </c>
      <c r="S1725" s="4">
        <f>IF(AND(VLOOKUP(G1725,Dados!$D:$L,2,0)=VLOOKUP(I1725,Dados!$S:$V,2,0),VLOOKUP(G1725,Dados!$D:$L,3,0)=VLOOKUP(I1725,Dados!$S:$V,3,0)),0,1)</f>
        <v>0</v>
      </c>
      <c r="T1725" s="4">
        <f>IF(AND(VLOOKUP(G1725,Dados!$D:$L,3,0)&lt;=VLOOKUP(H1725,Dados!$X:$AB,2,0),VLOOKUP(G1725,Dados!$D:$L,4,0)&gt;=VLOOKUP(H1725,Dados!$X:$AB,3,0),VLOOKUP(G1725,Dados!$D:$L,4,0)&lt;=VLOOKUP(H1725,Dados!$X:$AB,4,0)),0,1)</f>
        <v>0</v>
      </c>
      <c r="U1725" s="4">
        <f>IF(COUNTIFS(F:F,F1725,H:H,H1725)&lt;=VLOOKUP(H1725,Dados!$X:$AB,5,0),0,1)</f>
        <v>0</v>
      </c>
    </row>
    <row r="1726" spans="6:21">
      <c r="F1726" s="4">
        <v>813</v>
      </c>
      <c r="G1726" s="4">
        <v>63</v>
      </c>
      <c r="H1726" s="4">
        <v>3</v>
      </c>
      <c r="I1726" s="4">
        <v>28</v>
      </c>
      <c r="J1726" s="4">
        <v>8</v>
      </c>
      <c r="K1726" s="4">
        <f t="shared" si="292"/>
        <v>0</v>
      </c>
      <c r="L1726" s="4">
        <f t="shared" si="292"/>
        <v>0</v>
      </c>
      <c r="M1726" s="4">
        <f t="shared" si="292"/>
        <v>0</v>
      </c>
      <c r="N1726" s="4">
        <f t="shared" si="292"/>
        <v>0</v>
      </c>
      <c r="O1726" s="4">
        <f t="shared" si="293"/>
        <v>0</v>
      </c>
      <c r="P1726" s="4">
        <f t="shared" si="294"/>
        <v>0</v>
      </c>
      <c r="Q1726" s="4">
        <f t="shared" si="295"/>
        <v>0</v>
      </c>
      <c r="R1726" s="4">
        <f t="shared" si="296"/>
        <v>0</v>
      </c>
      <c r="S1726" s="4">
        <f>IF(AND(VLOOKUP(G1726,Dados!$D:$L,2,0)=VLOOKUP(I1726,Dados!$S:$V,2,0),VLOOKUP(G1726,Dados!$D:$L,3,0)=VLOOKUP(I1726,Dados!$S:$V,3,0)),0,1)</f>
        <v>0</v>
      </c>
      <c r="T1726" s="4">
        <f>IF(AND(VLOOKUP(G1726,Dados!$D:$L,3,0)&lt;=VLOOKUP(H1726,Dados!$X:$AB,2,0),VLOOKUP(G1726,Dados!$D:$L,4,0)&gt;=VLOOKUP(H1726,Dados!$X:$AB,3,0),VLOOKUP(G1726,Dados!$D:$L,4,0)&lt;=VLOOKUP(H1726,Dados!$X:$AB,4,0)),0,1)</f>
        <v>0</v>
      </c>
      <c r="U1726" s="4">
        <f>IF(COUNTIFS(F:F,F1726,H:H,H1726)&lt;=VLOOKUP(H1726,Dados!$X:$AB,5,0),0,1)</f>
        <v>0</v>
      </c>
    </row>
    <row r="1727" spans="6:21">
      <c r="F1727" s="4">
        <v>813</v>
      </c>
      <c r="G1727" s="4">
        <v>65</v>
      </c>
      <c r="H1727" s="4">
        <v>3</v>
      </c>
      <c r="I1727" s="4">
        <v>28</v>
      </c>
      <c r="J1727" s="4">
        <v>1</v>
      </c>
      <c r="K1727" s="4">
        <f t="shared" si="292"/>
        <v>0</v>
      </c>
      <c r="L1727" s="4">
        <f t="shared" si="292"/>
        <v>0</v>
      </c>
      <c r="M1727" s="4">
        <f t="shared" si="292"/>
        <v>0</v>
      </c>
      <c r="N1727" s="4">
        <f t="shared" si="292"/>
        <v>0</v>
      </c>
      <c r="O1727" s="4">
        <f t="shared" si="293"/>
        <v>0</v>
      </c>
      <c r="P1727" s="4">
        <f t="shared" si="294"/>
        <v>0</v>
      </c>
      <c r="Q1727" s="4">
        <f t="shared" si="295"/>
        <v>0</v>
      </c>
      <c r="R1727" s="4">
        <f t="shared" si="296"/>
        <v>0</v>
      </c>
      <c r="S1727" s="4">
        <f>IF(AND(VLOOKUP(G1727,Dados!$D:$L,2,0)=VLOOKUP(I1727,Dados!$S:$V,2,0),VLOOKUP(G1727,Dados!$D:$L,3,0)=VLOOKUP(I1727,Dados!$S:$V,3,0)),0,1)</f>
        <v>0</v>
      </c>
      <c r="T1727" s="4">
        <f>IF(AND(VLOOKUP(G1727,Dados!$D:$L,3,0)&lt;=VLOOKUP(H1727,Dados!$X:$AB,2,0),VLOOKUP(G1727,Dados!$D:$L,4,0)&gt;=VLOOKUP(H1727,Dados!$X:$AB,3,0),VLOOKUP(G1727,Dados!$D:$L,4,0)&lt;=VLOOKUP(H1727,Dados!$X:$AB,4,0)),0,1)</f>
        <v>0</v>
      </c>
      <c r="U1727" s="4">
        <f>IF(COUNTIFS(F:F,F1727,H:H,H1727)&lt;=VLOOKUP(H1727,Dados!$X:$AB,5,0),0,1)</f>
        <v>0</v>
      </c>
    </row>
    <row r="1728" spans="6:21">
      <c r="F1728" s="4">
        <v>814</v>
      </c>
      <c r="G1728" s="4">
        <v>62</v>
      </c>
      <c r="H1728" s="4">
        <v>1</v>
      </c>
      <c r="I1728" s="4">
        <v>29</v>
      </c>
      <c r="J1728" s="4">
        <v>2</v>
      </c>
      <c r="K1728" s="4">
        <f t="shared" si="292"/>
        <v>0</v>
      </c>
      <c r="L1728" s="4">
        <f t="shared" si="292"/>
        <v>0</v>
      </c>
      <c r="M1728" s="4">
        <f t="shared" si="292"/>
        <v>0</v>
      </c>
      <c r="N1728" s="4">
        <f t="shared" si="292"/>
        <v>0</v>
      </c>
      <c r="O1728" s="4">
        <f t="shared" si="293"/>
        <v>0</v>
      </c>
      <c r="P1728" s="4">
        <f t="shared" si="294"/>
        <v>0</v>
      </c>
      <c r="Q1728" s="4">
        <f t="shared" si="295"/>
        <v>0</v>
      </c>
      <c r="R1728" s="4">
        <f t="shared" si="296"/>
        <v>0</v>
      </c>
      <c r="S1728" s="4">
        <f>IF(AND(VLOOKUP(G1728,Dados!$D:$L,2,0)=VLOOKUP(I1728,Dados!$S:$V,2,0),VLOOKUP(G1728,Dados!$D:$L,3,0)=VLOOKUP(I1728,Dados!$S:$V,3,0)),0,1)</f>
        <v>0</v>
      </c>
      <c r="T1728" s="4">
        <f>IF(AND(VLOOKUP(G1728,Dados!$D:$L,3,0)&lt;=VLOOKUP(H1728,Dados!$X:$AB,2,0),VLOOKUP(G1728,Dados!$D:$L,4,0)&gt;=VLOOKUP(H1728,Dados!$X:$AB,3,0),VLOOKUP(G1728,Dados!$D:$L,4,0)&lt;=VLOOKUP(H1728,Dados!$X:$AB,4,0)),0,1)</f>
        <v>0</v>
      </c>
      <c r="U1728" s="4">
        <f>IF(COUNTIFS(F:F,F1728,H:H,H1728)&lt;=VLOOKUP(H1728,Dados!$X:$AB,5,0),0,1)</f>
        <v>0</v>
      </c>
    </row>
    <row r="1729" spans="6:21">
      <c r="F1729" s="4">
        <v>814</v>
      </c>
      <c r="G1729" s="4">
        <v>63</v>
      </c>
      <c r="H1729" s="4">
        <v>1</v>
      </c>
      <c r="I1729" s="4">
        <v>29</v>
      </c>
      <c r="J1729" s="4">
        <v>10</v>
      </c>
      <c r="K1729" s="4">
        <f t="shared" si="292"/>
        <v>0</v>
      </c>
      <c r="L1729" s="4">
        <f t="shared" si="292"/>
        <v>0</v>
      </c>
      <c r="M1729" s="4">
        <f t="shared" si="292"/>
        <v>0</v>
      </c>
      <c r="N1729" s="4">
        <f t="shared" si="292"/>
        <v>0</v>
      </c>
      <c r="O1729" s="4">
        <f t="shared" si="293"/>
        <v>0</v>
      </c>
      <c r="P1729" s="4">
        <f t="shared" si="294"/>
        <v>0</v>
      </c>
      <c r="Q1729" s="4">
        <f t="shared" si="295"/>
        <v>0</v>
      </c>
      <c r="R1729" s="4">
        <f t="shared" si="296"/>
        <v>0</v>
      </c>
      <c r="S1729" s="4">
        <f>IF(AND(VLOOKUP(G1729,Dados!$D:$L,2,0)=VLOOKUP(I1729,Dados!$S:$V,2,0),VLOOKUP(G1729,Dados!$D:$L,3,0)=VLOOKUP(I1729,Dados!$S:$V,3,0)),0,1)</f>
        <v>0</v>
      </c>
      <c r="T1729" s="4">
        <f>IF(AND(VLOOKUP(G1729,Dados!$D:$L,3,0)&lt;=VLOOKUP(H1729,Dados!$X:$AB,2,0),VLOOKUP(G1729,Dados!$D:$L,4,0)&gt;=VLOOKUP(H1729,Dados!$X:$AB,3,0),VLOOKUP(G1729,Dados!$D:$L,4,0)&lt;=VLOOKUP(H1729,Dados!$X:$AB,4,0)),0,1)</f>
        <v>0</v>
      </c>
      <c r="U1729" s="4">
        <f>IF(COUNTIFS(F:F,F1729,H:H,H1729)&lt;=VLOOKUP(H1729,Dados!$X:$AB,5,0),0,1)</f>
        <v>0</v>
      </c>
    </row>
    <row r="1730" spans="6:21">
      <c r="F1730" s="4">
        <v>815</v>
      </c>
      <c r="G1730" s="4">
        <v>62</v>
      </c>
      <c r="H1730" s="4">
        <v>2</v>
      </c>
      <c r="I1730" s="4">
        <v>29</v>
      </c>
      <c r="J1730" s="4">
        <v>2</v>
      </c>
      <c r="K1730" s="4">
        <f t="shared" si="292"/>
        <v>0</v>
      </c>
      <c r="L1730" s="4">
        <f t="shared" si="292"/>
        <v>0</v>
      </c>
      <c r="M1730" s="4">
        <f t="shared" si="292"/>
        <v>0</v>
      </c>
      <c r="N1730" s="4">
        <f t="shared" si="292"/>
        <v>0</v>
      </c>
      <c r="O1730" s="4">
        <f t="shared" si="293"/>
        <v>0</v>
      </c>
      <c r="P1730" s="4">
        <f t="shared" si="294"/>
        <v>0</v>
      </c>
      <c r="Q1730" s="4">
        <f t="shared" si="295"/>
        <v>0</v>
      </c>
      <c r="R1730" s="4">
        <f t="shared" si="296"/>
        <v>0</v>
      </c>
      <c r="S1730" s="4">
        <f>IF(AND(VLOOKUP(G1730,Dados!$D:$L,2,0)=VLOOKUP(I1730,Dados!$S:$V,2,0),VLOOKUP(G1730,Dados!$D:$L,3,0)=VLOOKUP(I1730,Dados!$S:$V,3,0)),0,1)</f>
        <v>0</v>
      </c>
      <c r="T1730" s="4">
        <f>IF(AND(VLOOKUP(G1730,Dados!$D:$L,3,0)&lt;=VLOOKUP(H1730,Dados!$X:$AB,2,0),VLOOKUP(G1730,Dados!$D:$L,4,0)&gt;=VLOOKUP(H1730,Dados!$X:$AB,3,0),VLOOKUP(G1730,Dados!$D:$L,4,0)&lt;=VLOOKUP(H1730,Dados!$X:$AB,4,0)),0,1)</f>
        <v>0</v>
      </c>
      <c r="U1730" s="4">
        <f>IF(COUNTIFS(F:F,F1730,H:H,H1730)&lt;=VLOOKUP(H1730,Dados!$X:$AB,5,0),0,1)</f>
        <v>0</v>
      </c>
    </row>
    <row r="1731" spans="6:21">
      <c r="F1731" s="4">
        <v>815</v>
      </c>
      <c r="G1731" s="4">
        <v>63</v>
      </c>
      <c r="H1731" s="4">
        <v>2</v>
      </c>
      <c r="I1731" s="4">
        <v>29</v>
      </c>
      <c r="J1731" s="4">
        <v>10</v>
      </c>
      <c r="K1731" s="4">
        <f t="shared" si="292"/>
        <v>0</v>
      </c>
      <c r="L1731" s="4">
        <f t="shared" si="292"/>
        <v>0</v>
      </c>
      <c r="M1731" s="4">
        <f t="shared" si="292"/>
        <v>0</v>
      </c>
      <c r="N1731" s="4">
        <f t="shared" si="292"/>
        <v>0</v>
      </c>
      <c r="O1731" s="4">
        <f t="shared" si="293"/>
        <v>0</v>
      </c>
      <c r="P1731" s="4">
        <f t="shared" si="294"/>
        <v>0</v>
      </c>
      <c r="Q1731" s="4">
        <f t="shared" si="295"/>
        <v>0</v>
      </c>
      <c r="R1731" s="4">
        <f t="shared" si="296"/>
        <v>0</v>
      </c>
      <c r="S1731" s="4">
        <f>IF(AND(VLOOKUP(G1731,Dados!$D:$L,2,0)=VLOOKUP(I1731,Dados!$S:$V,2,0),VLOOKUP(G1731,Dados!$D:$L,3,0)=VLOOKUP(I1731,Dados!$S:$V,3,0)),0,1)</f>
        <v>0</v>
      </c>
      <c r="T1731" s="4">
        <f>IF(AND(VLOOKUP(G1731,Dados!$D:$L,3,0)&lt;=VLOOKUP(H1731,Dados!$X:$AB,2,0),VLOOKUP(G1731,Dados!$D:$L,4,0)&gt;=VLOOKUP(H1731,Dados!$X:$AB,3,0),VLOOKUP(G1731,Dados!$D:$L,4,0)&lt;=VLOOKUP(H1731,Dados!$X:$AB,4,0)),0,1)</f>
        <v>0</v>
      </c>
      <c r="U1731" s="4">
        <f>IF(COUNTIFS(F:F,F1731,H:H,H1731)&lt;=VLOOKUP(H1731,Dados!$X:$AB,5,0),0,1)</f>
        <v>0</v>
      </c>
    </row>
    <row r="1732" spans="6:21">
      <c r="F1732" s="4">
        <v>816</v>
      </c>
      <c r="G1732" s="4">
        <v>62</v>
      </c>
      <c r="H1732" s="4">
        <v>3</v>
      </c>
      <c r="I1732" s="4">
        <v>29</v>
      </c>
      <c r="J1732" s="4">
        <v>2</v>
      </c>
      <c r="K1732" s="4">
        <f t="shared" si="292"/>
        <v>0</v>
      </c>
      <c r="L1732" s="4">
        <f t="shared" si="292"/>
        <v>0</v>
      </c>
      <c r="M1732" s="4">
        <f t="shared" si="292"/>
        <v>0</v>
      </c>
      <c r="N1732" s="4">
        <f t="shared" si="292"/>
        <v>0</v>
      </c>
      <c r="O1732" s="4">
        <f t="shared" si="293"/>
        <v>0</v>
      </c>
      <c r="P1732" s="4">
        <f t="shared" si="294"/>
        <v>0</v>
      </c>
      <c r="Q1732" s="4">
        <f t="shared" si="295"/>
        <v>0</v>
      </c>
      <c r="R1732" s="4">
        <f t="shared" si="296"/>
        <v>0</v>
      </c>
      <c r="S1732" s="4">
        <f>IF(AND(VLOOKUP(G1732,Dados!$D:$L,2,0)=VLOOKUP(I1732,Dados!$S:$V,2,0),VLOOKUP(G1732,Dados!$D:$L,3,0)=VLOOKUP(I1732,Dados!$S:$V,3,0)),0,1)</f>
        <v>0</v>
      </c>
      <c r="T1732" s="4">
        <f>IF(AND(VLOOKUP(G1732,Dados!$D:$L,3,0)&lt;=VLOOKUP(H1732,Dados!$X:$AB,2,0),VLOOKUP(G1732,Dados!$D:$L,4,0)&gt;=VLOOKUP(H1732,Dados!$X:$AB,3,0),VLOOKUP(G1732,Dados!$D:$L,4,0)&lt;=VLOOKUP(H1732,Dados!$X:$AB,4,0)),0,1)</f>
        <v>0</v>
      </c>
      <c r="U1732" s="4">
        <f>IF(COUNTIFS(F:F,F1732,H:H,H1732)&lt;=VLOOKUP(H1732,Dados!$X:$AB,5,0),0,1)</f>
        <v>0</v>
      </c>
    </row>
    <row r="1733" spans="6:21">
      <c r="F1733" s="4">
        <v>816</v>
      </c>
      <c r="G1733" s="4">
        <v>63</v>
      </c>
      <c r="H1733" s="4">
        <v>3</v>
      </c>
      <c r="I1733" s="4">
        <v>29</v>
      </c>
      <c r="J1733" s="4">
        <v>10</v>
      </c>
      <c r="K1733" s="4">
        <f t="shared" si="292"/>
        <v>0</v>
      </c>
      <c r="L1733" s="4">
        <f t="shared" si="292"/>
        <v>0</v>
      </c>
      <c r="M1733" s="4">
        <f t="shared" si="292"/>
        <v>0</v>
      </c>
      <c r="N1733" s="4">
        <f t="shared" si="292"/>
        <v>0</v>
      </c>
      <c r="O1733" s="4">
        <f t="shared" si="293"/>
        <v>0</v>
      </c>
      <c r="P1733" s="4">
        <f t="shared" si="294"/>
        <v>0</v>
      </c>
      <c r="Q1733" s="4">
        <f t="shared" si="295"/>
        <v>0</v>
      </c>
      <c r="R1733" s="4">
        <f t="shared" si="296"/>
        <v>0</v>
      </c>
      <c r="S1733" s="4">
        <f>IF(AND(VLOOKUP(G1733,Dados!$D:$L,2,0)=VLOOKUP(I1733,Dados!$S:$V,2,0),VLOOKUP(G1733,Dados!$D:$L,3,0)=VLOOKUP(I1733,Dados!$S:$V,3,0)),0,1)</f>
        <v>0</v>
      </c>
      <c r="T1733" s="4">
        <f>IF(AND(VLOOKUP(G1733,Dados!$D:$L,3,0)&lt;=VLOOKUP(H1733,Dados!$X:$AB,2,0),VLOOKUP(G1733,Dados!$D:$L,4,0)&gt;=VLOOKUP(H1733,Dados!$X:$AB,3,0),VLOOKUP(G1733,Dados!$D:$L,4,0)&lt;=VLOOKUP(H1733,Dados!$X:$AB,4,0)),0,1)</f>
        <v>0</v>
      </c>
      <c r="U1733" s="4">
        <f>IF(COUNTIFS(F:F,F1733,H:H,H1733)&lt;=VLOOKUP(H1733,Dados!$X:$AB,5,0),0,1)</f>
        <v>0</v>
      </c>
    </row>
    <row r="1734" spans="6:21">
      <c r="F1734" s="4">
        <v>817</v>
      </c>
      <c r="G1734" s="4">
        <v>13</v>
      </c>
      <c r="H1734" s="4">
        <v>1</v>
      </c>
      <c r="I1734" s="4">
        <v>8</v>
      </c>
      <c r="J1734" s="4">
        <v>2</v>
      </c>
      <c r="K1734" s="4">
        <f t="shared" si="292"/>
        <v>0</v>
      </c>
      <c r="L1734" s="4">
        <f t="shared" si="292"/>
        <v>0</v>
      </c>
      <c r="M1734" s="4">
        <f t="shared" si="292"/>
        <v>0</v>
      </c>
      <c r="N1734" s="4">
        <f t="shared" si="292"/>
        <v>0</v>
      </c>
      <c r="O1734" s="4">
        <f t="shared" si="293"/>
        <v>0</v>
      </c>
      <c r="P1734" s="4">
        <f t="shared" si="294"/>
        <v>0</v>
      </c>
      <c r="Q1734" s="4">
        <f t="shared" si="295"/>
        <v>0</v>
      </c>
      <c r="R1734" s="4">
        <f t="shared" si="296"/>
        <v>0</v>
      </c>
      <c r="S1734" s="4">
        <f>IF(AND(VLOOKUP(G1734,Dados!$D:$L,2,0)=VLOOKUP(I1734,Dados!$S:$V,2,0),VLOOKUP(G1734,Dados!$D:$L,3,0)=VLOOKUP(I1734,Dados!$S:$V,3,0)),0,1)</f>
        <v>0</v>
      </c>
      <c r="T1734" s="4">
        <f>IF(AND(VLOOKUP(G1734,Dados!$D:$L,3,0)&lt;=VLOOKUP(H1734,Dados!$X:$AB,2,0),VLOOKUP(G1734,Dados!$D:$L,4,0)&gt;=VLOOKUP(H1734,Dados!$X:$AB,3,0),VLOOKUP(G1734,Dados!$D:$L,4,0)&lt;=VLOOKUP(H1734,Dados!$X:$AB,4,0)),0,1)</f>
        <v>0</v>
      </c>
      <c r="U1734" s="4">
        <f>IF(COUNTIFS(F:F,F1734,H:H,H1734)&lt;=VLOOKUP(H1734,Dados!$X:$AB,5,0),0,1)</f>
        <v>0</v>
      </c>
    </row>
    <row r="1735" spans="6:21">
      <c r="F1735" s="4">
        <v>817</v>
      </c>
      <c r="G1735" s="4">
        <v>15</v>
      </c>
      <c r="H1735" s="4">
        <v>1</v>
      </c>
      <c r="I1735" s="4">
        <v>8</v>
      </c>
      <c r="J1735" s="4">
        <v>2</v>
      </c>
      <c r="K1735" s="4">
        <f t="shared" si="292"/>
        <v>0</v>
      </c>
      <c r="L1735" s="4">
        <f t="shared" si="292"/>
        <v>0</v>
      </c>
      <c r="M1735" s="4">
        <f t="shared" si="292"/>
        <v>0</v>
      </c>
      <c r="N1735" s="4">
        <f t="shared" si="292"/>
        <v>0</v>
      </c>
      <c r="O1735" s="4">
        <f t="shared" si="293"/>
        <v>0</v>
      </c>
      <c r="P1735" s="4">
        <f t="shared" si="294"/>
        <v>0</v>
      </c>
      <c r="Q1735" s="4">
        <f t="shared" si="295"/>
        <v>0</v>
      </c>
      <c r="R1735" s="4">
        <f t="shared" si="296"/>
        <v>0</v>
      </c>
      <c r="S1735" s="4">
        <f>IF(AND(VLOOKUP(G1735,Dados!$D:$L,2,0)=VLOOKUP(I1735,Dados!$S:$V,2,0),VLOOKUP(G1735,Dados!$D:$L,3,0)=VLOOKUP(I1735,Dados!$S:$V,3,0)),0,1)</f>
        <v>0</v>
      </c>
      <c r="T1735" s="4">
        <f>IF(AND(VLOOKUP(G1735,Dados!$D:$L,3,0)&lt;=VLOOKUP(H1735,Dados!$X:$AB,2,0),VLOOKUP(G1735,Dados!$D:$L,4,0)&gt;=VLOOKUP(H1735,Dados!$X:$AB,3,0),VLOOKUP(G1735,Dados!$D:$L,4,0)&lt;=VLOOKUP(H1735,Dados!$X:$AB,4,0)),0,1)</f>
        <v>0</v>
      </c>
      <c r="U1735" s="4">
        <f>IF(COUNTIFS(F:F,F1735,H:H,H1735)&lt;=VLOOKUP(H1735,Dados!$X:$AB,5,0),0,1)</f>
        <v>0</v>
      </c>
    </row>
    <row r="1736" spans="6:21">
      <c r="F1736" s="4">
        <v>817</v>
      </c>
      <c r="G1736" s="4">
        <v>16</v>
      </c>
      <c r="H1736" s="4">
        <v>1</v>
      </c>
      <c r="I1736" s="4">
        <v>8</v>
      </c>
      <c r="J1736" s="4">
        <v>4</v>
      </c>
      <c r="K1736" s="4">
        <f t="shared" si="292"/>
        <v>0</v>
      </c>
      <c r="L1736" s="4">
        <f t="shared" si="292"/>
        <v>0</v>
      </c>
      <c r="M1736" s="4">
        <f t="shared" si="292"/>
        <v>0</v>
      </c>
      <c r="N1736" s="4">
        <f t="shared" si="292"/>
        <v>0</v>
      </c>
      <c r="O1736" s="4">
        <f t="shared" si="293"/>
        <v>0</v>
      </c>
      <c r="P1736" s="4">
        <f t="shared" si="294"/>
        <v>0</v>
      </c>
      <c r="Q1736" s="4">
        <f t="shared" si="295"/>
        <v>0</v>
      </c>
      <c r="R1736" s="4">
        <f t="shared" si="296"/>
        <v>0</v>
      </c>
      <c r="S1736" s="4">
        <f>IF(AND(VLOOKUP(G1736,Dados!$D:$L,2,0)=VLOOKUP(I1736,Dados!$S:$V,2,0),VLOOKUP(G1736,Dados!$D:$L,3,0)=VLOOKUP(I1736,Dados!$S:$V,3,0)),0,1)</f>
        <v>0</v>
      </c>
      <c r="T1736" s="4">
        <f>IF(AND(VLOOKUP(G1736,Dados!$D:$L,3,0)&lt;=VLOOKUP(H1736,Dados!$X:$AB,2,0),VLOOKUP(G1736,Dados!$D:$L,4,0)&gt;=VLOOKUP(H1736,Dados!$X:$AB,3,0),VLOOKUP(G1736,Dados!$D:$L,4,0)&lt;=VLOOKUP(H1736,Dados!$X:$AB,4,0)),0,1)</f>
        <v>0</v>
      </c>
      <c r="U1736" s="4">
        <f>IF(COUNTIFS(F:F,F1736,H:H,H1736)&lt;=VLOOKUP(H1736,Dados!$X:$AB,5,0),0,1)</f>
        <v>0</v>
      </c>
    </row>
    <row r="1737" spans="6:21">
      <c r="F1737" s="4">
        <v>818</v>
      </c>
      <c r="G1737" s="4">
        <v>13</v>
      </c>
      <c r="H1737" s="4">
        <v>3</v>
      </c>
      <c r="I1737" s="4">
        <v>8</v>
      </c>
      <c r="J1737" s="4">
        <v>2</v>
      </c>
      <c r="K1737" s="4">
        <f t="shared" si="292"/>
        <v>0</v>
      </c>
      <c r="L1737" s="4">
        <f t="shared" si="292"/>
        <v>0</v>
      </c>
      <c r="M1737" s="4">
        <f t="shared" si="292"/>
        <v>0</v>
      </c>
      <c r="N1737" s="4">
        <f t="shared" si="292"/>
        <v>1</v>
      </c>
      <c r="O1737" s="4">
        <f t="shared" si="293"/>
        <v>0</v>
      </c>
      <c r="P1737" s="4">
        <f t="shared" si="294"/>
        <v>0</v>
      </c>
      <c r="Q1737" s="4">
        <f t="shared" si="295"/>
        <v>0</v>
      </c>
      <c r="R1737" s="4">
        <f t="shared" si="296"/>
        <v>2</v>
      </c>
      <c r="S1737" s="4">
        <f>IF(AND(VLOOKUP(G1737,Dados!$D:$L,2,0)=VLOOKUP(I1737,Dados!$S:$V,2,0),VLOOKUP(G1737,Dados!$D:$L,3,0)=VLOOKUP(I1737,Dados!$S:$V,3,0)),0,1)</f>
        <v>0</v>
      </c>
      <c r="T1737" s="4">
        <f>IF(AND(VLOOKUP(G1737,Dados!$D:$L,3,0)&lt;=VLOOKUP(H1737,Dados!$X:$AB,2,0),VLOOKUP(G1737,Dados!$D:$L,4,0)&gt;=VLOOKUP(H1737,Dados!$X:$AB,3,0),VLOOKUP(G1737,Dados!$D:$L,4,0)&lt;=VLOOKUP(H1737,Dados!$X:$AB,4,0)),0,1)</f>
        <v>0</v>
      </c>
      <c r="U1737" s="4">
        <f>IF(COUNTIFS(F:F,F1737,H:H,H1737)&lt;=VLOOKUP(H1737,Dados!$X:$AB,5,0),0,1)</f>
        <v>0</v>
      </c>
    </row>
    <row r="1738" spans="6:21">
      <c r="F1738" s="4">
        <v>818</v>
      </c>
      <c r="G1738" s="4">
        <v>15</v>
      </c>
      <c r="H1738" s="4">
        <v>3</v>
      </c>
      <c r="I1738" s="4">
        <v>8</v>
      </c>
      <c r="J1738" s="4">
        <v>2</v>
      </c>
      <c r="K1738" s="4">
        <f t="shared" si="292"/>
        <v>0</v>
      </c>
      <c r="L1738" s="4">
        <f t="shared" si="292"/>
        <v>0</v>
      </c>
      <c r="M1738" s="4">
        <f t="shared" si="292"/>
        <v>0</v>
      </c>
      <c r="N1738" s="4">
        <f t="shared" si="292"/>
        <v>1</v>
      </c>
      <c r="O1738" s="4">
        <f t="shared" si="293"/>
        <v>0</v>
      </c>
      <c r="P1738" s="4">
        <f t="shared" si="294"/>
        <v>0</v>
      </c>
      <c r="Q1738" s="4">
        <f t="shared" si="295"/>
        <v>0</v>
      </c>
      <c r="R1738" s="4">
        <f t="shared" si="296"/>
        <v>2</v>
      </c>
      <c r="S1738" s="4">
        <f>IF(AND(VLOOKUP(G1738,Dados!$D:$L,2,0)=VLOOKUP(I1738,Dados!$S:$V,2,0),VLOOKUP(G1738,Dados!$D:$L,3,0)=VLOOKUP(I1738,Dados!$S:$V,3,0)),0,1)</f>
        <v>0</v>
      </c>
      <c r="T1738" s="4">
        <f>IF(AND(VLOOKUP(G1738,Dados!$D:$L,3,0)&lt;=VLOOKUP(H1738,Dados!$X:$AB,2,0),VLOOKUP(G1738,Dados!$D:$L,4,0)&gt;=VLOOKUP(H1738,Dados!$X:$AB,3,0),VLOOKUP(G1738,Dados!$D:$L,4,0)&lt;=VLOOKUP(H1738,Dados!$X:$AB,4,0)),0,1)</f>
        <v>0</v>
      </c>
      <c r="U1738" s="4">
        <f>IF(COUNTIFS(F:F,F1738,H:H,H1738)&lt;=VLOOKUP(H1738,Dados!$X:$AB,5,0),0,1)</f>
        <v>0</v>
      </c>
    </row>
    <row r="1739" spans="6:21">
      <c r="F1739" s="4">
        <v>818</v>
      </c>
      <c r="G1739" s="4">
        <v>16</v>
      </c>
      <c r="H1739" s="4">
        <v>3</v>
      </c>
      <c r="I1739" s="4">
        <v>8</v>
      </c>
      <c r="J1739" s="4">
        <v>4</v>
      </c>
      <c r="K1739" s="4">
        <f t="shared" si="292"/>
        <v>0</v>
      </c>
      <c r="L1739" s="4">
        <f t="shared" si="292"/>
        <v>0</v>
      </c>
      <c r="M1739" s="4">
        <f t="shared" si="292"/>
        <v>0</v>
      </c>
      <c r="N1739" s="4">
        <f t="shared" si="292"/>
        <v>1</v>
      </c>
      <c r="O1739" s="4">
        <f t="shared" si="293"/>
        <v>0</v>
      </c>
      <c r="P1739" s="4">
        <f t="shared" si="294"/>
        <v>0</v>
      </c>
      <c r="Q1739" s="4">
        <f t="shared" si="295"/>
        <v>0</v>
      </c>
      <c r="R1739" s="4">
        <f t="shared" si="296"/>
        <v>4</v>
      </c>
      <c r="S1739" s="4">
        <f>IF(AND(VLOOKUP(G1739,Dados!$D:$L,2,0)=VLOOKUP(I1739,Dados!$S:$V,2,0),VLOOKUP(G1739,Dados!$D:$L,3,0)=VLOOKUP(I1739,Dados!$S:$V,3,0)),0,1)</f>
        <v>0</v>
      </c>
      <c r="T1739" s="4">
        <f>IF(AND(VLOOKUP(G1739,Dados!$D:$L,3,0)&lt;=VLOOKUP(H1739,Dados!$X:$AB,2,0),VLOOKUP(G1739,Dados!$D:$L,4,0)&gt;=VLOOKUP(H1739,Dados!$X:$AB,3,0),VLOOKUP(G1739,Dados!$D:$L,4,0)&lt;=VLOOKUP(H1739,Dados!$X:$AB,4,0)),0,1)</f>
        <v>0</v>
      </c>
      <c r="U1739" s="4">
        <f>IF(COUNTIFS(F:F,F1739,H:H,H1739)&lt;=VLOOKUP(H1739,Dados!$X:$AB,5,0),0,1)</f>
        <v>0</v>
      </c>
    </row>
    <row r="1740" spans="6:21">
      <c r="F1740" s="4">
        <v>819</v>
      </c>
      <c r="G1740" s="4">
        <v>24</v>
      </c>
      <c r="H1740" s="4">
        <v>1</v>
      </c>
      <c r="I1740" s="4">
        <v>15</v>
      </c>
      <c r="J1740" s="4">
        <v>3</v>
      </c>
      <c r="K1740" s="4">
        <f t="shared" si="292"/>
        <v>0</v>
      </c>
      <c r="L1740" s="4">
        <f t="shared" si="292"/>
        <v>26</v>
      </c>
      <c r="M1740" s="4">
        <f t="shared" si="292"/>
        <v>0</v>
      </c>
      <c r="N1740" s="4">
        <f t="shared" si="292"/>
        <v>0</v>
      </c>
      <c r="O1740" s="4">
        <f t="shared" si="293"/>
        <v>0</v>
      </c>
      <c r="P1740" s="4">
        <f t="shared" si="294"/>
        <v>78</v>
      </c>
      <c r="Q1740" s="4">
        <f t="shared" si="295"/>
        <v>0</v>
      </c>
      <c r="R1740" s="4">
        <f t="shared" si="296"/>
        <v>0</v>
      </c>
      <c r="S1740" s="4">
        <f>IF(AND(VLOOKUP(G1740,Dados!$D:$L,2,0)=VLOOKUP(I1740,Dados!$S:$V,2,0),VLOOKUP(G1740,Dados!$D:$L,3,0)=VLOOKUP(I1740,Dados!$S:$V,3,0)),0,1)</f>
        <v>0</v>
      </c>
      <c r="T1740" s="4">
        <f>IF(AND(VLOOKUP(G1740,Dados!$D:$L,3,0)&lt;=VLOOKUP(H1740,Dados!$X:$AB,2,0),VLOOKUP(G1740,Dados!$D:$L,4,0)&gt;=VLOOKUP(H1740,Dados!$X:$AB,3,0),VLOOKUP(G1740,Dados!$D:$L,4,0)&lt;=VLOOKUP(H1740,Dados!$X:$AB,4,0)),0,1)</f>
        <v>0</v>
      </c>
      <c r="U1740" s="4">
        <f>IF(COUNTIFS(F:F,F1740,H:H,H1740)&lt;=VLOOKUP(H1740,Dados!$X:$AB,5,0),0,1)</f>
        <v>0</v>
      </c>
    </row>
    <row r="1741" spans="6:21">
      <c r="F1741" s="4">
        <v>819</v>
      </c>
      <c r="G1741" s="4">
        <v>25</v>
      </c>
      <c r="H1741" s="4">
        <v>1</v>
      </c>
      <c r="I1741" s="4">
        <v>15</v>
      </c>
      <c r="J1741" s="4">
        <v>1</v>
      </c>
      <c r="K1741" s="4">
        <f t="shared" si="292"/>
        <v>0</v>
      </c>
      <c r="L1741" s="4">
        <f t="shared" si="292"/>
        <v>26</v>
      </c>
      <c r="M1741" s="4">
        <f t="shared" si="292"/>
        <v>0</v>
      </c>
      <c r="N1741" s="4">
        <f t="shared" si="292"/>
        <v>0</v>
      </c>
      <c r="O1741" s="4">
        <f t="shared" si="293"/>
        <v>0</v>
      </c>
      <c r="P1741" s="4">
        <f t="shared" si="294"/>
        <v>26</v>
      </c>
      <c r="Q1741" s="4">
        <f t="shared" si="295"/>
        <v>0</v>
      </c>
      <c r="R1741" s="4">
        <f t="shared" si="296"/>
        <v>0</v>
      </c>
      <c r="S1741" s="4">
        <f>IF(AND(VLOOKUP(G1741,Dados!$D:$L,2,0)=VLOOKUP(I1741,Dados!$S:$V,2,0),VLOOKUP(G1741,Dados!$D:$L,3,0)=VLOOKUP(I1741,Dados!$S:$V,3,0)),0,1)</f>
        <v>0</v>
      </c>
      <c r="T1741" s="4">
        <f>IF(AND(VLOOKUP(G1741,Dados!$D:$L,3,0)&lt;=VLOOKUP(H1741,Dados!$X:$AB,2,0),VLOOKUP(G1741,Dados!$D:$L,4,0)&gt;=VLOOKUP(H1741,Dados!$X:$AB,3,0),VLOOKUP(G1741,Dados!$D:$L,4,0)&lt;=VLOOKUP(H1741,Dados!$X:$AB,4,0)),0,1)</f>
        <v>0</v>
      </c>
      <c r="U1741" s="4">
        <f>IF(COUNTIFS(F:F,F1741,H:H,H1741)&lt;=VLOOKUP(H1741,Dados!$X:$AB,5,0),0,1)</f>
        <v>0</v>
      </c>
    </row>
    <row r="1742" spans="6:21">
      <c r="F1742" s="4">
        <v>819</v>
      </c>
      <c r="G1742" s="4">
        <v>29</v>
      </c>
      <c r="H1742" s="4">
        <v>1</v>
      </c>
      <c r="I1742" s="4">
        <v>15</v>
      </c>
      <c r="J1742" s="4">
        <v>3</v>
      </c>
      <c r="K1742" s="4">
        <f t="shared" si="292"/>
        <v>0</v>
      </c>
      <c r="L1742" s="4">
        <f t="shared" si="292"/>
        <v>26</v>
      </c>
      <c r="M1742" s="4">
        <f t="shared" si="292"/>
        <v>0</v>
      </c>
      <c r="N1742" s="4">
        <f t="shared" si="292"/>
        <v>0</v>
      </c>
      <c r="O1742" s="4">
        <f t="shared" si="293"/>
        <v>0</v>
      </c>
      <c r="P1742" s="4">
        <f t="shared" si="294"/>
        <v>78</v>
      </c>
      <c r="Q1742" s="4">
        <f t="shared" si="295"/>
        <v>0</v>
      </c>
      <c r="R1742" s="4">
        <f t="shared" si="296"/>
        <v>0</v>
      </c>
      <c r="S1742" s="4">
        <f>IF(AND(VLOOKUP(G1742,Dados!$D:$L,2,0)=VLOOKUP(I1742,Dados!$S:$V,2,0),VLOOKUP(G1742,Dados!$D:$L,3,0)=VLOOKUP(I1742,Dados!$S:$V,3,0)),0,1)</f>
        <v>0</v>
      </c>
      <c r="T1742" s="4">
        <f>IF(AND(VLOOKUP(G1742,Dados!$D:$L,3,0)&lt;=VLOOKUP(H1742,Dados!$X:$AB,2,0),VLOOKUP(G1742,Dados!$D:$L,4,0)&gt;=VLOOKUP(H1742,Dados!$X:$AB,3,0),VLOOKUP(G1742,Dados!$D:$L,4,0)&lt;=VLOOKUP(H1742,Dados!$X:$AB,4,0)),0,1)</f>
        <v>0</v>
      </c>
      <c r="U1742" s="4">
        <f>IF(COUNTIFS(F:F,F1742,H:H,H1742)&lt;=VLOOKUP(H1742,Dados!$X:$AB,5,0),0,1)</f>
        <v>0</v>
      </c>
    </row>
    <row r="1743" spans="6:21">
      <c r="F1743" s="4">
        <v>820</v>
      </c>
      <c r="G1743" s="4">
        <v>24</v>
      </c>
      <c r="H1743" s="4">
        <v>3</v>
      </c>
      <c r="I1743" s="4">
        <v>15</v>
      </c>
      <c r="J1743" s="4">
        <v>3</v>
      </c>
      <c r="K1743" s="4">
        <f t="shared" si="292"/>
        <v>0</v>
      </c>
      <c r="L1743" s="4">
        <f t="shared" si="292"/>
        <v>0</v>
      </c>
      <c r="M1743" s="4">
        <f t="shared" si="292"/>
        <v>0</v>
      </c>
      <c r="N1743" s="4">
        <f t="shared" si="292"/>
        <v>0</v>
      </c>
      <c r="O1743" s="4">
        <f t="shared" si="293"/>
        <v>0</v>
      </c>
      <c r="P1743" s="4">
        <f t="shared" si="294"/>
        <v>0</v>
      </c>
      <c r="Q1743" s="4">
        <f t="shared" si="295"/>
        <v>0</v>
      </c>
      <c r="R1743" s="4">
        <f t="shared" si="296"/>
        <v>0</v>
      </c>
      <c r="S1743" s="4">
        <f>IF(AND(VLOOKUP(G1743,Dados!$D:$L,2,0)=VLOOKUP(I1743,Dados!$S:$V,2,0),VLOOKUP(G1743,Dados!$D:$L,3,0)=VLOOKUP(I1743,Dados!$S:$V,3,0)),0,1)</f>
        <v>0</v>
      </c>
      <c r="T1743" s="4">
        <f>IF(AND(VLOOKUP(G1743,Dados!$D:$L,3,0)&lt;=VLOOKUP(H1743,Dados!$X:$AB,2,0),VLOOKUP(G1743,Dados!$D:$L,4,0)&gt;=VLOOKUP(H1743,Dados!$X:$AB,3,0),VLOOKUP(G1743,Dados!$D:$L,4,0)&lt;=VLOOKUP(H1743,Dados!$X:$AB,4,0)),0,1)</f>
        <v>0</v>
      </c>
      <c r="U1743" s="4">
        <f>IF(COUNTIFS(F:F,F1743,H:H,H1743)&lt;=VLOOKUP(H1743,Dados!$X:$AB,5,0),0,1)</f>
        <v>0</v>
      </c>
    </row>
    <row r="1744" spans="6:21">
      <c r="F1744" s="4">
        <v>820</v>
      </c>
      <c r="G1744" s="4">
        <v>25</v>
      </c>
      <c r="H1744" s="4">
        <v>3</v>
      </c>
      <c r="I1744" s="4">
        <v>15</v>
      </c>
      <c r="J1744" s="4">
        <v>1</v>
      </c>
      <c r="K1744" s="4">
        <f t="shared" si="292"/>
        <v>0</v>
      </c>
      <c r="L1744" s="4">
        <f t="shared" si="292"/>
        <v>0</v>
      </c>
      <c r="M1744" s="4">
        <f t="shared" si="292"/>
        <v>0</v>
      </c>
      <c r="N1744" s="4">
        <f t="shared" si="292"/>
        <v>0</v>
      </c>
      <c r="O1744" s="4">
        <f t="shared" si="293"/>
        <v>0</v>
      </c>
      <c r="P1744" s="4">
        <f t="shared" si="294"/>
        <v>0</v>
      </c>
      <c r="Q1744" s="4">
        <f t="shared" si="295"/>
        <v>0</v>
      </c>
      <c r="R1744" s="4">
        <f t="shared" si="296"/>
        <v>0</v>
      </c>
      <c r="S1744" s="4">
        <f>IF(AND(VLOOKUP(G1744,Dados!$D:$L,2,0)=VLOOKUP(I1744,Dados!$S:$V,2,0),VLOOKUP(G1744,Dados!$D:$L,3,0)=VLOOKUP(I1744,Dados!$S:$V,3,0)),0,1)</f>
        <v>0</v>
      </c>
      <c r="T1744" s="4">
        <f>IF(AND(VLOOKUP(G1744,Dados!$D:$L,3,0)&lt;=VLOOKUP(H1744,Dados!$X:$AB,2,0),VLOOKUP(G1744,Dados!$D:$L,4,0)&gt;=VLOOKUP(H1744,Dados!$X:$AB,3,0),VLOOKUP(G1744,Dados!$D:$L,4,0)&lt;=VLOOKUP(H1744,Dados!$X:$AB,4,0)),0,1)</f>
        <v>0</v>
      </c>
      <c r="U1744" s="4">
        <f>IF(COUNTIFS(F:F,F1744,H:H,H1744)&lt;=VLOOKUP(H1744,Dados!$X:$AB,5,0),0,1)</f>
        <v>0</v>
      </c>
    </row>
    <row r="1745" spans="6:21">
      <c r="F1745" s="4">
        <v>820</v>
      </c>
      <c r="G1745" s="4">
        <v>29</v>
      </c>
      <c r="H1745" s="4">
        <v>3</v>
      </c>
      <c r="I1745" s="4">
        <v>15</v>
      </c>
      <c r="J1745" s="4">
        <v>3</v>
      </c>
      <c r="K1745" s="4">
        <f t="shared" si="292"/>
        <v>0</v>
      </c>
      <c r="L1745" s="4">
        <f t="shared" si="292"/>
        <v>0</v>
      </c>
      <c r="M1745" s="4">
        <f t="shared" si="292"/>
        <v>0</v>
      </c>
      <c r="N1745" s="4">
        <f t="shared" si="292"/>
        <v>0</v>
      </c>
      <c r="O1745" s="4">
        <f t="shared" si="293"/>
        <v>0</v>
      </c>
      <c r="P1745" s="4">
        <f t="shared" si="294"/>
        <v>0</v>
      </c>
      <c r="Q1745" s="4">
        <f t="shared" si="295"/>
        <v>0</v>
      </c>
      <c r="R1745" s="4">
        <f t="shared" si="296"/>
        <v>0</v>
      </c>
      <c r="S1745" s="4">
        <f>IF(AND(VLOOKUP(G1745,Dados!$D:$L,2,0)=VLOOKUP(I1745,Dados!$S:$V,2,0),VLOOKUP(G1745,Dados!$D:$L,3,0)=VLOOKUP(I1745,Dados!$S:$V,3,0)),0,1)</f>
        <v>0</v>
      </c>
      <c r="T1745" s="4">
        <f>IF(AND(VLOOKUP(G1745,Dados!$D:$L,3,0)&lt;=VLOOKUP(H1745,Dados!$X:$AB,2,0),VLOOKUP(G1745,Dados!$D:$L,4,0)&gt;=VLOOKUP(H1745,Dados!$X:$AB,3,0),VLOOKUP(G1745,Dados!$D:$L,4,0)&lt;=VLOOKUP(H1745,Dados!$X:$AB,4,0)),0,1)</f>
        <v>0</v>
      </c>
      <c r="U1745" s="4">
        <f>IF(COUNTIFS(F:F,F1745,H:H,H1745)&lt;=VLOOKUP(H1745,Dados!$X:$AB,5,0),0,1)</f>
        <v>0</v>
      </c>
    </row>
    <row r="1746" spans="6:21">
      <c r="F1746" s="4">
        <v>821</v>
      </c>
      <c r="G1746" s="4">
        <v>30</v>
      </c>
      <c r="H1746" s="4">
        <v>1</v>
      </c>
      <c r="I1746" s="4">
        <v>16</v>
      </c>
      <c r="J1746" s="4">
        <v>1</v>
      </c>
      <c r="K1746" s="4">
        <f t="shared" si="292"/>
        <v>0</v>
      </c>
      <c r="L1746" s="4">
        <f t="shared" si="292"/>
        <v>1</v>
      </c>
      <c r="M1746" s="4">
        <f t="shared" si="292"/>
        <v>0</v>
      </c>
      <c r="N1746" s="4">
        <f t="shared" si="292"/>
        <v>0</v>
      </c>
      <c r="O1746" s="4">
        <f t="shared" si="293"/>
        <v>0</v>
      </c>
      <c r="P1746" s="4">
        <f t="shared" si="294"/>
        <v>1</v>
      </c>
      <c r="Q1746" s="4">
        <f t="shared" si="295"/>
        <v>0</v>
      </c>
      <c r="R1746" s="4">
        <f t="shared" si="296"/>
        <v>0</v>
      </c>
      <c r="S1746" s="4">
        <f>IF(AND(VLOOKUP(G1746,Dados!$D:$L,2,0)=VLOOKUP(I1746,Dados!$S:$V,2,0),VLOOKUP(G1746,Dados!$D:$L,3,0)=VLOOKUP(I1746,Dados!$S:$V,3,0)),0,1)</f>
        <v>0</v>
      </c>
      <c r="T1746" s="4">
        <f>IF(AND(VLOOKUP(G1746,Dados!$D:$L,3,0)&lt;=VLOOKUP(H1746,Dados!$X:$AB,2,0),VLOOKUP(G1746,Dados!$D:$L,4,0)&gt;=VLOOKUP(H1746,Dados!$X:$AB,3,0),VLOOKUP(G1746,Dados!$D:$L,4,0)&lt;=VLOOKUP(H1746,Dados!$X:$AB,4,0)),0,1)</f>
        <v>0</v>
      </c>
      <c r="U1746" s="4">
        <f>IF(COUNTIFS(F:F,F1746,H:H,H1746)&lt;=VLOOKUP(H1746,Dados!$X:$AB,5,0),0,1)</f>
        <v>0</v>
      </c>
    </row>
    <row r="1747" spans="6:21">
      <c r="F1747" s="4">
        <v>821</v>
      </c>
      <c r="G1747" s="4">
        <v>32</v>
      </c>
      <c r="H1747" s="4">
        <v>1</v>
      </c>
      <c r="I1747" s="4">
        <v>16</v>
      </c>
      <c r="J1747" s="4">
        <v>1</v>
      </c>
      <c r="K1747" s="4">
        <f t="shared" si="292"/>
        <v>0</v>
      </c>
      <c r="L1747" s="4">
        <f t="shared" si="292"/>
        <v>1</v>
      </c>
      <c r="M1747" s="4">
        <f t="shared" si="292"/>
        <v>0</v>
      </c>
      <c r="N1747" s="4">
        <f t="shared" si="292"/>
        <v>0</v>
      </c>
      <c r="O1747" s="4">
        <f t="shared" si="293"/>
        <v>0</v>
      </c>
      <c r="P1747" s="4">
        <f t="shared" si="294"/>
        <v>1</v>
      </c>
      <c r="Q1747" s="4">
        <f t="shared" si="295"/>
        <v>0</v>
      </c>
      <c r="R1747" s="4">
        <f t="shared" si="296"/>
        <v>0</v>
      </c>
      <c r="S1747" s="4">
        <f>IF(AND(VLOOKUP(G1747,Dados!$D:$L,2,0)=VLOOKUP(I1747,Dados!$S:$V,2,0),VLOOKUP(G1747,Dados!$D:$L,3,0)=VLOOKUP(I1747,Dados!$S:$V,3,0)),0,1)</f>
        <v>0</v>
      </c>
      <c r="T1747" s="4">
        <f>IF(AND(VLOOKUP(G1747,Dados!$D:$L,3,0)&lt;=VLOOKUP(H1747,Dados!$X:$AB,2,0),VLOOKUP(G1747,Dados!$D:$L,4,0)&gt;=VLOOKUP(H1747,Dados!$X:$AB,3,0),VLOOKUP(G1747,Dados!$D:$L,4,0)&lt;=VLOOKUP(H1747,Dados!$X:$AB,4,0)),0,1)</f>
        <v>0</v>
      </c>
      <c r="U1747" s="4">
        <f>IF(COUNTIFS(F:F,F1747,H:H,H1747)&lt;=VLOOKUP(H1747,Dados!$X:$AB,5,0),0,1)</f>
        <v>0</v>
      </c>
    </row>
    <row r="1748" spans="6:21">
      <c r="F1748" s="4">
        <v>821</v>
      </c>
      <c r="G1748" s="4">
        <v>33</v>
      </c>
      <c r="H1748" s="4">
        <v>1</v>
      </c>
      <c r="I1748" s="4">
        <v>16</v>
      </c>
      <c r="J1748" s="4">
        <v>5</v>
      </c>
      <c r="K1748" s="4">
        <f t="shared" si="292"/>
        <v>0</v>
      </c>
      <c r="L1748" s="4">
        <f t="shared" si="292"/>
        <v>1</v>
      </c>
      <c r="M1748" s="4">
        <f t="shared" si="292"/>
        <v>0</v>
      </c>
      <c r="N1748" s="4">
        <f t="shared" si="292"/>
        <v>0</v>
      </c>
      <c r="O1748" s="4">
        <f t="shared" si="293"/>
        <v>0</v>
      </c>
      <c r="P1748" s="4">
        <f t="shared" si="294"/>
        <v>5</v>
      </c>
      <c r="Q1748" s="4">
        <f t="shared" si="295"/>
        <v>0</v>
      </c>
      <c r="R1748" s="4">
        <f t="shared" si="296"/>
        <v>0</v>
      </c>
      <c r="S1748" s="4">
        <f>IF(AND(VLOOKUP(G1748,Dados!$D:$L,2,0)=VLOOKUP(I1748,Dados!$S:$V,2,0),VLOOKUP(G1748,Dados!$D:$L,3,0)=VLOOKUP(I1748,Dados!$S:$V,3,0)),0,1)</f>
        <v>0</v>
      </c>
      <c r="T1748" s="4">
        <f>IF(AND(VLOOKUP(G1748,Dados!$D:$L,3,0)&lt;=VLOOKUP(H1748,Dados!$X:$AB,2,0),VLOOKUP(G1748,Dados!$D:$L,4,0)&gt;=VLOOKUP(H1748,Dados!$X:$AB,3,0),VLOOKUP(G1748,Dados!$D:$L,4,0)&lt;=VLOOKUP(H1748,Dados!$X:$AB,4,0)),0,1)</f>
        <v>0</v>
      </c>
      <c r="U1748" s="4">
        <f>IF(COUNTIFS(F:F,F1748,H:H,H1748)&lt;=VLOOKUP(H1748,Dados!$X:$AB,5,0),0,1)</f>
        <v>0</v>
      </c>
    </row>
    <row r="1749" spans="6:21">
      <c r="F1749" s="4">
        <v>822</v>
      </c>
      <c r="G1749" s="4">
        <v>30</v>
      </c>
      <c r="H1749" s="4">
        <v>2</v>
      </c>
      <c r="I1749" s="4">
        <v>16</v>
      </c>
      <c r="J1749" s="4">
        <v>1</v>
      </c>
      <c r="K1749" s="4">
        <f t="shared" si="292"/>
        <v>0</v>
      </c>
      <c r="L1749" s="4">
        <f t="shared" si="292"/>
        <v>0</v>
      </c>
      <c r="M1749" s="4">
        <f t="shared" si="292"/>
        <v>0</v>
      </c>
      <c r="N1749" s="4">
        <f t="shared" si="292"/>
        <v>0</v>
      </c>
      <c r="O1749" s="4">
        <f t="shared" si="293"/>
        <v>0</v>
      </c>
      <c r="P1749" s="4">
        <f t="shared" si="294"/>
        <v>0</v>
      </c>
      <c r="Q1749" s="4">
        <f t="shared" si="295"/>
        <v>0</v>
      </c>
      <c r="R1749" s="4">
        <f t="shared" si="296"/>
        <v>0</v>
      </c>
      <c r="S1749" s="4">
        <f>IF(AND(VLOOKUP(G1749,Dados!$D:$L,2,0)=VLOOKUP(I1749,Dados!$S:$V,2,0),VLOOKUP(G1749,Dados!$D:$L,3,0)=VLOOKUP(I1749,Dados!$S:$V,3,0)),0,1)</f>
        <v>0</v>
      </c>
      <c r="T1749" s="4">
        <f>IF(AND(VLOOKUP(G1749,Dados!$D:$L,3,0)&lt;=VLOOKUP(H1749,Dados!$X:$AB,2,0),VLOOKUP(G1749,Dados!$D:$L,4,0)&gt;=VLOOKUP(H1749,Dados!$X:$AB,3,0),VLOOKUP(G1749,Dados!$D:$L,4,0)&lt;=VLOOKUP(H1749,Dados!$X:$AB,4,0)),0,1)</f>
        <v>0</v>
      </c>
      <c r="U1749" s="4">
        <f>IF(COUNTIFS(F:F,F1749,H:H,H1749)&lt;=VLOOKUP(H1749,Dados!$X:$AB,5,0),0,1)</f>
        <v>0</v>
      </c>
    </row>
    <row r="1750" spans="6:21">
      <c r="F1750" s="4">
        <v>822</v>
      </c>
      <c r="G1750" s="4">
        <v>32</v>
      </c>
      <c r="H1750" s="4">
        <v>2</v>
      </c>
      <c r="I1750" s="4">
        <v>16</v>
      </c>
      <c r="J1750" s="4">
        <v>1</v>
      </c>
      <c r="K1750" s="4">
        <f t="shared" si="292"/>
        <v>0</v>
      </c>
      <c r="L1750" s="4">
        <f t="shared" si="292"/>
        <v>0</v>
      </c>
      <c r="M1750" s="4">
        <f t="shared" si="292"/>
        <v>0</v>
      </c>
      <c r="N1750" s="4">
        <f t="shared" si="292"/>
        <v>0</v>
      </c>
      <c r="O1750" s="4">
        <f t="shared" si="293"/>
        <v>0</v>
      </c>
      <c r="P1750" s="4">
        <f t="shared" si="294"/>
        <v>0</v>
      </c>
      <c r="Q1750" s="4">
        <f t="shared" si="295"/>
        <v>0</v>
      </c>
      <c r="R1750" s="4">
        <f t="shared" si="296"/>
        <v>0</v>
      </c>
      <c r="S1750" s="4">
        <f>IF(AND(VLOOKUP(G1750,Dados!$D:$L,2,0)=VLOOKUP(I1750,Dados!$S:$V,2,0),VLOOKUP(G1750,Dados!$D:$L,3,0)=VLOOKUP(I1750,Dados!$S:$V,3,0)),0,1)</f>
        <v>0</v>
      </c>
      <c r="T1750" s="4">
        <f>IF(AND(VLOOKUP(G1750,Dados!$D:$L,3,0)&lt;=VLOOKUP(H1750,Dados!$X:$AB,2,0),VLOOKUP(G1750,Dados!$D:$L,4,0)&gt;=VLOOKUP(H1750,Dados!$X:$AB,3,0),VLOOKUP(G1750,Dados!$D:$L,4,0)&lt;=VLOOKUP(H1750,Dados!$X:$AB,4,0)),0,1)</f>
        <v>0</v>
      </c>
      <c r="U1750" s="4">
        <f>IF(COUNTIFS(F:F,F1750,H:H,H1750)&lt;=VLOOKUP(H1750,Dados!$X:$AB,5,0),0,1)</f>
        <v>0</v>
      </c>
    </row>
    <row r="1751" spans="6:21">
      <c r="F1751" s="4">
        <v>822</v>
      </c>
      <c r="G1751" s="4">
        <v>33</v>
      </c>
      <c r="H1751" s="4">
        <v>2</v>
      </c>
      <c r="I1751" s="4">
        <v>16</v>
      </c>
      <c r="J1751" s="4">
        <v>5</v>
      </c>
      <c r="K1751" s="4">
        <f t="shared" si="292"/>
        <v>0</v>
      </c>
      <c r="L1751" s="4">
        <f t="shared" si="292"/>
        <v>0</v>
      </c>
      <c r="M1751" s="4">
        <f t="shared" si="292"/>
        <v>0</v>
      </c>
      <c r="N1751" s="4">
        <f t="shared" si="292"/>
        <v>0</v>
      </c>
      <c r="O1751" s="4">
        <f t="shared" si="293"/>
        <v>0</v>
      </c>
      <c r="P1751" s="4">
        <f t="shared" si="294"/>
        <v>0</v>
      </c>
      <c r="Q1751" s="4">
        <f t="shared" si="295"/>
        <v>0</v>
      </c>
      <c r="R1751" s="4">
        <f t="shared" si="296"/>
        <v>0</v>
      </c>
      <c r="S1751" s="4">
        <f>IF(AND(VLOOKUP(G1751,Dados!$D:$L,2,0)=VLOOKUP(I1751,Dados!$S:$V,2,0),VLOOKUP(G1751,Dados!$D:$L,3,0)=VLOOKUP(I1751,Dados!$S:$V,3,0)),0,1)</f>
        <v>0</v>
      </c>
      <c r="T1751" s="4">
        <f>IF(AND(VLOOKUP(G1751,Dados!$D:$L,3,0)&lt;=VLOOKUP(H1751,Dados!$X:$AB,2,0),VLOOKUP(G1751,Dados!$D:$L,4,0)&gt;=VLOOKUP(H1751,Dados!$X:$AB,3,0),VLOOKUP(G1751,Dados!$D:$L,4,0)&lt;=VLOOKUP(H1751,Dados!$X:$AB,4,0)),0,1)</f>
        <v>0</v>
      </c>
      <c r="U1751" s="4">
        <f>IF(COUNTIFS(F:F,F1751,H:H,H1751)&lt;=VLOOKUP(H1751,Dados!$X:$AB,5,0),0,1)</f>
        <v>0</v>
      </c>
    </row>
    <row r="1752" spans="6:21">
      <c r="F1752" s="4">
        <v>823</v>
      </c>
      <c r="G1752" s="4">
        <v>30</v>
      </c>
      <c r="H1752" s="4">
        <v>3</v>
      </c>
      <c r="I1752" s="4">
        <v>16</v>
      </c>
      <c r="J1752" s="4">
        <v>1</v>
      </c>
      <c r="K1752" s="4">
        <f t="shared" si="292"/>
        <v>0</v>
      </c>
      <c r="L1752" s="4">
        <f t="shared" si="292"/>
        <v>0</v>
      </c>
      <c r="M1752" s="4">
        <f t="shared" si="292"/>
        <v>0</v>
      </c>
      <c r="N1752" s="4">
        <f t="shared" si="292"/>
        <v>0</v>
      </c>
      <c r="O1752" s="4">
        <f t="shared" si="293"/>
        <v>0</v>
      </c>
      <c r="P1752" s="4">
        <f t="shared" si="294"/>
        <v>0</v>
      </c>
      <c r="Q1752" s="4">
        <f t="shared" si="295"/>
        <v>0</v>
      </c>
      <c r="R1752" s="4">
        <f t="shared" si="296"/>
        <v>0</v>
      </c>
      <c r="S1752" s="4">
        <f>IF(AND(VLOOKUP(G1752,Dados!$D:$L,2,0)=VLOOKUP(I1752,Dados!$S:$V,2,0),VLOOKUP(G1752,Dados!$D:$L,3,0)=VLOOKUP(I1752,Dados!$S:$V,3,0)),0,1)</f>
        <v>0</v>
      </c>
      <c r="T1752" s="4">
        <f>IF(AND(VLOOKUP(G1752,Dados!$D:$L,3,0)&lt;=VLOOKUP(H1752,Dados!$X:$AB,2,0),VLOOKUP(G1752,Dados!$D:$L,4,0)&gt;=VLOOKUP(H1752,Dados!$X:$AB,3,0),VLOOKUP(G1752,Dados!$D:$L,4,0)&lt;=VLOOKUP(H1752,Dados!$X:$AB,4,0)),0,1)</f>
        <v>0</v>
      </c>
      <c r="U1752" s="4">
        <f>IF(COUNTIFS(F:F,F1752,H:H,H1752)&lt;=VLOOKUP(H1752,Dados!$X:$AB,5,0),0,1)</f>
        <v>0</v>
      </c>
    </row>
    <row r="1753" spans="6:21">
      <c r="F1753" s="4">
        <v>823</v>
      </c>
      <c r="G1753" s="4">
        <v>32</v>
      </c>
      <c r="H1753" s="4">
        <v>3</v>
      </c>
      <c r="I1753" s="4">
        <v>16</v>
      </c>
      <c r="J1753" s="4">
        <v>1</v>
      </c>
      <c r="K1753" s="4">
        <f t="shared" si="292"/>
        <v>0</v>
      </c>
      <c r="L1753" s="4">
        <f t="shared" si="292"/>
        <v>0</v>
      </c>
      <c r="M1753" s="4">
        <f t="shared" si="292"/>
        <v>0</v>
      </c>
      <c r="N1753" s="4">
        <f t="shared" si="292"/>
        <v>0</v>
      </c>
      <c r="O1753" s="4">
        <f t="shared" si="293"/>
        <v>0</v>
      </c>
      <c r="P1753" s="4">
        <f t="shared" si="294"/>
        <v>0</v>
      </c>
      <c r="Q1753" s="4">
        <f t="shared" si="295"/>
        <v>0</v>
      </c>
      <c r="R1753" s="4">
        <f t="shared" si="296"/>
        <v>0</v>
      </c>
      <c r="S1753" s="4">
        <f>IF(AND(VLOOKUP(G1753,Dados!$D:$L,2,0)=VLOOKUP(I1753,Dados!$S:$V,2,0),VLOOKUP(G1753,Dados!$D:$L,3,0)=VLOOKUP(I1753,Dados!$S:$V,3,0)),0,1)</f>
        <v>0</v>
      </c>
      <c r="T1753" s="4">
        <f>IF(AND(VLOOKUP(G1753,Dados!$D:$L,3,0)&lt;=VLOOKUP(H1753,Dados!$X:$AB,2,0),VLOOKUP(G1753,Dados!$D:$L,4,0)&gt;=VLOOKUP(H1753,Dados!$X:$AB,3,0),VLOOKUP(G1753,Dados!$D:$L,4,0)&lt;=VLOOKUP(H1753,Dados!$X:$AB,4,0)),0,1)</f>
        <v>0</v>
      </c>
      <c r="U1753" s="4">
        <f>IF(COUNTIFS(F:F,F1753,H:H,H1753)&lt;=VLOOKUP(H1753,Dados!$X:$AB,5,0),0,1)</f>
        <v>0</v>
      </c>
    </row>
    <row r="1754" spans="6:21">
      <c r="F1754" s="4">
        <v>823</v>
      </c>
      <c r="G1754" s="4">
        <v>33</v>
      </c>
      <c r="H1754" s="4">
        <v>3</v>
      </c>
      <c r="I1754" s="4">
        <v>16</v>
      </c>
      <c r="J1754" s="4">
        <v>5</v>
      </c>
      <c r="K1754" s="4">
        <f t="shared" si="292"/>
        <v>0</v>
      </c>
      <c r="L1754" s="4">
        <f t="shared" si="292"/>
        <v>0</v>
      </c>
      <c r="M1754" s="4">
        <f t="shared" si="292"/>
        <v>0</v>
      </c>
      <c r="N1754" s="4">
        <f t="shared" si="292"/>
        <v>0</v>
      </c>
      <c r="O1754" s="4">
        <f t="shared" si="293"/>
        <v>0</v>
      </c>
      <c r="P1754" s="4">
        <f t="shared" si="294"/>
        <v>0</v>
      </c>
      <c r="Q1754" s="4">
        <f t="shared" si="295"/>
        <v>0</v>
      </c>
      <c r="R1754" s="4">
        <f t="shared" si="296"/>
        <v>0</v>
      </c>
      <c r="S1754" s="4">
        <f>IF(AND(VLOOKUP(G1754,Dados!$D:$L,2,0)=VLOOKUP(I1754,Dados!$S:$V,2,0),VLOOKUP(G1754,Dados!$D:$L,3,0)=VLOOKUP(I1754,Dados!$S:$V,3,0)),0,1)</f>
        <v>0</v>
      </c>
      <c r="T1754" s="4">
        <f>IF(AND(VLOOKUP(G1754,Dados!$D:$L,3,0)&lt;=VLOOKUP(H1754,Dados!$X:$AB,2,0),VLOOKUP(G1754,Dados!$D:$L,4,0)&gt;=VLOOKUP(H1754,Dados!$X:$AB,3,0),VLOOKUP(G1754,Dados!$D:$L,4,0)&lt;=VLOOKUP(H1754,Dados!$X:$AB,4,0)),0,1)</f>
        <v>0</v>
      </c>
      <c r="U1754" s="4">
        <f>IF(COUNTIFS(F:F,F1754,H:H,H1754)&lt;=VLOOKUP(H1754,Dados!$X:$AB,5,0),0,1)</f>
        <v>0</v>
      </c>
    </row>
    <row r="1755" spans="6:21">
      <c r="F1755" s="4">
        <v>824</v>
      </c>
      <c r="G1755" s="4">
        <v>1</v>
      </c>
      <c r="H1755" s="4">
        <v>1</v>
      </c>
      <c r="I1755" s="4">
        <v>1</v>
      </c>
      <c r="J1755" s="4">
        <v>2</v>
      </c>
      <c r="K1755" s="4">
        <f t="shared" si="292"/>
        <v>0</v>
      </c>
      <c r="L1755" s="4">
        <f t="shared" si="292"/>
        <v>0</v>
      </c>
      <c r="M1755" s="4">
        <f t="shared" si="292"/>
        <v>0</v>
      </c>
      <c r="N1755" s="4">
        <f t="shared" si="292"/>
        <v>0</v>
      </c>
      <c r="O1755" s="4">
        <f t="shared" si="293"/>
        <v>0</v>
      </c>
      <c r="P1755" s="4">
        <f t="shared" si="294"/>
        <v>0</v>
      </c>
      <c r="Q1755" s="4">
        <f t="shared" si="295"/>
        <v>0</v>
      </c>
      <c r="R1755" s="4">
        <f t="shared" si="296"/>
        <v>0</v>
      </c>
      <c r="S1755" s="4">
        <f>IF(AND(VLOOKUP(G1755,Dados!$D:$L,2,0)=VLOOKUP(I1755,Dados!$S:$V,2,0),VLOOKUP(G1755,Dados!$D:$L,3,0)=VLOOKUP(I1755,Dados!$S:$V,3,0)),0,1)</f>
        <v>0</v>
      </c>
      <c r="T1755" s="4">
        <f>IF(AND(VLOOKUP(G1755,Dados!$D:$L,3,0)&lt;=VLOOKUP(H1755,Dados!$X:$AB,2,0),VLOOKUP(G1755,Dados!$D:$L,4,0)&gt;=VLOOKUP(H1755,Dados!$X:$AB,3,0),VLOOKUP(G1755,Dados!$D:$L,4,0)&lt;=VLOOKUP(H1755,Dados!$X:$AB,4,0)),0,1)</f>
        <v>0</v>
      </c>
      <c r="U1755" s="4">
        <f>IF(COUNTIFS(F:F,F1755,H:H,H1755)&lt;=VLOOKUP(H1755,Dados!$X:$AB,5,0),0,1)</f>
        <v>0</v>
      </c>
    </row>
    <row r="1756" spans="6:21">
      <c r="F1756" s="4">
        <v>824</v>
      </c>
      <c r="G1756" s="4">
        <v>3</v>
      </c>
      <c r="H1756" s="4">
        <v>1</v>
      </c>
      <c r="I1756" s="4">
        <v>1</v>
      </c>
      <c r="J1756" s="4">
        <v>3</v>
      </c>
      <c r="K1756" s="4">
        <f t="shared" si="292"/>
        <v>0</v>
      </c>
      <c r="L1756" s="4">
        <f t="shared" si="292"/>
        <v>0</v>
      </c>
      <c r="M1756" s="4">
        <f t="shared" si="292"/>
        <v>0</v>
      </c>
      <c r="N1756" s="4">
        <f t="shared" si="292"/>
        <v>0</v>
      </c>
      <c r="O1756" s="4">
        <f t="shared" si="293"/>
        <v>0</v>
      </c>
      <c r="P1756" s="4">
        <f t="shared" si="294"/>
        <v>0</v>
      </c>
      <c r="Q1756" s="4">
        <f t="shared" si="295"/>
        <v>0</v>
      </c>
      <c r="R1756" s="4">
        <f t="shared" si="296"/>
        <v>0</v>
      </c>
      <c r="S1756" s="4">
        <f>IF(AND(VLOOKUP(G1756,Dados!$D:$L,2,0)=VLOOKUP(I1756,Dados!$S:$V,2,0),VLOOKUP(G1756,Dados!$D:$L,3,0)=VLOOKUP(I1756,Dados!$S:$V,3,0)),0,1)</f>
        <v>0</v>
      </c>
      <c r="T1756" s="4">
        <f>IF(AND(VLOOKUP(G1756,Dados!$D:$L,3,0)&lt;=VLOOKUP(H1756,Dados!$X:$AB,2,0),VLOOKUP(G1756,Dados!$D:$L,4,0)&gt;=VLOOKUP(H1756,Dados!$X:$AB,3,0),VLOOKUP(G1756,Dados!$D:$L,4,0)&lt;=VLOOKUP(H1756,Dados!$X:$AB,4,0)),0,1)</f>
        <v>0</v>
      </c>
      <c r="U1756" s="4">
        <f>IF(COUNTIFS(F:F,F1756,H:H,H1756)&lt;=VLOOKUP(H1756,Dados!$X:$AB,5,0),0,1)</f>
        <v>0</v>
      </c>
    </row>
    <row r="1757" spans="6:21">
      <c r="F1757" s="4">
        <v>824</v>
      </c>
      <c r="G1757" s="4">
        <v>5</v>
      </c>
      <c r="H1757" s="4">
        <v>1</v>
      </c>
      <c r="I1757" s="4">
        <v>1</v>
      </c>
      <c r="J1757" s="4">
        <v>1</v>
      </c>
      <c r="K1757" s="4">
        <f t="shared" si="292"/>
        <v>0</v>
      </c>
      <c r="L1757" s="4">
        <f t="shared" si="292"/>
        <v>0</v>
      </c>
      <c r="M1757" s="4">
        <f t="shared" si="292"/>
        <v>0</v>
      </c>
      <c r="N1757" s="4">
        <f t="shared" si="292"/>
        <v>0</v>
      </c>
      <c r="O1757" s="4">
        <f t="shared" si="293"/>
        <v>0</v>
      </c>
      <c r="P1757" s="4">
        <f t="shared" si="294"/>
        <v>0</v>
      </c>
      <c r="Q1757" s="4">
        <f t="shared" si="295"/>
        <v>0</v>
      </c>
      <c r="R1757" s="4">
        <f t="shared" si="296"/>
        <v>0</v>
      </c>
      <c r="S1757" s="4">
        <f>IF(AND(VLOOKUP(G1757,Dados!$D:$L,2,0)=VLOOKUP(I1757,Dados!$S:$V,2,0),VLOOKUP(G1757,Dados!$D:$L,3,0)=VLOOKUP(I1757,Dados!$S:$V,3,0)),0,1)</f>
        <v>0</v>
      </c>
      <c r="T1757" s="4">
        <f>IF(AND(VLOOKUP(G1757,Dados!$D:$L,3,0)&lt;=VLOOKUP(H1757,Dados!$X:$AB,2,0),VLOOKUP(G1757,Dados!$D:$L,4,0)&gt;=VLOOKUP(H1757,Dados!$X:$AB,3,0),VLOOKUP(G1757,Dados!$D:$L,4,0)&lt;=VLOOKUP(H1757,Dados!$X:$AB,4,0)),0,1)</f>
        <v>0</v>
      </c>
      <c r="U1757" s="4">
        <f>IF(COUNTIFS(F:F,F1757,H:H,H1757)&lt;=VLOOKUP(H1757,Dados!$X:$AB,5,0),0,1)</f>
        <v>0</v>
      </c>
    </row>
    <row r="1758" spans="6:21">
      <c r="F1758" s="4">
        <v>825</v>
      </c>
      <c r="G1758" s="4">
        <v>1</v>
      </c>
      <c r="H1758" s="4">
        <v>2</v>
      </c>
      <c r="I1758" s="4">
        <v>1</v>
      </c>
      <c r="J1758" s="4">
        <v>2</v>
      </c>
      <c r="K1758" s="4">
        <f t="shared" si="292"/>
        <v>0</v>
      </c>
      <c r="L1758" s="4">
        <f t="shared" si="292"/>
        <v>0</v>
      </c>
      <c r="M1758" s="4">
        <f t="shared" si="292"/>
        <v>0</v>
      </c>
      <c r="N1758" s="4">
        <f t="shared" si="292"/>
        <v>0</v>
      </c>
      <c r="O1758" s="4">
        <f t="shared" si="293"/>
        <v>0</v>
      </c>
      <c r="P1758" s="4">
        <f t="shared" si="294"/>
        <v>0</v>
      </c>
      <c r="Q1758" s="4">
        <f t="shared" si="295"/>
        <v>0</v>
      </c>
      <c r="R1758" s="4">
        <f t="shared" si="296"/>
        <v>0</v>
      </c>
      <c r="S1758" s="4">
        <f>IF(AND(VLOOKUP(G1758,Dados!$D:$L,2,0)=VLOOKUP(I1758,Dados!$S:$V,2,0),VLOOKUP(G1758,Dados!$D:$L,3,0)=VLOOKUP(I1758,Dados!$S:$V,3,0)),0,1)</f>
        <v>0</v>
      </c>
      <c r="T1758" s="4">
        <f>IF(AND(VLOOKUP(G1758,Dados!$D:$L,3,0)&lt;=VLOOKUP(H1758,Dados!$X:$AB,2,0),VLOOKUP(G1758,Dados!$D:$L,4,0)&gt;=VLOOKUP(H1758,Dados!$X:$AB,3,0),VLOOKUP(G1758,Dados!$D:$L,4,0)&lt;=VLOOKUP(H1758,Dados!$X:$AB,4,0)),0,1)</f>
        <v>0</v>
      </c>
      <c r="U1758" s="4">
        <f>IF(COUNTIFS(F:F,F1758,H:H,H1758)&lt;=VLOOKUP(H1758,Dados!$X:$AB,5,0),0,1)</f>
        <v>0</v>
      </c>
    </row>
    <row r="1759" spans="6:21">
      <c r="F1759" s="4">
        <v>825</v>
      </c>
      <c r="G1759" s="4">
        <v>3</v>
      </c>
      <c r="H1759" s="4">
        <v>2</v>
      </c>
      <c r="I1759" s="4">
        <v>1</v>
      </c>
      <c r="J1759" s="4">
        <v>3</v>
      </c>
      <c r="K1759" s="4">
        <f t="shared" si="292"/>
        <v>0</v>
      </c>
      <c r="L1759" s="4">
        <f t="shared" si="292"/>
        <v>0</v>
      </c>
      <c r="M1759" s="4">
        <f t="shared" si="292"/>
        <v>0</v>
      </c>
      <c r="N1759" s="4">
        <f t="shared" si="292"/>
        <v>0</v>
      </c>
      <c r="O1759" s="4">
        <f t="shared" si="293"/>
        <v>0</v>
      </c>
      <c r="P1759" s="4">
        <f t="shared" si="294"/>
        <v>0</v>
      </c>
      <c r="Q1759" s="4">
        <f t="shared" si="295"/>
        <v>0</v>
      </c>
      <c r="R1759" s="4">
        <f t="shared" si="296"/>
        <v>0</v>
      </c>
      <c r="S1759" s="4">
        <f>IF(AND(VLOOKUP(G1759,Dados!$D:$L,2,0)=VLOOKUP(I1759,Dados!$S:$V,2,0),VLOOKUP(G1759,Dados!$D:$L,3,0)=VLOOKUP(I1759,Dados!$S:$V,3,0)),0,1)</f>
        <v>0</v>
      </c>
      <c r="T1759" s="4">
        <f>IF(AND(VLOOKUP(G1759,Dados!$D:$L,3,0)&lt;=VLOOKUP(H1759,Dados!$X:$AB,2,0),VLOOKUP(G1759,Dados!$D:$L,4,0)&gt;=VLOOKUP(H1759,Dados!$X:$AB,3,0),VLOOKUP(G1759,Dados!$D:$L,4,0)&lt;=VLOOKUP(H1759,Dados!$X:$AB,4,0)),0,1)</f>
        <v>0</v>
      </c>
      <c r="U1759" s="4">
        <f>IF(COUNTIFS(F:F,F1759,H:H,H1759)&lt;=VLOOKUP(H1759,Dados!$X:$AB,5,0),0,1)</f>
        <v>0</v>
      </c>
    </row>
    <row r="1760" spans="6:21">
      <c r="F1760" s="4">
        <v>825</v>
      </c>
      <c r="G1760" s="4">
        <v>5</v>
      </c>
      <c r="H1760" s="4">
        <v>2</v>
      </c>
      <c r="I1760" s="4">
        <v>1</v>
      </c>
      <c r="J1760" s="4">
        <v>1</v>
      </c>
      <c r="K1760" s="4">
        <f t="shared" si="292"/>
        <v>0</v>
      </c>
      <c r="L1760" s="4">
        <f t="shared" si="292"/>
        <v>0</v>
      </c>
      <c r="M1760" s="4">
        <f t="shared" si="292"/>
        <v>0</v>
      </c>
      <c r="N1760" s="4">
        <f t="shared" si="292"/>
        <v>0</v>
      </c>
      <c r="O1760" s="4">
        <f t="shared" si="293"/>
        <v>0</v>
      </c>
      <c r="P1760" s="4">
        <f t="shared" si="294"/>
        <v>0</v>
      </c>
      <c r="Q1760" s="4">
        <f t="shared" si="295"/>
        <v>0</v>
      </c>
      <c r="R1760" s="4">
        <f t="shared" si="296"/>
        <v>0</v>
      </c>
      <c r="S1760" s="4">
        <f>IF(AND(VLOOKUP(G1760,Dados!$D:$L,2,0)=VLOOKUP(I1760,Dados!$S:$V,2,0),VLOOKUP(G1760,Dados!$D:$L,3,0)=VLOOKUP(I1760,Dados!$S:$V,3,0)),0,1)</f>
        <v>0</v>
      </c>
      <c r="T1760" s="4">
        <f>IF(AND(VLOOKUP(G1760,Dados!$D:$L,3,0)&lt;=VLOOKUP(H1760,Dados!$X:$AB,2,0),VLOOKUP(G1760,Dados!$D:$L,4,0)&gt;=VLOOKUP(H1760,Dados!$X:$AB,3,0),VLOOKUP(G1760,Dados!$D:$L,4,0)&lt;=VLOOKUP(H1760,Dados!$X:$AB,4,0)),0,1)</f>
        <v>0</v>
      </c>
      <c r="U1760" s="4">
        <f>IF(COUNTIFS(F:F,F1760,H:H,H1760)&lt;=VLOOKUP(H1760,Dados!$X:$AB,5,0),0,1)</f>
        <v>0</v>
      </c>
    </row>
    <row r="1761" spans="6:21">
      <c r="F1761" s="4">
        <v>826</v>
      </c>
      <c r="G1761" s="4">
        <v>1</v>
      </c>
      <c r="H1761" s="4">
        <v>3</v>
      </c>
      <c r="I1761" s="4">
        <v>1</v>
      </c>
      <c r="J1761" s="4">
        <v>2</v>
      </c>
      <c r="K1761" s="4">
        <f t="shared" si="292"/>
        <v>0</v>
      </c>
      <c r="L1761" s="4">
        <f t="shared" si="292"/>
        <v>0</v>
      </c>
      <c r="M1761" s="4">
        <f t="shared" si="292"/>
        <v>0</v>
      </c>
      <c r="N1761" s="4">
        <f t="shared" si="292"/>
        <v>0</v>
      </c>
      <c r="O1761" s="4">
        <f t="shared" si="293"/>
        <v>0</v>
      </c>
      <c r="P1761" s="4">
        <f t="shared" si="294"/>
        <v>0</v>
      </c>
      <c r="Q1761" s="4">
        <f t="shared" si="295"/>
        <v>0</v>
      </c>
      <c r="R1761" s="4">
        <f t="shared" si="296"/>
        <v>0</v>
      </c>
      <c r="S1761" s="4">
        <f>IF(AND(VLOOKUP(G1761,Dados!$D:$L,2,0)=VLOOKUP(I1761,Dados!$S:$V,2,0),VLOOKUP(G1761,Dados!$D:$L,3,0)=VLOOKUP(I1761,Dados!$S:$V,3,0)),0,1)</f>
        <v>0</v>
      </c>
      <c r="T1761" s="4">
        <f>IF(AND(VLOOKUP(G1761,Dados!$D:$L,3,0)&lt;=VLOOKUP(H1761,Dados!$X:$AB,2,0),VLOOKUP(G1761,Dados!$D:$L,4,0)&gt;=VLOOKUP(H1761,Dados!$X:$AB,3,0),VLOOKUP(G1761,Dados!$D:$L,4,0)&lt;=VLOOKUP(H1761,Dados!$X:$AB,4,0)),0,1)</f>
        <v>0</v>
      </c>
      <c r="U1761" s="4">
        <f>IF(COUNTIFS(F:F,F1761,H:H,H1761)&lt;=VLOOKUP(H1761,Dados!$X:$AB,5,0),0,1)</f>
        <v>0</v>
      </c>
    </row>
    <row r="1762" spans="6:21">
      <c r="F1762" s="4">
        <v>826</v>
      </c>
      <c r="G1762" s="4">
        <v>3</v>
      </c>
      <c r="H1762" s="4">
        <v>3</v>
      </c>
      <c r="I1762" s="4">
        <v>1</v>
      </c>
      <c r="J1762" s="4">
        <v>3</v>
      </c>
      <c r="K1762" s="4">
        <f t="shared" ref="K1762:N1825" si="297">SUMIFS($X:$X,$W:$W,$F1762,$Z:$Z,$I1762,$AA:$AA,$H1762,$AB:$AB,K$2)</f>
        <v>0</v>
      </c>
      <c r="L1762" s="4">
        <f t="shared" si="297"/>
        <v>0</v>
      </c>
      <c r="M1762" s="4">
        <f t="shared" si="297"/>
        <v>0</v>
      </c>
      <c r="N1762" s="4">
        <f t="shared" si="297"/>
        <v>0</v>
      </c>
      <c r="O1762" s="4">
        <f t="shared" si="293"/>
        <v>0</v>
      </c>
      <c r="P1762" s="4">
        <f t="shared" si="294"/>
        <v>0</v>
      </c>
      <c r="Q1762" s="4">
        <f t="shared" si="295"/>
        <v>0</v>
      </c>
      <c r="R1762" s="4">
        <f t="shared" si="296"/>
        <v>0</v>
      </c>
      <c r="S1762" s="4">
        <f>IF(AND(VLOOKUP(G1762,Dados!$D:$L,2,0)=VLOOKUP(I1762,Dados!$S:$V,2,0),VLOOKUP(G1762,Dados!$D:$L,3,0)=VLOOKUP(I1762,Dados!$S:$V,3,0)),0,1)</f>
        <v>0</v>
      </c>
      <c r="T1762" s="4">
        <f>IF(AND(VLOOKUP(G1762,Dados!$D:$L,3,0)&lt;=VLOOKUP(H1762,Dados!$X:$AB,2,0),VLOOKUP(G1762,Dados!$D:$L,4,0)&gt;=VLOOKUP(H1762,Dados!$X:$AB,3,0),VLOOKUP(G1762,Dados!$D:$L,4,0)&lt;=VLOOKUP(H1762,Dados!$X:$AB,4,0)),0,1)</f>
        <v>0</v>
      </c>
      <c r="U1762" s="4">
        <f>IF(COUNTIFS(F:F,F1762,H:H,H1762)&lt;=VLOOKUP(H1762,Dados!$X:$AB,5,0),0,1)</f>
        <v>0</v>
      </c>
    </row>
    <row r="1763" spans="6:21">
      <c r="F1763" s="4">
        <v>826</v>
      </c>
      <c r="G1763" s="4">
        <v>5</v>
      </c>
      <c r="H1763" s="4">
        <v>3</v>
      </c>
      <c r="I1763" s="4">
        <v>1</v>
      </c>
      <c r="J1763" s="4">
        <v>1</v>
      </c>
      <c r="K1763" s="4">
        <f t="shared" si="297"/>
        <v>0</v>
      </c>
      <c r="L1763" s="4">
        <f t="shared" si="297"/>
        <v>0</v>
      </c>
      <c r="M1763" s="4">
        <f t="shared" si="297"/>
        <v>0</v>
      </c>
      <c r="N1763" s="4">
        <f t="shared" si="297"/>
        <v>0</v>
      </c>
      <c r="O1763" s="4">
        <f t="shared" si="293"/>
        <v>0</v>
      </c>
      <c r="P1763" s="4">
        <f t="shared" si="294"/>
        <v>0</v>
      </c>
      <c r="Q1763" s="4">
        <f t="shared" si="295"/>
        <v>0</v>
      </c>
      <c r="R1763" s="4">
        <f t="shared" si="296"/>
        <v>0</v>
      </c>
      <c r="S1763" s="4">
        <f>IF(AND(VLOOKUP(G1763,Dados!$D:$L,2,0)=VLOOKUP(I1763,Dados!$S:$V,2,0),VLOOKUP(G1763,Dados!$D:$L,3,0)=VLOOKUP(I1763,Dados!$S:$V,3,0)),0,1)</f>
        <v>0</v>
      </c>
      <c r="T1763" s="4">
        <f>IF(AND(VLOOKUP(G1763,Dados!$D:$L,3,0)&lt;=VLOOKUP(H1763,Dados!$X:$AB,2,0),VLOOKUP(G1763,Dados!$D:$L,4,0)&gt;=VLOOKUP(H1763,Dados!$X:$AB,3,0),VLOOKUP(G1763,Dados!$D:$L,4,0)&lt;=VLOOKUP(H1763,Dados!$X:$AB,4,0)),0,1)</f>
        <v>0</v>
      </c>
      <c r="U1763" s="4">
        <f>IF(COUNTIFS(F:F,F1763,H:H,H1763)&lt;=VLOOKUP(H1763,Dados!$X:$AB,5,0),0,1)</f>
        <v>0</v>
      </c>
    </row>
    <row r="1764" spans="6:21">
      <c r="F1764" s="4">
        <v>827</v>
      </c>
      <c r="G1764" s="4">
        <v>12</v>
      </c>
      <c r="H1764" s="4">
        <v>1</v>
      </c>
      <c r="I1764" s="4">
        <v>9</v>
      </c>
      <c r="J1764" s="4">
        <v>2</v>
      </c>
      <c r="K1764" s="4">
        <f t="shared" si="297"/>
        <v>0</v>
      </c>
      <c r="L1764" s="4">
        <f t="shared" si="297"/>
        <v>0</v>
      </c>
      <c r="M1764" s="4">
        <f t="shared" si="297"/>
        <v>0</v>
      </c>
      <c r="N1764" s="4">
        <f t="shared" si="297"/>
        <v>0</v>
      </c>
      <c r="O1764" s="4">
        <f t="shared" si="293"/>
        <v>0</v>
      </c>
      <c r="P1764" s="4">
        <f t="shared" si="294"/>
        <v>0</v>
      </c>
      <c r="Q1764" s="4">
        <f t="shared" si="295"/>
        <v>0</v>
      </c>
      <c r="R1764" s="4">
        <f t="shared" si="296"/>
        <v>0</v>
      </c>
      <c r="S1764" s="4">
        <f>IF(AND(VLOOKUP(G1764,Dados!$D:$L,2,0)=VLOOKUP(I1764,Dados!$S:$V,2,0),VLOOKUP(G1764,Dados!$D:$L,3,0)=VLOOKUP(I1764,Dados!$S:$V,3,0)),0,1)</f>
        <v>0</v>
      </c>
      <c r="T1764" s="4">
        <f>IF(AND(VLOOKUP(G1764,Dados!$D:$L,3,0)&lt;=VLOOKUP(H1764,Dados!$X:$AB,2,0),VLOOKUP(G1764,Dados!$D:$L,4,0)&gt;=VLOOKUP(H1764,Dados!$X:$AB,3,0),VLOOKUP(G1764,Dados!$D:$L,4,0)&lt;=VLOOKUP(H1764,Dados!$X:$AB,4,0)),0,1)</f>
        <v>0</v>
      </c>
      <c r="U1764" s="4">
        <f>IF(COUNTIFS(F:F,F1764,H:H,H1764)&lt;=VLOOKUP(H1764,Dados!$X:$AB,5,0),0,1)</f>
        <v>0</v>
      </c>
    </row>
    <row r="1765" spans="6:21">
      <c r="F1765" s="4">
        <v>827</v>
      </c>
      <c r="G1765" s="4">
        <v>13</v>
      </c>
      <c r="H1765" s="4">
        <v>1</v>
      </c>
      <c r="I1765" s="4">
        <v>9</v>
      </c>
      <c r="J1765" s="4">
        <v>1</v>
      </c>
      <c r="K1765" s="4">
        <f t="shared" si="297"/>
        <v>0</v>
      </c>
      <c r="L1765" s="4">
        <f t="shared" si="297"/>
        <v>0</v>
      </c>
      <c r="M1765" s="4">
        <f t="shared" si="297"/>
        <v>0</v>
      </c>
      <c r="N1765" s="4">
        <f t="shared" si="297"/>
        <v>0</v>
      </c>
      <c r="O1765" s="4">
        <f t="shared" si="293"/>
        <v>0</v>
      </c>
      <c r="P1765" s="4">
        <f t="shared" si="294"/>
        <v>0</v>
      </c>
      <c r="Q1765" s="4">
        <f t="shared" si="295"/>
        <v>0</v>
      </c>
      <c r="R1765" s="4">
        <f t="shared" si="296"/>
        <v>0</v>
      </c>
      <c r="S1765" s="4">
        <f>IF(AND(VLOOKUP(G1765,Dados!$D:$L,2,0)=VLOOKUP(I1765,Dados!$S:$V,2,0),VLOOKUP(G1765,Dados!$D:$L,3,0)=VLOOKUP(I1765,Dados!$S:$V,3,0)),0,1)</f>
        <v>0</v>
      </c>
      <c r="T1765" s="4">
        <f>IF(AND(VLOOKUP(G1765,Dados!$D:$L,3,0)&lt;=VLOOKUP(H1765,Dados!$X:$AB,2,0),VLOOKUP(G1765,Dados!$D:$L,4,0)&gt;=VLOOKUP(H1765,Dados!$X:$AB,3,0),VLOOKUP(G1765,Dados!$D:$L,4,0)&lt;=VLOOKUP(H1765,Dados!$X:$AB,4,0)),0,1)</f>
        <v>0</v>
      </c>
      <c r="U1765" s="4">
        <f>IF(COUNTIFS(F:F,F1765,H:H,H1765)&lt;=VLOOKUP(H1765,Dados!$X:$AB,5,0),0,1)</f>
        <v>0</v>
      </c>
    </row>
    <row r="1766" spans="6:21">
      <c r="F1766" s="4">
        <v>827</v>
      </c>
      <c r="G1766" s="4">
        <v>15</v>
      </c>
      <c r="H1766" s="4">
        <v>1</v>
      </c>
      <c r="I1766" s="4">
        <v>9</v>
      </c>
      <c r="J1766" s="4">
        <v>6</v>
      </c>
      <c r="K1766" s="4">
        <f t="shared" si="297"/>
        <v>0</v>
      </c>
      <c r="L1766" s="4">
        <f t="shared" si="297"/>
        <v>0</v>
      </c>
      <c r="M1766" s="4">
        <f t="shared" si="297"/>
        <v>0</v>
      </c>
      <c r="N1766" s="4">
        <f t="shared" si="297"/>
        <v>0</v>
      </c>
      <c r="O1766" s="4">
        <f t="shared" si="293"/>
        <v>0</v>
      </c>
      <c r="P1766" s="4">
        <f t="shared" si="294"/>
        <v>0</v>
      </c>
      <c r="Q1766" s="4">
        <f t="shared" si="295"/>
        <v>0</v>
      </c>
      <c r="R1766" s="4">
        <f t="shared" si="296"/>
        <v>0</v>
      </c>
      <c r="S1766" s="4">
        <f>IF(AND(VLOOKUP(G1766,Dados!$D:$L,2,0)=VLOOKUP(I1766,Dados!$S:$V,2,0),VLOOKUP(G1766,Dados!$D:$L,3,0)=VLOOKUP(I1766,Dados!$S:$V,3,0)),0,1)</f>
        <v>0</v>
      </c>
      <c r="T1766" s="4">
        <f>IF(AND(VLOOKUP(G1766,Dados!$D:$L,3,0)&lt;=VLOOKUP(H1766,Dados!$X:$AB,2,0),VLOOKUP(G1766,Dados!$D:$L,4,0)&gt;=VLOOKUP(H1766,Dados!$X:$AB,3,0),VLOOKUP(G1766,Dados!$D:$L,4,0)&lt;=VLOOKUP(H1766,Dados!$X:$AB,4,0)),0,1)</f>
        <v>0</v>
      </c>
      <c r="U1766" s="4">
        <f>IF(COUNTIFS(F:F,F1766,H:H,H1766)&lt;=VLOOKUP(H1766,Dados!$X:$AB,5,0),0,1)</f>
        <v>0</v>
      </c>
    </row>
    <row r="1767" spans="6:21">
      <c r="F1767" s="4">
        <v>828</v>
      </c>
      <c r="G1767" s="4">
        <v>12</v>
      </c>
      <c r="H1767" s="4">
        <v>3</v>
      </c>
      <c r="I1767" s="4">
        <v>9</v>
      </c>
      <c r="J1767" s="4">
        <v>2</v>
      </c>
      <c r="K1767" s="4">
        <f t="shared" si="297"/>
        <v>0</v>
      </c>
      <c r="L1767" s="4">
        <f t="shared" si="297"/>
        <v>0</v>
      </c>
      <c r="M1767" s="4">
        <f t="shared" si="297"/>
        <v>0</v>
      </c>
      <c r="N1767" s="4">
        <f t="shared" si="297"/>
        <v>2</v>
      </c>
      <c r="O1767" s="4">
        <f t="shared" ref="O1767:O1830" si="298">$J1767*K1767</f>
        <v>0</v>
      </c>
      <c r="P1767" s="4">
        <f t="shared" ref="P1767:P1830" si="299">$J1767*L1767</f>
        <v>0</v>
      </c>
      <c r="Q1767" s="4">
        <f t="shared" ref="Q1767:Q1830" si="300">$J1767*M1767</f>
        <v>0</v>
      </c>
      <c r="R1767" s="4">
        <f t="shared" ref="R1767:R1830" si="301">$J1767*N1767</f>
        <v>4</v>
      </c>
      <c r="S1767" s="4">
        <f>IF(AND(VLOOKUP(G1767,Dados!$D:$L,2,0)=VLOOKUP(I1767,Dados!$S:$V,2,0),VLOOKUP(G1767,Dados!$D:$L,3,0)=VLOOKUP(I1767,Dados!$S:$V,3,0)),0,1)</f>
        <v>0</v>
      </c>
      <c r="T1767" s="4">
        <f>IF(AND(VLOOKUP(G1767,Dados!$D:$L,3,0)&lt;=VLOOKUP(H1767,Dados!$X:$AB,2,0),VLOOKUP(G1767,Dados!$D:$L,4,0)&gt;=VLOOKUP(H1767,Dados!$X:$AB,3,0),VLOOKUP(G1767,Dados!$D:$L,4,0)&lt;=VLOOKUP(H1767,Dados!$X:$AB,4,0)),0,1)</f>
        <v>0</v>
      </c>
      <c r="U1767" s="4">
        <f>IF(COUNTIFS(F:F,F1767,H:H,H1767)&lt;=VLOOKUP(H1767,Dados!$X:$AB,5,0),0,1)</f>
        <v>0</v>
      </c>
    </row>
    <row r="1768" spans="6:21">
      <c r="F1768" s="4">
        <v>828</v>
      </c>
      <c r="G1768" s="4">
        <v>13</v>
      </c>
      <c r="H1768" s="4">
        <v>3</v>
      </c>
      <c r="I1768" s="4">
        <v>9</v>
      </c>
      <c r="J1768" s="4">
        <v>1</v>
      </c>
      <c r="K1768" s="4">
        <f t="shared" si="297"/>
        <v>0</v>
      </c>
      <c r="L1768" s="4">
        <f t="shared" si="297"/>
        <v>0</v>
      </c>
      <c r="M1768" s="4">
        <f t="shared" si="297"/>
        <v>0</v>
      </c>
      <c r="N1768" s="4">
        <f t="shared" si="297"/>
        <v>2</v>
      </c>
      <c r="O1768" s="4">
        <f t="shared" si="298"/>
        <v>0</v>
      </c>
      <c r="P1768" s="4">
        <f t="shared" si="299"/>
        <v>0</v>
      </c>
      <c r="Q1768" s="4">
        <f t="shared" si="300"/>
        <v>0</v>
      </c>
      <c r="R1768" s="4">
        <f t="shared" si="301"/>
        <v>2</v>
      </c>
      <c r="S1768" s="4">
        <f>IF(AND(VLOOKUP(G1768,Dados!$D:$L,2,0)=VLOOKUP(I1768,Dados!$S:$V,2,0),VLOOKUP(G1768,Dados!$D:$L,3,0)=VLOOKUP(I1768,Dados!$S:$V,3,0)),0,1)</f>
        <v>0</v>
      </c>
      <c r="T1768" s="4">
        <f>IF(AND(VLOOKUP(G1768,Dados!$D:$L,3,0)&lt;=VLOOKUP(H1768,Dados!$X:$AB,2,0),VLOOKUP(G1768,Dados!$D:$L,4,0)&gt;=VLOOKUP(H1768,Dados!$X:$AB,3,0),VLOOKUP(G1768,Dados!$D:$L,4,0)&lt;=VLOOKUP(H1768,Dados!$X:$AB,4,0)),0,1)</f>
        <v>0</v>
      </c>
      <c r="U1768" s="4">
        <f>IF(COUNTIFS(F:F,F1768,H:H,H1768)&lt;=VLOOKUP(H1768,Dados!$X:$AB,5,0),0,1)</f>
        <v>0</v>
      </c>
    </row>
    <row r="1769" spans="6:21">
      <c r="F1769" s="4">
        <v>828</v>
      </c>
      <c r="G1769" s="4">
        <v>15</v>
      </c>
      <c r="H1769" s="4">
        <v>3</v>
      </c>
      <c r="I1769" s="4">
        <v>9</v>
      </c>
      <c r="J1769" s="4">
        <v>6</v>
      </c>
      <c r="K1769" s="4">
        <f t="shared" si="297"/>
        <v>0</v>
      </c>
      <c r="L1769" s="4">
        <f t="shared" si="297"/>
        <v>0</v>
      </c>
      <c r="M1769" s="4">
        <f t="shared" si="297"/>
        <v>0</v>
      </c>
      <c r="N1769" s="4">
        <f t="shared" si="297"/>
        <v>2</v>
      </c>
      <c r="O1769" s="4">
        <f t="shared" si="298"/>
        <v>0</v>
      </c>
      <c r="P1769" s="4">
        <f t="shared" si="299"/>
        <v>0</v>
      </c>
      <c r="Q1769" s="4">
        <f t="shared" si="300"/>
        <v>0</v>
      </c>
      <c r="R1769" s="4">
        <f t="shared" si="301"/>
        <v>12</v>
      </c>
      <c r="S1769" s="4">
        <f>IF(AND(VLOOKUP(G1769,Dados!$D:$L,2,0)=VLOOKUP(I1769,Dados!$S:$V,2,0),VLOOKUP(G1769,Dados!$D:$L,3,0)=VLOOKUP(I1769,Dados!$S:$V,3,0)),0,1)</f>
        <v>0</v>
      </c>
      <c r="T1769" s="4">
        <f>IF(AND(VLOOKUP(G1769,Dados!$D:$L,3,0)&lt;=VLOOKUP(H1769,Dados!$X:$AB,2,0),VLOOKUP(G1769,Dados!$D:$L,4,0)&gt;=VLOOKUP(H1769,Dados!$X:$AB,3,0),VLOOKUP(G1769,Dados!$D:$L,4,0)&lt;=VLOOKUP(H1769,Dados!$X:$AB,4,0)),0,1)</f>
        <v>0</v>
      </c>
      <c r="U1769" s="4">
        <f>IF(COUNTIFS(F:F,F1769,H:H,H1769)&lt;=VLOOKUP(H1769,Dados!$X:$AB,5,0),0,1)</f>
        <v>0</v>
      </c>
    </row>
    <row r="1770" spans="6:21">
      <c r="F1770" s="4">
        <v>829</v>
      </c>
      <c r="G1770" s="4">
        <v>12</v>
      </c>
      <c r="H1770" s="4">
        <v>1</v>
      </c>
      <c r="I1770" s="4">
        <v>11</v>
      </c>
      <c r="J1770" s="4">
        <v>7</v>
      </c>
      <c r="K1770" s="4">
        <f t="shared" si="297"/>
        <v>0</v>
      </c>
      <c r="L1770" s="4">
        <f t="shared" si="297"/>
        <v>0</v>
      </c>
      <c r="M1770" s="4">
        <f t="shared" si="297"/>
        <v>0</v>
      </c>
      <c r="N1770" s="4">
        <f t="shared" si="297"/>
        <v>0</v>
      </c>
      <c r="O1770" s="4">
        <f t="shared" si="298"/>
        <v>0</v>
      </c>
      <c r="P1770" s="4">
        <f t="shared" si="299"/>
        <v>0</v>
      </c>
      <c r="Q1770" s="4">
        <f t="shared" si="300"/>
        <v>0</v>
      </c>
      <c r="R1770" s="4">
        <f t="shared" si="301"/>
        <v>0</v>
      </c>
      <c r="S1770" s="4">
        <f>IF(AND(VLOOKUP(G1770,Dados!$D:$L,2,0)=VLOOKUP(I1770,Dados!$S:$V,2,0),VLOOKUP(G1770,Dados!$D:$L,3,0)=VLOOKUP(I1770,Dados!$S:$V,3,0)),0,1)</f>
        <v>0</v>
      </c>
      <c r="T1770" s="4">
        <f>IF(AND(VLOOKUP(G1770,Dados!$D:$L,3,0)&lt;=VLOOKUP(H1770,Dados!$X:$AB,2,0),VLOOKUP(G1770,Dados!$D:$L,4,0)&gt;=VLOOKUP(H1770,Dados!$X:$AB,3,0),VLOOKUP(G1770,Dados!$D:$L,4,0)&lt;=VLOOKUP(H1770,Dados!$X:$AB,4,0)),0,1)</f>
        <v>0</v>
      </c>
      <c r="U1770" s="4">
        <f>IF(COUNTIFS(F:F,F1770,H:H,H1770)&lt;=VLOOKUP(H1770,Dados!$X:$AB,5,0),0,1)</f>
        <v>0</v>
      </c>
    </row>
    <row r="1771" spans="6:21">
      <c r="F1771" s="4">
        <v>829</v>
      </c>
      <c r="G1771" s="4">
        <v>13</v>
      </c>
      <c r="H1771" s="4">
        <v>1</v>
      </c>
      <c r="I1771" s="4">
        <v>11</v>
      </c>
      <c r="J1771" s="4">
        <v>1</v>
      </c>
      <c r="K1771" s="4">
        <f t="shared" si="297"/>
        <v>0</v>
      </c>
      <c r="L1771" s="4">
        <f t="shared" si="297"/>
        <v>0</v>
      </c>
      <c r="M1771" s="4">
        <f t="shared" si="297"/>
        <v>0</v>
      </c>
      <c r="N1771" s="4">
        <f t="shared" si="297"/>
        <v>0</v>
      </c>
      <c r="O1771" s="4">
        <f t="shared" si="298"/>
        <v>0</v>
      </c>
      <c r="P1771" s="4">
        <f t="shared" si="299"/>
        <v>0</v>
      </c>
      <c r="Q1771" s="4">
        <f t="shared" si="300"/>
        <v>0</v>
      </c>
      <c r="R1771" s="4">
        <f t="shared" si="301"/>
        <v>0</v>
      </c>
      <c r="S1771" s="4">
        <f>IF(AND(VLOOKUP(G1771,Dados!$D:$L,2,0)=VLOOKUP(I1771,Dados!$S:$V,2,0),VLOOKUP(G1771,Dados!$D:$L,3,0)=VLOOKUP(I1771,Dados!$S:$V,3,0)),0,1)</f>
        <v>0</v>
      </c>
      <c r="T1771" s="4">
        <f>IF(AND(VLOOKUP(G1771,Dados!$D:$L,3,0)&lt;=VLOOKUP(H1771,Dados!$X:$AB,2,0),VLOOKUP(G1771,Dados!$D:$L,4,0)&gt;=VLOOKUP(H1771,Dados!$X:$AB,3,0),VLOOKUP(G1771,Dados!$D:$L,4,0)&lt;=VLOOKUP(H1771,Dados!$X:$AB,4,0)),0,1)</f>
        <v>0</v>
      </c>
      <c r="U1771" s="4">
        <f>IF(COUNTIFS(F:F,F1771,H:H,H1771)&lt;=VLOOKUP(H1771,Dados!$X:$AB,5,0),0,1)</f>
        <v>0</v>
      </c>
    </row>
    <row r="1772" spans="6:21">
      <c r="F1772" s="4">
        <v>829</v>
      </c>
      <c r="G1772" s="4">
        <v>14</v>
      </c>
      <c r="H1772" s="4">
        <v>1</v>
      </c>
      <c r="I1772" s="4">
        <v>11</v>
      </c>
      <c r="J1772" s="4">
        <v>2</v>
      </c>
      <c r="K1772" s="4">
        <f t="shared" si="297"/>
        <v>0</v>
      </c>
      <c r="L1772" s="4">
        <f t="shared" si="297"/>
        <v>0</v>
      </c>
      <c r="M1772" s="4">
        <f t="shared" si="297"/>
        <v>0</v>
      </c>
      <c r="N1772" s="4">
        <f t="shared" si="297"/>
        <v>0</v>
      </c>
      <c r="O1772" s="4">
        <f t="shared" si="298"/>
        <v>0</v>
      </c>
      <c r="P1772" s="4">
        <f t="shared" si="299"/>
        <v>0</v>
      </c>
      <c r="Q1772" s="4">
        <f t="shared" si="300"/>
        <v>0</v>
      </c>
      <c r="R1772" s="4">
        <f t="shared" si="301"/>
        <v>0</v>
      </c>
      <c r="S1772" s="4">
        <f>IF(AND(VLOOKUP(G1772,Dados!$D:$L,2,0)=VLOOKUP(I1772,Dados!$S:$V,2,0),VLOOKUP(G1772,Dados!$D:$L,3,0)=VLOOKUP(I1772,Dados!$S:$V,3,0)),0,1)</f>
        <v>0</v>
      </c>
      <c r="T1772" s="4">
        <f>IF(AND(VLOOKUP(G1772,Dados!$D:$L,3,0)&lt;=VLOOKUP(H1772,Dados!$X:$AB,2,0),VLOOKUP(G1772,Dados!$D:$L,4,0)&gt;=VLOOKUP(H1772,Dados!$X:$AB,3,0),VLOOKUP(G1772,Dados!$D:$L,4,0)&lt;=VLOOKUP(H1772,Dados!$X:$AB,4,0)),0,1)</f>
        <v>0</v>
      </c>
      <c r="U1772" s="4">
        <f>IF(COUNTIFS(F:F,F1772,H:H,H1772)&lt;=VLOOKUP(H1772,Dados!$X:$AB,5,0),0,1)</f>
        <v>0</v>
      </c>
    </row>
    <row r="1773" spans="6:21">
      <c r="F1773" s="4">
        <v>830</v>
      </c>
      <c r="G1773" s="4">
        <v>12</v>
      </c>
      <c r="H1773" s="4">
        <v>3</v>
      </c>
      <c r="I1773" s="4">
        <v>11</v>
      </c>
      <c r="J1773" s="4">
        <v>7</v>
      </c>
      <c r="K1773" s="4">
        <f t="shared" si="297"/>
        <v>0</v>
      </c>
      <c r="L1773" s="4">
        <f t="shared" si="297"/>
        <v>0</v>
      </c>
      <c r="M1773" s="4">
        <f t="shared" si="297"/>
        <v>0</v>
      </c>
      <c r="N1773" s="4">
        <f t="shared" si="297"/>
        <v>0</v>
      </c>
      <c r="O1773" s="4">
        <f t="shared" si="298"/>
        <v>0</v>
      </c>
      <c r="P1773" s="4">
        <f t="shared" si="299"/>
        <v>0</v>
      </c>
      <c r="Q1773" s="4">
        <f t="shared" si="300"/>
        <v>0</v>
      </c>
      <c r="R1773" s="4">
        <f t="shared" si="301"/>
        <v>0</v>
      </c>
      <c r="S1773" s="4">
        <f>IF(AND(VLOOKUP(G1773,Dados!$D:$L,2,0)=VLOOKUP(I1773,Dados!$S:$V,2,0),VLOOKUP(G1773,Dados!$D:$L,3,0)=VLOOKUP(I1773,Dados!$S:$V,3,0)),0,1)</f>
        <v>0</v>
      </c>
      <c r="T1773" s="4">
        <f>IF(AND(VLOOKUP(G1773,Dados!$D:$L,3,0)&lt;=VLOOKUP(H1773,Dados!$X:$AB,2,0),VLOOKUP(G1773,Dados!$D:$L,4,0)&gt;=VLOOKUP(H1773,Dados!$X:$AB,3,0),VLOOKUP(G1773,Dados!$D:$L,4,0)&lt;=VLOOKUP(H1773,Dados!$X:$AB,4,0)),0,1)</f>
        <v>0</v>
      </c>
      <c r="U1773" s="4">
        <f>IF(COUNTIFS(F:F,F1773,H:H,H1773)&lt;=VLOOKUP(H1773,Dados!$X:$AB,5,0),0,1)</f>
        <v>0</v>
      </c>
    </row>
    <row r="1774" spans="6:21">
      <c r="F1774" s="4">
        <v>830</v>
      </c>
      <c r="G1774" s="4">
        <v>13</v>
      </c>
      <c r="H1774" s="4">
        <v>3</v>
      </c>
      <c r="I1774" s="4">
        <v>11</v>
      </c>
      <c r="J1774" s="4">
        <v>1</v>
      </c>
      <c r="K1774" s="4">
        <f t="shared" si="297"/>
        <v>0</v>
      </c>
      <c r="L1774" s="4">
        <f t="shared" si="297"/>
        <v>0</v>
      </c>
      <c r="M1774" s="4">
        <f t="shared" si="297"/>
        <v>0</v>
      </c>
      <c r="N1774" s="4">
        <f t="shared" si="297"/>
        <v>0</v>
      </c>
      <c r="O1774" s="4">
        <f t="shared" si="298"/>
        <v>0</v>
      </c>
      <c r="P1774" s="4">
        <f t="shared" si="299"/>
        <v>0</v>
      </c>
      <c r="Q1774" s="4">
        <f t="shared" si="300"/>
        <v>0</v>
      </c>
      <c r="R1774" s="4">
        <f t="shared" si="301"/>
        <v>0</v>
      </c>
      <c r="S1774" s="4">
        <f>IF(AND(VLOOKUP(G1774,Dados!$D:$L,2,0)=VLOOKUP(I1774,Dados!$S:$V,2,0),VLOOKUP(G1774,Dados!$D:$L,3,0)=VLOOKUP(I1774,Dados!$S:$V,3,0)),0,1)</f>
        <v>0</v>
      </c>
      <c r="T1774" s="4">
        <f>IF(AND(VLOOKUP(G1774,Dados!$D:$L,3,0)&lt;=VLOOKUP(H1774,Dados!$X:$AB,2,0),VLOOKUP(G1774,Dados!$D:$L,4,0)&gt;=VLOOKUP(H1774,Dados!$X:$AB,3,0),VLOOKUP(G1774,Dados!$D:$L,4,0)&lt;=VLOOKUP(H1774,Dados!$X:$AB,4,0)),0,1)</f>
        <v>0</v>
      </c>
      <c r="U1774" s="4">
        <f>IF(COUNTIFS(F:F,F1774,H:H,H1774)&lt;=VLOOKUP(H1774,Dados!$X:$AB,5,0),0,1)</f>
        <v>0</v>
      </c>
    </row>
    <row r="1775" spans="6:21">
      <c r="F1775" s="4">
        <v>830</v>
      </c>
      <c r="G1775" s="4">
        <v>14</v>
      </c>
      <c r="H1775" s="4">
        <v>3</v>
      </c>
      <c r="I1775" s="4">
        <v>11</v>
      </c>
      <c r="J1775" s="4">
        <v>2</v>
      </c>
      <c r="K1775" s="4">
        <f t="shared" si="297"/>
        <v>0</v>
      </c>
      <c r="L1775" s="4">
        <f t="shared" si="297"/>
        <v>0</v>
      </c>
      <c r="M1775" s="4">
        <f t="shared" si="297"/>
        <v>0</v>
      </c>
      <c r="N1775" s="4">
        <f t="shared" si="297"/>
        <v>0</v>
      </c>
      <c r="O1775" s="4">
        <f t="shared" si="298"/>
        <v>0</v>
      </c>
      <c r="P1775" s="4">
        <f t="shared" si="299"/>
        <v>0</v>
      </c>
      <c r="Q1775" s="4">
        <f t="shared" si="300"/>
        <v>0</v>
      </c>
      <c r="R1775" s="4">
        <f t="shared" si="301"/>
        <v>0</v>
      </c>
      <c r="S1775" s="4">
        <f>IF(AND(VLOOKUP(G1775,Dados!$D:$L,2,0)=VLOOKUP(I1775,Dados!$S:$V,2,0),VLOOKUP(G1775,Dados!$D:$L,3,0)=VLOOKUP(I1775,Dados!$S:$V,3,0)),0,1)</f>
        <v>0</v>
      </c>
      <c r="T1775" s="4">
        <f>IF(AND(VLOOKUP(G1775,Dados!$D:$L,3,0)&lt;=VLOOKUP(H1775,Dados!$X:$AB,2,0),VLOOKUP(G1775,Dados!$D:$L,4,0)&gt;=VLOOKUP(H1775,Dados!$X:$AB,3,0),VLOOKUP(G1775,Dados!$D:$L,4,0)&lt;=VLOOKUP(H1775,Dados!$X:$AB,4,0)),0,1)</f>
        <v>0</v>
      </c>
      <c r="U1775" s="4">
        <f>IF(COUNTIFS(F:F,F1775,H:H,H1775)&lt;=VLOOKUP(H1775,Dados!$X:$AB,5,0),0,1)</f>
        <v>0</v>
      </c>
    </row>
    <row r="1776" spans="6:21">
      <c r="F1776" s="4">
        <v>831</v>
      </c>
      <c r="G1776" s="4">
        <v>25</v>
      </c>
      <c r="H1776" s="4">
        <v>1</v>
      </c>
      <c r="I1776" s="4">
        <v>15</v>
      </c>
      <c r="J1776" s="4">
        <v>4</v>
      </c>
      <c r="K1776" s="4">
        <f t="shared" si="297"/>
        <v>0</v>
      </c>
      <c r="L1776" s="4">
        <f t="shared" si="297"/>
        <v>0</v>
      </c>
      <c r="M1776" s="4">
        <f t="shared" si="297"/>
        <v>2</v>
      </c>
      <c r="N1776" s="4">
        <f t="shared" si="297"/>
        <v>0</v>
      </c>
      <c r="O1776" s="4">
        <f t="shared" si="298"/>
        <v>0</v>
      </c>
      <c r="P1776" s="4">
        <f t="shared" si="299"/>
        <v>0</v>
      </c>
      <c r="Q1776" s="4">
        <f t="shared" si="300"/>
        <v>8</v>
      </c>
      <c r="R1776" s="4">
        <f t="shared" si="301"/>
        <v>0</v>
      </c>
      <c r="S1776" s="4">
        <f>IF(AND(VLOOKUP(G1776,Dados!$D:$L,2,0)=VLOOKUP(I1776,Dados!$S:$V,2,0),VLOOKUP(G1776,Dados!$D:$L,3,0)=VLOOKUP(I1776,Dados!$S:$V,3,0)),0,1)</f>
        <v>0</v>
      </c>
      <c r="T1776" s="4">
        <f>IF(AND(VLOOKUP(G1776,Dados!$D:$L,3,0)&lt;=VLOOKUP(H1776,Dados!$X:$AB,2,0),VLOOKUP(G1776,Dados!$D:$L,4,0)&gt;=VLOOKUP(H1776,Dados!$X:$AB,3,0),VLOOKUP(G1776,Dados!$D:$L,4,0)&lt;=VLOOKUP(H1776,Dados!$X:$AB,4,0)),0,1)</f>
        <v>0</v>
      </c>
      <c r="U1776" s="4">
        <f>IF(COUNTIFS(F:F,F1776,H:H,H1776)&lt;=VLOOKUP(H1776,Dados!$X:$AB,5,0),0,1)</f>
        <v>0</v>
      </c>
    </row>
    <row r="1777" spans="6:21">
      <c r="F1777" s="4">
        <v>831</v>
      </c>
      <c r="G1777" s="4">
        <v>26</v>
      </c>
      <c r="H1777" s="4">
        <v>1</v>
      </c>
      <c r="I1777" s="4">
        <v>15</v>
      </c>
      <c r="J1777" s="4">
        <v>1</v>
      </c>
      <c r="K1777" s="4">
        <f t="shared" si="297"/>
        <v>0</v>
      </c>
      <c r="L1777" s="4">
        <f t="shared" si="297"/>
        <v>0</v>
      </c>
      <c r="M1777" s="4">
        <f t="shared" si="297"/>
        <v>2</v>
      </c>
      <c r="N1777" s="4">
        <f t="shared" si="297"/>
        <v>0</v>
      </c>
      <c r="O1777" s="4">
        <f t="shared" si="298"/>
        <v>0</v>
      </c>
      <c r="P1777" s="4">
        <f t="shared" si="299"/>
        <v>0</v>
      </c>
      <c r="Q1777" s="4">
        <f t="shared" si="300"/>
        <v>2</v>
      </c>
      <c r="R1777" s="4">
        <f t="shared" si="301"/>
        <v>0</v>
      </c>
      <c r="S1777" s="4">
        <f>IF(AND(VLOOKUP(G1777,Dados!$D:$L,2,0)=VLOOKUP(I1777,Dados!$S:$V,2,0),VLOOKUP(G1777,Dados!$D:$L,3,0)=VLOOKUP(I1777,Dados!$S:$V,3,0)),0,1)</f>
        <v>0</v>
      </c>
      <c r="T1777" s="4">
        <f>IF(AND(VLOOKUP(G1777,Dados!$D:$L,3,0)&lt;=VLOOKUP(H1777,Dados!$X:$AB,2,0),VLOOKUP(G1777,Dados!$D:$L,4,0)&gt;=VLOOKUP(H1777,Dados!$X:$AB,3,0),VLOOKUP(G1777,Dados!$D:$L,4,0)&lt;=VLOOKUP(H1777,Dados!$X:$AB,4,0)),0,1)</f>
        <v>0</v>
      </c>
      <c r="U1777" s="4">
        <f>IF(COUNTIFS(F:F,F1777,H:H,H1777)&lt;=VLOOKUP(H1777,Dados!$X:$AB,5,0),0,1)</f>
        <v>0</v>
      </c>
    </row>
    <row r="1778" spans="6:21">
      <c r="F1778" s="4">
        <v>831</v>
      </c>
      <c r="G1778" s="4">
        <v>28</v>
      </c>
      <c r="H1778" s="4">
        <v>1</v>
      </c>
      <c r="I1778" s="4">
        <v>15</v>
      </c>
      <c r="J1778" s="4">
        <v>2</v>
      </c>
      <c r="K1778" s="4">
        <f t="shared" si="297"/>
        <v>0</v>
      </c>
      <c r="L1778" s="4">
        <f t="shared" si="297"/>
        <v>0</v>
      </c>
      <c r="M1778" s="4">
        <f t="shared" si="297"/>
        <v>2</v>
      </c>
      <c r="N1778" s="4">
        <f t="shared" si="297"/>
        <v>0</v>
      </c>
      <c r="O1778" s="4">
        <f t="shared" si="298"/>
        <v>0</v>
      </c>
      <c r="P1778" s="4">
        <f t="shared" si="299"/>
        <v>0</v>
      </c>
      <c r="Q1778" s="4">
        <f t="shared" si="300"/>
        <v>4</v>
      </c>
      <c r="R1778" s="4">
        <f t="shared" si="301"/>
        <v>0</v>
      </c>
      <c r="S1778" s="4">
        <f>IF(AND(VLOOKUP(G1778,Dados!$D:$L,2,0)=VLOOKUP(I1778,Dados!$S:$V,2,0),VLOOKUP(G1778,Dados!$D:$L,3,0)=VLOOKUP(I1778,Dados!$S:$V,3,0)),0,1)</f>
        <v>0</v>
      </c>
      <c r="T1778" s="4">
        <f>IF(AND(VLOOKUP(G1778,Dados!$D:$L,3,0)&lt;=VLOOKUP(H1778,Dados!$X:$AB,2,0),VLOOKUP(G1778,Dados!$D:$L,4,0)&gt;=VLOOKUP(H1778,Dados!$X:$AB,3,0),VLOOKUP(G1778,Dados!$D:$L,4,0)&lt;=VLOOKUP(H1778,Dados!$X:$AB,4,0)),0,1)</f>
        <v>0</v>
      </c>
      <c r="U1778" s="4">
        <f>IF(COUNTIFS(F:F,F1778,H:H,H1778)&lt;=VLOOKUP(H1778,Dados!$X:$AB,5,0),0,1)</f>
        <v>0</v>
      </c>
    </row>
    <row r="1779" spans="6:21">
      <c r="F1779" s="4">
        <v>832</v>
      </c>
      <c r="G1779" s="4">
        <v>25</v>
      </c>
      <c r="H1779" s="4">
        <v>3</v>
      </c>
      <c r="I1779" s="4">
        <v>15</v>
      </c>
      <c r="J1779" s="4">
        <v>4</v>
      </c>
      <c r="K1779" s="4">
        <f t="shared" si="297"/>
        <v>0</v>
      </c>
      <c r="L1779" s="4">
        <f t="shared" si="297"/>
        <v>0</v>
      </c>
      <c r="M1779" s="4">
        <f t="shared" si="297"/>
        <v>0</v>
      </c>
      <c r="N1779" s="4">
        <f t="shared" si="297"/>
        <v>0</v>
      </c>
      <c r="O1779" s="4">
        <f t="shared" si="298"/>
        <v>0</v>
      </c>
      <c r="P1779" s="4">
        <f t="shared" si="299"/>
        <v>0</v>
      </c>
      <c r="Q1779" s="4">
        <f t="shared" si="300"/>
        <v>0</v>
      </c>
      <c r="R1779" s="4">
        <f t="shared" si="301"/>
        <v>0</v>
      </c>
      <c r="S1779" s="4">
        <f>IF(AND(VLOOKUP(G1779,Dados!$D:$L,2,0)=VLOOKUP(I1779,Dados!$S:$V,2,0),VLOOKUP(G1779,Dados!$D:$L,3,0)=VLOOKUP(I1779,Dados!$S:$V,3,0)),0,1)</f>
        <v>0</v>
      </c>
      <c r="T1779" s="4">
        <f>IF(AND(VLOOKUP(G1779,Dados!$D:$L,3,0)&lt;=VLOOKUP(H1779,Dados!$X:$AB,2,0),VLOOKUP(G1779,Dados!$D:$L,4,0)&gt;=VLOOKUP(H1779,Dados!$X:$AB,3,0),VLOOKUP(G1779,Dados!$D:$L,4,0)&lt;=VLOOKUP(H1779,Dados!$X:$AB,4,0)),0,1)</f>
        <v>0</v>
      </c>
      <c r="U1779" s="4">
        <f>IF(COUNTIFS(F:F,F1779,H:H,H1779)&lt;=VLOOKUP(H1779,Dados!$X:$AB,5,0),0,1)</f>
        <v>0</v>
      </c>
    </row>
    <row r="1780" spans="6:21">
      <c r="F1780" s="4">
        <v>832</v>
      </c>
      <c r="G1780" s="4">
        <v>26</v>
      </c>
      <c r="H1780" s="4">
        <v>3</v>
      </c>
      <c r="I1780" s="4">
        <v>15</v>
      </c>
      <c r="J1780" s="4">
        <v>1</v>
      </c>
      <c r="K1780" s="4">
        <f t="shared" si="297"/>
        <v>0</v>
      </c>
      <c r="L1780" s="4">
        <f t="shared" si="297"/>
        <v>0</v>
      </c>
      <c r="M1780" s="4">
        <f t="shared" si="297"/>
        <v>0</v>
      </c>
      <c r="N1780" s="4">
        <f t="shared" si="297"/>
        <v>0</v>
      </c>
      <c r="O1780" s="4">
        <f t="shared" si="298"/>
        <v>0</v>
      </c>
      <c r="P1780" s="4">
        <f t="shared" si="299"/>
        <v>0</v>
      </c>
      <c r="Q1780" s="4">
        <f t="shared" si="300"/>
        <v>0</v>
      </c>
      <c r="R1780" s="4">
        <f t="shared" si="301"/>
        <v>0</v>
      </c>
      <c r="S1780" s="4">
        <f>IF(AND(VLOOKUP(G1780,Dados!$D:$L,2,0)=VLOOKUP(I1780,Dados!$S:$V,2,0),VLOOKUP(G1780,Dados!$D:$L,3,0)=VLOOKUP(I1780,Dados!$S:$V,3,0)),0,1)</f>
        <v>0</v>
      </c>
      <c r="T1780" s="4">
        <f>IF(AND(VLOOKUP(G1780,Dados!$D:$L,3,0)&lt;=VLOOKUP(H1780,Dados!$X:$AB,2,0),VLOOKUP(G1780,Dados!$D:$L,4,0)&gt;=VLOOKUP(H1780,Dados!$X:$AB,3,0),VLOOKUP(G1780,Dados!$D:$L,4,0)&lt;=VLOOKUP(H1780,Dados!$X:$AB,4,0)),0,1)</f>
        <v>0</v>
      </c>
      <c r="U1780" s="4">
        <f>IF(COUNTIFS(F:F,F1780,H:H,H1780)&lt;=VLOOKUP(H1780,Dados!$X:$AB,5,0),0,1)</f>
        <v>0</v>
      </c>
    </row>
    <row r="1781" spans="6:21">
      <c r="F1781" s="4">
        <v>832</v>
      </c>
      <c r="G1781" s="4">
        <v>28</v>
      </c>
      <c r="H1781" s="4">
        <v>3</v>
      </c>
      <c r="I1781" s="4">
        <v>15</v>
      </c>
      <c r="J1781" s="4">
        <v>2</v>
      </c>
      <c r="K1781" s="4">
        <f t="shared" si="297"/>
        <v>0</v>
      </c>
      <c r="L1781" s="4">
        <f t="shared" si="297"/>
        <v>0</v>
      </c>
      <c r="M1781" s="4">
        <f t="shared" si="297"/>
        <v>0</v>
      </c>
      <c r="N1781" s="4">
        <f t="shared" si="297"/>
        <v>0</v>
      </c>
      <c r="O1781" s="4">
        <f t="shared" si="298"/>
        <v>0</v>
      </c>
      <c r="P1781" s="4">
        <f t="shared" si="299"/>
        <v>0</v>
      </c>
      <c r="Q1781" s="4">
        <f t="shared" si="300"/>
        <v>0</v>
      </c>
      <c r="R1781" s="4">
        <f t="shared" si="301"/>
        <v>0</v>
      </c>
      <c r="S1781" s="4">
        <f>IF(AND(VLOOKUP(G1781,Dados!$D:$L,2,0)=VLOOKUP(I1781,Dados!$S:$V,2,0),VLOOKUP(G1781,Dados!$D:$L,3,0)=VLOOKUP(I1781,Dados!$S:$V,3,0)),0,1)</f>
        <v>0</v>
      </c>
      <c r="T1781" s="4">
        <f>IF(AND(VLOOKUP(G1781,Dados!$D:$L,3,0)&lt;=VLOOKUP(H1781,Dados!$X:$AB,2,0),VLOOKUP(G1781,Dados!$D:$L,4,0)&gt;=VLOOKUP(H1781,Dados!$X:$AB,3,0),VLOOKUP(G1781,Dados!$D:$L,4,0)&lt;=VLOOKUP(H1781,Dados!$X:$AB,4,0)),0,1)</f>
        <v>0</v>
      </c>
      <c r="U1781" s="4">
        <f>IF(COUNTIFS(F:F,F1781,H:H,H1781)&lt;=VLOOKUP(H1781,Dados!$X:$AB,5,0),0,1)</f>
        <v>0</v>
      </c>
    </row>
    <row r="1782" spans="6:21">
      <c r="F1782" s="4">
        <v>833</v>
      </c>
      <c r="G1782" s="4">
        <v>34</v>
      </c>
      <c r="H1782" s="4">
        <v>1</v>
      </c>
      <c r="I1782" s="4">
        <v>16</v>
      </c>
      <c r="J1782" s="4">
        <v>5</v>
      </c>
      <c r="K1782" s="4">
        <f t="shared" si="297"/>
        <v>0</v>
      </c>
      <c r="L1782" s="4">
        <f t="shared" si="297"/>
        <v>0</v>
      </c>
      <c r="M1782" s="4">
        <f t="shared" si="297"/>
        <v>0</v>
      </c>
      <c r="N1782" s="4">
        <f t="shared" si="297"/>
        <v>0</v>
      </c>
      <c r="O1782" s="4">
        <f t="shared" si="298"/>
        <v>0</v>
      </c>
      <c r="P1782" s="4">
        <f t="shared" si="299"/>
        <v>0</v>
      </c>
      <c r="Q1782" s="4">
        <f t="shared" si="300"/>
        <v>0</v>
      </c>
      <c r="R1782" s="4">
        <f t="shared" si="301"/>
        <v>0</v>
      </c>
      <c r="S1782" s="4">
        <f>IF(AND(VLOOKUP(G1782,Dados!$D:$L,2,0)=VLOOKUP(I1782,Dados!$S:$V,2,0),VLOOKUP(G1782,Dados!$D:$L,3,0)=VLOOKUP(I1782,Dados!$S:$V,3,0)),0,1)</f>
        <v>0</v>
      </c>
      <c r="T1782" s="4">
        <f>IF(AND(VLOOKUP(G1782,Dados!$D:$L,3,0)&lt;=VLOOKUP(H1782,Dados!$X:$AB,2,0),VLOOKUP(G1782,Dados!$D:$L,4,0)&gt;=VLOOKUP(H1782,Dados!$X:$AB,3,0),VLOOKUP(G1782,Dados!$D:$L,4,0)&lt;=VLOOKUP(H1782,Dados!$X:$AB,4,0)),0,1)</f>
        <v>0</v>
      </c>
      <c r="U1782" s="4">
        <f>IF(COUNTIFS(F:F,F1782,H:H,H1782)&lt;=VLOOKUP(H1782,Dados!$X:$AB,5,0),0,1)</f>
        <v>0</v>
      </c>
    </row>
    <row r="1783" spans="6:21">
      <c r="F1783" s="4">
        <v>833</v>
      </c>
      <c r="G1783" s="4">
        <v>36</v>
      </c>
      <c r="H1783" s="4">
        <v>1</v>
      </c>
      <c r="I1783" s="4">
        <v>16</v>
      </c>
      <c r="J1783" s="4">
        <v>2</v>
      </c>
      <c r="K1783" s="4">
        <f t="shared" si="297"/>
        <v>0</v>
      </c>
      <c r="L1783" s="4">
        <f t="shared" si="297"/>
        <v>0</v>
      </c>
      <c r="M1783" s="4">
        <f t="shared" si="297"/>
        <v>0</v>
      </c>
      <c r="N1783" s="4">
        <f t="shared" si="297"/>
        <v>0</v>
      </c>
      <c r="O1783" s="4">
        <f t="shared" si="298"/>
        <v>0</v>
      </c>
      <c r="P1783" s="4">
        <f t="shared" si="299"/>
        <v>0</v>
      </c>
      <c r="Q1783" s="4">
        <f t="shared" si="300"/>
        <v>0</v>
      </c>
      <c r="R1783" s="4">
        <f t="shared" si="301"/>
        <v>0</v>
      </c>
      <c r="S1783" s="4">
        <f>IF(AND(VLOOKUP(G1783,Dados!$D:$L,2,0)=VLOOKUP(I1783,Dados!$S:$V,2,0),VLOOKUP(G1783,Dados!$D:$L,3,0)=VLOOKUP(I1783,Dados!$S:$V,3,0)),0,1)</f>
        <v>0</v>
      </c>
      <c r="T1783" s="4">
        <f>IF(AND(VLOOKUP(G1783,Dados!$D:$L,3,0)&lt;=VLOOKUP(H1783,Dados!$X:$AB,2,0),VLOOKUP(G1783,Dados!$D:$L,4,0)&gt;=VLOOKUP(H1783,Dados!$X:$AB,3,0),VLOOKUP(G1783,Dados!$D:$L,4,0)&lt;=VLOOKUP(H1783,Dados!$X:$AB,4,0)),0,1)</f>
        <v>0</v>
      </c>
      <c r="U1783" s="4">
        <f>IF(COUNTIFS(F:F,F1783,H:H,H1783)&lt;=VLOOKUP(H1783,Dados!$X:$AB,5,0),0,1)</f>
        <v>0</v>
      </c>
    </row>
    <row r="1784" spans="6:21">
      <c r="F1784" s="4">
        <v>834</v>
      </c>
      <c r="G1784" s="4">
        <v>34</v>
      </c>
      <c r="H1784" s="4">
        <v>2</v>
      </c>
      <c r="I1784" s="4">
        <v>16</v>
      </c>
      <c r="J1784" s="4">
        <v>5</v>
      </c>
      <c r="K1784" s="4">
        <f t="shared" si="297"/>
        <v>0</v>
      </c>
      <c r="L1784" s="4">
        <f t="shared" si="297"/>
        <v>0</v>
      </c>
      <c r="M1784" s="4">
        <f t="shared" si="297"/>
        <v>0</v>
      </c>
      <c r="N1784" s="4">
        <f t="shared" si="297"/>
        <v>0</v>
      </c>
      <c r="O1784" s="4">
        <f t="shared" si="298"/>
        <v>0</v>
      </c>
      <c r="P1784" s="4">
        <f t="shared" si="299"/>
        <v>0</v>
      </c>
      <c r="Q1784" s="4">
        <f t="shared" si="300"/>
        <v>0</v>
      </c>
      <c r="R1784" s="4">
        <f t="shared" si="301"/>
        <v>0</v>
      </c>
      <c r="S1784" s="4">
        <f>IF(AND(VLOOKUP(G1784,Dados!$D:$L,2,0)=VLOOKUP(I1784,Dados!$S:$V,2,0),VLOOKUP(G1784,Dados!$D:$L,3,0)=VLOOKUP(I1784,Dados!$S:$V,3,0)),0,1)</f>
        <v>0</v>
      </c>
      <c r="T1784" s="4">
        <f>IF(AND(VLOOKUP(G1784,Dados!$D:$L,3,0)&lt;=VLOOKUP(H1784,Dados!$X:$AB,2,0),VLOOKUP(G1784,Dados!$D:$L,4,0)&gt;=VLOOKUP(H1784,Dados!$X:$AB,3,0),VLOOKUP(G1784,Dados!$D:$L,4,0)&lt;=VLOOKUP(H1784,Dados!$X:$AB,4,0)),0,1)</f>
        <v>0</v>
      </c>
      <c r="U1784" s="4">
        <f>IF(COUNTIFS(F:F,F1784,H:H,H1784)&lt;=VLOOKUP(H1784,Dados!$X:$AB,5,0),0,1)</f>
        <v>0</v>
      </c>
    </row>
    <row r="1785" spans="6:21">
      <c r="F1785" s="4">
        <v>834</v>
      </c>
      <c r="G1785" s="4">
        <v>36</v>
      </c>
      <c r="H1785" s="4">
        <v>2</v>
      </c>
      <c r="I1785" s="4">
        <v>16</v>
      </c>
      <c r="J1785" s="4">
        <v>2</v>
      </c>
      <c r="K1785" s="4">
        <f t="shared" si="297"/>
        <v>0</v>
      </c>
      <c r="L1785" s="4">
        <f t="shared" si="297"/>
        <v>0</v>
      </c>
      <c r="M1785" s="4">
        <f t="shared" si="297"/>
        <v>0</v>
      </c>
      <c r="N1785" s="4">
        <f t="shared" si="297"/>
        <v>0</v>
      </c>
      <c r="O1785" s="4">
        <f t="shared" si="298"/>
        <v>0</v>
      </c>
      <c r="P1785" s="4">
        <f t="shared" si="299"/>
        <v>0</v>
      </c>
      <c r="Q1785" s="4">
        <f t="shared" si="300"/>
        <v>0</v>
      </c>
      <c r="R1785" s="4">
        <f t="shared" si="301"/>
        <v>0</v>
      </c>
      <c r="S1785" s="4">
        <f>IF(AND(VLOOKUP(G1785,Dados!$D:$L,2,0)=VLOOKUP(I1785,Dados!$S:$V,2,0),VLOOKUP(G1785,Dados!$D:$L,3,0)=VLOOKUP(I1785,Dados!$S:$V,3,0)),0,1)</f>
        <v>0</v>
      </c>
      <c r="T1785" s="4">
        <f>IF(AND(VLOOKUP(G1785,Dados!$D:$L,3,0)&lt;=VLOOKUP(H1785,Dados!$X:$AB,2,0),VLOOKUP(G1785,Dados!$D:$L,4,0)&gt;=VLOOKUP(H1785,Dados!$X:$AB,3,0),VLOOKUP(G1785,Dados!$D:$L,4,0)&lt;=VLOOKUP(H1785,Dados!$X:$AB,4,0)),0,1)</f>
        <v>0</v>
      </c>
      <c r="U1785" s="4">
        <f>IF(COUNTIFS(F:F,F1785,H:H,H1785)&lt;=VLOOKUP(H1785,Dados!$X:$AB,5,0),0,1)</f>
        <v>0</v>
      </c>
    </row>
    <row r="1786" spans="6:21">
      <c r="F1786" s="4">
        <v>835</v>
      </c>
      <c r="G1786" s="4">
        <v>34</v>
      </c>
      <c r="H1786" s="4">
        <v>3</v>
      </c>
      <c r="I1786" s="4">
        <v>16</v>
      </c>
      <c r="J1786" s="4">
        <v>5</v>
      </c>
      <c r="K1786" s="4">
        <f t="shared" si="297"/>
        <v>0</v>
      </c>
      <c r="L1786" s="4">
        <f t="shared" si="297"/>
        <v>0</v>
      </c>
      <c r="M1786" s="4">
        <f t="shared" si="297"/>
        <v>9</v>
      </c>
      <c r="N1786" s="4">
        <f t="shared" si="297"/>
        <v>0</v>
      </c>
      <c r="O1786" s="4">
        <f t="shared" si="298"/>
        <v>0</v>
      </c>
      <c r="P1786" s="4">
        <f t="shared" si="299"/>
        <v>0</v>
      </c>
      <c r="Q1786" s="4">
        <f t="shared" si="300"/>
        <v>45</v>
      </c>
      <c r="R1786" s="4">
        <f t="shared" si="301"/>
        <v>0</v>
      </c>
      <c r="S1786" s="4">
        <f>IF(AND(VLOOKUP(G1786,Dados!$D:$L,2,0)=VLOOKUP(I1786,Dados!$S:$V,2,0),VLOOKUP(G1786,Dados!$D:$L,3,0)=VLOOKUP(I1786,Dados!$S:$V,3,0)),0,1)</f>
        <v>0</v>
      </c>
      <c r="T1786" s="4">
        <f>IF(AND(VLOOKUP(G1786,Dados!$D:$L,3,0)&lt;=VLOOKUP(H1786,Dados!$X:$AB,2,0),VLOOKUP(G1786,Dados!$D:$L,4,0)&gt;=VLOOKUP(H1786,Dados!$X:$AB,3,0),VLOOKUP(G1786,Dados!$D:$L,4,0)&lt;=VLOOKUP(H1786,Dados!$X:$AB,4,0)),0,1)</f>
        <v>0</v>
      </c>
      <c r="U1786" s="4">
        <f>IF(COUNTIFS(F:F,F1786,H:H,H1786)&lt;=VLOOKUP(H1786,Dados!$X:$AB,5,0),0,1)</f>
        <v>0</v>
      </c>
    </row>
    <row r="1787" spans="6:21">
      <c r="F1787" s="4">
        <v>835</v>
      </c>
      <c r="G1787" s="4">
        <v>36</v>
      </c>
      <c r="H1787" s="4">
        <v>3</v>
      </c>
      <c r="I1787" s="4">
        <v>16</v>
      </c>
      <c r="J1787" s="4">
        <v>2</v>
      </c>
      <c r="K1787" s="4">
        <f t="shared" si="297"/>
        <v>0</v>
      </c>
      <c r="L1787" s="4">
        <f t="shared" si="297"/>
        <v>0</v>
      </c>
      <c r="M1787" s="4">
        <f t="shared" si="297"/>
        <v>9</v>
      </c>
      <c r="N1787" s="4">
        <f t="shared" si="297"/>
        <v>0</v>
      </c>
      <c r="O1787" s="4">
        <f t="shared" si="298"/>
        <v>0</v>
      </c>
      <c r="P1787" s="4">
        <f t="shared" si="299"/>
        <v>0</v>
      </c>
      <c r="Q1787" s="4">
        <f t="shared" si="300"/>
        <v>18</v>
      </c>
      <c r="R1787" s="4">
        <f t="shared" si="301"/>
        <v>0</v>
      </c>
      <c r="S1787" s="4">
        <f>IF(AND(VLOOKUP(G1787,Dados!$D:$L,2,0)=VLOOKUP(I1787,Dados!$S:$V,2,0),VLOOKUP(G1787,Dados!$D:$L,3,0)=VLOOKUP(I1787,Dados!$S:$V,3,0)),0,1)</f>
        <v>0</v>
      </c>
      <c r="T1787" s="4">
        <f>IF(AND(VLOOKUP(G1787,Dados!$D:$L,3,0)&lt;=VLOOKUP(H1787,Dados!$X:$AB,2,0),VLOOKUP(G1787,Dados!$D:$L,4,0)&gt;=VLOOKUP(H1787,Dados!$X:$AB,3,0),VLOOKUP(G1787,Dados!$D:$L,4,0)&lt;=VLOOKUP(H1787,Dados!$X:$AB,4,0)),0,1)</f>
        <v>0</v>
      </c>
      <c r="U1787" s="4">
        <f>IF(COUNTIFS(F:F,F1787,H:H,H1787)&lt;=VLOOKUP(H1787,Dados!$X:$AB,5,0),0,1)</f>
        <v>0</v>
      </c>
    </row>
    <row r="1788" spans="6:21">
      <c r="F1788" s="4">
        <v>836</v>
      </c>
      <c r="G1788" s="4">
        <v>43</v>
      </c>
      <c r="H1788" s="4">
        <v>1</v>
      </c>
      <c r="I1788" s="4">
        <v>17</v>
      </c>
      <c r="J1788" s="4">
        <v>1</v>
      </c>
      <c r="K1788" s="4">
        <f t="shared" si="297"/>
        <v>0</v>
      </c>
      <c r="L1788" s="4">
        <f t="shared" si="297"/>
        <v>0</v>
      </c>
      <c r="M1788" s="4">
        <f t="shared" si="297"/>
        <v>0</v>
      </c>
      <c r="N1788" s="4">
        <f t="shared" si="297"/>
        <v>0</v>
      </c>
      <c r="O1788" s="4">
        <f t="shared" si="298"/>
        <v>0</v>
      </c>
      <c r="P1788" s="4">
        <f t="shared" si="299"/>
        <v>0</v>
      </c>
      <c r="Q1788" s="4">
        <f t="shared" si="300"/>
        <v>0</v>
      </c>
      <c r="R1788" s="4">
        <f t="shared" si="301"/>
        <v>0</v>
      </c>
      <c r="S1788" s="4">
        <f>IF(AND(VLOOKUP(G1788,Dados!$D:$L,2,0)=VLOOKUP(I1788,Dados!$S:$V,2,0),VLOOKUP(G1788,Dados!$D:$L,3,0)=VLOOKUP(I1788,Dados!$S:$V,3,0)),0,1)</f>
        <v>0</v>
      </c>
      <c r="T1788" s="4">
        <f>IF(AND(VLOOKUP(G1788,Dados!$D:$L,3,0)&lt;=VLOOKUP(H1788,Dados!$X:$AB,2,0),VLOOKUP(G1788,Dados!$D:$L,4,0)&gt;=VLOOKUP(H1788,Dados!$X:$AB,3,0),VLOOKUP(G1788,Dados!$D:$L,4,0)&lt;=VLOOKUP(H1788,Dados!$X:$AB,4,0)),0,1)</f>
        <v>0</v>
      </c>
      <c r="U1788" s="4">
        <f>IF(COUNTIFS(F:F,F1788,H:H,H1788)&lt;=VLOOKUP(H1788,Dados!$X:$AB,5,0),0,1)</f>
        <v>0</v>
      </c>
    </row>
    <row r="1789" spans="6:21">
      <c r="F1789" s="4">
        <v>836</v>
      </c>
      <c r="G1789" s="4">
        <v>44</v>
      </c>
      <c r="H1789" s="4">
        <v>1</v>
      </c>
      <c r="I1789" s="4">
        <v>17</v>
      </c>
      <c r="J1789" s="4">
        <v>7</v>
      </c>
      <c r="K1789" s="4">
        <f t="shared" si="297"/>
        <v>0</v>
      </c>
      <c r="L1789" s="4">
        <f t="shared" si="297"/>
        <v>0</v>
      </c>
      <c r="M1789" s="4">
        <f t="shared" si="297"/>
        <v>0</v>
      </c>
      <c r="N1789" s="4">
        <f t="shared" si="297"/>
        <v>0</v>
      </c>
      <c r="O1789" s="4">
        <f t="shared" si="298"/>
        <v>0</v>
      </c>
      <c r="P1789" s="4">
        <f t="shared" si="299"/>
        <v>0</v>
      </c>
      <c r="Q1789" s="4">
        <f t="shared" si="300"/>
        <v>0</v>
      </c>
      <c r="R1789" s="4">
        <f t="shared" si="301"/>
        <v>0</v>
      </c>
      <c r="S1789" s="4">
        <f>IF(AND(VLOOKUP(G1789,Dados!$D:$L,2,0)=VLOOKUP(I1789,Dados!$S:$V,2,0),VLOOKUP(G1789,Dados!$D:$L,3,0)=VLOOKUP(I1789,Dados!$S:$V,3,0)),0,1)</f>
        <v>0</v>
      </c>
      <c r="T1789" s="4">
        <f>IF(AND(VLOOKUP(G1789,Dados!$D:$L,3,0)&lt;=VLOOKUP(H1789,Dados!$X:$AB,2,0),VLOOKUP(G1789,Dados!$D:$L,4,0)&gt;=VLOOKUP(H1789,Dados!$X:$AB,3,0),VLOOKUP(G1789,Dados!$D:$L,4,0)&lt;=VLOOKUP(H1789,Dados!$X:$AB,4,0)),0,1)</f>
        <v>0</v>
      </c>
      <c r="U1789" s="4">
        <f>IF(COUNTIFS(F:F,F1789,H:H,H1789)&lt;=VLOOKUP(H1789,Dados!$X:$AB,5,0),0,1)</f>
        <v>0</v>
      </c>
    </row>
    <row r="1790" spans="6:21">
      <c r="F1790" s="4">
        <v>836</v>
      </c>
      <c r="G1790" s="4">
        <v>45</v>
      </c>
      <c r="H1790" s="4">
        <v>1</v>
      </c>
      <c r="I1790" s="4">
        <v>17</v>
      </c>
      <c r="J1790" s="4">
        <v>2</v>
      </c>
      <c r="K1790" s="4">
        <f t="shared" si="297"/>
        <v>0</v>
      </c>
      <c r="L1790" s="4">
        <f t="shared" si="297"/>
        <v>0</v>
      </c>
      <c r="M1790" s="4">
        <f t="shared" si="297"/>
        <v>0</v>
      </c>
      <c r="N1790" s="4">
        <f t="shared" si="297"/>
        <v>0</v>
      </c>
      <c r="O1790" s="4">
        <f t="shared" si="298"/>
        <v>0</v>
      </c>
      <c r="P1790" s="4">
        <f t="shared" si="299"/>
        <v>0</v>
      </c>
      <c r="Q1790" s="4">
        <f t="shared" si="300"/>
        <v>0</v>
      </c>
      <c r="R1790" s="4">
        <f t="shared" si="301"/>
        <v>0</v>
      </c>
      <c r="S1790" s="4">
        <f>IF(AND(VLOOKUP(G1790,Dados!$D:$L,2,0)=VLOOKUP(I1790,Dados!$S:$V,2,0),VLOOKUP(G1790,Dados!$D:$L,3,0)=VLOOKUP(I1790,Dados!$S:$V,3,0)),0,1)</f>
        <v>0</v>
      </c>
      <c r="T1790" s="4">
        <f>IF(AND(VLOOKUP(G1790,Dados!$D:$L,3,0)&lt;=VLOOKUP(H1790,Dados!$X:$AB,2,0),VLOOKUP(G1790,Dados!$D:$L,4,0)&gt;=VLOOKUP(H1790,Dados!$X:$AB,3,0),VLOOKUP(G1790,Dados!$D:$L,4,0)&lt;=VLOOKUP(H1790,Dados!$X:$AB,4,0)),0,1)</f>
        <v>0</v>
      </c>
      <c r="U1790" s="4">
        <f>IF(COUNTIFS(F:F,F1790,H:H,H1790)&lt;=VLOOKUP(H1790,Dados!$X:$AB,5,0),0,1)</f>
        <v>0</v>
      </c>
    </row>
    <row r="1791" spans="6:21">
      <c r="F1791" s="4">
        <v>837</v>
      </c>
      <c r="G1791" s="4">
        <v>43</v>
      </c>
      <c r="H1791" s="4">
        <v>2</v>
      </c>
      <c r="I1791" s="4">
        <v>17</v>
      </c>
      <c r="J1791" s="4">
        <v>1</v>
      </c>
      <c r="K1791" s="4">
        <f t="shared" si="297"/>
        <v>0</v>
      </c>
      <c r="L1791" s="4">
        <f t="shared" si="297"/>
        <v>0</v>
      </c>
      <c r="M1791" s="4">
        <f t="shared" si="297"/>
        <v>0</v>
      </c>
      <c r="N1791" s="4">
        <f t="shared" si="297"/>
        <v>0</v>
      </c>
      <c r="O1791" s="4">
        <f t="shared" si="298"/>
        <v>0</v>
      </c>
      <c r="P1791" s="4">
        <f t="shared" si="299"/>
        <v>0</v>
      </c>
      <c r="Q1791" s="4">
        <f t="shared" si="300"/>
        <v>0</v>
      </c>
      <c r="R1791" s="4">
        <f t="shared" si="301"/>
        <v>0</v>
      </c>
      <c r="S1791" s="4">
        <f>IF(AND(VLOOKUP(G1791,Dados!$D:$L,2,0)=VLOOKUP(I1791,Dados!$S:$V,2,0),VLOOKUP(G1791,Dados!$D:$L,3,0)=VLOOKUP(I1791,Dados!$S:$V,3,0)),0,1)</f>
        <v>0</v>
      </c>
      <c r="T1791" s="4">
        <f>IF(AND(VLOOKUP(G1791,Dados!$D:$L,3,0)&lt;=VLOOKUP(H1791,Dados!$X:$AB,2,0),VLOOKUP(G1791,Dados!$D:$L,4,0)&gt;=VLOOKUP(H1791,Dados!$X:$AB,3,0),VLOOKUP(G1791,Dados!$D:$L,4,0)&lt;=VLOOKUP(H1791,Dados!$X:$AB,4,0)),0,1)</f>
        <v>0</v>
      </c>
      <c r="U1791" s="4">
        <f>IF(COUNTIFS(F:F,F1791,H:H,H1791)&lt;=VLOOKUP(H1791,Dados!$X:$AB,5,0),0,1)</f>
        <v>0</v>
      </c>
    </row>
    <row r="1792" spans="6:21">
      <c r="F1792" s="4">
        <v>837</v>
      </c>
      <c r="G1792" s="4">
        <v>44</v>
      </c>
      <c r="H1792" s="4">
        <v>2</v>
      </c>
      <c r="I1792" s="4">
        <v>17</v>
      </c>
      <c r="J1792" s="4">
        <v>7</v>
      </c>
      <c r="K1792" s="4">
        <f t="shared" si="297"/>
        <v>0</v>
      </c>
      <c r="L1792" s="4">
        <f t="shared" si="297"/>
        <v>0</v>
      </c>
      <c r="M1792" s="4">
        <f t="shared" si="297"/>
        <v>0</v>
      </c>
      <c r="N1792" s="4">
        <f t="shared" si="297"/>
        <v>0</v>
      </c>
      <c r="O1792" s="4">
        <f t="shared" si="298"/>
        <v>0</v>
      </c>
      <c r="P1792" s="4">
        <f t="shared" si="299"/>
        <v>0</v>
      </c>
      <c r="Q1792" s="4">
        <f t="shared" si="300"/>
        <v>0</v>
      </c>
      <c r="R1792" s="4">
        <f t="shared" si="301"/>
        <v>0</v>
      </c>
      <c r="S1792" s="4">
        <f>IF(AND(VLOOKUP(G1792,Dados!$D:$L,2,0)=VLOOKUP(I1792,Dados!$S:$V,2,0),VLOOKUP(G1792,Dados!$D:$L,3,0)=VLOOKUP(I1792,Dados!$S:$V,3,0)),0,1)</f>
        <v>0</v>
      </c>
      <c r="T1792" s="4">
        <f>IF(AND(VLOOKUP(G1792,Dados!$D:$L,3,0)&lt;=VLOOKUP(H1792,Dados!$X:$AB,2,0),VLOOKUP(G1792,Dados!$D:$L,4,0)&gt;=VLOOKUP(H1792,Dados!$X:$AB,3,0),VLOOKUP(G1792,Dados!$D:$L,4,0)&lt;=VLOOKUP(H1792,Dados!$X:$AB,4,0)),0,1)</f>
        <v>0</v>
      </c>
      <c r="U1792" s="4">
        <f>IF(COUNTIFS(F:F,F1792,H:H,H1792)&lt;=VLOOKUP(H1792,Dados!$X:$AB,5,0),0,1)</f>
        <v>0</v>
      </c>
    </row>
    <row r="1793" spans="6:21">
      <c r="F1793" s="4">
        <v>837</v>
      </c>
      <c r="G1793" s="4">
        <v>45</v>
      </c>
      <c r="H1793" s="4">
        <v>2</v>
      </c>
      <c r="I1793" s="4">
        <v>17</v>
      </c>
      <c r="J1793" s="4">
        <v>2</v>
      </c>
      <c r="K1793" s="4">
        <f t="shared" si="297"/>
        <v>0</v>
      </c>
      <c r="L1793" s="4">
        <f t="shared" si="297"/>
        <v>0</v>
      </c>
      <c r="M1793" s="4">
        <f t="shared" si="297"/>
        <v>0</v>
      </c>
      <c r="N1793" s="4">
        <f t="shared" si="297"/>
        <v>0</v>
      </c>
      <c r="O1793" s="4">
        <f t="shared" si="298"/>
        <v>0</v>
      </c>
      <c r="P1793" s="4">
        <f t="shared" si="299"/>
        <v>0</v>
      </c>
      <c r="Q1793" s="4">
        <f t="shared" si="300"/>
        <v>0</v>
      </c>
      <c r="R1793" s="4">
        <f t="shared" si="301"/>
        <v>0</v>
      </c>
      <c r="S1793" s="4">
        <f>IF(AND(VLOOKUP(G1793,Dados!$D:$L,2,0)=VLOOKUP(I1793,Dados!$S:$V,2,0),VLOOKUP(G1793,Dados!$D:$L,3,0)=VLOOKUP(I1793,Dados!$S:$V,3,0)),0,1)</f>
        <v>0</v>
      </c>
      <c r="T1793" s="4">
        <f>IF(AND(VLOOKUP(G1793,Dados!$D:$L,3,0)&lt;=VLOOKUP(H1793,Dados!$X:$AB,2,0),VLOOKUP(G1793,Dados!$D:$L,4,0)&gt;=VLOOKUP(H1793,Dados!$X:$AB,3,0),VLOOKUP(G1793,Dados!$D:$L,4,0)&lt;=VLOOKUP(H1793,Dados!$X:$AB,4,0)),0,1)</f>
        <v>0</v>
      </c>
      <c r="U1793" s="4">
        <f>IF(COUNTIFS(F:F,F1793,H:H,H1793)&lt;=VLOOKUP(H1793,Dados!$X:$AB,5,0),0,1)</f>
        <v>0</v>
      </c>
    </row>
    <row r="1794" spans="6:21">
      <c r="F1794" s="4">
        <v>838</v>
      </c>
      <c r="G1794" s="4">
        <v>43</v>
      </c>
      <c r="H1794" s="4">
        <v>3</v>
      </c>
      <c r="I1794" s="4">
        <v>17</v>
      </c>
      <c r="J1794" s="4">
        <v>1</v>
      </c>
      <c r="K1794" s="4">
        <f t="shared" si="297"/>
        <v>0</v>
      </c>
      <c r="L1794" s="4">
        <f t="shared" si="297"/>
        <v>0</v>
      </c>
      <c r="M1794" s="4">
        <f t="shared" si="297"/>
        <v>0</v>
      </c>
      <c r="N1794" s="4">
        <f t="shared" si="297"/>
        <v>0</v>
      </c>
      <c r="O1794" s="4">
        <f t="shared" si="298"/>
        <v>0</v>
      </c>
      <c r="P1794" s="4">
        <f t="shared" si="299"/>
        <v>0</v>
      </c>
      <c r="Q1794" s="4">
        <f t="shared" si="300"/>
        <v>0</v>
      </c>
      <c r="R1794" s="4">
        <f t="shared" si="301"/>
        <v>0</v>
      </c>
      <c r="S1794" s="4">
        <f>IF(AND(VLOOKUP(G1794,Dados!$D:$L,2,0)=VLOOKUP(I1794,Dados!$S:$V,2,0),VLOOKUP(G1794,Dados!$D:$L,3,0)=VLOOKUP(I1794,Dados!$S:$V,3,0)),0,1)</f>
        <v>0</v>
      </c>
      <c r="T1794" s="4">
        <f>IF(AND(VLOOKUP(G1794,Dados!$D:$L,3,0)&lt;=VLOOKUP(H1794,Dados!$X:$AB,2,0),VLOOKUP(G1794,Dados!$D:$L,4,0)&gt;=VLOOKUP(H1794,Dados!$X:$AB,3,0),VLOOKUP(G1794,Dados!$D:$L,4,0)&lt;=VLOOKUP(H1794,Dados!$X:$AB,4,0)),0,1)</f>
        <v>0</v>
      </c>
      <c r="U1794" s="4">
        <f>IF(COUNTIFS(F:F,F1794,H:H,H1794)&lt;=VLOOKUP(H1794,Dados!$X:$AB,5,0),0,1)</f>
        <v>0</v>
      </c>
    </row>
    <row r="1795" spans="6:21">
      <c r="F1795" s="4">
        <v>838</v>
      </c>
      <c r="G1795" s="4">
        <v>44</v>
      </c>
      <c r="H1795" s="4">
        <v>3</v>
      </c>
      <c r="I1795" s="4">
        <v>17</v>
      </c>
      <c r="J1795" s="4">
        <v>7</v>
      </c>
      <c r="K1795" s="4">
        <f t="shared" si="297"/>
        <v>0</v>
      </c>
      <c r="L1795" s="4">
        <f t="shared" si="297"/>
        <v>0</v>
      </c>
      <c r="M1795" s="4">
        <f t="shared" si="297"/>
        <v>0</v>
      </c>
      <c r="N1795" s="4">
        <f t="shared" si="297"/>
        <v>0</v>
      </c>
      <c r="O1795" s="4">
        <f t="shared" si="298"/>
        <v>0</v>
      </c>
      <c r="P1795" s="4">
        <f t="shared" si="299"/>
        <v>0</v>
      </c>
      <c r="Q1795" s="4">
        <f t="shared" si="300"/>
        <v>0</v>
      </c>
      <c r="R1795" s="4">
        <f t="shared" si="301"/>
        <v>0</v>
      </c>
      <c r="S1795" s="4">
        <f>IF(AND(VLOOKUP(G1795,Dados!$D:$L,2,0)=VLOOKUP(I1795,Dados!$S:$V,2,0),VLOOKUP(G1795,Dados!$D:$L,3,0)=VLOOKUP(I1795,Dados!$S:$V,3,0)),0,1)</f>
        <v>0</v>
      </c>
      <c r="T1795" s="4">
        <f>IF(AND(VLOOKUP(G1795,Dados!$D:$L,3,0)&lt;=VLOOKUP(H1795,Dados!$X:$AB,2,0),VLOOKUP(G1795,Dados!$D:$L,4,0)&gt;=VLOOKUP(H1795,Dados!$X:$AB,3,0),VLOOKUP(G1795,Dados!$D:$L,4,0)&lt;=VLOOKUP(H1795,Dados!$X:$AB,4,0)),0,1)</f>
        <v>0</v>
      </c>
      <c r="U1795" s="4">
        <f>IF(COUNTIFS(F:F,F1795,H:H,H1795)&lt;=VLOOKUP(H1795,Dados!$X:$AB,5,0),0,1)</f>
        <v>0</v>
      </c>
    </row>
    <row r="1796" spans="6:21">
      <c r="F1796" s="4">
        <v>838</v>
      </c>
      <c r="G1796" s="4">
        <v>45</v>
      </c>
      <c r="H1796" s="4">
        <v>3</v>
      </c>
      <c r="I1796" s="4">
        <v>17</v>
      </c>
      <c r="J1796" s="4">
        <v>2</v>
      </c>
      <c r="K1796" s="4">
        <f t="shared" si="297"/>
        <v>0</v>
      </c>
      <c r="L1796" s="4">
        <f t="shared" si="297"/>
        <v>0</v>
      </c>
      <c r="M1796" s="4">
        <f t="shared" si="297"/>
        <v>0</v>
      </c>
      <c r="N1796" s="4">
        <f t="shared" si="297"/>
        <v>0</v>
      </c>
      <c r="O1796" s="4">
        <f t="shared" si="298"/>
        <v>0</v>
      </c>
      <c r="P1796" s="4">
        <f t="shared" si="299"/>
        <v>0</v>
      </c>
      <c r="Q1796" s="4">
        <f t="shared" si="300"/>
        <v>0</v>
      </c>
      <c r="R1796" s="4">
        <f t="shared" si="301"/>
        <v>0</v>
      </c>
      <c r="S1796" s="4">
        <f>IF(AND(VLOOKUP(G1796,Dados!$D:$L,2,0)=VLOOKUP(I1796,Dados!$S:$V,2,0),VLOOKUP(G1796,Dados!$D:$L,3,0)=VLOOKUP(I1796,Dados!$S:$V,3,0)),0,1)</f>
        <v>0</v>
      </c>
      <c r="T1796" s="4">
        <f>IF(AND(VLOOKUP(G1796,Dados!$D:$L,3,0)&lt;=VLOOKUP(H1796,Dados!$X:$AB,2,0),VLOOKUP(G1796,Dados!$D:$L,4,0)&gt;=VLOOKUP(H1796,Dados!$X:$AB,3,0),VLOOKUP(G1796,Dados!$D:$L,4,0)&lt;=VLOOKUP(H1796,Dados!$X:$AB,4,0)),0,1)</f>
        <v>0</v>
      </c>
      <c r="U1796" s="4">
        <f>IF(COUNTIFS(F:F,F1796,H:H,H1796)&lt;=VLOOKUP(H1796,Dados!$X:$AB,5,0),0,1)</f>
        <v>0</v>
      </c>
    </row>
    <row r="1797" spans="6:21">
      <c r="F1797" s="4">
        <v>839</v>
      </c>
      <c r="G1797" s="4">
        <v>50</v>
      </c>
      <c r="H1797" s="4">
        <v>1</v>
      </c>
      <c r="I1797" s="4">
        <v>18</v>
      </c>
      <c r="J1797" s="4">
        <v>2</v>
      </c>
      <c r="K1797" s="4">
        <f t="shared" si="297"/>
        <v>0</v>
      </c>
      <c r="L1797" s="4">
        <f t="shared" si="297"/>
        <v>0</v>
      </c>
      <c r="M1797" s="4">
        <f t="shared" si="297"/>
        <v>1</v>
      </c>
      <c r="N1797" s="4">
        <f t="shared" si="297"/>
        <v>0</v>
      </c>
      <c r="O1797" s="4">
        <f t="shared" si="298"/>
        <v>0</v>
      </c>
      <c r="P1797" s="4">
        <f t="shared" si="299"/>
        <v>0</v>
      </c>
      <c r="Q1797" s="4">
        <f t="shared" si="300"/>
        <v>2</v>
      </c>
      <c r="R1797" s="4">
        <f t="shared" si="301"/>
        <v>0</v>
      </c>
      <c r="S1797" s="4">
        <f>IF(AND(VLOOKUP(G1797,Dados!$D:$L,2,0)=VLOOKUP(I1797,Dados!$S:$V,2,0),VLOOKUP(G1797,Dados!$D:$L,3,0)=VLOOKUP(I1797,Dados!$S:$V,3,0)),0,1)</f>
        <v>0</v>
      </c>
      <c r="T1797" s="4">
        <f>IF(AND(VLOOKUP(G1797,Dados!$D:$L,3,0)&lt;=VLOOKUP(H1797,Dados!$X:$AB,2,0),VLOOKUP(G1797,Dados!$D:$L,4,0)&gt;=VLOOKUP(H1797,Dados!$X:$AB,3,0),VLOOKUP(G1797,Dados!$D:$L,4,0)&lt;=VLOOKUP(H1797,Dados!$X:$AB,4,0)),0,1)</f>
        <v>0</v>
      </c>
      <c r="U1797" s="4">
        <f>IF(COUNTIFS(F:F,F1797,H:H,H1797)&lt;=VLOOKUP(H1797,Dados!$X:$AB,5,0),0,1)</f>
        <v>0</v>
      </c>
    </row>
    <row r="1798" spans="6:21">
      <c r="F1798" s="4">
        <v>839</v>
      </c>
      <c r="G1798" s="4">
        <v>52</v>
      </c>
      <c r="H1798" s="4">
        <v>1</v>
      </c>
      <c r="I1798" s="4">
        <v>18</v>
      </c>
      <c r="J1798" s="4">
        <v>6</v>
      </c>
      <c r="K1798" s="4">
        <f t="shared" si="297"/>
        <v>0</v>
      </c>
      <c r="L1798" s="4">
        <f t="shared" si="297"/>
        <v>0</v>
      </c>
      <c r="M1798" s="4">
        <f t="shared" si="297"/>
        <v>1</v>
      </c>
      <c r="N1798" s="4">
        <f t="shared" si="297"/>
        <v>0</v>
      </c>
      <c r="O1798" s="4">
        <f t="shared" si="298"/>
        <v>0</v>
      </c>
      <c r="P1798" s="4">
        <f t="shared" si="299"/>
        <v>0</v>
      </c>
      <c r="Q1798" s="4">
        <f t="shared" si="300"/>
        <v>6</v>
      </c>
      <c r="R1798" s="4">
        <f t="shared" si="301"/>
        <v>0</v>
      </c>
      <c r="S1798" s="4">
        <f>IF(AND(VLOOKUP(G1798,Dados!$D:$L,2,0)=VLOOKUP(I1798,Dados!$S:$V,2,0),VLOOKUP(G1798,Dados!$D:$L,3,0)=VLOOKUP(I1798,Dados!$S:$V,3,0)),0,1)</f>
        <v>0</v>
      </c>
      <c r="T1798" s="4">
        <f>IF(AND(VLOOKUP(G1798,Dados!$D:$L,3,0)&lt;=VLOOKUP(H1798,Dados!$X:$AB,2,0),VLOOKUP(G1798,Dados!$D:$L,4,0)&gt;=VLOOKUP(H1798,Dados!$X:$AB,3,0),VLOOKUP(G1798,Dados!$D:$L,4,0)&lt;=VLOOKUP(H1798,Dados!$X:$AB,4,0)),0,1)</f>
        <v>0</v>
      </c>
      <c r="U1798" s="4">
        <f>IF(COUNTIFS(F:F,F1798,H:H,H1798)&lt;=VLOOKUP(H1798,Dados!$X:$AB,5,0),0,1)</f>
        <v>0</v>
      </c>
    </row>
    <row r="1799" spans="6:21">
      <c r="F1799" s="4">
        <v>840</v>
      </c>
      <c r="G1799" s="4">
        <v>50</v>
      </c>
      <c r="H1799" s="4">
        <v>3</v>
      </c>
      <c r="I1799" s="4">
        <v>18</v>
      </c>
      <c r="J1799" s="4">
        <v>2</v>
      </c>
      <c r="K1799" s="4">
        <f t="shared" si="297"/>
        <v>0</v>
      </c>
      <c r="L1799" s="4">
        <f t="shared" si="297"/>
        <v>0</v>
      </c>
      <c r="M1799" s="4">
        <f t="shared" si="297"/>
        <v>0</v>
      </c>
      <c r="N1799" s="4">
        <f t="shared" si="297"/>
        <v>4</v>
      </c>
      <c r="O1799" s="4">
        <f t="shared" si="298"/>
        <v>0</v>
      </c>
      <c r="P1799" s="4">
        <f t="shared" si="299"/>
        <v>0</v>
      </c>
      <c r="Q1799" s="4">
        <f t="shared" si="300"/>
        <v>0</v>
      </c>
      <c r="R1799" s="4">
        <f t="shared" si="301"/>
        <v>8</v>
      </c>
      <c r="S1799" s="4">
        <f>IF(AND(VLOOKUP(G1799,Dados!$D:$L,2,0)=VLOOKUP(I1799,Dados!$S:$V,2,0),VLOOKUP(G1799,Dados!$D:$L,3,0)=VLOOKUP(I1799,Dados!$S:$V,3,0)),0,1)</f>
        <v>0</v>
      </c>
      <c r="T1799" s="4">
        <f>IF(AND(VLOOKUP(G1799,Dados!$D:$L,3,0)&lt;=VLOOKUP(H1799,Dados!$X:$AB,2,0),VLOOKUP(G1799,Dados!$D:$L,4,0)&gt;=VLOOKUP(H1799,Dados!$X:$AB,3,0),VLOOKUP(G1799,Dados!$D:$L,4,0)&lt;=VLOOKUP(H1799,Dados!$X:$AB,4,0)),0,1)</f>
        <v>0</v>
      </c>
      <c r="U1799" s="4">
        <f>IF(COUNTIFS(F:F,F1799,H:H,H1799)&lt;=VLOOKUP(H1799,Dados!$X:$AB,5,0),0,1)</f>
        <v>0</v>
      </c>
    </row>
    <row r="1800" spans="6:21">
      <c r="F1800" s="4">
        <v>840</v>
      </c>
      <c r="G1800" s="4">
        <v>52</v>
      </c>
      <c r="H1800" s="4">
        <v>3</v>
      </c>
      <c r="I1800" s="4">
        <v>18</v>
      </c>
      <c r="J1800" s="4">
        <v>6</v>
      </c>
      <c r="K1800" s="4">
        <f t="shared" si="297"/>
        <v>0</v>
      </c>
      <c r="L1800" s="4">
        <f t="shared" si="297"/>
        <v>0</v>
      </c>
      <c r="M1800" s="4">
        <f t="shared" si="297"/>
        <v>0</v>
      </c>
      <c r="N1800" s="4">
        <f t="shared" si="297"/>
        <v>4</v>
      </c>
      <c r="O1800" s="4">
        <f t="shared" si="298"/>
        <v>0</v>
      </c>
      <c r="P1800" s="4">
        <f t="shared" si="299"/>
        <v>0</v>
      </c>
      <c r="Q1800" s="4">
        <f t="shared" si="300"/>
        <v>0</v>
      </c>
      <c r="R1800" s="4">
        <f t="shared" si="301"/>
        <v>24</v>
      </c>
      <c r="S1800" s="4">
        <f>IF(AND(VLOOKUP(G1800,Dados!$D:$L,2,0)=VLOOKUP(I1800,Dados!$S:$V,2,0),VLOOKUP(G1800,Dados!$D:$L,3,0)=VLOOKUP(I1800,Dados!$S:$V,3,0)),0,1)</f>
        <v>0</v>
      </c>
      <c r="T1800" s="4">
        <f>IF(AND(VLOOKUP(G1800,Dados!$D:$L,3,0)&lt;=VLOOKUP(H1800,Dados!$X:$AB,2,0),VLOOKUP(G1800,Dados!$D:$L,4,0)&gt;=VLOOKUP(H1800,Dados!$X:$AB,3,0),VLOOKUP(G1800,Dados!$D:$L,4,0)&lt;=VLOOKUP(H1800,Dados!$X:$AB,4,0)),0,1)</f>
        <v>0</v>
      </c>
      <c r="U1800" s="4">
        <f>IF(COUNTIFS(F:F,F1800,H:H,H1800)&lt;=VLOOKUP(H1800,Dados!$X:$AB,5,0),0,1)</f>
        <v>0</v>
      </c>
    </row>
    <row r="1801" spans="6:21">
      <c r="F1801" s="4">
        <v>841</v>
      </c>
      <c r="G1801" s="4">
        <v>46</v>
      </c>
      <c r="H1801" s="4">
        <v>1</v>
      </c>
      <c r="I1801" s="4">
        <v>19</v>
      </c>
      <c r="J1801" s="4">
        <v>1</v>
      </c>
      <c r="K1801" s="4">
        <f t="shared" si="297"/>
        <v>0</v>
      </c>
      <c r="L1801" s="4">
        <f t="shared" si="297"/>
        <v>0</v>
      </c>
      <c r="M1801" s="4">
        <f t="shared" si="297"/>
        <v>0</v>
      </c>
      <c r="N1801" s="4">
        <f t="shared" si="297"/>
        <v>0</v>
      </c>
      <c r="O1801" s="4">
        <f t="shared" si="298"/>
        <v>0</v>
      </c>
      <c r="P1801" s="4">
        <f t="shared" si="299"/>
        <v>0</v>
      </c>
      <c r="Q1801" s="4">
        <f t="shared" si="300"/>
        <v>0</v>
      </c>
      <c r="R1801" s="4">
        <f t="shared" si="301"/>
        <v>0</v>
      </c>
      <c r="S1801" s="4">
        <f>IF(AND(VLOOKUP(G1801,Dados!$D:$L,2,0)=VLOOKUP(I1801,Dados!$S:$V,2,0),VLOOKUP(G1801,Dados!$D:$L,3,0)=VLOOKUP(I1801,Dados!$S:$V,3,0)),0,1)</f>
        <v>0</v>
      </c>
      <c r="T1801" s="4">
        <f>IF(AND(VLOOKUP(G1801,Dados!$D:$L,3,0)&lt;=VLOOKUP(H1801,Dados!$X:$AB,2,0),VLOOKUP(G1801,Dados!$D:$L,4,0)&gt;=VLOOKUP(H1801,Dados!$X:$AB,3,0),VLOOKUP(G1801,Dados!$D:$L,4,0)&lt;=VLOOKUP(H1801,Dados!$X:$AB,4,0)),0,1)</f>
        <v>0</v>
      </c>
      <c r="U1801" s="4">
        <f>IF(COUNTIFS(F:F,F1801,H:H,H1801)&lt;=VLOOKUP(H1801,Dados!$X:$AB,5,0),0,1)</f>
        <v>0</v>
      </c>
    </row>
    <row r="1802" spans="6:21">
      <c r="F1802" s="4">
        <v>841</v>
      </c>
      <c r="G1802" s="4">
        <v>50</v>
      </c>
      <c r="H1802" s="4">
        <v>1</v>
      </c>
      <c r="I1802" s="4">
        <v>19</v>
      </c>
      <c r="J1802" s="4">
        <v>3</v>
      </c>
      <c r="K1802" s="4">
        <f t="shared" si="297"/>
        <v>0</v>
      </c>
      <c r="L1802" s="4">
        <f t="shared" si="297"/>
        <v>0</v>
      </c>
      <c r="M1802" s="4">
        <f t="shared" si="297"/>
        <v>0</v>
      </c>
      <c r="N1802" s="4">
        <f t="shared" si="297"/>
        <v>0</v>
      </c>
      <c r="O1802" s="4">
        <f t="shared" si="298"/>
        <v>0</v>
      </c>
      <c r="P1802" s="4">
        <f t="shared" si="299"/>
        <v>0</v>
      </c>
      <c r="Q1802" s="4">
        <f t="shared" si="300"/>
        <v>0</v>
      </c>
      <c r="R1802" s="4">
        <f t="shared" si="301"/>
        <v>0</v>
      </c>
      <c r="S1802" s="4">
        <f>IF(AND(VLOOKUP(G1802,Dados!$D:$L,2,0)=VLOOKUP(I1802,Dados!$S:$V,2,0),VLOOKUP(G1802,Dados!$D:$L,3,0)=VLOOKUP(I1802,Dados!$S:$V,3,0)),0,1)</f>
        <v>0</v>
      </c>
      <c r="T1802" s="4">
        <f>IF(AND(VLOOKUP(G1802,Dados!$D:$L,3,0)&lt;=VLOOKUP(H1802,Dados!$X:$AB,2,0),VLOOKUP(G1802,Dados!$D:$L,4,0)&gt;=VLOOKUP(H1802,Dados!$X:$AB,3,0),VLOOKUP(G1802,Dados!$D:$L,4,0)&lt;=VLOOKUP(H1802,Dados!$X:$AB,4,0)),0,1)</f>
        <v>0</v>
      </c>
      <c r="U1802" s="4">
        <f>IF(COUNTIFS(F:F,F1802,H:H,H1802)&lt;=VLOOKUP(H1802,Dados!$X:$AB,5,0),0,1)</f>
        <v>0</v>
      </c>
    </row>
    <row r="1803" spans="6:21">
      <c r="F1803" s="4">
        <v>841</v>
      </c>
      <c r="G1803" s="4">
        <v>52</v>
      </c>
      <c r="H1803" s="4">
        <v>1</v>
      </c>
      <c r="I1803" s="4">
        <v>19</v>
      </c>
      <c r="J1803" s="4">
        <v>4</v>
      </c>
      <c r="K1803" s="4">
        <f t="shared" si="297"/>
        <v>0</v>
      </c>
      <c r="L1803" s="4">
        <f t="shared" si="297"/>
        <v>0</v>
      </c>
      <c r="M1803" s="4">
        <f t="shared" si="297"/>
        <v>0</v>
      </c>
      <c r="N1803" s="4">
        <f t="shared" si="297"/>
        <v>0</v>
      </c>
      <c r="O1803" s="4">
        <f t="shared" si="298"/>
        <v>0</v>
      </c>
      <c r="P1803" s="4">
        <f t="shared" si="299"/>
        <v>0</v>
      </c>
      <c r="Q1803" s="4">
        <f t="shared" si="300"/>
        <v>0</v>
      </c>
      <c r="R1803" s="4">
        <f t="shared" si="301"/>
        <v>0</v>
      </c>
      <c r="S1803" s="4">
        <f>IF(AND(VLOOKUP(G1803,Dados!$D:$L,2,0)=VLOOKUP(I1803,Dados!$S:$V,2,0),VLOOKUP(G1803,Dados!$D:$L,3,0)=VLOOKUP(I1803,Dados!$S:$V,3,0)),0,1)</f>
        <v>0</v>
      </c>
      <c r="T1803" s="4">
        <f>IF(AND(VLOOKUP(G1803,Dados!$D:$L,3,0)&lt;=VLOOKUP(H1803,Dados!$X:$AB,2,0),VLOOKUP(G1803,Dados!$D:$L,4,0)&gt;=VLOOKUP(H1803,Dados!$X:$AB,3,0),VLOOKUP(G1803,Dados!$D:$L,4,0)&lt;=VLOOKUP(H1803,Dados!$X:$AB,4,0)),0,1)</f>
        <v>0</v>
      </c>
      <c r="U1803" s="4">
        <f>IF(COUNTIFS(F:F,F1803,H:H,H1803)&lt;=VLOOKUP(H1803,Dados!$X:$AB,5,0),0,1)</f>
        <v>0</v>
      </c>
    </row>
    <row r="1804" spans="6:21">
      <c r="F1804" s="4">
        <v>842</v>
      </c>
      <c r="G1804" s="4">
        <v>46</v>
      </c>
      <c r="H1804" s="4">
        <v>3</v>
      </c>
      <c r="I1804" s="4">
        <v>19</v>
      </c>
      <c r="J1804" s="4">
        <v>1</v>
      </c>
      <c r="K1804" s="4">
        <f t="shared" si="297"/>
        <v>0</v>
      </c>
      <c r="L1804" s="4">
        <f t="shared" si="297"/>
        <v>0</v>
      </c>
      <c r="M1804" s="4">
        <f t="shared" si="297"/>
        <v>0</v>
      </c>
      <c r="N1804" s="4">
        <f t="shared" si="297"/>
        <v>0</v>
      </c>
      <c r="O1804" s="4">
        <f t="shared" si="298"/>
        <v>0</v>
      </c>
      <c r="P1804" s="4">
        <f t="shared" si="299"/>
        <v>0</v>
      </c>
      <c r="Q1804" s="4">
        <f t="shared" si="300"/>
        <v>0</v>
      </c>
      <c r="R1804" s="4">
        <f t="shared" si="301"/>
        <v>0</v>
      </c>
      <c r="S1804" s="4">
        <f>IF(AND(VLOOKUP(G1804,Dados!$D:$L,2,0)=VLOOKUP(I1804,Dados!$S:$V,2,0),VLOOKUP(G1804,Dados!$D:$L,3,0)=VLOOKUP(I1804,Dados!$S:$V,3,0)),0,1)</f>
        <v>0</v>
      </c>
      <c r="T1804" s="4">
        <f>IF(AND(VLOOKUP(G1804,Dados!$D:$L,3,0)&lt;=VLOOKUP(H1804,Dados!$X:$AB,2,0),VLOOKUP(G1804,Dados!$D:$L,4,0)&gt;=VLOOKUP(H1804,Dados!$X:$AB,3,0),VLOOKUP(G1804,Dados!$D:$L,4,0)&lt;=VLOOKUP(H1804,Dados!$X:$AB,4,0)),0,1)</f>
        <v>0</v>
      </c>
      <c r="U1804" s="4">
        <f>IF(COUNTIFS(F:F,F1804,H:H,H1804)&lt;=VLOOKUP(H1804,Dados!$X:$AB,5,0),0,1)</f>
        <v>0</v>
      </c>
    </row>
    <row r="1805" spans="6:21">
      <c r="F1805" s="4">
        <v>842</v>
      </c>
      <c r="G1805" s="4">
        <v>50</v>
      </c>
      <c r="H1805" s="4">
        <v>3</v>
      </c>
      <c r="I1805" s="4">
        <v>19</v>
      </c>
      <c r="J1805" s="4">
        <v>3</v>
      </c>
      <c r="K1805" s="4">
        <f t="shared" si="297"/>
        <v>0</v>
      </c>
      <c r="L1805" s="4">
        <f t="shared" si="297"/>
        <v>0</v>
      </c>
      <c r="M1805" s="4">
        <f t="shared" si="297"/>
        <v>0</v>
      </c>
      <c r="N1805" s="4">
        <f t="shared" si="297"/>
        <v>0</v>
      </c>
      <c r="O1805" s="4">
        <f t="shared" si="298"/>
        <v>0</v>
      </c>
      <c r="P1805" s="4">
        <f t="shared" si="299"/>
        <v>0</v>
      </c>
      <c r="Q1805" s="4">
        <f t="shared" si="300"/>
        <v>0</v>
      </c>
      <c r="R1805" s="4">
        <f t="shared" si="301"/>
        <v>0</v>
      </c>
      <c r="S1805" s="4">
        <f>IF(AND(VLOOKUP(G1805,Dados!$D:$L,2,0)=VLOOKUP(I1805,Dados!$S:$V,2,0),VLOOKUP(G1805,Dados!$D:$L,3,0)=VLOOKUP(I1805,Dados!$S:$V,3,0)),0,1)</f>
        <v>0</v>
      </c>
      <c r="T1805" s="4">
        <f>IF(AND(VLOOKUP(G1805,Dados!$D:$L,3,0)&lt;=VLOOKUP(H1805,Dados!$X:$AB,2,0),VLOOKUP(G1805,Dados!$D:$L,4,0)&gt;=VLOOKUP(H1805,Dados!$X:$AB,3,0),VLOOKUP(G1805,Dados!$D:$L,4,0)&lt;=VLOOKUP(H1805,Dados!$X:$AB,4,0)),0,1)</f>
        <v>0</v>
      </c>
      <c r="U1805" s="4">
        <f>IF(COUNTIFS(F:F,F1805,H:H,H1805)&lt;=VLOOKUP(H1805,Dados!$X:$AB,5,0),0,1)</f>
        <v>0</v>
      </c>
    </row>
    <row r="1806" spans="6:21">
      <c r="F1806" s="4">
        <v>842</v>
      </c>
      <c r="G1806" s="4">
        <v>52</v>
      </c>
      <c r="H1806" s="4">
        <v>3</v>
      </c>
      <c r="I1806" s="4">
        <v>19</v>
      </c>
      <c r="J1806" s="4">
        <v>4</v>
      </c>
      <c r="K1806" s="4">
        <f t="shared" si="297"/>
        <v>0</v>
      </c>
      <c r="L1806" s="4">
        <f t="shared" si="297"/>
        <v>0</v>
      </c>
      <c r="M1806" s="4">
        <f t="shared" si="297"/>
        <v>0</v>
      </c>
      <c r="N1806" s="4">
        <f t="shared" si="297"/>
        <v>0</v>
      </c>
      <c r="O1806" s="4">
        <f t="shared" si="298"/>
        <v>0</v>
      </c>
      <c r="P1806" s="4">
        <f t="shared" si="299"/>
        <v>0</v>
      </c>
      <c r="Q1806" s="4">
        <f t="shared" si="300"/>
        <v>0</v>
      </c>
      <c r="R1806" s="4">
        <f t="shared" si="301"/>
        <v>0</v>
      </c>
      <c r="S1806" s="4">
        <f>IF(AND(VLOOKUP(G1806,Dados!$D:$L,2,0)=VLOOKUP(I1806,Dados!$S:$V,2,0),VLOOKUP(G1806,Dados!$D:$L,3,0)=VLOOKUP(I1806,Dados!$S:$V,3,0)),0,1)</f>
        <v>0</v>
      </c>
      <c r="T1806" s="4">
        <f>IF(AND(VLOOKUP(G1806,Dados!$D:$L,3,0)&lt;=VLOOKUP(H1806,Dados!$X:$AB,2,0),VLOOKUP(G1806,Dados!$D:$L,4,0)&gt;=VLOOKUP(H1806,Dados!$X:$AB,3,0),VLOOKUP(G1806,Dados!$D:$L,4,0)&lt;=VLOOKUP(H1806,Dados!$X:$AB,4,0)),0,1)</f>
        <v>0</v>
      </c>
      <c r="U1806" s="4">
        <f>IF(COUNTIFS(F:F,F1806,H:H,H1806)&lt;=VLOOKUP(H1806,Dados!$X:$AB,5,0),0,1)</f>
        <v>0</v>
      </c>
    </row>
    <row r="1807" spans="6:21">
      <c r="F1807" s="4">
        <v>843</v>
      </c>
      <c r="G1807" s="4">
        <v>53</v>
      </c>
      <c r="H1807" s="4">
        <v>1</v>
      </c>
      <c r="I1807" s="4">
        <v>20</v>
      </c>
      <c r="J1807" s="4">
        <v>1</v>
      </c>
      <c r="K1807" s="4">
        <f t="shared" si="297"/>
        <v>0</v>
      </c>
      <c r="L1807" s="4">
        <f t="shared" si="297"/>
        <v>2</v>
      </c>
      <c r="M1807" s="4">
        <f t="shared" si="297"/>
        <v>0</v>
      </c>
      <c r="N1807" s="4">
        <f t="shared" si="297"/>
        <v>0</v>
      </c>
      <c r="O1807" s="4">
        <f t="shared" si="298"/>
        <v>0</v>
      </c>
      <c r="P1807" s="4">
        <f t="shared" si="299"/>
        <v>2</v>
      </c>
      <c r="Q1807" s="4">
        <f t="shared" si="300"/>
        <v>0</v>
      </c>
      <c r="R1807" s="4">
        <f t="shared" si="301"/>
        <v>0</v>
      </c>
      <c r="S1807" s="4">
        <f>IF(AND(VLOOKUP(G1807,Dados!$D:$L,2,0)=VLOOKUP(I1807,Dados!$S:$V,2,0),VLOOKUP(G1807,Dados!$D:$L,3,0)=VLOOKUP(I1807,Dados!$S:$V,3,0)),0,1)</f>
        <v>0</v>
      </c>
      <c r="T1807" s="4">
        <f>IF(AND(VLOOKUP(G1807,Dados!$D:$L,3,0)&lt;=VLOOKUP(H1807,Dados!$X:$AB,2,0),VLOOKUP(G1807,Dados!$D:$L,4,0)&gt;=VLOOKUP(H1807,Dados!$X:$AB,3,0),VLOOKUP(G1807,Dados!$D:$L,4,0)&lt;=VLOOKUP(H1807,Dados!$X:$AB,4,0)),0,1)</f>
        <v>0</v>
      </c>
      <c r="U1807" s="4">
        <f>IF(COUNTIFS(F:F,F1807,H:H,H1807)&lt;=VLOOKUP(H1807,Dados!$X:$AB,5,0),0,1)</f>
        <v>0</v>
      </c>
    </row>
    <row r="1808" spans="6:21">
      <c r="F1808" s="4">
        <v>843</v>
      </c>
      <c r="G1808" s="4">
        <v>55</v>
      </c>
      <c r="H1808" s="4">
        <v>1</v>
      </c>
      <c r="I1808" s="4">
        <v>20</v>
      </c>
      <c r="J1808" s="4">
        <v>7</v>
      </c>
      <c r="K1808" s="4">
        <f t="shared" si="297"/>
        <v>0</v>
      </c>
      <c r="L1808" s="4">
        <f t="shared" si="297"/>
        <v>2</v>
      </c>
      <c r="M1808" s="4">
        <f t="shared" si="297"/>
        <v>0</v>
      </c>
      <c r="N1808" s="4">
        <f t="shared" si="297"/>
        <v>0</v>
      </c>
      <c r="O1808" s="4">
        <f t="shared" si="298"/>
        <v>0</v>
      </c>
      <c r="P1808" s="4">
        <f t="shared" si="299"/>
        <v>14</v>
      </c>
      <c r="Q1808" s="4">
        <f t="shared" si="300"/>
        <v>0</v>
      </c>
      <c r="R1808" s="4">
        <f t="shared" si="301"/>
        <v>0</v>
      </c>
      <c r="S1808" s="4">
        <f>IF(AND(VLOOKUP(G1808,Dados!$D:$L,2,0)=VLOOKUP(I1808,Dados!$S:$V,2,0),VLOOKUP(G1808,Dados!$D:$L,3,0)=VLOOKUP(I1808,Dados!$S:$V,3,0)),0,1)</f>
        <v>0</v>
      </c>
      <c r="T1808" s="4">
        <f>IF(AND(VLOOKUP(G1808,Dados!$D:$L,3,0)&lt;=VLOOKUP(H1808,Dados!$X:$AB,2,0),VLOOKUP(G1808,Dados!$D:$L,4,0)&gt;=VLOOKUP(H1808,Dados!$X:$AB,3,0),VLOOKUP(G1808,Dados!$D:$L,4,0)&lt;=VLOOKUP(H1808,Dados!$X:$AB,4,0)),0,1)</f>
        <v>0</v>
      </c>
      <c r="U1808" s="4">
        <f>IF(COUNTIFS(F:F,F1808,H:H,H1808)&lt;=VLOOKUP(H1808,Dados!$X:$AB,5,0),0,1)</f>
        <v>0</v>
      </c>
    </row>
    <row r="1809" spans="6:21">
      <c r="F1809" s="4">
        <v>843</v>
      </c>
      <c r="G1809" s="4">
        <v>56</v>
      </c>
      <c r="H1809" s="4">
        <v>1</v>
      </c>
      <c r="I1809" s="4">
        <v>20</v>
      </c>
      <c r="J1809" s="4">
        <v>1</v>
      </c>
      <c r="K1809" s="4">
        <f t="shared" si="297"/>
        <v>0</v>
      </c>
      <c r="L1809" s="4">
        <f t="shared" si="297"/>
        <v>2</v>
      </c>
      <c r="M1809" s="4">
        <f t="shared" si="297"/>
        <v>0</v>
      </c>
      <c r="N1809" s="4">
        <f t="shared" si="297"/>
        <v>0</v>
      </c>
      <c r="O1809" s="4">
        <f t="shared" si="298"/>
        <v>0</v>
      </c>
      <c r="P1809" s="4">
        <f t="shared" si="299"/>
        <v>2</v>
      </c>
      <c r="Q1809" s="4">
        <f t="shared" si="300"/>
        <v>0</v>
      </c>
      <c r="R1809" s="4">
        <f t="shared" si="301"/>
        <v>0</v>
      </c>
      <c r="S1809" s="4">
        <f>IF(AND(VLOOKUP(G1809,Dados!$D:$L,2,0)=VLOOKUP(I1809,Dados!$S:$V,2,0),VLOOKUP(G1809,Dados!$D:$L,3,0)=VLOOKUP(I1809,Dados!$S:$V,3,0)),0,1)</f>
        <v>0</v>
      </c>
      <c r="T1809" s="4">
        <f>IF(AND(VLOOKUP(G1809,Dados!$D:$L,3,0)&lt;=VLOOKUP(H1809,Dados!$X:$AB,2,0),VLOOKUP(G1809,Dados!$D:$L,4,0)&gt;=VLOOKUP(H1809,Dados!$X:$AB,3,0),VLOOKUP(G1809,Dados!$D:$L,4,0)&lt;=VLOOKUP(H1809,Dados!$X:$AB,4,0)),0,1)</f>
        <v>0</v>
      </c>
      <c r="U1809" s="4">
        <f>IF(COUNTIFS(F:F,F1809,H:H,H1809)&lt;=VLOOKUP(H1809,Dados!$X:$AB,5,0),0,1)</f>
        <v>0</v>
      </c>
    </row>
    <row r="1810" spans="6:21">
      <c r="F1810" s="4">
        <v>844</v>
      </c>
      <c r="G1810" s="4">
        <v>53</v>
      </c>
      <c r="H1810" s="4">
        <v>3</v>
      </c>
      <c r="I1810" s="4">
        <v>20</v>
      </c>
      <c r="J1810" s="4">
        <v>1</v>
      </c>
      <c r="K1810" s="4">
        <f t="shared" si="297"/>
        <v>0</v>
      </c>
      <c r="L1810" s="4">
        <f t="shared" si="297"/>
        <v>0</v>
      </c>
      <c r="M1810" s="4">
        <f t="shared" si="297"/>
        <v>0</v>
      </c>
      <c r="N1810" s="4">
        <f t="shared" si="297"/>
        <v>0</v>
      </c>
      <c r="O1810" s="4">
        <f t="shared" si="298"/>
        <v>0</v>
      </c>
      <c r="P1810" s="4">
        <f t="shared" si="299"/>
        <v>0</v>
      </c>
      <c r="Q1810" s="4">
        <f t="shared" si="300"/>
        <v>0</v>
      </c>
      <c r="R1810" s="4">
        <f t="shared" si="301"/>
        <v>0</v>
      </c>
      <c r="S1810" s="4">
        <f>IF(AND(VLOOKUP(G1810,Dados!$D:$L,2,0)=VLOOKUP(I1810,Dados!$S:$V,2,0),VLOOKUP(G1810,Dados!$D:$L,3,0)=VLOOKUP(I1810,Dados!$S:$V,3,0)),0,1)</f>
        <v>0</v>
      </c>
      <c r="T1810" s="4">
        <f>IF(AND(VLOOKUP(G1810,Dados!$D:$L,3,0)&lt;=VLOOKUP(H1810,Dados!$X:$AB,2,0),VLOOKUP(G1810,Dados!$D:$L,4,0)&gt;=VLOOKUP(H1810,Dados!$X:$AB,3,0),VLOOKUP(G1810,Dados!$D:$L,4,0)&lt;=VLOOKUP(H1810,Dados!$X:$AB,4,0)),0,1)</f>
        <v>0</v>
      </c>
      <c r="U1810" s="4">
        <f>IF(COUNTIFS(F:F,F1810,H:H,H1810)&lt;=VLOOKUP(H1810,Dados!$X:$AB,5,0),0,1)</f>
        <v>0</v>
      </c>
    </row>
    <row r="1811" spans="6:21">
      <c r="F1811" s="4">
        <v>844</v>
      </c>
      <c r="G1811" s="4">
        <v>55</v>
      </c>
      <c r="H1811" s="4">
        <v>3</v>
      </c>
      <c r="I1811" s="4">
        <v>20</v>
      </c>
      <c r="J1811" s="4">
        <v>7</v>
      </c>
      <c r="K1811" s="4">
        <f t="shared" si="297"/>
        <v>0</v>
      </c>
      <c r="L1811" s="4">
        <f t="shared" si="297"/>
        <v>0</v>
      </c>
      <c r="M1811" s="4">
        <f t="shared" si="297"/>
        <v>0</v>
      </c>
      <c r="N1811" s="4">
        <f t="shared" si="297"/>
        <v>0</v>
      </c>
      <c r="O1811" s="4">
        <f t="shared" si="298"/>
        <v>0</v>
      </c>
      <c r="P1811" s="4">
        <f t="shared" si="299"/>
        <v>0</v>
      </c>
      <c r="Q1811" s="4">
        <f t="shared" si="300"/>
        <v>0</v>
      </c>
      <c r="R1811" s="4">
        <f t="shared" si="301"/>
        <v>0</v>
      </c>
      <c r="S1811" s="4">
        <f>IF(AND(VLOOKUP(G1811,Dados!$D:$L,2,0)=VLOOKUP(I1811,Dados!$S:$V,2,0),VLOOKUP(G1811,Dados!$D:$L,3,0)=VLOOKUP(I1811,Dados!$S:$V,3,0)),0,1)</f>
        <v>0</v>
      </c>
      <c r="T1811" s="4">
        <f>IF(AND(VLOOKUP(G1811,Dados!$D:$L,3,0)&lt;=VLOOKUP(H1811,Dados!$X:$AB,2,0),VLOOKUP(G1811,Dados!$D:$L,4,0)&gt;=VLOOKUP(H1811,Dados!$X:$AB,3,0),VLOOKUP(G1811,Dados!$D:$L,4,0)&lt;=VLOOKUP(H1811,Dados!$X:$AB,4,0)),0,1)</f>
        <v>0</v>
      </c>
      <c r="U1811" s="4">
        <f>IF(COUNTIFS(F:F,F1811,H:H,H1811)&lt;=VLOOKUP(H1811,Dados!$X:$AB,5,0),0,1)</f>
        <v>0</v>
      </c>
    </row>
    <row r="1812" spans="6:21">
      <c r="F1812" s="4">
        <v>844</v>
      </c>
      <c r="G1812" s="4">
        <v>56</v>
      </c>
      <c r="H1812" s="4">
        <v>3</v>
      </c>
      <c r="I1812" s="4">
        <v>20</v>
      </c>
      <c r="J1812" s="4">
        <v>1</v>
      </c>
      <c r="K1812" s="4">
        <f t="shared" si="297"/>
        <v>0</v>
      </c>
      <c r="L1812" s="4">
        <f t="shared" si="297"/>
        <v>0</v>
      </c>
      <c r="M1812" s="4">
        <f t="shared" si="297"/>
        <v>0</v>
      </c>
      <c r="N1812" s="4">
        <f t="shared" si="297"/>
        <v>0</v>
      </c>
      <c r="O1812" s="4">
        <f t="shared" si="298"/>
        <v>0</v>
      </c>
      <c r="P1812" s="4">
        <f t="shared" si="299"/>
        <v>0</v>
      </c>
      <c r="Q1812" s="4">
        <f t="shared" si="300"/>
        <v>0</v>
      </c>
      <c r="R1812" s="4">
        <f t="shared" si="301"/>
        <v>0</v>
      </c>
      <c r="S1812" s="4">
        <f>IF(AND(VLOOKUP(G1812,Dados!$D:$L,2,0)=VLOOKUP(I1812,Dados!$S:$V,2,0),VLOOKUP(G1812,Dados!$D:$L,3,0)=VLOOKUP(I1812,Dados!$S:$V,3,0)),0,1)</f>
        <v>0</v>
      </c>
      <c r="T1812" s="4">
        <f>IF(AND(VLOOKUP(G1812,Dados!$D:$L,3,0)&lt;=VLOOKUP(H1812,Dados!$X:$AB,2,0),VLOOKUP(G1812,Dados!$D:$L,4,0)&gt;=VLOOKUP(H1812,Dados!$X:$AB,3,0),VLOOKUP(G1812,Dados!$D:$L,4,0)&lt;=VLOOKUP(H1812,Dados!$X:$AB,4,0)),0,1)</f>
        <v>0</v>
      </c>
      <c r="U1812" s="4">
        <f>IF(COUNTIFS(F:F,F1812,H:H,H1812)&lt;=VLOOKUP(H1812,Dados!$X:$AB,5,0),0,1)</f>
        <v>0</v>
      </c>
    </row>
    <row r="1813" spans="6:21">
      <c r="F1813" s="4">
        <v>845</v>
      </c>
      <c r="G1813" s="4">
        <v>59</v>
      </c>
      <c r="H1813" s="4">
        <v>1</v>
      </c>
      <c r="I1813" s="4">
        <v>21</v>
      </c>
      <c r="J1813" s="4">
        <v>3</v>
      </c>
      <c r="K1813" s="4">
        <f t="shared" si="297"/>
        <v>0</v>
      </c>
      <c r="L1813" s="4">
        <f t="shared" si="297"/>
        <v>0</v>
      </c>
      <c r="M1813" s="4">
        <f t="shared" si="297"/>
        <v>0</v>
      </c>
      <c r="N1813" s="4">
        <f t="shared" si="297"/>
        <v>0</v>
      </c>
      <c r="O1813" s="4">
        <f t="shared" si="298"/>
        <v>0</v>
      </c>
      <c r="P1813" s="4">
        <f t="shared" si="299"/>
        <v>0</v>
      </c>
      <c r="Q1813" s="4">
        <f t="shared" si="300"/>
        <v>0</v>
      </c>
      <c r="R1813" s="4">
        <f t="shared" si="301"/>
        <v>0</v>
      </c>
      <c r="S1813" s="4">
        <f>IF(AND(VLOOKUP(G1813,Dados!$D:$L,2,0)=VLOOKUP(I1813,Dados!$S:$V,2,0),VLOOKUP(G1813,Dados!$D:$L,3,0)=VLOOKUP(I1813,Dados!$S:$V,3,0)),0,1)</f>
        <v>0</v>
      </c>
      <c r="T1813" s="4">
        <f>IF(AND(VLOOKUP(G1813,Dados!$D:$L,3,0)&lt;=VLOOKUP(H1813,Dados!$X:$AB,2,0),VLOOKUP(G1813,Dados!$D:$L,4,0)&gt;=VLOOKUP(H1813,Dados!$X:$AB,3,0),VLOOKUP(G1813,Dados!$D:$L,4,0)&lt;=VLOOKUP(H1813,Dados!$X:$AB,4,0)),0,1)</f>
        <v>0</v>
      </c>
      <c r="U1813" s="4">
        <f>IF(COUNTIFS(F:F,F1813,H:H,H1813)&lt;=VLOOKUP(H1813,Dados!$X:$AB,5,0),0,1)</f>
        <v>0</v>
      </c>
    </row>
    <row r="1814" spans="6:21">
      <c r="F1814" s="4">
        <v>845</v>
      </c>
      <c r="G1814" s="4">
        <v>63</v>
      </c>
      <c r="H1814" s="4">
        <v>1</v>
      </c>
      <c r="I1814" s="4">
        <v>21</v>
      </c>
      <c r="J1814" s="4">
        <v>1</v>
      </c>
      <c r="K1814" s="4">
        <f t="shared" si="297"/>
        <v>0</v>
      </c>
      <c r="L1814" s="4">
        <f t="shared" si="297"/>
        <v>0</v>
      </c>
      <c r="M1814" s="4">
        <f t="shared" si="297"/>
        <v>0</v>
      </c>
      <c r="N1814" s="4">
        <f t="shared" si="297"/>
        <v>0</v>
      </c>
      <c r="O1814" s="4">
        <f t="shared" si="298"/>
        <v>0</v>
      </c>
      <c r="P1814" s="4">
        <f t="shared" si="299"/>
        <v>0</v>
      </c>
      <c r="Q1814" s="4">
        <f t="shared" si="300"/>
        <v>0</v>
      </c>
      <c r="R1814" s="4">
        <f t="shared" si="301"/>
        <v>0</v>
      </c>
      <c r="S1814" s="4">
        <f>IF(AND(VLOOKUP(G1814,Dados!$D:$L,2,0)=VLOOKUP(I1814,Dados!$S:$V,2,0),VLOOKUP(G1814,Dados!$D:$L,3,0)=VLOOKUP(I1814,Dados!$S:$V,3,0)),0,1)</f>
        <v>0</v>
      </c>
      <c r="T1814" s="4">
        <f>IF(AND(VLOOKUP(G1814,Dados!$D:$L,3,0)&lt;=VLOOKUP(H1814,Dados!$X:$AB,2,0),VLOOKUP(G1814,Dados!$D:$L,4,0)&gt;=VLOOKUP(H1814,Dados!$X:$AB,3,0),VLOOKUP(G1814,Dados!$D:$L,4,0)&lt;=VLOOKUP(H1814,Dados!$X:$AB,4,0)),0,1)</f>
        <v>0</v>
      </c>
      <c r="U1814" s="4">
        <f>IF(COUNTIFS(F:F,F1814,H:H,H1814)&lt;=VLOOKUP(H1814,Dados!$X:$AB,5,0),0,1)</f>
        <v>0</v>
      </c>
    </row>
    <row r="1815" spans="6:21">
      <c r="F1815" s="4">
        <v>845</v>
      </c>
      <c r="G1815" s="4">
        <v>66</v>
      </c>
      <c r="H1815" s="4">
        <v>1</v>
      </c>
      <c r="I1815" s="4">
        <v>21</v>
      </c>
      <c r="J1815" s="4">
        <v>5</v>
      </c>
      <c r="K1815" s="4">
        <f t="shared" si="297"/>
        <v>0</v>
      </c>
      <c r="L1815" s="4">
        <f t="shared" si="297"/>
        <v>0</v>
      </c>
      <c r="M1815" s="4">
        <f t="shared" si="297"/>
        <v>0</v>
      </c>
      <c r="N1815" s="4">
        <f t="shared" si="297"/>
        <v>0</v>
      </c>
      <c r="O1815" s="4">
        <f t="shared" si="298"/>
        <v>0</v>
      </c>
      <c r="P1815" s="4">
        <f t="shared" si="299"/>
        <v>0</v>
      </c>
      <c r="Q1815" s="4">
        <f t="shared" si="300"/>
        <v>0</v>
      </c>
      <c r="R1815" s="4">
        <f t="shared" si="301"/>
        <v>0</v>
      </c>
      <c r="S1815" s="4">
        <f>IF(AND(VLOOKUP(G1815,Dados!$D:$L,2,0)=VLOOKUP(I1815,Dados!$S:$V,2,0),VLOOKUP(G1815,Dados!$D:$L,3,0)=VLOOKUP(I1815,Dados!$S:$V,3,0)),0,1)</f>
        <v>0</v>
      </c>
      <c r="T1815" s="4">
        <f>IF(AND(VLOOKUP(G1815,Dados!$D:$L,3,0)&lt;=VLOOKUP(H1815,Dados!$X:$AB,2,0),VLOOKUP(G1815,Dados!$D:$L,4,0)&gt;=VLOOKUP(H1815,Dados!$X:$AB,3,0),VLOOKUP(G1815,Dados!$D:$L,4,0)&lt;=VLOOKUP(H1815,Dados!$X:$AB,4,0)),0,1)</f>
        <v>0</v>
      </c>
      <c r="U1815" s="4">
        <f>IF(COUNTIFS(F:F,F1815,H:H,H1815)&lt;=VLOOKUP(H1815,Dados!$X:$AB,5,0),0,1)</f>
        <v>0</v>
      </c>
    </row>
    <row r="1816" spans="6:21">
      <c r="F1816" s="4">
        <v>846</v>
      </c>
      <c r="G1816" s="4">
        <v>59</v>
      </c>
      <c r="H1816" s="4">
        <v>2</v>
      </c>
      <c r="I1816" s="4">
        <v>21</v>
      </c>
      <c r="J1816" s="4">
        <v>3</v>
      </c>
      <c r="K1816" s="4">
        <f t="shared" si="297"/>
        <v>0</v>
      </c>
      <c r="L1816" s="4">
        <f t="shared" si="297"/>
        <v>0</v>
      </c>
      <c r="M1816" s="4">
        <f t="shared" si="297"/>
        <v>0</v>
      </c>
      <c r="N1816" s="4">
        <f t="shared" si="297"/>
        <v>0</v>
      </c>
      <c r="O1816" s="4">
        <f t="shared" si="298"/>
        <v>0</v>
      </c>
      <c r="P1816" s="4">
        <f t="shared" si="299"/>
        <v>0</v>
      </c>
      <c r="Q1816" s="4">
        <f t="shared" si="300"/>
        <v>0</v>
      </c>
      <c r="R1816" s="4">
        <f t="shared" si="301"/>
        <v>0</v>
      </c>
      <c r="S1816" s="4">
        <f>IF(AND(VLOOKUP(G1816,Dados!$D:$L,2,0)=VLOOKUP(I1816,Dados!$S:$V,2,0),VLOOKUP(G1816,Dados!$D:$L,3,0)=VLOOKUP(I1816,Dados!$S:$V,3,0)),0,1)</f>
        <v>0</v>
      </c>
      <c r="T1816" s="4">
        <f>IF(AND(VLOOKUP(G1816,Dados!$D:$L,3,0)&lt;=VLOOKUP(H1816,Dados!$X:$AB,2,0),VLOOKUP(G1816,Dados!$D:$L,4,0)&gt;=VLOOKUP(H1816,Dados!$X:$AB,3,0),VLOOKUP(G1816,Dados!$D:$L,4,0)&lt;=VLOOKUP(H1816,Dados!$X:$AB,4,0)),0,1)</f>
        <v>0</v>
      </c>
      <c r="U1816" s="4">
        <f>IF(COUNTIFS(F:F,F1816,H:H,H1816)&lt;=VLOOKUP(H1816,Dados!$X:$AB,5,0),0,1)</f>
        <v>0</v>
      </c>
    </row>
    <row r="1817" spans="6:21">
      <c r="F1817" s="4">
        <v>846</v>
      </c>
      <c r="G1817" s="4">
        <v>63</v>
      </c>
      <c r="H1817" s="4">
        <v>2</v>
      </c>
      <c r="I1817" s="4">
        <v>21</v>
      </c>
      <c r="J1817" s="4">
        <v>1</v>
      </c>
      <c r="K1817" s="4">
        <f t="shared" si="297"/>
        <v>0</v>
      </c>
      <c r="L1817" s="4">
        <f t="shared" si="297"/>
        <v>0</v>
      </c>
      <c r="M1817" s="4">
        <f t="shared" si="297"/>
        <v>0</v>
      </c>
      <c r="N1817" s="4">
        <f t="shared" si="297"/>
        <v>0</v>
      </c>
      <c r="O1817" s="4">
        <f t="shared" si="298"/>
        <v>0</v>
      </c>
      <c r="P1817" s="4">
        <f t="shared" si="299"/>
        <v>0</v>
      </c>
      <c r="Q1817" s="4">
        <f t="shared" si="300"/>
        <v>0</v>
      </c>
      <c r="R1817" s="4">
        <f t="shared" si="301"/>
        <v>0</v>
      </c>
      <c r="S1817" s="4">
        <f>IF(AND(VLOOKUP(G1817,Dados!$D:$L,2,0)=VLOOKUP(I1817,Dados!$S:$V,2,0),VLOOKUP(G1817,Dados!$D:$L,3,0)=VLOOKUP(I1817,Dados!$S:$V,3,0)),0,1)</f>
        <v>0</v>
      </c>
      <c r="T1817" s="4">
        <f>IF(AND(VLOOKUP(G1817,Dados!$D:$L,3,0)&lt;=VLOOKUP(H1817,Dados!$X:$AB,2,0),VLOOKUP(G1817,Dados!$D:$L,4,0)&gt;=VLOOKUP(H1817,Dados!$X:$AB,3,0),VLOOKUP(G1817,Dados!$D:$L,4,0)&lt;=VLOOKUP(H1817,Dados!$X:$AB,4,0)),0,1)</f>
        <v>0</v>
      </c>
      <c r="U1817" s="4">
        <f>IF(COUNTIFS(F:F,F1817,H:H,H1817)&lt;=VLOOKUP(H1817,Dados!$X:$AB,5,0),0,1)</f>
        <v>0</v>
      </c>
    </row>
    <row r="1818" spans="6:21">
      <c r="F1818" s="4">
        <v>846</v>
      </c>
      <c r="G1818" s="4">
        <v>66</v>
      </c>
      <c r="H1818" s="4">
        <v>2</v>
      </c>
      <c r="I1818" s="4">
        <v>21</v>
      </c>
      <c r="J1818" s="4">
        <v>5</v>
      </c>
      <c r="K1818" s="4">
        <f t="shared" si="297"/>
        <v>0</v>
      </c>
      <c r="L1818" s="4">
        <f t="shared" si="297"/>
        <v>0</v>
      </c>
      <c r="M1818" s="4">
        <f t="shared" si="297"/>
        <v>0</v>
      </c>
      <c r="N1818" s="4">
        <f t="shared" si="297"/>
        <v>0</v>
      </c>
      <c r="O1818" s="4">
        <f t="shared" si="298"/>
        <v>0</v>
      </c>
      <c r="P1818" s="4">
        <f t="shared" si="299"/>
        <v>0</v>
      </c>
      <c r="Q1818" s="4">
        <f t="shared" si="300"/>
        <v>0</v>
      </c>
      <c r="R1818" s="4">
        <f t="shared" si="301"/>
        <v>0</v>
      </c>
      <c r="S1818" s="4">
        <f>IF(AND(VLOOKUP(G1818,Dados!$D:$L,2,0)=VLOOKUP(I1818,Dados!$S:$V,2,0),VLOOKUP(G1818,Dados!$D:$L,3,0)=VLOOKUP(I1818,Dados!$S:$V,3,0)),0,1)</f>
        <v>0</v>
      </c>
      <c r="T1818" s="4">
        <f>IF(AND(VLOOKUP(G1818,Dados!$D:$L,3,0)&lt;=VLOOKUP(H1818,Dados!$X:$AB,2,0),VLOOKUP(G1818,Dados!$D:$L,4,0)&gt;=VLOOKUP(H1818,Dados!$X:$AB,3,0),VLOOKUP(G1818,Dados!$D:$L,4,0)&lt;=VLOOKUP(H1818,Dados!$X:$AB,4,0)),0,1)</f>
        <v>0</v>
      </c>
      <c r="U1818" s="4">
        <f>IF(COUNTIFS(F:F,F1818,H:H,H1818)&lt;=VLOOKUP(H1818,Dados!$X:$AB,5,0),0,1)</f>
        <v>0</v>
      </c>
    </row>
    <row r="1819" spans="6:21">
      <c r="F1819" s="4">
        <v>847</v>
      </c>
      <c r="G1819" s="4">
        <v>62</v>
      </c>
      <c r="H1819" s="4">
        <v>3</v>
      </c>
      <c r="I1819" s="4">
        <v>21</v>
      </c>
      <c r="J1819" s="4">
        <v>2</v>
      </c>
      <c r="K1819" s="4">
        <f t="shared" si="297"/>
        <v>0</v>
      </c>
      <c r="L1819" s="4">
        <f t="shared" si="297"/>
        <v>0</v>
      </c>
      <c r="M1819" s="4">
        <f t="shared" si="297"/>
        <v>0</v>
      </c>
      <c r="N1819" s="4">
        <f t="shared" si="297"/>
        <v>0</v>
      </c>
      <c r="O1819" s="4">
        <f t="shared" si="298"/>
        <v>0</v>
      </c>
      <c r="P1819" s="4">
        <f t="shared" si="299"/>
        <v>0</v>
      </c>
      <c r="Q1819" s="4">
        <f t="shared" si="300"/>
        <v>0</v>
      </c>
      <c r="R1819" s="4">
        <f t="shared" si="301"/>
        <v>0</v>
      </c>
      <c r="S1819" s="4">
        <f>IF(AND(VLOOKUP(G1819,Dados!$D:$L,2,0)=VLOOKUP(I1819,Dados!$S:$V,2,0),VLOOKUP(G1819,Dados!$D:$L,3,0)=VLOOKUP(I1819,Dados!$S:$V,3,0)),0,1)</f>
        <v>0</v>
      </c>
      <c r="T1819" s="4">
        <f>IF(AND(VLOOKUP(G1819,Dados!$D:$L,3,0)&lt;=VLOOKUP(H1819,Dados!$X:$AB,2,0),VLOOKUP(G1819,Dados!$D:$L,4,0)&gt;=VLOOKUP(H1819,Dados!$X:$AB,3,0),VLOOKUP(G1819,Dados!$D:$L,4,0)&lt;=VLOOKUP(H1819,Dados!$X:$AB,4,0)),0,1)</f>
        <v>0</v>
      </c>
      <c r="U1819" s="4">
        <f>IF(COUNTIFS(F:F,F1819,H:H,H1819)&lt;=VLOOKUP(H1819,Dados!$X:$AB,5,0),0,1)</f>
        <v>0</v>
      </c>
    </row>
    <row r="1820" spans="6:21">
      <c r="F1820" s="4">
        <v>847</v>
      </c>
      <c r="G1820" s="4">
        <v>64</v>
      </c>
      <c r="H1820" s="4">
        <v>3</v>
      </c>
      <c r="I1820" s="4">
        <v>21</v>
      </c>
      <c r="J1820" s="4">
        <v>1</v>
      </c>
      <c r="K1820" s="4">
        <f t="shared" si="297"/>
        <v>0</v>
      </c>
      <c r="L1820" s="4">
        <f t="shared" si="297"/>
        <v>0</v>
      </c>
      <c r="M1820" s="4">
        <f t="shared" si="297"/>
        <v>0</v>
      </c>
      <c r="N1820" s="4">
        <f t="shared" si="297"/>
        <v>0</v>
      </c>
      <c r="O1820" s="4">
        <f t="shared" si="298"/>
        <v>0</v>
      </c>
      <c r="P1820" s="4">
        <f t="shared" si="299"/>
        <v>0</v>
      </c>
      <c r="Q1820" s="4">
        <f t="shared" si="300"/>
        <v>0</v>
      </c>
      <c r="R1820" s="4">
        <f t="shared" si="301"/>
        <v>0</v>
      </c>
      <c r="S1820" s="4">
        <f>IF(AND(VLOOKUP(G1820,Dados!$D:$L,2,0)=VLOOKUP(I1820,Dados!$S:$V,2,0),VLOOKUP(G1820,Dados!$D:$L,3,0)=VLOOKUP(I1820,Dados!$S:$V,3,0)),0,1)</f>
        <v>0</v>
      </c>
      <c r="T1820" s="4">
        <f>IF(AND(VLOOKUP(G1820,Dados!$D:$L,3,0)&lt;=VLOOKUP(H1820,Dados!$X:$AB,2,0),VLOOKUP(G1820,Dados!$D:$L,4,0)&gt;=VLOOKUP(H1820,Dados!$X:$AB,3,0),VLOOKUP(G1820,Dados!$D:$L,4,0)&lt;=VLOOKUP(H1820,Dados!$X:$AB,4,0)),0,1)</f>
        <v>0</v>
      </c>
      <c r="U1820" s="4">
        <f>IF(COUNTIFS(F:F,F1820,H:H,H1820)&lt;=VLOOKUP(H1820,Dados!$X:$AB,5,0),0,1)</f>
        <v>0</v>
      </c>
    </row>
    <row r="1821" spans="6:21">
      <c r="F1821" s="4">
        <v>847</v>
      </c>
      <c r="G1821" s="4">
        <v>66</v>
      </c>
      <c r="H1821" s="4">
        <v>3</v>
      </c>
      <c r="I1821" s="4">
        <v>21</v>
      </c>
      <c r="J1821" s="4">
        <v>4</v>
      </c>
      <c r="K1821" s="4">
        <f t="shared" si="297"/>
        <v>0</v>
      </c>
      <c r="L1821" s="4">
        <f t="shared" si="297"/>
        <v>0</v>
      </c>
      <c r="M1821" s="4">
        <f t="shared" si="297"/>
        <v>0</v>
      </c>
      <c r="N1821" s="4">
        <f t="shared" si="297"/>
        <v>0</v>
      </c>
      <c r="O1821" s="4">
        <f t="shared" si="298"/>
        <v>0</v>
      </c>
      <c r="P1821" s="4">
        <f t="shared" si="299"/>
        <v>0</v>
      </c>
      <c r="Q1821" s="4">
        <f t="shared" si="300"/>
        <v>0</v>
      </c>
      <c r="R1821" s="4">
        <f t="shared" si="301"/>
        <v>0</v>
      </c>
      <c r="S1821" s="4">
        <f>IF(AND(VLOOKUP(G1821,Dados!$D:$L,2,0)=VLOOKUP(I1821,Dados!$S:$V,2,0),VLOOKUP(G1821,Dados!$D:$L,3,0)=VLOOKUP(I1821,Dados!$S:$V,3,0)),0,1)</f>
        <v>0</v>
      </c>
      <c r="T1821" s="4">
        <f>IF(AND(VLOOKUP(G1821,Dados!$D:$L,3,0)&lt;=VLOOKUP(H1821,Dados!$X:$AB,2,0),VLOOKUP(G1821,Dados!$D:$L,4,0)&gt;=VLOOKUP(H1821,Dados!$X:$AB,3,0),VLOOKUP(G1821,Dados!$D:$L,4,0)&lt;=VLOOKUP(H1821,Dados!$X:$AB,4,0)),0,1)</f>
        <v>0</v>
      </c>
      <c r="U1821" s="4">
        <f>IF(COUNTIFS(F:F,F1821,H:H,H1821)&lt;=VLOOKUP(H1821,Dados!$X:$AB,5,0),0,1)</f>
        <v>0</v>
      </c>
    </row>
    <row r="1822" spans="6:21">
      <c r="F1822" s="4">
        <v>847</v>
      </c>
      <c r="G1822" s="4">
        <v>67</v>
      </c>
      <c r="H1822" s="4">
        <v>3</v>
      </c>
      <c r="I1822" s="4">
        <v>21</v>
      </c>
      <c r="J1822" s="4">
        <v>1</v>
      </c>
      <c r="K1822" s="4">
        <f t="shared" si="297"/>
        <v>0</v>
      </c>
      <c r="L1822" s="4">
        <f t="shared" si="297"/>
        <v>0</v>
      </c>
      <c r="M1822" s="4">
        <f t="shared" si="297"/>
        <v>0</v>
      </c>
      <c r="N1822" s="4">
        <f t="shared" si="297"/>
        <v>0</v>
      </c>
      <c r="O1822" s="4">
        <f t="shared" si="298"/>
        <v>0</v>
      </c>
      <c r="P1822" s="4">
        <f t="shared" si="299"/>
        <v>0</v>
      </c>
      <c r="Q1822" s="4">
        <f t="shared" si="300"/>
        <v>0</v>
      </c>
      <c r="R1822" s="4">
        <f t="shared" si="301"/>
        <v>0</v>
      </c>
      <c r="S1822" s="4">
        <f>IF(AND(VLOOKUP(G1822,Dados!$D:$L,2,0)=VLOOKUP(I1822,Dados!$S:$V,2,0),VLOOKUP(G1822,Dados!$D:$L,3,0)=VLOOKUP(I1822,Dados!$S:$V,3,0)),0,1)</f>
        <v>0</v>
      </c>
      <c r="T1822" s="4">
        <f>IF(AND(VLOOKUP(G1822,Dados!$D:$L,3,0)&lt;=VLOOKUP(H1822,Dados!$X:$AB,2,0),VLOOKUP(G1822,Dados!$D:$L,4,0)&gt;=VLOOKUP(H1822,Dados!$X:$AB,3,0),VLOOKUP(G1822,Dados!$D:$L,4,0)&lt;=VLOOKUP(H1822,Dados!$X:$AB,4,0)),0,1)</f>
        <v>0</v>
      </c>
      <c r="U1822" s="4">
        <f>IF(COUNTIFS(F:F,F1822,H:H,H1822)&lt;=VLOOKUP(H1822,Dados!$X:$AB,5,0),0,1)</f>
        <v>0</v>
      </c>
    </row>
    <row r="1823" spans="6:21">
      <c r="F1823" s="4">
        <v>848</v>
      </c>
      <c r="G1823" s="4">
        <v>59</v>
      </c>
      <c r="H1823" s="4">
        <v>1</v>
      </c>
      <c r="I1823" s="4">
        <v>23</v>
      </c>
      <c r="J1823" s="4">
        <v>4</v>
      </c>
      <c r="K1823" s="4">
        <f t="shared" si="297"/>
        <v>0</v>
      </c>
      <c r="L1823" s="4">
        <f t="shared" si="297"/>
        <v>0</v>
      </c>
      <c r="M1823" s="4">
        <f t="shared" si="297"/>
        <v>0</v>
      </c>
      <c r="N1823" s="4">
        <f t="shared" si="297"/>
        <v>0</v>
      </c>
      <c r="O1823" s="4">
        <f t="shared" si="298"/>
        <v>0</v>
      </c>
      <c r="P1823" s="4">
        <f t="shared" si="299"/>
        <v>0</v>
      </c>
      <c r="Q1823" s="4">
        <f t="shared" si="300"/>
        <v>0</v>
      </c>
      <c r="R1823" s="4">
        <f t="shared" si="301"/>
        <v>0</v>
      </c>
      <c r="S1823" s="4">
        <f>IF(AND(VLOOKUP(G1823,Dados!$D:$L,2,0)=VLOOKUP(I1823,Dados!$S:$V,2,0),VLOOKUP(G1823,Dados!$D:$L,3,0)=VLOOKUP(I1823,Dados!$S:$V,3,0)),0,1)</f>
        <v>0</v>
      </c>
      <c r="T1823" s="4">
        <f>IF(AND(VLOOKUP(G1823,Dados!$D:$L,3,0)&lt;=VLOOKUP(H1823,Dados!$X:$AB,2,0),VLOOKUP(G1823,Dados!$D:$L,4,0)&gt;=VLOOKUP(H1823,Dados!$X:$AB,3,0),VLOOKUP(G1823,Dados!$D:$L,4,0)&lt;=VLOOKUP(H1823,Dados!$X:$AB,4,0)),0,1)</f>
        <v>0</v>
      </c>
      <c r="U1823" s="4">
        <f>IF(COUNTIFS(F:F,F1823,H:H,H1823)&lt;=VLOOKUP(H1823,Dados!$X:$AB,5,0),0,1)</f>
        <v>0</v>
      </c>
    </row>
    <row r="1824" spans="6:21">
      <c r="F1824" s="4">
        <v>848</v>
      </c>
      <c r="G1824" s="4">
        <v>66</v>
      </c>
      <c r="H1824" s="4">
        <v>1</v>
      </c>
      <c r="I1824" s="4">
        <v>23</v>
      </c>
      <c r="J1824" s="4">
        <v>3</v>
      </c>
      <c r="K1824" s="4">
        <f t="shared" si="297"/>
        <v>0</v>
      </c>
      <c r="L1824" s="4">
        <f t="shared" si="297"/>
        <v>0</v>
      </c>
      <c r="M1824" s="4">
        <f t="shared" si="297"/>
        <v>0</v>
      </c>
      <c r="N1824" s="4">
        <f t="shared" si="297"/>
        <v>0</v>
      </c>
      <c r="O1824" s="4">
        <f t="shared" si="298"/>
        <v>0</v>
      </c>
      <c r="P1824" s="4">
        <f t="shared" si="299"/>
        <v>0</v>
      </c>
      <c r="Q1824" s="4">
        <f t="shared" si="300"/>
        <v>0</v>
      </c>
      <c r="R1824" s="4">
        <f t="shared" si="301"/>
        <v>0</v>
      </c>
      <c r="S1824" s="4">
        <f>IF(AND(VLOOKUP(G1824,Dados!$D:$L,2,0)=VLOOKUP(I1824,Dados!$S:$V,2,0),VLOOKUP(G1824,Dados!$D:$L,3,0)=VLOOKUP(I1824,Dados!$S:$V,3,0)),0,1)</f>
        <v>0</v>
      </c>
      <c r="T1824" s="4">
        <f>IF(AND(VLOOKUP(G1824,Dados!$D:$L,3,0)&lt;=VLOOKUP(H1824,Dados!$X:$AB,2,0),VLOOKUP(G1824,Dados!$D:$L,4,0)&gt;=VLOOKUP(H1824,Dados!$X:$AB,3,0),VLOOKUP(G1824,Dados!$D:$L,4,0)&lt;=VLOOKUP(H1824,Dados!$X:$AB,4,0)),0,1)</f>
        <v>0</v>
      </c>
      <c r="U1824" s="4">
        <f>IF(COUNTIFS(F:F,F1824,H:H,H1824)&lt;=VLOOKUP(H1824,Dados!$X:$AB,5,0),0,1)</f>
        <v>0</v>
      </c>
    </row>
    <row r="1825" spans="6:21">
      <c r="F1825" s="4">
        <v>848</v>
      </c>
      <c r="G1825" s="4">
        <v>67</v>
      </c>
      <c r="H1825" s="4">
        <v>1</v>
      </c>
      <c r="I1825" s="4">
        <v>23</v>
      </c>
      <c r="J1825" s="4">
        <v>1</v>
      </c>
      <c r="K1825" s="4">
        <f t="shared" si="297"/>
        <v>0</v>
      </c>
      <c r="L1825" s="4">
        <f t="shared" si="297"/>
        <v>0</v>
      </c>
      <c r="M1825" s="4">
        <f t="shared" si="297"/>
        <v>0</v>
      </c>
      <c r="N1825" s="4">
        <f t="shared" ref="K1825:N1888" si="302">SUMIFS($X:$X,$W:$W,$F1825,$Z:$Z,$I1825,$AA:$AA,$H1825,$AB:$AB,N$2)</f>
        <v>0</v>
      </c>
      <c r="O1825" s="4">
        <f t="shared" si="298"/>
        <v>0</v>
      </c>
      <c r="P1825" s="4">
        <f t="shared" si="299"/>
        <v>0</v>
      </c>
      <c r="Q1825" s="4">
        <f t="shared" si="300"/>
        <v>0</v>
      </c>
      <c r="R1825" s="4">
        <f t="shared" si="301"/>
        <v>0</v>
      </c>
      <c r="S1825" s="4">
        <f>IF(AND(VLOOKUP(G1825,Dados!$D:$L,2,0)=VLOOKUP(I1825,Dados!$S:$V,2,0),VLOOKUP(G1825,Dados!$D:$L,3,0)=VLOOKUP(I1825,Dados!$S:$V,3,0)),0,1)</f>
        <v>0</v>
      </c>
      <c r="T1825" s="4">
        <f>IF(AND(VLOOKUP(G1825,Dados!$D:$L,3,0)&lt;=VLOOKUP(H1825,Dados!$X:$AB,2,0),VLOOKUP(G1825,Dados!$D:$L,4,0)&gt;=VLOOKUP(H1825,Dados!$X:$AB,3,0),VLOOKUP(G1825,Dados!$D:$L,4,0)&lt;=VLOOKUP(H1825,Dados!$X:$AB,4,0)),0,1)</f>
        <v>0</v>
      </c>
      <c r="U1825" s="4">
        <f>IF(COUNTIFS(F:F,F1825,H:H,H1825)&lt;=VLOOKUP(H1825,Dados!$X:$AB,5,0),0,1)</f>
        <v>0</v>
      </c>
    </row>
    <row r="1826" spans="6:21">
      <c r="F1826" s="4">
        <v>849</v>
      </c>
      <c r="G1826" s="4">
        <v>59</v>
      </c>
      <c r="H1826" s="4">
        <v>2</v>
      </c>
      <c r="I1826" s="4">
        <v>23</v>
      </c>
      <c r="J1826" s="4">
        <v>4</v>
      </c>
      <c r="K1826" s="4">
        <f t="shared" si="302"/>
        <v>0</v>
      </c>
      <c r="L1826" s="4">
        <f t="shared" si="302"/>
        <v>0</v>
      </c>
      <c r="M1826" s="4">
        <f t="shared" si="302"/>
        <v>0</v>
      </c>
      <c r="N1826" s="4">
        <f t="shared" si="302"/>
        <v>0</v>
      </c>
      <c r="O1826" s="4">
        <f t="shared" si="298"/>
        <v>0</v>
      </c>
      <c r="P1826" s="4">
        <f t="shared" si="299"/>
        <v>0</v>
      </c>
      <c r="Q1826" s="4">
        <f t="shared" si="300"/>
        <v>0</v>
      </c>
      <c r="R1826" s="4">
        <f t="shared" si="301"/>
        <v>0</v>
      </c>
      <c r="S1826" s="4">
        <f>IF(AND(VLOOKUP(G1826,Dados!$D:$L,2,0)=VLOOKUP(I1826,Dados!$S:$V,2,0),VLOOKUP(G1826,Dados!$D:$L,3,0)=VLOOKUP(I1826,Dados!$S:$V,3,0)),0,1)</f>
        <v>0</v>
      </c>
      <c r="T1826" s="4">
        <f>IF(AND(VLOOKUP(G1826,Dados!$D:$L,3,0)&lt;=VLOOKUP(H1826,Dados!$X:$AB,2,0),VLOOKUP(G1826,Dados!$D:$L,4,0)&gt;=VLOOKUP(H1826,Dados!$X:$AB,3,0),VLOOKUP(G1826,Dados!$D:$L,4,0)&lt;=VLOOKUP(H1826,Dados!$X:$AB,4,0)),0,1)</f>
        <v>0</v>
      </c>
      <c r="U1826" s="4">
        <f>IF(COUNTIFS(F:F,F1826,H:H,H1826)&lt;=VLOOKUP(H1826,Dados!$X:$AB,5,0),0,1)</f>
        <v>0</v>
      </c>
    </row>
    <row r="1827" spans="6:21">
      <c r="F1827" s="4">
        <v>849</v>
      </c>
      <c r="G1827" s="4">
        <v>66</v>
      </c>
      <c r="H1827" s="4">
        <v>2</v>
      </c>
      <c r="I1827" s="4">
        <v>23</v>
      </c>
      <c r="J1827" s="4">
        <v>3</v>
      </c>
      <c r="K1827" s="4">
        <f t="shared" si="302"/>
        <v>0</v>
      </c>
      <c r="L1827" s="4">
        <f t="shared" si="302"/>
        <v>0</v>
      </c>
      <c r="M1827" s="4">
        <f t="shared" si="302"/>
        <v>0</v>
      </c>
      <c r="N1827" s="4">
        <f t="shared" si="302"/>
        <v>0</v>
      </c>
      <c r="O1827" s="4">
        <f t="shared" si="298"/>
        <v>0</v>
      </c>
      <c r="P1827" s="4">
        <f t="shared" si="299"/>
        <v>0</v>
      </c>
      <c r="Q1827" s="4">
        <f t="shared" si="300"/>
        <v>0</v>
      </c>
      <c r="R1827" s="4">
        <f t="shared" si="301"/>
        <v>0</v>
      </c>
      <c r="S1827" s="4">
        <f>IF(AND(VLOOKUP(G1827,Dados!$D:$L,2,0)=VLOOKUP(I1827,Dados!$S:$V,2,0),VLOOKUP(G1827,Dados!$D:$L,3,0)=VLOOKUP(I1827,Dados!$S:$V,3,0)),0,1)</f>
        <v>0</v>
      </c>
      <c r="T1827" s="4">
        <f>IF(AND(VLOOKUP(G1827,Dados!$D:$L,3,0)&lt;=VLOOKUP(H1827,Dados!$X:$AB,2,0),VLOOKUP(G1827,Dados!$D:$L,4,0)&gt;=VLOOKUP(H1827,Dados!$X:$AB,3,0),VLOOKUP(G1827,Dados!$D:$L,4,0)&lt;=VLOOKUP(H1827,Dados!$X:$AB,4,0)),0,1)</f>
        <v>0</v>
      </c>
      <c r="U1827" s="4">
        <f>IF(COUNTIFS(F:F,F1827,H:H,H1827)&lt;=VLOOKUP(H1827,Dados!$X:$AB,5,0),0,1)</f>
        <v>0</v>
      </c>
    </row>
    <row r="1828" spans="6:21">
      <c r="F1828" s="4">
        <v>849</v>
      </c>
      <c r="G1828" s="4">
        <v>67</v>
      </c>
      <c r="H1828" s="4">
        <v>2</v>
      </c>
      <c r="I1828" s="4">
        <v>23</v>
      </c>
      <c r="J1828" s="4">
        <v>1</v>
      </c>
      <c r="K1828" s="4">
        <f t="shared" si="302"/>
        <v>0</v>
      </c>
      <c r="L1828" s="4">
        <f t="shared" si="302"/>
        <v>0</v>
      </c>
      <c r="M1828" s="4">
        <f t="shared" si="302"/>
        <v>0</v>
      </c>
      <c r="N1828" s="4">
        <f t="shared" si="302"/>
        <v>0</v>
      </c>
      <c r="O1828" s="4">
        <f t="shared" si="298"/>
        <v>0</v>
      </c>
      <c r="P1828" s="4">
        <f t="shared" si="299"/>
        <v>0</v>
      </c>
      <c r="Q1828" s="4">
        <f t="shared" si="300"/>
        <v>0</v>
      </c>
      <c r="R1828" s="4">
        <f t="shared" si="301"/>
        <v>0</v>
      </c>
      <c r="S1828" s="4">
        <f>IF(AND(VLOOKUP(G1828,Dados!$D:$L,2,0)=VLOOKUP(I1828,Dados!$S:$V,2,0),VLOOKUP(G1828,Dados!$D:$L,3,0)=VLOOKUP(I1828,Dados!$S:$V,3,0)),0,1)</f>
        <v>0</v>
      </c>
      <c r="T1828" s="4">
        <f>IF(AND(VLOOKUP(G1828,Dados!$D:$L,3,0)&lt;=VLOOKUP(H1828,Dados!$X:$AB,2,0),VLOOKUP(G1828,Dados!$D:$L,4,0)&gt;=VLOOKUP(H1828,Dados!$X:$AB,3,0),VLOOKUP(G1828,Dados!$D:$L,4,0)&lt;=VLOOKUP(H1828,Dados!$X:$AB,4,0)),0,1)</f>
        <v>0</v>
      </c>
      <c r="U1828" s="4">
        <f>IF(COUNTIFS(F:F,F1828,H:H,H1828)&lt;=VLOOKUP(H1828,Dados!$X:$AB,5,0),0,1)</f>
        <v>0</v>
      </c>
    </row>
    <row r="1829" spans="6:21">
      <c r="F1829" s="4">
        <v>850</v>
      </c>
      <c r="G1829" s="4">
        <v>59</v>
      </c>
      <c r="H1829" s="4">
        <v>3</v>
      </c>
      <c r="I1829" s="4">
        <v>23</v>
      </c>
      <c r="J1829" s="4">
        <v>4</v>
      </c>
      <c r="K1829" s="4">
        <f t="shared" si="302"/>
        <v>0</v>
      </c>
      <c r="L1829" s="4">
        <f t="shared" si="302"/>
        <v>0</v>
      </c>
      <c r="M1829" s="4">
        <f t="shared" si="302"/>
        <v>0</v>
      </c>
      <c r="N1829" s="4">
        <f t="shared" si="302"/>
        <v>0</v>
      </c>
      <c r="O1829" s="4">
        <f t="shared" si="298"/>
        <v>0</v>
      </c>
      <c r="P1829" s="4">
        <f t="shared" si="299"/>
        <v>0</v>
      </c>
      <c r="Q1829" s="4">
        <f t="shared" si="300"/>
        <v>0</v>
      </c>
      <c r="R1829" s="4">
        <f t="shared" si="301"/>
        <v>0</v>
      </c>
      <c r="S1829" s="4">
        <f>IF(AND(VLOOKUP(G1829,Dados!$D:$L,2,0)=VLOOKUP(I1829,Dados!$S:$V,2,0),VLOOKUP(G1829,Dados!$D:$L,3,0)=VLOOKUP(I1829,Dados!$S:$V,3,0)),0,1)</f>
        <v>0</v>
      </c>
      <c r="T1829" s="4">
        <f>IF(AND(VLOOKUP(G1829,Dados!$D:$L,3,0)&lt;=VLOOKUP(H1829,Dados!$X:$AB,2,0),VLOOKUP(G1829,Dados!$D:$L,4,0)&gt;=VLOOKUP(H1829,Dados!$X:$AB,3,0),VLOOKUP(G1829,Dados!$D:$L,4,0)&lt;=VLOOKUP(H1829,Dados!$X:$AB,4,0)),0,1)</f>
        <v>0</v>
      </c>
      <c r="U1829" s="4">
        <f>IF(COUNTIFS(F:F,F1829,H:H,H1829)&lt;=VLOOKUP(H1829,Dados!$X:$AB,5,0),0,1)</f>
        <v>0</v>
      </c>
    </row>
    <row r="1830" spans="6:21">
      <c r="F1830" s="4">
        <v>850</v>
      </c>
      <c r="G1830" s="4">
        <v>66</v>
      </c>
      <c r="H1830" s="4">
        <v>3</v>
      </c>
      <c r="I1830" s="4">
        <v>23</v>
      </c>
      <c r="J1830" s="4">
        <v>3</v>
      </c>
      <c r="K1830" s="4">
        <f t="shared" si="302"/>
        <v>0</v>
      </c>
      <c r="L1830" s="4">
        <f t="shared" si="302"/>
        <v>0</v>
      </c>
      <c r="M1830" s="4">
        <f t="shared" si="302"/>
        <v>0</v>
      </c>
      <c r="N1830" s="4">
        <f t="shared" si="302"/>
        <v>0</v>
      </c>
      <c r="O1830" s="4">
        <f t="shared" si="298"/>
        <v>0</v>
      </c>
      <c r="P1830" s="4">
        <f t="shared" si="299"/>
        <v>0</v>
      </c>
      <c r="Q1830" s="4">
        <f t="shared" si="300"/>
        <v>0</v>
      </c>
      <c r="R1830" s="4">
        <f t="shared" si="301"/>
        <v>0</v>
      </c>
      <c r="S1830" s="4">
        <f>IF(AND(VLOOKUP(G1830,Dados!$D:$L,2,0)=VLOOKUP(I1830,Dados!$S:$V,2,0),VLOOKUP(G1830,Dados!$D:$L,3,0)=VLOOKUP(I1830,Dados!$S:$V,3,0)),0,1)</f>
        <v>0</v>
      </c>
      <c r="T1830" s="4">
        <f>IF(AND(VLOOKUP(G1830,Dados!$D:$L,3,0)&lt;=VLOOKUP(H1830,Dados!$X:$AB,2,0),VLOOKUP(G1830,Dados!$D:$L,4,0)&gt;=VLOOKUP(H1830,Dados!$X:$AB,3,0),VLOOKUP(G1830,Dados!$D:$L,4,0)&lt;=VLOOKUP(H1830,Dados!$X:$AB,4,0)),0,1)</f>
        <v>0</v>
      </c>
      <c r="U1830" s="4">
        <f>IF(COUNTIFS(F:F,F1830,H:H,H1830)&lt;=VLOOKUP(H1830,Dados!$X:$AB,5,0),0,1)</f>
        <v>0</v>
      </c>
    </row>
    <row r="1831" spans="6:21">
      <c r="F1831" s="4">
        <v>850</v>
      </c>
      <c r="G1831" s="4">
        <v>67</v>
      </c>
      <c r="H1831" s="4">
        <v>3</v>
      </c>
      <c r="I1831" s="4">
        <v>23</v>
      </c>
      <c r="J1831" s="4">
        <v>1</v>
      </c>
      <c r="K1831" s="4">
        <f t="shared" si="302"/>
        <v>0</v>
      </c>
      <c r="L1831" s="4">
        <f t="shared" si="302"/>
        <v>0</v>
      </c>
      <c r="M1831" s="4">
        <f t="shared" si="302"/>
        <v>0</v>
      </c>
      <c r="N1831" s="4">
        <f t="shared" si="302"/>
        <v>0</v>
      </c>
      <c r="O1831" s="4">
        <f t="shared" ref="O1831:O1894" si="303">$J1831*K1831</f>
        <v>0</v>
      </c>
      <c r="P1831" s="4">
        <f t="shared" ref="P1831:P1894" si="304">$J1831*L1831</f>
        <v>0</v>
      </c>
      <c r="Q1831" s="4">
        <f t="shared" ref="Q1831:Q1894" si="305">$J1831*M1831</f>
        <v>0</v>
      </c>
      <c r="R1831" s="4">
        <f t="shared" ref="R1831:R1894" si="306">$J1831*N1831</f>
        <v>0</v>
      </c>
      <c r="S1831" s="4">
        <f>IF(AND(VLOOKUP(G1831,Dados!$D:$L,2,0)=VLOOKUP(I1831,Dados!$S:$V,2,0),VLOOKUP(G1831,Dados!$D:$L,3,0)=VLOOKUP(I1831,Dados!$S:$V,3,0)),0,1)</f>
        <v>0</v>
      </c>
      <c r="T1831" s="4">
        <f>IF(AND(VLOOKUP(G1831,Dados!$D:$L,3,0)&lt;=VLOOKUP(H1831,Dados!$X:$AB,2,0),VLOOKUP(G1831,Dados!$D:$L,4,0)&gt;=VLOOKUP(H1831,Dados!$X:$AB,3,0),VLOOKUP(G1831,Dados!$D:$L,4,0)&lt;=VLOOKUP(H1831,Dados!$X:$AB,4,0)),0,1)</f>
        <v>0</v>
      </c>
      <c r="U1831" s="4">
        <f>IF(COUNTIFS(F:F,F1831,H:H,H1831)&lt;=VLOOKUP(H1831,Dados!$X:$AB,5,0),0,1)</f>
        <v>0</v>
      </c>
    </row>
    <row r="1832" spans="6:21">
      <c r="F1832" s="4">
        <v>851</v>
      </c>
      <c r="G1832" s="4">
        <v>59</v>
      </c>
      <c r="H1832" s="4">
        <v>1</v>
      </c>
      <c r="I1832" s="4">
        <v>24</v>
      </c>
      <c r="J1832" s="4">
        <v>5</v>
      </c>
      <c r="K1832" s="4">
        <f t="shared" si="302"/>
        <v>0</v>
      </c>
      <c r="L1832" s="4">
        <f t="shared" si="302"/>
        <v>0</v>
      </c>
      <c r="M1832" s="4">
        <f t="shared" si="302"/>
        <v>0</v>
      </c>
      <c r="N1832" s="4">
        <f t="shared" si="302"/>
        <v>0</v>
      </c>
      <c r="O1832" s="4">
        <f t="shared" si="303"/>
        <v>0</v>
      </c>
      <c r="P1832" s="4">
        <f t="shared" si="304"/>
        <v>0</v>
      </c>
      <c r="Q1832" s="4">
        <f t="shared" si="305"/>
        <v>0</v>
      </c>
      <c r="R1832" s="4">
        <f t="shared" si="306"/>
        <v>0</v>
      </c>
      <c r="S1832" s="4">
        <f>IF(AND(VLOOKUP(G1832,Dados!$D:$L,2,0)=VLOOKUP(I1832,Dados!$S:$V,2,0),VLOOKUP(G1832,Dados!$D:$L,3,0)=VLOOKUP(I1832,Dados!$S:$V,3,0)),0,1)</f>
        <v>0</v>
      </c>
      <c r="T1832" s="4">
        <f>IF(AND(VLOOKUP(G1832,Dados!$D:$L,3,0)&lt;=VLOOKUP(H1832,Dados!$X:$AB,2,0),VLOOKUP(G1832,Dados!$D:$L,4,0)&gt;=VLOOKUP(H1832,Dados!$X:$AB,3,0),VLOOKUP(G1832,Dados!$D:$L,4,0)&lt;=VLOOKUP(H1832,Dados!$X:$AB,4,0)),0,1)</f>
        <v>0</v>
      </c>
      <c r="U1832" s="4">
        <f>IF(COUNTIFS(F:F,F1832,H:H,H1832)&lt;=VLOOKUP(H1832,Dados!$X:$AB,5,0),0,1)</f>
        <v>0</v>
      </c>
    </row>
    <row r="1833" spans="6:21">
      <c r="F1833" s="4">
        <v>851</v>
      </c>
      <c r="G1833" s="4">
        <v>66</v>
      </c>
      <c r="H1833" s="4">
        <v>1</v>
      </c>
      <c r="I1833" s="4">
        <v>24</v>
      </c>
      <c r="J1833" s="4">
        <v>2</v>
      </c>
      <c r="K1833" s="4">
        <f t="shared" si="302"/>
        <v>0</v>
      </c>
      <c r="L1833" s="4">
        <f t="shared" si="302"/>
        <v>0</v>
      </c>
      <c r="M1833" s="4">
        <f t="shared" si="302"/>
        <v>0</v>
      </c>
      <c r="N1833" s="4">
        <f t="shared" si="302"/>
        <v>0</v>
      </c>
      <c r="O1833" s="4">
        <f t="shared" si="303"/>
        <v>0</v>
      </c>
      <c r="P1833" s="4">
        <f t="shared" si="304"/>
        <v>0</v>
      </c>
      <c r="Q1833" s="4">
        <f t="shared" si="305"/>
        <v>0</v>
      </c>
      <c r="R1833" s="4">
        <f t="shared" si="306"/>
        <v>0</v>
      </c>
      <c r="S1833" s="4">
        <f>IF(AND(VLOOKUP(G1833,Dados!$D:$L,2,0)=VLOOKUP(I1833,Dados!$S:$V,2,0),VLOOKUP(G1833,Dados!$D:$L,3,0)=VLOOKUP(I1833,Dados!$S:$V,3,0)),0,1)</f>
        <v>0</v>
      </c>
      <c r="T1833" s="4">
        <f>IF(AND(VLOOKUP(G1833,Dados!$D:$L,3,0)&lt;=VLOOKUP(H1833,Dados!$X:$AB,2,0),VLOOKUP(G1833,Dados!$D:$L,4,0)&gt;=VLOOKUP(H1833,Dados!$X:$AB,3,0),VLOOKUP(G1833,Dados!$D:$L,4,0)&lt;=VLOOKUP(H1833,Dados!$X:$AB,4,0)),0,1)</f>
        <v>0</v>
      </c>
      <c r="U1833" s="4">
        <f>IF(COUNTIFS(F:F,F1833,H:H,H1833)&lt;=VLOOKUP(H1833,Dados!$X:$AB,5,0),0,1)</f>
        <v>0</v>
      </c>
    </row>
    <row r="1834" spans="6:21">
      <c r="F1834" s="4">
        <v>851</v>
      </c>
      <c r="G1834" s="4">
        <v>67</v>
      </c>
      <c r="H1834" s="4">
        <v>1</v>
      </c>
      <c r="I1834" s="4">
        <v>24</v>
      </c>
      <c r="J1834" s="4">
        <v>1</v>
      </c>
      <c r="K1834" s="4">
        <f t="shared" si="302"/>
        <v>0</v>
      </c>
      <c r="L1834" s="4">
        <f t="shared" si="302"/>
        <v>0</v>
      </c>
      <c r="M1834" s="4">
        <f t="shared" si="302"/>
        <v>0</v>
      </c>
      <c r="N1834" s="4">
        <f t="shared" si="302"/>
        <v>0</v>
      </c>
      <c r="O1834" s="4">
        <f t="shared" si="303"/>
        <v>0</v>
      </c>
      <c r="P1834" s="4">
        <f t="shared" si="304"/>
        <v>0</v>
      </c>
      <c r="Q1834" s="4">
        <f t="shared" si="305"/>
        <v>0</v>
      </c>
      <c r="R1834" s="4">
        <f t="shared" si="306"/>
        <v>0</v>
      </c>
      <c r="S1834" s="4">
        <f>IF(AND(VLOOKUP(G1834,Dados!$D:$L,2,0)=VLOOKUP(I1834,Dados!$S:$V,2,0),VLOOKUP(G1834,Dados!$D:$L,3,0)=VLOOKUP(I1834,Dados!$S:$V,3,0)),0,1)</f>
        <v>0</v>
      </c>
      <c r="T1834" s="4">
        <f>IF(AND(VLOOKUP(G1834,Dados!$D:$L,3,0)&lt;=VLOOKUP(H1834,Dados!$X:$AB,2,0),VLOOKUP(G1834,Dados!$D:$L,4,0)&gt;=VLOOKUP(H1834,Dados!$X:$AB,3,0),VLOOKUP(G1834,Dados!$D:$L,4,0)&lt;=VLOOKUP(H1834,Dados!$X:$AB,4,0)),0,1)</f>
        <v>0</v>
      </c>
      <c r="U1834" s="4">
        <f>IF(COUNTIFS(F:F,F1834,H:H,H1834)&lt;=VLOOKUP(H1834,Dados!$X:$AB,5,0),0,1)</f>
        <v>0</v>
      </c>
    </row>
    <row r="1835" spans="6:21">
      <c r="F1835" s="4">
        <v>852</v>
      </c>
      <c r="G1835" s="4">
        <v>59</v>
      </c>
      <c r="H1835" s="4">
        <v>2</v>
      </c>
      <c r="I1835" s="4">
        <v>24</v>
      </c>
      <c r="J1835" s="4">
        <v>5</v>
      </c>
      <c r="K1835" s="4">
        <f t="shared" si="302"/>
        <v>0</v>
      </c>
      <c r="L1835" s="4">
        <f t="shared" si="302"/>
        <v>0</v>
      </c>
      <c r="M1835" s="4">
        <f t="shared" si="302"/>
        <v>0</v>
      </c>
      <c r="N1835" s="4">
        <f t="shared" si="302"/>
        <v>0</v>
      </c>
      <c r="O1835" s="4">
        <f t="shared" si="303"/>
        <v>0</v>
      </c>
      <c r="P1835" s="4">
        <f t="shared" si="304"/>
        <v>0</v>
      </c>
      <c r="Q1835" s="4">
        <f t="shared" si="305"/>
        <v>0</v>
      </c>
      <c r="R1835" s="4">
        <f t="shared" si="306"/>
        <v>0</v>
      </c>
      <c r="S1835" s="4">
        <f>IF(AND(VLOOKUP(G1835,Dados!$D:$L,2,0)=VLOOKUP(I1835,Dados!$S:$V,2,0),VLOOKUP(G1835,Dados!$D:$L,3,0)=VLOOKUP(I1835,Dados!$S:$V,3,0)),0,1)</f>
        <v>0</v>
      </c>
      <c r="T1835" s="4">
        <f>IF(AND(VLOOKUP(G1835,Dados!$D:$L,3,0)&lt;=VLOOKUP(H1835,Dados!$X:$AB,2,0),VLOOKUP(G1835,Dados!$D:$L,4,0)&gt;=VLOOKUP(H1835,Dados!$X:$AB,3,0),VLOOKUP(G1835,Dados!$D:$L,4,0)&lt;=VLOOKUP(H1835,Dados!$X:$AB,4,0)),0,1)</f>
        <v>0</v>
      </c>
      <c r="U1835" s="4">
        <f>IF(COUNTIFS(F:F,F1835,H:H,H1835)&lt;=VLOOKUP(H1835,Dados!$X:$AB,5,0),0,1)</f>
        <v>0</v>
      </c>
    </row>
    <row r="1836" spans="6:21">
      <c r="F1836" s="4">
        <v>852</v>
      </c>
      <c r="G1836" s="4">
        <v>66</v>
      </c>
      <c r="H1836" s="4">
        <v>2</v>
      </c>
      <c r="I1836" s="4">
        <v>24</v>
      </c>
      <c r="J1836" s="4">
        <v>2</v>
      </c>
      <c r="K1836" s="4">
        <f t="shared" si="302"/>
        <v>0</v>
      </c>
      <c r="L1836" s="4">
        <f t="shared" si="302"/>
        <v>0</v>
      </c>
      <c r="M1836" s="4">
        <f t="shared" si="302"/>
        <v>0</v>
      </c>
      <c r="N1836" s="4">
        <f t="shared" si="302"/>
        <v>0</v>
      </c>
      <c r="O1836" s="4">
        <f t="shared" si="303"/>
        <v>0</v>
      </c>
      <c r="P1836" s="4">
        <f t="shared" si="304"/>
        <v>0</v>
      </c>
      <c r="Q1836" s="4">
        <f t="shared" si="305"/>
        <v>0</v>
      </c>
      <c r="R1836" s="4">
        <f t="shared" si="306"/>
        <v>0</v>
      </c>
      <c r="S1836" s="4">
        <f>IF(AND(VLOOKUP(G1836,Dados!$D:$L,2,0)=VLOOKUP(I1836,Dados!$S:$V,2,0),VLOOKUP(G1836,Dados!$D:$L,3,0)=VLOOKUP(I1836,Dados!$S:$V,3,0)),0,1)</f>
        <v>0</v>
      </c>
      <c r="T1836" s="4">
        <f>IF(AND(VLOOKUP(G1836,Dados!$D:$L,3,0)&lt;=VLOOKUP(H1836,Dados!$X:$AB,2,0),VLOOKUP(G1836,Dados!$D:$L,4,0)&gt;=VLOOKUP(H1836,Dados!$X:$AB,3,0),VLOOKUP(G1836,Dados!$D:$L,4,0)&lt;=VLOOKUP(H1836,Dados!$X:$AB,4,0)),0,1)</f>
        <v>0</v>
      </c>
      <c r="U1836" s="4">
        <f>IF(COUNTIFS(F:F,F1836,H:H,H1836)&lt;=VLOOKUP(H1836,Dados!$X:$AB,5,0),0,1)</f>
        <v>0</v>
      </c>
    </row>
    <row r="1837" spans="6:21">
      <c r="F1837" s="4">
        <v>852</v>
      </c>
      <c r="G1837" s="4">
        <v>67</v>
      </c>
      <c r="H1837" s="4">
        <v>2</v>
      </c>
      <c r="I1837" s="4">
        <v>24</v>
      </c>
      <c r="J1837" s="4">
        <v>1</v>
      </c>
      <c r="K1837" s="4">
        <f t="shared" si="302"/>
        <v>0</v>
      </c>
      <c r="L1837" s="4">
        <f t="shared" si="302"/>
        <v>0</v>
      </c>
      <c r="M1837" s="4">
        <f t="shared" si="302"/>
        <v>0</v>
      </c>
      <c r="N1837" s="4">
        <f t="shared" si="302"/>
        <v>0</v>
      </c>
      <c r="O1837" s="4">
        <f t="shared" si="303"/>
        <v>0</v>
      </c>
      <c r="P1837" s="4">
        <f t="shared" si="304"/>
        <v>0</v>
      </c>
      <c r="Q1837" s="4">
        <f t="shared" si="305"/>
        <v>0</v>
      </c>
      <c r="R1837" s="4">
        <f t="shared" si="306"/>
        <v>0</v>
      </c>
      <c r="S1837" s="4">
        <f>IF(AND(VLOOKUP(G1837,Dados!$D:$L,2,0)=VLOOKUP(I1837,Dados!$S:$V,2,0),VLOOKUP(G1837,Dados!$D:$L,3,0)=VLOOKUP(I1837,Dados!$S:$V,3,0)),0,1)</f>
        <v>0</v>
      </c>
      <c r="T1837" s="4">
        <f>IF(AND(VLOOKUP(G1837,Dados!$D:$L,3,0)&lt;=VLOOKUP(H1837,Dados!$X:$AB,2,0),VLOOKUP(G1837,Dados!$D:$L,4,0)&gt;=VLOOKUP(H1837,Dados!$X:$AB,3,0),VLOOKUP(G1837,Dados!$D:$L,4,0)&lt;=VLOOKUP(H1837,Dados!$X:$AB,4,0)),0,1)</f>
        <v>0</v>
      </c>
      <c r="U1837" s="4">
        <f>IF(COUNTIFS(F:F,F1837,H:H,H1837)&lt;=VLOOKUP(H1837,Dados!$X:$AB,5,0),0,1)</f>
        <v>0</v>
      </c>
    </row>
    <row r="1838" spans="6:21">
      <c r="F1838" s="4">
        <v>853</v>
      </c>
      <c r="G1838" s="4">
        <v>59</v>
      </c>
      <c r="H1838" s="4">
        <v>3</v>
      </c>
      <c r="I1838" s="4">
        <v>24</v>
      </c>
      <c r="J1838" s="4">
        <v>5</v>
      </c>
      <c r="K1838" s="4">
        <f t="shared" si="302"/>
        <v>0</v>
      </c>
      <c r="L1838" s="4">
        <f t="shared" si="302"/>
        <v>0</v>
      </c>
      <c r="M1838" s="4">
        <f t="shared" si="302"/>
        <v>0</v>
      </c>
      <c r="N1838" s="4">
        <f t="shared" si="302"/>
        <v>0</v>
      </c>
      <c r="O1838" s="4">
        <f t="shared" si="303"/>
        <v>0</v>
      </c>
      <c r="P1838" s="4">
        <f t="shared" si="304"/>
        <v>0</v>
      </c>
      <c r="Q1838" s="4">
        <f t="shared" si="305"/>
        <v>0</v>
      </c>
      <c r="R1838" s="4">
        <f t="shared" si="306"/>
        <v>0</v>
      </c>
      <c r="S1838" s="4">
        <f>IF(AND(VLOOKUP(G1838,Dados!$D:$L,2,0)=VLOOKUP(I1838,Dados!$S:$V,2,0),VLOOKUP(G1838,Dados!$D:$L,3,0)=VLOOKUP(I1838,Dados!$S:$V,3,0)),0,1)</f>
        <v>0</v>
      </c>
      <c r="T1838" s="4">
        <f>IF(AND(VLOOKUP(G1838,Dados!$D:$L,3,0)&lt;=VLOOKUP(H1838,Dados!$X:$AB,2,0),VLOOKUP(G1838,Dados!$D:$L,4,0)&gt;=VLOOKUP(H1838,Dados!$X:$AB,3,0),VLOOKUP(G1838,Dados!$D:$L,4,0)&lt;=VLOOKUP(H1838,Dados!$X:$AB,4,0)),0,1)</f>
        <v>0</v>
      </c>
      <c r="U1838" s="4">
        <f>IF(COUNTIFS(F:F,F1838,H:H,H1838)&lt;=VLOOKUP(H1838,Dados!$X:$AB,5,0),0,1)</f>
        <v>0</v>
      </c>
    </row>
    <row r="1839" spans="6:21">
      <c r="F1839" s="4">
        <v>853</v>
      </c>
      <c r="G1839" s="4">
        <v>66</v>
      </c>
      <c r="H1839" s="4">
        <v>3</v>
      </c>
      <c r="I1839" s="4">
        <v>24</v>
      </c>
      <c r="J1839" s="4">
        <v>2</v>
      </c>
      <c r="K1839" s="4">
        <f t="shared" si="302"/>
        <v>0</v>
      </c>
      <c r="L1839" s="4">
        <f t="shared" si="302"/>
        <v>0</v>
      </c>
      <c r="M1839" s="4">
        <f t="shared" si="302"/>
        <v>0</v>
      </c>
      <c r="N1839" s="4">
        <f t="shared" si="302"/>
        <v>0</v>
      </c>
      <c r="O1839" s="4">
        <f t="shared" si="303"/>
        <v>0</v>
      </c>
      <c r="P1839" s="4">
        <f t="shared" si="304"/>
        <v>0</v>
      </c>
      <c r="Q1839" s="4">
        <f t="shared" si="305"/>
        <v>0</v>
      </c>
      <c r="R1839" s="4">
        <f t="shared" si="306"/>
        <v>0</v>
      </c>
      <c r="S1839" s="4">
        <f>IF(AND(VLOOKUP(G1839,Dados!$D:$L,2,0)=VLOOKUP(I1839,Dados!$S:$V,2,0),VLOOKUP(G1839,Dados!$D:$L,3,0)=VLOOKUP(I1839,Dados!$S:$V,3,0)),0,1)</f>
        <v>0</v>
      </c>
      <c r="T1839" s="4">
        <f>IF(AND(VLOOKUP(G1839,Dados!$D:$L,3,0)&lt;=VLOOKUP(H1839,Dados!$X:$AB,2,0),VLOOKUP(G1839,Dados!$D:$L,4,0)&gt;=VLOOKUP(H1839,Dados!$X:$AB,3,0),VLOOKUP(G1839,Dados!$D:$L,4,0)&lt;=VLOOKUP(H1839,Dados!$X:$AB,4,0)),0,1)</f>
        <v>0</v>
      </c>
      <c r="U1839" s="4">
        <f>IF(COUNTIFS(F:F,F1839,H:H,H1839)&lt;=VLOOKUP(H1839,Dados!$X:$AB,5,0),0,1)</f>
        <v>0</v>
      </c>
    </row>
    <row r="1840" spans="6:21">
      <c r="F1840" s="4">
        <v>853</v>
      </c>
      <c r="G1840" s="4">
        <v>67</v>
      </c>
      <c r="H1840" s="4">
        <v>3</v>
      </c>
      <c r="I1840" s="4">
        <v>24</v>
      </c>
      <c r="J1840" s="4">
        <v>1</v>
      </c>
      <c r="K1840" s="4">
        <f t="shared" si="302"/>
        <v>0</v>
      </c>
      <c r="L1840" s="4">
        <f t="shared" si="302"/>
        <v>0</v>
      </c>
      <c r="M1840" s="4">
        <f t="shared" si="302"/>
        <v>0</v>
      </c>
      <c r="N1840" s="4">
        <f t="shared" si="302"/>
        <v>0</v>
      </c>
      <c r="O1840" s="4">
        <f t="shared" si="303"/>
        <v>0</v>
      </c>
      <c r="P1840" s="4">
        <f t="shared" si="304"/>
        <v>0</v>
      </c>
      <c r="Q1840" s="4">
        <f t="shared" si="305"/>
        <v>0</v>
      </c>
      <c r="R1840" s="4">
        <f t="shared" si="306"/>
        <v>0</v>
      </c>
      <c r="S1840" s="4">
        <f>IF(AND(VLOOKUP(G1840,Dados!$D:$L,2,0)=VLOOKUP(I1840,Dados!$S:$V,2,0),VLOOKUP(G1840,Dados!$D:$L,3,0)=VLOOKUP(I1840,Dados!$S:$V,3,0)),0,1)</f>
        <v>0</v>
      </c>
      <c r="T1840" s="4">
        <f>IF(AND(VLOOKUP(G1840,Dados!$D:$L,3,0)&lt;=VLOOKUP(H1840,Dados!$X:$AB,2,0),VLOOKUP(G1840,Dados!$D:$L,4,0)&gt;=VLOOKUP(H1840,Dados!$X:$AB,3,0),VLOOKUP(G1840,Dados!$D:$L,4,0)&lt;=VLOOKUP(H1840,Dados!$X:$AB,4,0)),0,1)</f>
        <v>0</v>
      </c>
      <c r="U1840" s="4">
        <f>IF(COUNTIFS(F:F,F1840,H:H,H1840)&lt;=VLOOKUP(H1840,Dados!$X:$AB,5,0),0,1)</f>
        <v>0</v>
      </c>
    </row>
    <row r="1841" spans="6:21">
      <c r="F1841" s="4">
        <v>854</v>
      </c>
      <c r="G1841" s="4">
        <v>59</v>
      </c>
      <c r="H1841" s="4">
        <v>1</v>
      </c>
      <c r="I1841" s="4">
        <v>25</v>
      </c>
      <c r="J1841" s="4">
        <v>4</v>
      </c>
      <c r="K1841" s="4">
        <f t="shared" si="302"/>
        <v>0</v>
      </c>
      <c r="L1841" s="4">
        <f t="shared" si="302"/>
        <v>0</v>
      </c>
      <c r="M1841" s="4">
        <f t="shared" si="302"/>
        <v>0</v>
      </c>
      <c r="N1841" s="4">
        <f t="shared" si="302"/>
        <v>0</v>
      </c>
      <c r="O1841" s="4">
        <f t="shared" si="303"/>
        <v>0</v>
      </c>
      <c r="P1841" s="4">
        <f t="shared" si="304"/>
        <v>0</v>
      </c>
      <c r="Q1841" s="4">
        <f t="shared" si="305"/>
        <v>0</v>
      </c>
      <c r="R1841" s="4">
        <f t="shared" si="306"/>
        <v>0</v>
      </c>
      <c r="S1841" s="4">
        <f>IF(AND(VLOOKUP(G1841,Dados!$D:$L,2,0)=VLOOKUP(I1841,Dados!$S:$V,2,0),VLOOKUP(G1841,Dados!$D:$L,3,0)=VLOOKUP(I1841,Dados!$S:$V,3,0)),0,1)</f>
        <v>0</v>
      </c>
      <c r="T1841" s="4">
        <f>IF(AND(VLOOKUP(G1841,Dados!$D:$L,3,0)&lt;=VLOOKUP(H1841,Dados!$X:$AB,2,0),VLOOKUP(G1841,Dados!$D:$L,4,0)&gt;=VLOOKUP(H1841,Dados!$X:$AB,3,0),VLOOKUP(G1841,Dados!$D:$L,4,0)&lt;=VLOOKUP(H1841,Dados!$X:$AB,4,0)),0,1)</f>
        <v>0</v>
      </c>
      <c r="U1841" s="4">
        <f>IF(COUNTIFS(F:F,F1841,H:H,H1841)&lt;=VLOOKUP(H1841,Dados!$X:$AB,5,0),0,1)</f>
        <v>0</v>
      </c>
    </row>
    <row r="1842" spans="6:21">
      <c r="F1842" s="4">
        <v>854</v>
      </c>
      <c r="G1842" s="4">
        <v>63</v>
      </c>
      <c r="H1842" s="4">
        <v>1</v>
      </c>
      <c r="I1842" s="4">
        <v>25</v>
      </c>
      <c r="J1842" s="4">
        <v>1</v>
      </c>
      <c r="K1842" s="4">
        <f t="shared" si="302"/>
        <v>0</v>
      </c>
      <c r="L1842" s="4">
        <f t="shared" si="302"/>
        <v>0</v>
      </c>
      <c r="M1842" s="4">
        <f t="shared" si="302"/>
        <v>0</v>
      </c>
      <c r="N1842" s="4">
        <f t="shared" si="302"/>
        <v>0</v>
      </c>
      <c r="O1842" s="4">
        <f t="shared" si="303"/>
        <v>0</v>
      </c>
      <c r="P1842" s="4">
        <f t="shared" si="304"/>
        <v>0</v>
      </c>
      <c r="Q1842" s="4">
        <f t="shared" si="305"/>
        <v>0</v>
      </c>
      <c r="R1842" s="4">
        <f t="shared" si="306"/>
        <v>0</v>
      </c>
      <c r="S1842" s="4">
        <f>IF(AND(VLOOKUP(G1842,Dados!$D:$L,2,0)=VLOOKUP(I1842,Dados!$S:$V,2,0),VLOOKUP(G1842,Dados!$D:$L,3,0)=VLOOKUP(I1842,Dados!$S:$V,3,0)),0,1)</f>
        <v>0</v>
      </c>
      <c r="T1842" s="4">
        <f>IF(AND(VLOOKUP(G1842,Dados!$D:$L,3,0)&lt;=VLOOKUP(H1842,Dados!$X:$AB,2,0),VLOOKUP(G1842,Dados!$D:$L,4,0)&gt;=VLOOKUP(H1842,Dados!$X:$AB,3,0),VLOOKUP(G1842,Dados!$D:$L,4,0)&lt;=VLOOKUP(H1842,Dados!$X:$AB,4,0)),0,1)</f>
        <v>0</v>
      </c>
      <c r="U1842" s="4">
        <f>IF(COUNTIFS(F:F,F1842,H:H,H1842)&lt;=VLOOKUP(H1842,Dados!$X:$AB,5,0),0,1)</f>
        <v>0</v>
      </c>
    </row>
    <row r="1843" spans="6:21">
      <c r="F1843" s="4">
        <v>854</v>
      </c>
      <c r="G1843" s="4">
        <v>66</v>
      </c>
      <c r="H1843" s="4">
        <v>1</v>
      </c>
      <c r="I1843" s="4">
        <v>25</v>
      </c>
      <c r="J1843" s="4">
        <v>4</v>
      </c>
      <c r="K1843" s="4">
        <f t="shared" si="302"/>
        <v>0</v>
      </c>
      <c r="L1843" s="4">
        <f t="shared" si="302"/>
        <v>0</v>
      </c>
      <c r="M1843" s="4">
        <f t="shared" si="302"/>
        <v>0</v>
      </c>
      <c r="N1843" s="4">
        <f t="shared" si="302"/>
        <v>0</v>
      </c>
      <c r="O1843" s="4">
        <f t="shared" si="303"/>
        <v>0</v>
      </c>
      <c r="P1843" s="4">
        <f t="shared" si="304"/>
        <v>0</v>
      </c>
      <c r="Q1843" s="4">
        <f t="shared" si="305"/>
        <v>0</v>
      </c>
      <c r="R1843" s="4">
        <f t="shared" si="306"/>
        <v>0</v>
      </c>
      <c r="S1843" s="4">
        <f>IF(AND(VLOOKUP(G1843,Dados!$D:$L,2,0)=VLOOKUP(I1843,Dados!$S:$V,2,0),VLOOKUP(G1843,Dados!$D:$L,3,0)=VLOOKUP(I1843,Dados!$S:$V,3,0)),0,1)</f>
        <v>0</v>
      </c>
      <c r="T1843" s="4">
        <f>IF(AND(VLOOKUP(G1843,Dados!$D:$L,3,0)&lt;=VLOOKUP(H1843,Dados!$X:$AB,2,0),VLOOKUP(G1843,Dados!$D:$L,4,0)&gt;=VLOOKUP(H1843,Dados!$X:$AB,3,0),VLOOKUP(G1843,Dados!$D:$L,4,0)&lt;=VLOOKUP(H1843,Dados!$X:$AB,4,0)),0,1)</f>
        <v>0</v>
      </c>
      <c r="U1843" s="4">
        <f>IF(COUNTIFS(F:F,F1843,H:H,H1843)&lt;=VLOOKUP(H1843,Dados!$X:$AB,5,0),0,1)</f>
        <v>0</v>
      </c>
    </row>
    <row r="1844" spans="6:21">
      <c r="F1844" s="4">
        <v>855</v>
      </c>
      <c r="G1844" s="4">
        <v>59</v>
      </c>
      <c r="H1844" s="4">
        <v>2</v>
      </c>
      <c r="I1844" s="4">
        <v>25</v>
      </c>
      <c r="J1844" s="4">
        <v>4</v>
      </c>
      <c r="K1844" s="4">
        <f t="shared" si="302"/>
        <v>0</v>
      </c>
      <c r="L1844" s="4">
        <f t="shared" si="302"/>
        <v>0</v>
      </c>
      <c r="M1844" s="4">
        <f t="shared" si="302"/>
        <v>0</v>
      </c>
      <c r="N1844" s="4">
        <f t="shared" si="302"/>
        <v>0</v>
      </c>
      <c r="O1844" s="4">
        <f t="shared" si="303"/>
        <v>0</v>
      </c>
      <c r="P1844" s="4">
        <f t="shared" si="304"/>
        <v>0</v>
      </c>
      <c r="Q1844" s="4">
        <f t="shared" si="305"/>
        <v>0</v>
      </c>
      <c r="R1844" s="4">
        <f t="shared" si="306"/>
        <v>0</v>
      </c>
      <c r="S1844" s="4">
        <f>IF(AND(VLOOKUP(G1844,Dados!$D:$L,2,0)=VLOOKUP(I1844,Dados!$S:$V,2,0),VLOOKUP(G1844,Dados!$D:$L,3,0)=VLOOKUP(I1844,Dados!$S:$V,3,0)),0,1)</f>
        <v>0</v>
      </c>
      <c r="T1844" s="4">
        <f>IF(AND(VLOOKUP(G1844,Dados!$D:$L,3,0)&lt;=VLOOKUP(H1844,Dados!$X:$AB,2,0),VLOOKUP(G1844,Dados!$D:$L,4,0)&gt;=VLOOKUP(H1844,Dados!$X:$AB,3,0),VLOOKUP(G1844,Dados!$D:$L,4,0)&lt;=VLOOKUP(H1844,Dados!$X:$AB,4,0)),0,1)</f>
        <v>0</v>
      </c>
      <c r="U1844" s="4">
        <f>IF(COUNTIFS(F:F,F1844,H:H,H1844)&lt;=VLOOKUP(H1844,Dados!$X:$AB,5,0),0,1)</f>
        <v>0</v>
      </c>
    </row>
    <row r="1845" spans="6:21">
      <c r="F1845" s="4">
        <v>855</v>
      </c>
      <c r="G1845" s="4">
        <v>63</v>
      </c>
      <c r="H1845" s="4">
        <v>2</v>
      </c>
      <c r="I1845" s="4">
        <v>25</v>
      </c>
      <c r="J1845" s="4">
        <v>1</v>
      </c>
      <c r="K1845" s="4">
        <f t="shared" si="302"/>
        <v>0</v>
      </c>
      <c r="L1845" s="4">
        <f t="shared" si="302"/>
        <v>0</v>
      </c>
      <c r="M1845" s="4">
        <f t="shared" si="302"/>
        <v>0</v>
      </c>
      <c r="N1845" s="4">
        <f t="shared" si="302"/>
        <v>0</v>
      </c>
      <c r="O1845" s="4">
        <f t="shared" si="303"/>
        <v>0</v>
      </c>
      <c r="P1845" s="4">
        <f t="shared" si="304"/>
        <v>0</v>
      </c>
      <c r="Q1845" s="4">
        <f t="shared" si="305"/>
        <v>0</v>
      </c>
      <c r="R1845" s="4">
        <f t="shared" si="306"/>
        <v>0</v>
      </c>
      <c r="S1845" s="4">
        <f>IF(AND(VLOOKUP(G1845,Dados!$D:$L,2,0)=VLOOKUP(I1845,Dados!$S:$V,2,0),VLOOKUP(G1845,Dados!$D:$L,3,0)=VLOOKUP(I1845,Dados!$S:$V,3,0)),0,1)</f>
        <v>0</v>
      </c>
      <c r="T1845" s="4">
        <f>IF(AND(VLOOKUP(G1845,Dados!$D:$L,3,0)&lt;=VLOOKUP(H1845,Dados!$X:$AB,2,0),VLOOKUP(G1845,Dados!$D:$L,4,0)&gt;=VLOOKUP(H1845,Dados!$X:$AB,3,0),VLOOKUP(G1845,Dados!$D:$L,4,0)&lt;=VLOOKUP(H1845,Dados!$X:$AB,4,0)),0,1)</f>
        <v>0</v>
      </c>
      <c r="U1845" s="4">
        <f>IF(COUNTIFS(F:F,F1845,H:H,H1845)&lt;=VLOOKUP(H1845,Dados!$X:$AB,5,0),0,1)</f>
        <v>0</v>
      </c>
    </row>
    <row r="1846" spans="6:21">
      <c r="F1846" s="4">
        <v>855</v>
      </c>
      <c r="G1846" s="4">
        <v>66</v>
      </c>
      <c r="H1846" s="4">
        <v>2</v>
      </c>
      <c r="I1846" s="4">
        <v>25</v>
      </c>
      <c r="J1846" s="4">
        <v>4</v>
      </c>
      <c r="K1846" s="4">
        <f t="shared" si="302"/>
        <v>0</v>
      </c>
      <c r="L1846" s="4">
        <f t="shared" si="302"/>
        <v>0</v>
      </c>
      <c r="M1846" s="4">
        <f t="shared" si="302"/>
        <v>0</v>
      </c>
      <c r="N1846" s="4">
        <f t="shared" si="302"/>
        <v>0</v>
      </c>
      <c r="O1846" s="4">
        <f t="shared" si="303"/>
        <v>0</v>
      </c>
      <c r="P1846" s="4">
        <f t="shared" si="304"/>
        <v>0</v>
      </c>
      <c r="Q1846" s="4">
        <f t="shared" si="305"/>
        <v>0</v>
      </c>
      <c r="R1846" s="4">
        <f t="shared" si="306"/>
        <v>0</v>
      </c>
      <c r="S1846" s="4">
        <f>IF(AND(VLOOKUP(G1846,Dados!$D:$L,2,0)=VLOOKUP(I1846,Dados!$S:$V,2,0),VLOOKUP(G1846,Dados!$D:$L,3,0)=VLOOKUP(I1846,Dados!$S:$V,3,0)),0,1)</f>
        <v>0</v>
      </c>
      <c r="T1846" s="4">
        <f>IF(AND(VLOOKUP(G1846,Dados!$D:$L,3,0)&lt;=VLOOKUP(H1846,Dados!$X:$AB,2,0),VLOOKUP(G1846,Dados!$D:$L,4,0)&gt;=VLOOKUP(H1846,Dados!$X:$AB,3,0),VLOOKUP(G1846,Dados!$D:$L,4,0)&lt;=VLOOKUP(H1846,Dados!$X:$AB,4,0)),0,1)</f>
        <v>0</v>
      </c>
      <c r="U1846" s="4">
        <f>IF(COUNTIFS(F:F,F1846,H:H,H1846)&lt;=VLOOKUP(H1846,Dados!$X:$AB,5,0),0,1)</f>
        <v>0</v>
      </c>
    </row>
    <row r="1847" spans="6:21">
      <c r="F1847" s="4">
        <v>856</v>
      </c>
      <c r="G1847" s="4">
        <v>59</v>
      </c>
      <c r="H1847" s="4">
        <v>3</v>
      </c>
      <c r="I1847" s="4">
        <v>25</v>
      </c>
      <c r="J1847" s="4">
        <v>4</v>
      </c>
      <c r="K1847" s="4">
        <f t="shared" si="302"/>
        <v>0</v>
      </c>
      <c r="L1847" s="4">
        <f t="shared" si="302"/>
        <v>0</v>
      </c>
      <c r="M1847" s="4">
        <f t="shared" si="302"/>
        <v>0</v>
      </c>
      <c r="N1847" s="4">
        <f t="shared" si="302"/>
        <v>0</v>
      </c>
      <c r="O1847" s="4">
        <f t="shared" si="303"/>
        <v>0</v>
      </c>
      <c r="P1847" s="4">
        <f t="shared" si="304"/>
        <v>0</v>
      </c>
      <c r="Q1847" s="4">
        <f t="shared" si="305"/>
        <v>0</v>
      </c>
      <c r="R1847" s="4">
        <f t="shared" si="306"/>
        <v>0</v>
      </c>
      <c r="S1847" s="4">
        <f>IF(AND(VLOOKUP(G1847,Dados!$D:$L,2,0)=VLOOKUP(I1847,Dados!$S:$V,2,0),VLOOKUP(G1847,Dados!$D:$L,3,0)=VLOOKUP(I1847,Dados!$S:$V,3,0)),0,1)</f>
        <v>0</v>
      </c>
      <c r="T1847" s="4">
        <f>IF(AND(VLOOKUP(G1847,Dados!$D:$L,3,0)&lt;=VLOOKUP(H1847,Dados!$X:$AB,2,0),VLOOKUP(G1847,Dados!$D:$L,4,0)&gt;=VLOOKUP(H1847,Dados!$X:$AB,3,0),VLOOKUP(G1847,Dados!$D:$L,4,0)&lt;=VLOOKUP(H1847,Dados!$X:$AB,4,0)),0,1)</f>
        <v>0</v>
      </c>
      <c r="U1847" s="4">
        <f>IF(COUNTIFS(F:F,F1847,H:H,H1847)&lt;=VLOOKUP(H1847,Dados!$X:$AB,5,0),0,1)</f>
        <v>0</v>
      </c>
    </row>
    <row r="1848" spans="6:21">
      <c r="F1848" s="4">
        <v>856</v>
      </c>
      <c r="G1848" s="4">
        <v>63</v>
      </c>
      <c r="H1848" s="4">
        <v>3</v>
      </c>
      <c r="I1848" s="4">
        <v>25</v>
      </c>
      <c r="J1848" s="4">
        <v>1</v>
      </c>
      <c r="K1848" s="4">
        <f t="shared" si="302"/>
        <v>0</v>
      </c>
      <c r="L1848" s="4">
        <f t="shared" si="302"/>
        <v>0</v>
      </c>
      <c r="M1848" s="4">
        <f t="shared" si="302"/>
        <v>0</v>
      </c>
      <c r="N1848" s="4">
        <f t="shared" si="302"/>
        <v>0</v>
      </c>
      <c r="O1848" s="4">
        <f t="shared" si="303"/>
        <v>0</v>
      </c>
      <c r="P1848" s="4">
        <f t="shared" si="304"/>
        <v>0</v>
      </c>
      <c r="Q1848" s="4">
        <f t="shared" si="305"/>
        <v>0</v>
      </c>
      <c r="R1848" s="4">
        <f t="shared" si="306"/>
        <v>0</v>
      </c>
      <c r="S1848" s="4">
        <f>IF(AND(VLOOKUP(G1848,Dados!$D:$L,2,0)=VLOOKUP(I1848,Dados!$S:$V,2,0),VLOOKUP(G1848,Dados!$D:$L,3,0)=VLOOKUP(I1848,Dados!$S:$V,3,0)),0,1)</f>
        <v>0</v>
      </c>
      <c r="T1848" s="4">
        <f>IF(AND(VLOOKUP(G1848,Dados!$D:$L,3,0)&lt;=VLOOKUP(H1848,Dados!$X:$AB,2,0),VLOOKUP(G1848,Dados!$D:$L,4,0)&gt;=VLOOKUP(H1848,Dados!$X:$AB,3,0),VLOOKUP(G1848,Dados!$D:$L,4,0)&lt;=VLOOKUP(H1848,Dados!$X:$AB,4,0)),0,1)</f>
        <v>0</v>
      </c>
      <c r="U1848" s="4">
        <f>IF(COUNTIFS(F:F,F1848,H:H,H1848)&lt;=VLOOKUP(H1848,Dados!$X:$AB,5,0),0,1)</f>
        <v>0</v>
      </c>
    </row>
    <row r="1849" spans="6:21">
      <c r="F1849" s="4">
        <v>856</v>
      </c>
      <c r="G1849" s="4">
        <v>66</v>
      </c>
      <c r="H1849" s="4">
        <v>3</v>
      </c>
      <c r="I1849" s="4">
        <v>25</v>
      </c>
      <c r="J1849" s="4">
        <v>4</v>
      </c>
      <c r="K1849" s="4">
        <f t="shared" si="302"/>
        <v>0</v>
      </c>
      <c r="L1849" s="4">
        <f t="shared" si="302"/>
        <v>0</v>
      </c>
      <c r="M1849" s="4">
        <f t="shared" si="302"/>
        <v>0</v>
      </c>
      <c r="N1849" s="4">
        <f t="shared" si="302"/>
        <v>0</v>
      </c>
      <c r="O1849" s="4">
        <f t="shared" si="303"/>
        <v>0</v>
      </c>
      <c r="P1849" s="4">
        <f t="shared" si="304"/>
        <v>0</v>
      </c>
      <c r="Q1849" s="4">
        <f t="shared" si="305"/>
        <v>0</v>
      </c>
      <c r="R1849" s="4">
        <f t="shared" si="306"/>
        <v>0</v>
      </c>
      <c r="S1849" s="4">
        <f>IF(AND(VLOOKUP(G1849,Dados!$D:$L,2,0)=VLOOKUP(I1849,Dados!$S:$V,2,0),VLOOKUP(G1849,Dados!$D:$L,3,0)=VLOOKUP(I1849,Dados!$S:$V,3,0)),0,1)</f>
        <v>0</v>
      </c>
      <c r="T1849" s="4">
        <f>IF(AND(VLOOKUP(G1849,Dados!$D:$L,3,0)&lt;=VLOOKUP(H1849,Dados!$X:$AB,2,0),VLOOKUP(G1849,Dados!$D:$L,4,0)&gt;=VLOOKUP(H1849,Dados!$X:$AB,3,0),VLOOKUP(G1849,Dados!$D:$L,4,0)&lt;=VLOOKUP(H1849,Dados!$X:$AB,4,0)),0,1)</f>
        <v>0</v>
      </c>
      <c r="U1849" s="4">
        <f>IF(COUNTIFS(F:F,F1849,H:H,H1849)&lt;=VLOOKUP(H1849,Dados!$X:$AB,5,0),0,1)</f>
        <v>0</v>
      </c>
    </row>
    <row r="1850" spans="6:21">
      <c r="F1850" s="4">
        <v>857</v>
      </c>
      <c r="G1850" s="4">
        <v>59</v>
      </c>
      <c r="H1850" s="4">
        <v>1</v>
      </c>
      <c r="I1850" s="4">
        <v>26</v>
      </c>
      <c r="J1850" s="4">
        <v>3</v>
      </c>
      <c r="K1850" s="4">
        <f t="shared" si="302"/>
        <v>0</v>
      </c>
      <c r="L1850" s="4">
        <f t="shared" si="302"/>
        <v>0</v>
      </c>
      <c r="M1850" s="4">
        <f t="shared" si="302"/>
        <v>0</v>
      </c>
      <c r="N1850" s="4">
        <f t="shared" si="302"/>
        <v>0</v>
      </c>
      <c r="O1850" s="4">
        <f t="shared" si="303"/>
        <v>0</v>
      </c>
      <c r="P1850" s="4">
        <f t="shared" si="304"/>
        <v>0</v>
      </c>
      <c r="Q1850" s="4">
        <f t="shared" si="305"/>
        <v>0</v>
      </c>
      <c r="R1850" s="4">
        <f t="shared" si="306"/>
        <v>0</v>
      </c>
      <c r="S1850" s="4">
        <f>IF(AND(VLOOKUP(G1850,Dados!$D:$L,2,0)=VLOOKUP(I1850,Dados!$S:$V,2,0),VLOOKUP(G1850,Dados!$D:$L,3,0)=VLOOKUP(I1850,Dados!$S:$V,3,0)),0,1)</f>
        <v>0</v>
      </c>
      <c r="T1850" s="4">
        <f>IF(AND(VLOOKUP(G1850,Dados!$D:$L,3,0)&lt;=VLOOKUP(H1850,Dados!$X:$AB,2,0),VLOOKUP(G1850,Dados!$D:$L,4,0)&gt;=VLOOKUP(H1850,Dados!$X:$AB,3,0),VLOOKUP(G1850,Dados!$D:$L,4,0)&lt;=VLOOKUP(H1850,Dados!$X:$AB,4,0)),0,1)</f>
        <v>0</v>
      </c>
      <c r="U1850" s="4">
        <f>IF(COUNTIFS(F:F,F1850,H:H,H1850)&lt;=VLOOKUP(H1850,Dados!$X:$AB,5,0),0,1)</f>
        <v>0</v>
      </c>
    </row>
    <row r="1851" spans="6:21">
      <c r="F1851" s="4">
        <v>857</v>
      </c>
      <c r="G1851" s="4">
        <v>63</v>
      </c>
      <c r="H1851" s="4">
        <v>1</v>
      </c>
      <c r="I1851" s="4">
        <v>26</v>
      </c>
      <c r="J1851" s="4">
        <v>1</v>
      </c>
      <c r="K1851" s="4">
        <f t="shared" si="302"/>
        <v>0</v>
      </c>
      <c r="L1851" s="4">
        <f t="shared" si="302"/>
        <v>0</v>
      </c>
      <c r="M1851" s="4">
        <f t="shared" si="302"/>
        <v>0</v>
      </c>
      <c r="N1851" s="4">
        <f t="shared" si="302"/>
        <v>0</v>
      </c>
      <c r="O1851" s="4">
        <f t="shared" si="303"/>
        <v>0</v>
      </c>
      <c r="P1851" s="4">
        <f t="shared" si="304"/>
        <v>0</v>
      </c>
      <c r="Q1851" s="4">
        <f t="shared" si="305"/>
        <v>0</v>
      </c>
      <c r="R1851" s="4">
        <f t="shared" si="306"/>
        <v>0</v>
      </c>
      <c r="S1851" s="4">
        <f>IF(AND(VLOOKUP(G1851,Dados!$D:$L,2,0)=VLOOKUP(I1851,Dados!$S:$V,2,0),VLOOKUP(G1851,Dados!$D:$L,3,0)=VLOOKUP(I1851,Dados!$S:$V,3,0)),0,1)</f>
        <v>0</v>
      </c>
      <c r="T1851" s="4">
        <f>IF(AND(VLOOKUP(G1851,Dados!$D:$L,3,0)&lt;=VLOOKUP(H1851,Dados!$X:$AB,2,0),VLOOKUP(G1851,Dados!$D:$L,4,0)&gt;=VLOOKUP(H1851,Dados!$X:$AB,3,0),VLOOKUP(G1851,Dados!$D:$L,4,0)&lt;=VLOOKUP(H1851,Dados!$X:$AB,4,0)),0,1)</f>
        <v>0</v>
      </c>
      <c r="U1851" s="4">
        <f>IF(COUNTIFS(F:F,F1851,H:H,H1851)&lt;=VLOOKUP(H1851,Dados!$X:$AB,5,0),0,1)</f>
        <v>0</v>
      </c>
    </row>
    <row r="1852" spans="6:21">
      <c r="F1852" s="4">
        <v>857</v>
      </c>
      <c r="G1852" s="4">
        <v>66</v>
      </c>
      <c r="H1852" s="4">
        <v>1</v>
      </c>
      <c r="I1852" s="4">
        <v>26</v>
      </c>
      <c r="J1852" s="4">
        <v>4</v>
      </c>
      <c r="K1852" s="4">
        <f t="shared" si="302"/>
        <v>0</v>
      </c>
      <c r="L1852" s="4">
        <f t="shared" si="302"/>
        <v>0</v>
      </c>
      <c r="M1852" s="4">
        <f t="shared" si="302"/>
        <v>0</v>
      </c>
      <c r="N1852" s="4">
        <f t="shared" si="302"/>
        <v>0</v>
      </c>
      <c r="O1852" s="4">
        <f t="shared" si="303"/>
        <v>0</v>
      </c>
      <c r="P1852" s="4">
        <f t="shared" si="304"/>
        <v>0</v>
      </c>
      <c r="Q1852" s="4">
        <f t="shared" si="305"/>
        <v>0</v>
      </c>
      <c r="R1852" s="4">
        <f t="shared" si="306"/>
        <v>0</v>
      </c>
      <c r="S1852" s="4">
        <f>IF(AND(VLOOKUP(G1852,Dados!$D:$L,2,0)=VLOOKUP(I1852,Dados!$S:$V,2,0),VLOOKUP(G1852,Dados!$D:$L,3,0)=VLOOKUP(I1852,Dados!$S:$V,3,0)),0,1)</f>
        <v>0</v>
      </c>
      <c r="T1852" s="4">
        <f>IF(AND(VLOOKUP(G1852,Dados!$D:$L,3,0)&lt;=VLOOKUP(H1852,Dados!$X:$AB,2,0),VLOOKUP(G1852,Dados!$D:$L,4,0)&gt;=VLOOKUP(H1852,Dados!$X:$AB,3,0),VLOOKUP(G1852,Dados!$D:$L,4,0)&lt;=VLOOKUP(H1852,Dados!$X:$AB,4,0)),0,1)</f>
        <v>0</v>
      </c>
      <c r="U1852" s="4">
        <f>IF(COUNTIFS(F:F,F1852,H:H,H1852)&lt;=VLOOKUP(H1852,Dados!$X:$AB,5,0),0,1)</f>
        <v>0</v>
      </c>
    </row>
    <row r="1853" spans="6:21">
      <c r="F1853" s="4">
        <v>858</v>
      </c>
      <c r="G1853" s="4">
        <v>59</v>
      </c>
      <c r="H1853" s="4">
        <v>2</v>
      </c>
      <c r="I1853" s="4">
        <v>26</v>
      </c>
      <c r="J1853" s="4">
        <v>3</v>
      </c>
      <c r="K1853" s="4">
        <f t="shared" si="302"/>
        <v>0</v>
      </c>
      <c r="L1853" s="4">
        <f t="shared" si="302"/>
        <v>0</v>
      </c>
      <c r="M1853" s="4">
        <f t="shared" si="302"/>
        <v>0</v>
      </c>
      <c r="N1853" s="4">
        <f t="shared" si="302"/>
        <v>0</v>
      </c>
      <c r="O1853" s="4">
        <f t="shared" si="303"/>
        <v>0</v>
      </c>
      <c r="P1853" s="4">
        <f t="shared" si="304"/>
        <v>0</v>
      </c>
      <c r="Q1853" s="4">
        <f t="shared" si="305"/>
        <v>0</v>
      </c>
      <c r="R1853" s="4">
        <f t="shared" si="306"/>
        <v>0</v>
      </c>
      <c r="S1853" s="4">
        <f>IF(AND(VLOOKUP(G1853,Dados!$D:$L,2,0)=VLOOKUP(I1853,Dados!$S:$V,2,0),VLOOKUP(G1853,Dados!$D:$L,3,0)=VLOOKUP(I1853,Dados!$S:$V,3,0)),0,1)</f>
        <v>0</v>
      </c>
      <c r="T1853" s="4">
        <f>IF(AND(VLOOKUP(G1853,Dados!$D:$L,3,0)&lt;=VLOOKUP(H1853,Dados!$X:$AB,2,0),VLOOKUP(G1853,Dados!$D:$L,4,0)&gt;=VLOOKUP(H1853,Dados!$X:$AB,3,0),VLOOKUP(G1853,Dados!$D:$L,4,0)&lt;=VLOOKUP(H1853,Dados!$X:$AB,4,0)),0,1)</f>
        <v>0</v>
      </c>
      <c r="U1853" s="4">
        <f>IF(COUNTIFS(F:F,F1853,H:H,H1853)&lt;=VLOOKUP(H1853,Dados!$X:$AB,5,0),0,1)</f>
        <v>0</v>
      </c>
    </row>
    <row r="1854" spans="6:21">
      <c r="F1854" s="4">
        <v>858</v>
      </c>
      <c r="G1854" s="4">
        <v>63</v>
      </c>
      <c r="H1854" s="4">
        <v>2</v>
      </c>
      <c r="I1854" s="4">
        <v>26</v>
      </c>
      <c r="J1854" s="4">
        <v>1</v>
      </c>
      <c r="K1854" s="4">
        <f t="shared" si="302"/>
        <v>0</v>
      </c>
      <c r="L1854" s="4">
        <f t="shared" si="302"/>
        <v>0</v>
      </c>
      <c r="M1854" s="4">
        <f t="shared" si="302"/>
        <v>0</v>
      </c>
      <c r="N1854" s="4">
        <f t="shared" si="302"/>
        <v>0</v>
      </c>
      <c r="O1854" s="4">
        <f t="shared" si="303"/>
        <v>0</v>
      </c>
      <c r="P1854" s="4">
        <f t="shared" si="304"/>
        <v>0</v>
      </c>
      <c r="Q1854" s="4">
        <f t="shared" si="305"/>
        <v>0</v>
      </c>
      <c r="R1854" s="4">
        <f t="shared" si="306"/>
        <v>0</v>
      </c>
      <c r="S1854" s="4">
        <f>IF(AND(VLOOKUP(G1854,Dados!$D:$L,2,0)=VLOOKUP(I1854,Dados!$S:$V,2,0),VLOOKUP(G1854,Dados!$D:$L,3,0)=VLOOKUP(I1854,Dados!$S:$V,3,0)),0,1)</f>
        <v>0</v>
      </c>
      <c r="T1854" s="4">
        <f>IF(AND(VLOOKUP(G1854,Dados!$D:$L,3,0)&lt;=VLOOKUP(H1854,Dados!$X:$AB,2,0),VLOOKUP(G1854,Dados!$D:$L,4,0)&gt;=VLOOKUP(H1854,Dados!$X:$AB,3,0),VLOOKUP(G1854,Dados!$D:$L,4,0)&lt;=VLOOKUP(H1854,Dados!$X:$AB,4,0)),0,1)</f>
        <v>0</v>
      </c>
      <c r="U1854" s="4">
        <f>IF(COUNTIFS(F:F,F1854,H:H,H1854)&lt;=VLOOKUP(H1854,Dados!$X:$AB,5,0),0,1)</f>
        <v>0</v>
      </c>
    </row>
    <row r="1855" spans="6:21">
      <c r="F1855" s="4">
        <v>858</v>
      </c>
      <c r="G1855" s="4">
        <v>66</v>
      </c>
      <c r="H1855" s="4">
        <v>2</v>
      </c>
      <c r="I1855" s="4">
        <v>26</v>
      </c>
      <c r="J1855" s="4">
        <v>4</v>
      </c>
      <c r="K1855" s="4">
        <f t="shared" si="302"/>
        <v>0</v>
      </c>
      <c r="L1855" s="4">
        <f t="shared" si="302"/>
        <v>0</v>
      </c>
      <c r="M1855" s="4">
        <f t="shared" si="302"/>
        <v>0</v>
      </c>
      <c r="N1855" s="4">
        <f t="shared" si="302"/>
        <v>0</v>
      </c>
      <c r="O1855" s="4">
        <f t="shared" si="303"/>
        <v>0</v>
      </c>
      <c r="P1855" s="4">
        <f t="shared" si="304"/>
        <v>0</v>
      </c>
      <c r="Q1855" s="4">
        <f t="shared" si="305"/>
        <v>0</v>
      </c>
      <c r="R1855" s="4">
        <f t="shared" si="306"/>
        <v>0</v>
      </c>
      <c r="S1855" s="4">
        <f>IF(AND(VLOOKUP(G1855,Dados!$D:$L,2,0)=VLOOKUP(I1855,Dados!$S:$V,2,0),VLOOKUP(G1855,Dados!$D:$L,3,0)=VLOOKUP(I1855,Dados!$S:$V,3,0)),0,1)</f>
        <v>0</v>
      </c>
      <c r="T1855" s="4">
        <f>IF(AND(VLOOKUP(G1855,Dados!$D:$L,3,0)&lt;=VLOOKUP(H1855,Dados!$X:$AB,2,0),VLOOKUP(G1855,Dados!$D:$L,4,0)&gt;=VLOOKUP(H1855,Dados!$X:$AB,3,0),VLOOKUP(G1855,Dados!$D:$L,4,0)&lt;=VLOOKUP(H1855,Dados!$X:$AB,4,0)),0,1)</f>
        <v>0</v>
      </c>
      <c r="U1855" s="4">
        <f>IF(COUNTIFS(F:F,F1855,H:H,H1855)&lt;=VLOOKUP(H1855,Dados!$X:$AB,5,0),0,1)</f>
        <v>0</v>
      </c>
    </row>
    <row r="1856" spans="6:21">
      <c r="F1856" s="4">
        <v>859</v>
      </c>
      <c r="G1856" s="4">
        <v>62</v>
      </c>
      <c r="H1856" s="4">
        <v>3</v>
      </c>
      <c r="I1856" s="4">
        <v>26</v>
      </c>
      <c r="J1856" s="4">
        <v>2</v>
      </c>
      <c r="K1856" s="4">
        <f t="shared" si="302"/>
        <v>0</v>
      </c>
      <c r="L1856" s="4">
        <f t="shared" si="302"/>
        <v>0</v>
      </c>
      <c r="M1856" s="4">
        <f t="shared" si="302"/>
        <v>0</v>
      </c>
      <c r="N1856" s="4">
        <f t="shared" si="302"/>
        <v>0</v>
      </c>
      <c r="O1856" s="4">
        <f t="shared" si="303"/>
        <v>0</v>
      </c>
      <c r="P1856" s="4">
        <f t="shared" si="304"/>
        <v>0</v>
      </c>
      <c r="Q1856" s="4">
        <f t="shared" si="305"/>
        <v>0</v>
      </c>
      <c r="R1856" s="4">
        <f t="shared" si="306"/>
        <v>0</v>
      </c>
      <c r="S1856" s="4">
        <f>IF(AND(VLOOKUP(G1856,Dados!$D:$L,2,0)=VLOOKUP(I1856,Dados!$S:$V,2,0),VLOOKUP(G1856,Dados!$D:$L,3,0)=VLOOKUP(I1856,Dados!$S:$V,3,0)),0,1)</f>
        <v>0</v>
      </c>
      <c r="T1856" s="4">
        <f>IF(AND(VLOOKUP(G1856,Dados!$D:$L,3,0)&lt;=VLOOKUP(H1856,Dados!$X:$AB,2,0),VLOOKUP(G1856,Dados!$D:$L,4,0)&gt;=VLOOKUP(H1856,Dados!$X:$AB,3,0),VLOOKUP(G1856,Dados!$D:$L,4,0)&lt;=VLOOKUP(H1856,Dados!$X:$AB,4,0)),0,1)</f>
        <v>0</v>
      </c>
      <c r="U1856" s="4">
        <f>IF(COUNTIFS(F:F,F1856,H:H,H1856)&lt;=VLOOKUP(H1856,Dados!$X:$AB,5,0),0,1)</f>
        <v>0</v>
      </c>
    </row>
    <row r="1857" spans="6:21">
      <c r="F1857" s="4">
        <v>859</v>
      </c>
      <c r="G1857" s="4">
        <v>64</v>
      </c>
      <c r="H1857" s="4">
        <v>3</v>
      </c>
      <c r="I1857" s="4">
        <v>26</v>
      </c>
      <c r="J1857" s="4">
        <v>1</v>
      </c>
      <c r="K1857" s="4">
        <f t="shared" si="302"/>
        <v>0</v>
      </c>
      <c r="L1857" s="4">
        <f t="shared" si="302"/>
        <v>0</v>
      </c>
      <c r="M1857" s="4">
        <f t="shared" si="302"/>
        <v>0</v>
      </c>
      <c r="N1857" s="4">
        <f t="shared" si="302"/>
        <v>0</v>
      </c>
      <c r="O1857" s="4">
        <f t="shared" si="303"/>
        <v>0</v>
      </c>
      <c r="P1857" s="4">
        <f t="shared" si="304"/>
        <v>0</v>
      </c>
      <c r="Q1857" s="4">
        <f t="shared" si="305"/>
        <v>0</v>
      </c>
      <c r="R1857" s="4">
        <f t="shared" si="306"/>
        <v>0</v>
      </c>
      <c r="S1857" s="4">
        <f>IF(AND(VLOOKUP(G1857,Dados!$D:$L,2,0)=VLOOKUP(I1857,Dados!$S:$V,2,0),VLOOKUP(G1857,Dados!$D:$L,3,0)=VLOOKUP(I1857,Dados!$S:$V,3,0)),0,1)</f>
        <v>0</v>
      </c>
      <c r="T1857" s="4">
        <f>IF(AND(VLOOKUP(G1857,Dados!$D:$L,3,0)&lt;=VLOOKUP(H1857,Dados!$X:$AB,2,0),VLOOKUP(G1857,Dados!$D:$L,4,0)&gt;=VLOOKUP(H1857,Dados!$X:$AB,3,0),VLOOKUP(G1857,Dados!$D:$L,4,0)&lt;=VLOOKUP(H1857,Dados!$X:$AB,4,0)),0,1)</f>
        <v>0</v>
      </c>
      <c r="U1857" s="4">
        <f>IF(COUNTIFS(F:F,F1857,H:H,H1857)&lt;=VLOOKUP(H1857,Dados!$X:$AB,5,0),0,1)</f>
        <v>0</v>
      </c>
    </row>
    <row r="1858" spans="6:21">
      <c r="F1858" s="4">
        <v>859</v>
      </c>
      <c r="G1858" s="4">
        <v>66</v>
      </c>
      <c r="H1858" s="4">
        <v>3</v>
      </c>
      <c r="I1858" s="4">
        <v>26</v>
      </c>
      <c r="J1858" s="4">
        <v>3</v>
      </c>
      <c r="K1858" s="4">
        <f t="shared" si="302"/>
        <v>0</v>
      </c>
      <c r="L1858" s="4">
        <f t="shared" si="302"/>
        <v>0</v>
      </c>
      <c r="M1858" s="4">
        <f t="shared" si="302"/>
        <v>0</v>
      </c>
      <c r="N1858" s="4">
        <f t="shared" si="302"/>
        <v>0</v>
      </c>
      <c r="O1858" s="4">
        <f t="shared" si="303"/>
        <v>0</v>
      </c>
      <c r="P1858" s="4">
        <f t="shared" si="304"/>
        <v>0</v>
      </c>
      <c r="Q1858" s="4">
        <f t="shared" si="305"/>
        <v>0</v>
      </c>
      <c r="R1858" s="4">
        <f t="shared" si="306"/>
        <v>0</v>
      </c>
      <c r="S1858" s="4">
        <f>IF(AND(VLOOKUP(G1858,Dados!$D:$L,2,0)=VLOOKUP(I1858,Dados!$S:$V,2,0),VLOOKUP(G1858,Dados!$D:$L,3,0)=VLOOKUP(I1858,Dados!$S:$V,3,0)),0,1)</f>
        <v>0</v>
      </c>
      <c r="T1858" s="4">
        <f>IF(AND(VLOOKUP(G1858,Dados!$D:$L,3,0)&lt;=VLOOKUP(H1858,Dados!$X:$AB,2,0),VLOOKUP(G1858,Dados!$D:$L,4,0)&gt;=VLOOKUP(H1858,Dados!$X:$AB,3,0),VLOOKUP(G1858,Dados!$D:$L,4,0)&lt;=VLOOKUP(H1858,Dados!$X:$AB,4,0)),0,1)</f>
        <v>0</v>
      </c>
      <c r="U1858" s="4">
        <f>IF(COUNTIFS(F:F,F1858,H:H,H1858)&lt;=VLOOKUP(H1858,Dados!$X:$AB,5,0),0,1)</f>
        <v>0</v>
      </c>
    </row>
    <row r="1859" spans="6:21">
      <c r="F1859" s="4">
        <v>859</v>
      </c>
      <c r="G1859" s="4">
        <v>67</v>
      </c>
      <c r="H1859" s="4">
        <v>3</v>
      </c>
      <c r="I1859" s="4">
        <v>26</v>
      </c>
      <c r="J1859" s="4">
        <v>1</v>
      </c>
      <c r="K1859" s="4">
        <f t="shared" si="302"/>
        <v>0</v>
      </c>
      <c r="L1859" s="4">
        <f t="shared" si="302"/>
        <v>0</v>
      </c>
      <c r="M1859" s="4">
        <f t="shared" si="302"/>
        <v>0</v>
      </c>
      <c r="N1859" s="4">
        <f t="shared" si="302"/>
        <v>0</v>
      </c>
      <c r="O1859" s="4">
        <f t="shared" si="303"/>
        <v>0</v>
      </c>
      <c r="P1859" s="4">
        <f t="shared" si="304"/>
        <v>0</v>
      </c>
      <c r="Q1859" s="4">
        <f t="shared" si="305"/>
        <v>0</v>
      </c>
      <c r="R1859" s="4">
        <f t="shared" si="306"/>
        <v>0</v>
      </c>
      <c r="S1859" s="4">
        <f>IF(AND(VLOOKUP(G1859,Dados!$D:$L,2,0)=VLOOKUP(I1859,Dados!$S:$V,2,0),VLOOKUP(G1859,Dados!$D:$L,3,0)=VLOOKUP(I1859,Dados!$S:$V,3,0)),0,1)</f>
        <v>0</v>
      </c>
      <c r="T1859" s="4">
        <f>IF(AND(VLOOKUP(G1859,Dados!$D:$L,3,0)&lt;=VLOOKUP(H1859,Dados!$X:$AB,2,0),VLOOKUP(G1859,Dados!$D:$L,4,0)&gt;=VLOOKUP(H1859,Dados!$X:$AB,3,0),VLOOKUP(G1859,Dados!$D:$L,4,0)&lt;=VLOOKUP(H1859,Dados!$X:$AB,4,0)),0,1)</f>
        <v>0</v>
      </c>
      <c r="U1859" s="4">
        <f>IF(COUNTIFS(F:F,F1859,H:H,H1859)&lt;=VLOOKUP(H1859,Dados!$X:$AB,5,0),0,1)</f>
        <v>0</v>
      </c>
    </row>
    <row r="1860" spans="6:21">
      <c r="F1860" s="4">
        <v>860</v>
      </c>
      <c r="G1860" s="4">
        <v>62</v>
      </c>
      <c r="H1860" s="4">
        <v>1</v>
      </c>
      <c r="I1860" s="4">
        <v>27</v>
      </c>
      <c r="J1860" s="4">
        <v>2</v>
      </c>
      <c r="K1860" s="4">
        <f t="shared" si="302"/>
        <v>0</v>
      </c>
      <c r="L1860" s="4">
        <f t="shared" si="302"/>
        <v>0</v>
      </c>
      <c r="M1860" s="4">
        <f t="shared" si="302"/>
        <v>0</v>
      </c>
      <c r="N1860" s="4">
        <f t="shared" si="302"/>
        <v>0</v>
      </c>
      <c r="O1860" s="4">
        <f t="shared" si="303"/>
        <v>0</v>
      </c>
      <c r="P1860" s="4">
        <f t="shared" si="304"/>
        <v>0</v>
      </c>
      <c r="Q1860" s="4">
        <f t="shared" si="305"/>
        <v>0</v>
      </c>
      <c r="R1860" s="4">
        <f t="shared" si="306"/>
        <v>0</v>
      </c>
      <c r="S1860" s="4">
        <f>IF(AND(VLOOKUP(G1860,Dados!$D:$L,2,0)=VLOOKUP(I1860,Dados!$S:$V,2,0),VLOOKUP(G1860,Dados!$D:$L,3,0)=VLOOKUP(I1860,Dados!$S:$V,3,0)),0,1)</f>
        <v>0</v>
      </c>
      <c r="T1860" s="4">
        <f>IF(AND(VLOOKUP(G1860,Dados!$D:$L,3,0)&lt;=VLOOKUP(H1860,Dados!$X:$AB,2,0),VLOOKUP(G1860,Dados!$D:$L,4,0)&gt;=VLOOKUP(H1860,Dados!$X:$AB,3,0),VLOOKUP(G1860,Dados!$D:$L,4,0)&lt;=VLOOKUP(H1860,Dados!$X:$AB,4,0)),0,1)</f>
        <v>0</v>
      </c>
      <c r="U1860" s="4">
        <f>IF(COUNTIFS(F:F,F1860,H:H,H1860)&lt;=VLOOKUP(H1860,Dados!$X:$AB,5,0),0,1)</f>
        <v>0</v>
      </c>
    </row>
    <row r="1861" spans="6:21">
      <c r="F1861" s="4">
        <v>860</v>
      </c>
      <c r="G1861" s="4">
        <v>64</v>
      </c>
      <c r="H1861" s="4">
        <v>1</v>
      </c>
      <c r="I1861" s="4">
        <v>27</v>
      </c>
      <c r="J1861" s="4">
        <v>1</v>
      </c>
      <c r="K1861" s="4">
        <f t="shared" si="302"/>
        <v>0</v>
      </c>
      <c r="L1861" s="4">
        <f t="shared" si="302"/>
        <v>0</v>
      </c>
      <c r="M1861" s="4">
        <f t="shared" si="302"/>
        <v>0</v>
      </c>
      <c r="N1861" s="4">
        <f t="shared" si="302"/>
        <v>0</v>
      </c>
      <c r="O1861" s="4">
        <f t="shared" si="303"/>
        <v>0</v>
      </c>
      <c r="P1861" s="4">
        <f t="shared" si="304"/>
        <v>0</v>
      </c>
      <c r="Q1861" s="4">
        <f t="shared" si="305"/>
        <v>0</v>
      </c>
      <c r="R1861" s="4">
        <f t="shared" si="306"/>
        <v>0</v>
      </c>
      <c r="S1861" s="4">
        <f>IF(AND(VLOOKUP(G1861,Dados!$D:$L,2,0)=VLOOKUP(I1861,Dados!$S:$V,2,0),VLOOKUP(G1861,Dados!$D:$L,3,0)=VLOOKUP(I1861,Dados!$S:$V,3,0)),0,1)</f>
        <v>0</v>
      </c>
      <c r="T1861" s="4">
        <f>IF(AND(VLOOKUP(G1861,Dados!$D:$L,3,0)&lt;=VLOOKUP(H1861,Dados!$X:$AB,2,0),VLOOKUP(G1861,Dados!$D:$L,4,0)&gt;=VLOOKUP(H1861,Dados!$X:$AB,3,0),VLOOKUP(G1861,Dados!$D:$L,4,0)&lt;=VLOOKUP(H1861,Dados!$X:$AB,4,0)),0,1)</f>
        <v>0</v>
      </c>
      <c r="U1861" s="4">
        <f>IF(COUNTIFS(F:F,F1861,H:H,H1861)&lt;=VLOOKUP(H1861,Dados!$X:$AB,5,0),0,1)</f>
        <v>0</v>
      </c>
    </row>
    <row r="1862" spans="6:21">
      <c r="F1862" s="4">
        <v>860</v>
      </c>
      <c r="G1862" s="4">
        <v>66</v>
      </c>
      <c r="H1862" s="4">
        <v>1</v>
      </c>
      <c r="I1862" s="4">
        <v>27</v>
      </c>
      <c r="J1862" s="4">
        <v>5</v>
      </c>
      <c r="K1862" s="4">
        <f t="shared" si="302"/>
        <v>0</v>
      </c>
      <c r="L1862" s="4">
        <f t="shared" si="302"/>
        <v>0</v>
      </c>
      <c r="M1862" s="4">
        <f t="shared" si="302"/>
        <v>0</v>
      </c>
      <c r="N1862" s="4">
        <f t="shared" si="302"/>
        <v>0</v>
      </c>
      <c r="O1862" s="4">
        <f t="shared" si="303"/>
        <v>0</v>
      </c>
      <c r="P1862" s="4">
        <f t="shared" si="304"/>
        <v>0</v>
      </c>
      <c r="Q1862" s="4">
        <f t="shared" si="305"/>
        <v>0</v>
      </c>
      <c r="R1862" s="4">
        <f t="shared" si="306"/>
        <v>0</v>
      </c>
      <c r="S1862" s="4">
        <f>IF(AND(VLOOKUP(G1862,Dados!$D:$L,2,0)=VLOOKUP(I1862,Dados!$S:$V,2,0),VLOOKUP(G1862,Dados!$D:$L,3,0)=VLOOKUP(I1862,Dados!$S:$V,3,0)),0,1)</f>
        <v>0</v>
      </c>
      <c r="T1862" s="4">
        <f>IF(AND(VLOOKUP(G1862,Dados!$D:$L,3,0)&lt;=VLOOKUP(H1862,Dados!$X:$AB,2,0),VLOOKUP(G1862,Dados!$D:$L,4,0)&gt;=VLOOKUP(H1862,Dados!$X:$AB,3,0),VLOOKUP(G1862,Dados!$D:$L,4,0)&lt;=VLOOKUP(H1862,Dados!$X:$AB,4,0)),0,1)</f>
        <v>0</v>
      </c>
      <c r="U1862" s="4">
        <f>IF(COUNTIFS(F:F,F1862,H:H,H1862)&lt;=VLOOKUP(H1862,Dados!$X:$AB,5,0),0,1)</f>
        <v>0</v>
      </c>
    </row>
    <row r="1863" spans="6:21">
      <c r="F1863" s="4">
        <v>861</v>
      </c>
      <c r="G1863" s="4">
        <v>62</v>
      </c>
      <c r="H1863" s="4">
        <v>2</v>
      </c>
      <c r="I1863" s="4">
        <v>27</v>
      </c>
      <c r="J1863" s="4">
        <v>2</v>
      </c>
      <c r="K1863" s="4">
        <f t="shared" si="302"/>
        <v>0</v>
      </c>
      <c r="L1863" s="4">
        <f t="shared" si="302"/>
        <v>0</v>
      </c>
      <c r="M1863" s="4">
        <f t="shared" si="302"/>
        <v>0</v>
      </c>
      <c r="N1863" s="4">
        <f t="shared" si="302"/>
        <v>0</v>
      </c>
      <c r="O1863" s="4">
        <f t="shared" si="303"/>
        <v>0</v>
      </c>
      <c r="P1863" s="4">
        <f t="shared" si="304"/>
        <v>0</v>
      </c>
      <c r="Q1863" s="4">
        <f t="shared" si="305"/>
        <v>0</v>
      </c>
      <c r="R1863" s="4">
        <f t="shared" si="306"/>
        <v>0</v>
      </c>
      <c r="S1863" s="4">
        <f>IF(AND(VLOOKUP(G1863,Dados!$D:$L,2,0)=VLOOKUP(I1863,Dados!$S:$V,2,0),VLOOKUP(G1863,Dados!$D:$L,3,0)=VLOOKUP(I1863,Dados!$S:$V,3,0)),0,1)</f>
        <v>0</v>
      </c>
      <c r="T1863" s="4">
        <f>IF(AND(VLOOKUP(G1863,Dados!$D:$L,3,0)&lt;=VLOOKUP(H1863,Dados!$X:$AB,2,0),VLOOKUP(G1863,Dados!$D:$L,4,0)&gt;=VLOOKUP(H1863,Dados!$X:$AB,3,0),VLOOKUP(G1863,Dados!$D:$L,4,0)&lt;=VLOOKUP(H1863,Dados!$X:$AB,4,0)),0,1)</f>
        <v>0</v>
      </c>
      <c r="U1863" s="4">
        <f>IF(COUNTIFS(F:F,F1863,H:H,H1863)&lt;=VLOOKUP(H1863,Dados!$X:$AB,5,0),0,1)</f>
        <v>0</v>
      </c>
    </row>
    <row r="1864" spans="6:21">
      <c r="F1864" s="4">
        <v>861</v>
      </c>
      <c r="G1864" s="4">
        <v>64</v>
      </c>
      <c r="H1864" s="4">
        <v>2</v>
      </c>
      <c r="I1864" s="4">
        <v>27</v>
      </c>
      <c r="J1864" s="4">
        <v>1</v>
      </c>
      <c r="K1864" s="4">
        <f t="shared" si="302"/>
        <v>0</v>
      </c>
      <c r="L1864" s="4">
        <f t="shared" si="302"/>
        <v>0</v>
      </c>
      <c r="M1864" s="4">
        <f t="shared" si="302"/>
        <v>0</v>
      </c>
      <c r="N1864" s="4">
        <f t="shared" si="302"/>
        <v>0</v>
      </c>
      <c r="O1864" s="4">
        <f t="shared" si="303"/>
        <v>0</v>
      </c>
      <c r="P1864" s="4">
        <f t="shared" si="304"/>
        <v>0</v>
      </c>
      <c r="Q1864" s="4">
        <f t="shared" si="305"/>
        <v>0</v>
      </c>
      <c r="R1864" s="4">
        <f t="shared" si="306"/>
        <v>0</v>
      </c>
      <c r="S1864" s="4">
        <f>IF(AND(VLOOKUP(G1864,Dados!$D:$L,2,0)=VLOOKUP(I1864,Dados!$S:$V,2,0),VLOOKUP(G1864,Dados!$D:$L,3,0)=VLOOKUP(I1864,Dados!$S:$V,3,0)),0,1)</f>
        <v>0</v>
      </c>
      <c r="T1864" s="4">
        <f>IF(AND(VLOOKUP(G1864,Dados!$D:$L,3,0)&lt;=VLOOKUP(H1864,Dados!$X:$AB,2,0),VLOOKUP(G1864,Dados!$D:$L,4,0)&gt;=VLOOKUP(H1864,Dados!$X:$AB,3,0),VLOOKUP(G1864,Dados!$D:$L,4,0)&lt;=VLOOKUP(H1864,Dados!$X:$AB,4,0)),0,1)</f>
        <v>0</v>
      </c>
      <c r="U1864" s="4">
        <f>IF(COUNTIFS(F:F,F1864,H:H,H1864)&lt;=VLOOKUP(H1864,Dados!$X:$AB,5,0),0,1)</f>
        <v>0</v>
      </c>
    </row>
    <row r="1865" spans="6:21">
      <c r="F1865" s="4">
        <v>861</v>
      </c>
      <c r="G1865" s="4">
        <v>66</v>
      </c>
      <c r="H1865" s="4">
        <v>2</v>
      </c>
      <c r="I1865" s="4">
        <v>27</v>
      </c>
      <c r="J1865" s="4">
        <v>5</v>
      </c>
      <c r="K1865" s="4">
        <f t="shared" si="302"/>
        <v>0</v>
      </c>
      <c r="L1865" s="4">
        <f t="shared" si="302"/>
        <v>0</v>
      </c>
      <c r="M1865" s="4">
        <f t="shared" si="302"/>
        <v>0</v>
      </c>
      <c r="N1865" s="4">
        <f t="shared" si="302"/>
        <v>0</v>
      </c>
      <c r="O1865" s="4">
        <f t="shared" si="303"/>
        <v>0</v>
      </c>
      <c r="P1865" s="4">
        <f t="shared" si="304"/>
        <v>0</v>
      </c>
      <c r="Q1865" s="4">
        <f t="shared" si="305"/>
        <v>0</v>
      </c>
      <c r="R1865" s="4">
        <f t="shared" si="306"/>
        <v>0</v>
      </c>
      <c r="S1865" s="4">
        <f>IF(AND(VLOOKUP(G1865,Dados!$D:$L,2,0)=VLOOKUP(I1865,Dados!$S:$V,2,0),VLOOKUP(G1865,Dados!$D:$L,3,0)=VLOOKUP(I1865,Dados!$S:$V,3,0)),0,1)</f>
        <v>0</v>
      </c>
      <c r="T1865" s="4">
        <f>IF(AND(VLOOKUP(G1865,Dados!$D:$L,3,0)&lt;=VLOOKUP(H1865,Dados!$X:$AB,2,0),VLOOKUP(G1865,Dados!$D:$L,4,0)&gt;=VLOOKUP(H1865,Dados!$X:$AB,3,0),VLOOKUP(G1865,Dados!$D:$L,4,0)&lt;=VLOOKUP(H1865,Dados!$X:$AB,4,0)),0,1)</f>
        <v>0</v>
      </c>
      <c r="U1865" s="4">
        <f>IF(COUNTIFS(F:F,F1865,H:H,H1865)&lt;=VLOOKUP(H1865,Dados!$X:$AB,5,0),0,1)</f>
        <v>0</v>
      </c>
    </row>
    <row r="1866" spans="6:21">
      <c r="F1866" s="4">
        <v>862</v>
      </c>
      <c r="G1866" s="4">
        <v>59</v>
      </c>
      <c r="H1866" s="4">
        <v>3</v>
      </c>
      <c r="I1866" s="4">
        <v>27</v>
      </c>
      <c r="J1866" s="4">
        <v>1</v>
      </c>
      <c r="K1866" s="4">
        <f t="shared" si="302"/>
        <v>0</v>
      </c>
      <c r="L1866" s="4">
        <f t="shared" si="302"/>
        <v>0</v>
      </c>
      <c r="M1866" s="4">
        <f t="shared" si="302"/>
        <v>0</v>
      </c>
      <c r="N1866" s="4">
        <f t="shared" si="302"/>
        <v>0</v>
      </c>
      <c r="O1866" s="4">
        <f t="shared" si="303"/>
        <v>0</v>
      </c>
      <c r="P1866" s="4">
        <f t="shared" si="304"/>
        <v>0</v>
      </c>
      <c r="Q1866" s="4">
        <f t="shared" si="305"/>
        <v>0</v>
      </c>
      <c r="R1866" s="4">
        <f t="shared" si="306"/>
        <v>0</v>
      </c>
      <c r="S1866" s="4">
        <f>IF(AND(VLOOKUP(G1866,Dados!$D:$L,2,0)=VLOOKUP(I1866,Dados!$S:$V,2,0),VLOOKUP(G1866,Dados!$D:$L,3,0)=VLOOKUP(I1866,Dados!$S:$V,3,0)),0,1)</f>
        <v>0</v>
      </c>
      <c r="T1866" s="4">
        <f>IF(AND(VLOOKUP(G1866,Dados!$D:$L,3,0)&lt;=VLOOKUP(H1866,Dados!$X:$AB,2,0),VLOOKUP(G1866,Dados!$D:$L,4,0)&gt;=VLOOKUP(H1866,Dados!$X:$AB,3,0),VLOOKUP(G1866,Dados!$D:$L,4,0)&lt;=VLOOKUP(H1866,Dados!$X:$AB,4,0)),0,1)</f>
        <v>0</v>
      </c>
      <c r="U1866" s="4">
        <f>IF(COUNTIFS(F:F,F1866,H:H,H1866)&lt;=VLOOKUP(H1866,Dados!$X:$AB,5,0),0,1)</f>
        <v>0</v>
      </c>
    </row>
    <row r="1867" spans="6:21">
      <c r="F1867" s="4">
        <v>862</v>
      </c>
      <c r="G1867" s="4">
        <v>64</v>
      </c>
      <c r="H1867" s="4">
        <v>3</v>
      </c>
      <c r="I1867" s="4">
        <v>27</v>
      </c>
      <c r="J1867" s="4">
        <v>1</v>
      </c>
      <c r="K1867" s="4">
        <f t="shared" si="302"/>
        <v>0</v>
      </c>
      <c r="L1867" s="4">
        <f t="shared" si="302"/>
        <v>0</v>
      </c>
      <c r="M1867" s="4">
        <f t="shared" si="302"/>
        <v>0</v>
      </c>
      <c r="N1867" s="4">
        <f t="shared" si="302"/>
        <v>0</v>
      </c>
      <c r="O1867" s="4">
        <f t="shared" si="303"/>
        <v>0</v>
      </c>
      <c r="P1867" s="4">
        <f t="shared" si="304"/>
        <v>0</v>
      </c>
      <c r="Q1867" s="4">
        <f t="shared" si="305"/>
        <v>0</v>
      </c>
      <c r="R1867" s="4">
        <f t="shared" si="306"/>
        <v>0</v>
      </c>
      <c r="S1867" s="4">
        <f>IF(AND(VLOOKUP(G1867,Dados!$D:$L,2,0)=VLOOKUP(I1867,Dados!$S:$V,2,0),VLOOKUP(G1867,Dados!$D:$L,3,0)=VLOOKUP(I1867,Dados!$S:$V,3,0)),0,1)</f>
        <v>0</v>
      </c>
      <c r="T1867" s="4">
        <f>IF(AND(VLOOKUP(G1867,Dados!$D:$L,3,0)&lt;=VLOOKUP(H1867,Dados!$X:$AB,2,0),VLOOKUP(G1867,Dados!$D:$L,4,0)&gt;=VLOOKUP(H1867,Dados!$X:$AB,3,0),VLOOKUP(G1867,Dados!$D:$L,4,0)&lt;=VLOOKUP(H1867,Dados!$X:$AB,4,0)),0,1)</f>
        <v>0</v>
      </c>
      <c r="U1867" s="4">
        <f>IF(COUNTIFS(F:F,F1867,H:H,H1867)&lt;=VLOOKUP(H1867,Dados!$X:$AB,5,0),0,1)</f>
        <v>0</v>
      </c>
    </row>
    <row r="1868" spans="6:21">
      <c r="F1868" s="4">
        <v>862</v>
      </c>
      <c r="G1868" s="4">
        <v>66</v>
      </c>
      <c r="H1868" s="4">
        <v>3</v>
      </c>
      <c r="I1868" s="4">
        <v>27</v>
      </c>
      <c r="J1868" s="4">
        <v>5</v>
      </c>
      <c r="K1868" s="4">
        <f t="shared" si="302"/>
        <v>0</v>
      </c>
      <c r="L1868" s="4">
        <f t="shared" si="302"/>
        <v>0</v>
      </c>
      <c r="M1868" s="4">
        <f t="shared" si="302"/>
        <v>0</v>
      </c>
      <c r="N1868" s="4">
        <f t="shared" si="302"/>
        <v>0</v>
      </c>
      <c r="O1868" s="4">
        <f t="shared" si="303"/>
        <v>0</v>
      </c>
      <c r="P1868" s="4">
        <f t="shared" si="304"/>
        <v>0</v>
      </c>
      <c r="Q1868" s="4">
        <f t="shared" si="305"/>
        <v>0</v>
      </c>
      <c r="R1868" s="4">
        <f t="shared" si="306"/>
        <v>0</v>
      </c>
      <c r="S1868" s="4">
        <f>IF(AND(VLOOKUP(G1868,Dados!$D:$L,2,0)=VLOOKUP(I1868,Dados!$S:$V,2,0),VLOOKUP(G1868,Dados!$D:$L,3,0)=VLOOKUP(I1868,Dados!$S:$V,3,0)),0,1)</f>
        <v>0</v>
      </c>
      <c r="T1868" s="4">
        <f>IF(AND(VLOOKUP(G1868,Dados!$D:$L,3,0)&lt;=VLOOKUP(H1868,Dados!$X:$AB,2,0),VLOOKUP(G1868,Dados!$D:$L,4,0)&gt;=VLOOKUP(H1868,Dados!$X:$AB,3,0),VLOOKUP(G1868,Dados!$D:$L,4,0)&lt;=VLOOKUP(H1868,Dados!$X:$AB,4,0)),0,1)</f>
        <v>0</v>
      </c>
      <c r="U1868" s="4">
        <f>IF(COUNTIFS(F:F,F1868,H:H,H1868)&lt;=VLOOKUP(H1868,Dados!$X:$AB,5,0),0,1)</f>
        <v>0</v>
      </c>
    </row>
    <row r="1869" spans="6:21">
      <c r="F1869" s="4">
        <v>862</v>
      </c>
      <c r="G1869" s="4">
        <v>67</v>
      </c>
      <c r="H1869" s="4">
        <v>3</v>
      </c>
      <c r="I1869" s="4">
        <v>27</v>
      </c>
      <c r="J1869" s="4">
        <v>1</v>
      </c>
      <c r="K1869" s="4">
        <f t="shared" si="302"/>
        <v>0</v>
      </c>
      <c r="L1869" s="4">
        <f t="shared" si="302"/>
        <v>0</v>
      </c>
      <c r="M1869" s="4">
        <f t="shared" si="302"/>
        <v>0</v>
      </c>
      <c r="N1869" s="4">
        <f t="shared" si="302"/>
        <v>0</v>
      </c>
      <c r="O1869" s="4">
        <f t="shared" si="303"/>
        <v>0</v>
      </c>
      <c r="P1869" s="4">
        <f t="shared" si="304"/>
        <v>0</v>
      </c>
      <c r="Q1869" s="4">
        <f t="shared" si="305"/>
        <v>0</v>
      </c>
      <c r="R1869" s="4">
        <f t="shared" si="306"/>
        <v>0</v>
      </c>
      <c r="S1869" s="4">
        <f>IF(AND(VLOOKUP(G1869,Dados!$D:$L,2,0)=VLOOKUP(I1869,Dados!$S:$V,2,0),VLOOKUP(G1869,Dados!$D:$L,3,0)=VLOOKUP(I1869,Dados!$S:$V,3,0)),0,1)</f>
        <v>0</v>
      </c>
      <c r="T1869" s="4">
        <f>IF(AND(VLOOKUP(G1869,Dados!$D:$L,3,0)&lt;=VLOOKUP(H1869,Dados!$X:$AB,2,0),VLOOKUP(G1869,Dados!$D:$L,4,0)&gt;=VLOOKUP(H1869,Dados!$X:$AB,3,0),VLOOKUP(G1869,Dados!$D:$L,4,0)&lt;=VLOOKUP(H1869,Dados!$X:$AB,4,0)),0,1)</f>
        <v>0</v>
      </c>
      <c r="U1869" s="4">
        <f>IF(COUNTIFS(F:F,F1869,H:H,H1869)&lt;=VLOOKUP(H1869,Dados!$X:$AB,5,0),0,1)</f>
        <v>0</v>
      </c>
    </row>
    <row r="1870" spans="6:21">
      <c r="F1870" s="4">
        <v>863</v>
      </c>
      <c r="G1870" s="4">
        <v>59</v>
      </c>
      <c r="H1870" s="4">
        <v>1</v>
      </c>
      <c r="I1870" s="4">
        <v>28</v>
      </c>
      <c r="J1870" s="4">
        <v>2</v>
      </c>
      <c r="K1870" s="4">
        <f t="shared" si="302"/>
        <v>0</v>
      </c>
      <c r="L1870" s="4">
        <f t="shared" si="302"/>
        <v>0</v>
      </c>
      <c r="M1870" s="4">
        <f t="shared" si="302"/>
        <v>8</v>
      </c>
      <c r="N1870" s="4">
        <f t="shared" si="302"/>
        <v>0</v>
      </c>
      <c r="O1870" s="4">
        <f t="shared" si="303"/>
        <v>0</v>
      </c>
      <c r="P1870" s="4">
        <f t="shared" si="304"/>
        <v>0</v>
      </c>
      <c r="Q1870" s="4">
        <f t="shared" si="305"/>
        <v>16</v>
      </c>
      <c r="R1870" s="4">
        <f t="shared" si="306"/>
        <v>0</v>
      </c>
      <c r="S1870" s="4">
        <f>IF(AND(VLOOKUP(G1870,Dados!$D:$L,2,0)=VLOOKUP(I1870,Dados!$S:$V,2,0),VLOOKUP(G1870,Dados!$D:$L,3,0)=VLOOKUP(I1870,Dados!$S:$V,3,0)),0,1)</f>
        <v>0</v>
      </c>
      <c r="T1870" s="4">
        <f>IF(AND(VLOOKUP(G1870,Dados!$D:$L,3,0)&lt;=VLOOKUP(H1870,Dados!$X:$AB,2,0),VLOOKUP(G1870,Dados!$D:$L,4,0)&gt;=VLOOKUP(H1870,Dados!$X:$AB,3,0),VLOOKUP(G1870,Dados!$D:$L,4,0)&lt;=VLOOKUP(H1870,Dados!$X:$AB,4,0)),0,1)</f>
        <v>0</v>
      </c>
      <c r="U1870" s="4">
        <f>IF(COUNTIFS(F:F,F1870,H:H,H1870)&lt;=VLOOKUP(H1870,Dados!$X:$AB,5,0),0,1)</f>
        <v>0</v>
      </c>
    </row>
    <row r="1871" spans="6:21">
      <c r="F1871" s="4">
        <v>863</v>
      </c>
      <c r="G1871" s="4">
        <v>64</v>
      </c>
      <c r="H1871" s="4">
        <v>1</v>
      </c>
      <c r="I1871" s="4">
        <v>28</v>
      </c>
      <c r="J1871" s="4">
        <v>1</v>
      </c>
      <c r="K1871" s="4">
        <f t="shared" si="302"/>
        <v>0</v>
      </c>
      <c r="L1871" s="4">
        <f t="shared" si="302"/>
        <v>0</v>
      </c>
      <c r="M1871" s="4">
        <f t="shared" si="302"/>
        <v>8</v>
      </c>
      <c r="N1871" s="4">
        <f t="shared" si="302"/>
        <v>0</v>
      </c>
      <c r="O1871" s="4">
        <f t="shared" si="303"/>
        <v>0</v>
      </c>
      <c r="P1871" s="4">
        <f t="shared" si="304"/>
        <v>0</v>
      </c>
      <c r="Q1871" s="4">
        <f t="shared" si="305"/>
        <v>8</v>
      </c>
      <c r="R1871" s="4">
        <f t="shared" si="306"/>
        <v>0</v>
      </c>
      <c r="S1871" s="4">
        <f>IF(AND(VLOOKUP(G1871,Dados!$D:$L,2,0)=VLOOKUP(I1871,Dados!$S:$V,2,0),VLOOKUP(G1871,Dados!$D:$L,3,0)=VLOOKUP(I1871,Dados!$S:$V,3,0)),0,1)</f>
        <v>0</v>
      </c>
      <c r="T1871" s="4">
        <f>IF(AND(VLOOKUP(G1871,Dados!$D:$L,3,0)&lt;=VLOOKUP(H1871,Dados!$X:$AB,2,0),VLOOKUP(G1871,Dados!$D:$L,4,0)&gt;=VLOOKUP(H1871,Dados!$X:$AB,3,0),VLOOKUP(G1871,Dados!$D:$L,4,0)&lt;=VLOOKUP(H1871,Dados!$X:$AB,4,0)),0,1)</f>
        <v>0</v>
      </c>
      <c r="U1871" s="4">
        <f>IF(COUNTIFS(F:F,F1871,H:H,H1871)&lt;=VLOOKUP(H1871,Dados!$X:$AB,5,0),0,1)</f>
        <v>0</v>
      </c>
    </row>
    <row r="1872" spans="6:21">
      <c r="F1872" s="4">
        <v>863</v>
      </c>
      <c r="G1872" s="4">
        <v>66</v>
      </c>
      <c r="H1872" s="4">
        <v>1</v>
      </c>
      <c r="I1872" s="4">
        <v>28</v>
      </c>
      <c r="J1872" s="4">
        <v>5</v>
      </c>
      <c r="K1872" s="4">
        <f t="shared" si="302"/>
        <v>0</v>
      </c>
      <c r="L1872" s="4">
        <f t="shared" si="302"/>
        <v>0</v>
      </c>
      <c r="M1872" s="4">
        <f t="shared" si="302"/>
        <v>8</v>
      </c>
      <c r="N1872" s="4">
        <f t="shared" si="302"/>
        <v>0</v>
      </c>
      <c r="O1872" s="4">
        <f t="shared" si="303"/>
        <v>0</v>
      </c>
      <c r="P1872" s="4">
        <f t="shared" si="304"/>
        <v>0</v>
      </c>
      <c r="Q1872" s="4">
        <f t="shared" si="305"/>
        <v>40</v>
      </c>
      <c r="R1872" s="4">
        <f t="shared" si="306"/>
        <v>0</v>
      </c>
      <c r="S1872" s="4">
        <f>IF(AND(VLOOKUP(G1872,Dados!$D:$L,2,0)=VLOOKUP(I1872,Dados!$S:$V,2,0),VLOOKUP(G1872,Dados!$D:$L,3,0)=VLOOKUP(I1872,Dados!$S:$V,3,0)),0,1)</f>
        <v>0</v>
      </c>
      <c r="T1872" s="4">
        <f>IF(AND(VLOOKUP(G1872,Dados!$D:$L,3,0)&lt;=VLOOKUP(H1872,Dados!$X:$AB,2,0),VLOOKUP(G1872,Dados!$D:$L,4,0)&gt;=VLOOKUP(H1872,Dados!$X:$AB,3,0),VLOOKUP(G1872,Dados!$D:$L,4,0)&lt;=VLOOKUP(H1872,Dados!$X:$AB,4,0)),0,1)</f>
        <v>0</v>
      </c>
      <c r="U1872" s="4">
        <f>IF(COUNTIFS(F:F,F1872,H:H,H1872)&lt;=VLOOKUP(H1872,Dados!$X:$AB,5,0),0,1)</f>
        <v>0</v>
      </c>
    </row>
    <row r="1873" spans="6:21">
      <c r="F1873" s="4">
        <v>864</v>
      </c>
      <c r="G1873" s="4">
        <v>59</v>
      </c>
      <c r="H1873" s="4">
        <v>2</v>
      </c>
      <c r="I1873" s="4">
        <v>28</v>
      </c>
      <c r="J1873" s="4">
        <v>2</v>
      </c>
      <c r="K1873" s="4">
        <f t="shared" si="302"/>
        <v>0</v>
      </c>
      <c r="L1873" s="4">
        <f t="shared" si="302"/>
        <v>0</v>
      </c>
      <c r="M1873" s="4">
        <f t="shared" si="302"/>
        <v>0</v>
      </c>
      <c r="N1873" s="4">
        <f t="shared" si="302"/>
        <v>0</v>
      </c>
      <c r="O1873" s="4">
        <f t="shared" si="303"/>
        <v>0</v>
      </c>
      <c r="P1873" s="4">
        <f t="shared" si="304"/>
        <v>0</v>
      </c>
      <c r="Q1873" s="4">
        <f t="shared" si="305"/>
        <v>0</v>
      </c>
      <c r="R1873" s="4">
        <f t="shared" si="306"/>
        <v>0</v>
      </c>
      <c r="S1873" s="4">
        <f>IF(AND(VLOOKUP(G1873,Dados!$D:$L,2,0)=VLOOKUP(I1873,Dados!$S:$V,2,0),VLOOKUP(G1873,Dados!$D:$L,3,0)=VLOOKUP(I1873,Dados!$S:$V,3,0)),0,1)</f>
        <v>0</v>
      </c>
      <c r="T1873" s="4">
        <f>IF(AND(VLOOKUP(G1873,Dados!$D:$L,3,0)&lt;=VLOOKUP(H1873,Dados!$X:$AB,2,0),VLOOKUP(G1873,Dados!$D:$L,4,0)&gt;=VLOOKUP(H1873,Dados!$X:$AB,3,0),VLOOKUP(G1873,Dados!$D:$L,4,0)&lt;=VLOOKUP(H1873,Dados!$X:$AB,4,0)),0,1)</f>
        <v>0</v>
      </c>
      <c r="U1873" s="4">
        <f>IF(COUNTIFS(F:F,F1873,H:H,H1873)&lt;=VLOOKUP(H1873,Dados!$X:$AB,5,0),0,1)</f>
        <v>0</v>
      </c>
    </row>
    <row r="1874" spans="6:21">
      <c r="F1874" s="4">
        <v>864</v>
      </c>
      <c r="G1874" s="4">
        <v>64</v>
      </c>
      <c r="H1874" s="4">
        <v>2</v>
      </c>
      <c r="I1874" s="4">
        <v>28</v>
      </c>
      <c r="J1874" s="4">
        <v>1</v>
      </c>
      <c r="K1874" s="4">
        <f t="shared" si="302"/>
        <v>0</v>
      </c>
      <c r="L1874" s="4">
        <f t="shared" si="302"/>
        <v>0</v>
      </c>
      <c r="M1874" s="4">
        <f t="shared" si="302"/>
        <v>0</v>
      </c>
      <c r="N1874" s="4">
        <f t="shared" si="302"/>
        <v>0</v>
      </c>
      <c r="O1874" s="4">
        <f t="shared" si="303"/>
        <v>0</v>
      </c>
      <c r="P1874" s="4">
        <f t="shared" si="304"/>
        <v>0</v>
      </c>
      <c r="Q1874" s="4">
        <f t="shared" si="305"/>
        <v>0</v>
      </c>
      <c r="R1874" s="4">
        <f t="shared" si="306"/>
        <v>0</v>
      </c>
      <c r="S1874" s="4">
        <f>IF(AND(VLOOKUP(G1874,Dados!$D:$L,2,0)=VLOOKUP(I1874,Dados!$S:$V,2,0),VLOOKUP(G1874,Dados!$D:$L,3,0)=VLOOKUP(I1874,Dados!$S:$V,3,0)),0,1)</f>
        <v>0</v>
      </c>
      <c r="T1874" s="4">
        <f>IF(AND(VLOOKUP(G1874,Dados!$D:$L,3,0)&lt;=VLOOKUP(H1874,Dados!$X:$AB,2,0),VLOOKUP(G1874,Dados!$D:$L,4,0)&gt;=VLOOKUP(H1874,Dados!$X:$AB,3,0),VLOOKUP(G1874,Dados!$D:$L,4,0)&lt;=VLOOKUP(H1874,Dados!$X:$AB,4,0)),0,1)</f>
        <v>0</v>
      </c>
      <c r="U1874" s="4">
        <f>IF(COUNTIFS(F:F,F1874,H:H,H1874)&lt;=VLOOKUP(H1874,Dados!$X:$AB,5,0),0,1)</f>
        <v>0</v>
      </c>
    </row>
    <row r="1875" spans="6:21">
      <c r="F1875" s="4">
        <v>864</v>
      </c>
      <c r="G1875" s="4">
        <v>66</v>
      </c>
      <c r="H1875" s="4">
        <v>2</v>
      </c>
      <c r="I1875" s="4">
        <v>28</v>
      </c>
      <c r="J1875" s="4">
        <v>5</v>
      </c>
      <c r="K1875" s="4">
        <f t="shared" si="302"/>
        <v>0</v>
      </c>
      <c r="L1875" s="4">
        <f t="shared" si="302"/>
        <v>0</v>
      </c>
      <c r="M1875" s="4">
        <f t="shared" si="302"/>
        <v>0</v>
      </c>
      <c r="N1875" s="4">
        <f t="shared" si="302"/>
        <v>0</v>
      </c>
      <c r="O1875" s="4">
        <f t="shared" si="303"/>
        <v>0</v>
      </c>
      <c r="P1875" s="4">
        <f t="shared" si="304"/>
        <v>0</v>
      </c>
      <c r="Q1875" s="4">
        <f t="shared" si="305"/>
        <v>0</v>
      </c>
      <c r="R1875" s="4">
        <f t="shared" si="306"/>
        <v>0</v>
      </c>
      <c r="S1875" s="4">
        <f>IF(AND(VLOOKUP(G1875,Dados!$D:$L,2,0)=VLOOKUP(I1875,Dados!$S:$V,2,0),VLOOKUP(G1875,Dados!$D:$L,3,0)=VLOOKUP(I1875,Dados!$S:$V,3,0)),0,1)</f>
        <v>0</v>
      </c>
      <c r="T1875" s="4">
        <f>IF(AND(VLOOKUP(G1875,Dados!$D:$L,3,0)&lt;=VLOOKUP(H1875,Dados!$X:$AB,2,0),VLOOKUP(G1875,Dados!$D:$L,4,0)&gt;=VLOOKUP(H1875,Dados!$X:$AB,3,0),VLOOKUP(G1875,Dados!$D:$L,4,0)&lt;=VLOOKUP(H1875,Dados!$X:$AB,4,0)),0,1)</f>
        <v>0</v>
      </c>
      <c r="U1875" s="4">
        <f>IF(COUNTIFS(F:F,F1875,H:H,H1875)&lt;=VLOOKUP(H1875,Dados!$X:$AB,5,0),0,1)</f>
        <v>0</v>
      </c>
    </row>
    <row r="1876" spans="6:21">
      <c r="F1876" s="4">
        <v>865</v>
      </c>
      <c r="G1876" s="4">
        <v>59</v>
      </c>
      <c r="H1876" s="4">
        <v>3</v>
      </c>
      <c r="I1876" s="4">
        <v>28</v>
      </c>
      <c r="J1876" s="4">
        <v>2</v>
      </c>
      <c r="K1876" s="4">
        <f t="shared" si="302"/>
        <v>0</v>
      </c>
      <c r="L1876" s="4">
        <f t="shared" si="302"/>
        <v>0</v>
      </c>
      <c r="M1876" s="4">
        <f t="shared" si="302"/>
        <v>0</v>
      </c>
      <c r="N1876" s="4">
        <f t="shared" si="302"/>
        <v>0</v>
      </c>
      <c r="O1876" s="4">
        <f t="shared" si="303"/>
        <v>0</v>
      </c>
      <c r="P1876" s="4">
        <f t="shared" si="304"/>
        <v>0</v>
      </c>
      <c r="Q1876" s="4">
        <f t="shared" si="305"/>
        <v>0</v>
      </c>
      <c r="R1876" s="4">
        <f t="shared" si="306"/>
        <v>0</v>
      </c>
      <c r="S1876" s="4">
        <f>IF(AND(VLOOKUP(G1876,Dados!$D:$L,2,0)=VLOOKUP(I1876,Dados!$S:$V,2,0),VLOOKUP(G1876,Dados!$D:$L,3,0)=VLOOKUP(I1876,Dados!$S:$V,3,0)),0,1)</f>
        <v>0</v>
      </c>
      <c r="T1876" s="4">
        <f>IF(AND(VLOOKUP(G1876,Dados!$D:$L,3,0)&lt;=VLOOKUP(H1876,Dados!$X:$AB,2,0),VLOOKUP(G1876,Dados!$D:$L,4,0)&gt;=VLOOKUP(H1876,Dados!$X:$AB,3,0),VLOOKUP(G1876,Dados!$D:$L,4,0)&lt;=VLOOKUP(H1876,Dados!$X:$AB,4,0)),0,1)</f>
        <v>0</v>
      </c>
      <c r="U1876" s="4">
        <f>IF(COUNTIFS(F:F,F1876,H:H,H1876)&lt;=VLOOKUP(H1876,Dados!$X:$AB,5,0),0,1)</f>
        <v>0</v>
      </c>
    </row>
    <row r="1877" spans="6:21">
      <c r="F1877" s="4">
        <v>865</v>
      </c>
      <c r="G1877" s="4">
        <v>64</v>
      </c>
      <c r="H1877" s="4">
        <v>3</v>
      </c>
      <c r="I1877" s="4">
        <v>28</v>
      </c>
      <c r="J1877" s="4">
        <v>1</v>
      </c>
      <c r="K1877" s="4">
        <f t="shared" si="302"/>
        <v>0</v>
      </c>
      <c r="L1877" s="4">
        <f t="shared" si="302"/>
        <v>0</v>
      </c>
      <c r="M1877" s="4">
        <f t="shared" si="302"/>
        <v>0</v>
      </c>
      <c r="N1877" s="4">
        <f t="shared" si="302"/>
        <v>0</v>
      </c>
      <c r="O1877" s="4">
        <f t="shared" si="303"/>
        <v>0</v>
      </c>
      <c r="P1877" s="4">
        <f t="shared" si="304"/>
        <v>0</v>
      </c>
      <c r="Q1877" s="4">
        <f t="shared" si="305"/>
        <v>0</v>
      </c>
      <c r="R1877" s="4">
        <f t="shared" si="306"/>
        <v>0</v>
      </c>
      <c r="S1877" s="4">
        <f>IF(AND(VLOOKUP(G1877,Dados!$D:$L,2,0)=VLOOKUP(I1877,Dados!$S:$V,2,0),VLOOKUP(G1877,Dados!$D:$L,3,0)=VLOOKUP(I1877,Dados!$S:$V,3,0)),0,1)</f>
        <v>0</v>
      </c>
      <c r="T1877" s="4">
        <f>IF(AND(VLOOKUP(G1877,Dados!$D:$L,3,0)&lt;=VLOOKUP(H1877,Dados!$X:$AB,2,0),VLOOKUP(G1877,Dados!$D:$L,4,0)&gt;=VLOOKUP(H1877,Dados!$X:$AB,3,0),VLOOKUP(G1877,Dados!$D:$L,4,0)&lt;=VLOOKUP(H1877,Dados!$X:$AB,4,0)),0,1)</f>
        <v>0</v>
      </c>
      <c r="U1877" s="4">
        <f>IF(COUNTIFS(F:F,F1877,H:H,H1877)&lt;=VLOOKUP(H1877,Dados!$X:$AB,5,0),0,1)</f>
        <v>0</v>
      </c>
    </row>
    <row r="1878" spans="6:21">
      <c r="F1878" s="4">
        <v>865</v>
      </c>
      <c r="G1878" s="4">
        <v>66</v>
      </c>
      <c r="H1878" s="4">
        <v>3</v>
      </c>
      <c r="I1878" s="4">
        <v>28</v>
      </c>
      <c r="J1878" s="4">
        <v>5</v>
      </c>
      <c r="K1878" s="4">
        <f t="shared" si="302"/>
        <v>0</v>
      </c>
      <c r="L1878" s="4">
        <f t="shared" si="302"/>
        <v>0</v>
      </c>
      <c r="M1878" s="4">
        <f t="shared" si="302"/>
        <v>0</v>
      </c>
      <c r="N1878" s="4">
        <f t="shared" si="302"/>
        <v>0</v>
      </c>
      <c r="O1878" s="4">
        <f t="shared" si="303"/>
        <v>0</v>
      </c>
      <c r="P1878" s="4">
        <f t="shared" si="304"/>
        <v>0</v>
      </c>
      <c r="Q1878" s="4">
        <f t="shared" si="305"/>
        <v>0</v>
      </c>
      <c r="R1878" s="4">
        <f t="shared" si="306"/>
        <v>0</v>
      </c>
      <c r="S1878" s="4">
        <f>IF(AND(VLOOKUP(G1878,Dados!$D:$L,2,0)=VLOOKUP(I1878,Dados!$S:$V,2,0),VLOOKUP(G1878,Dados!$D:$L,3,0)=VLOOKUP(I1878,Dados!$S:$V,3,0)),0,1)</f>
        <v>0</v>
      </c>
      <c r="T1878" s="4">
        <f>IF(AND(VLOOKUP(G1878,Dados!$D:$L,3,0)&lt;=VLOOKUP(H1878,Dados!$X:$AB,2,0),VLOOKUP(G1878,Dados!$D:$L,4,0)&gt;=VLOOKUP(H1878,Dados!$X:$AB,3,0),VLOOKUP(G1878,Dados!$D:$L,4,0)&lt;=VLOOKUP(H1878,Dados!$X:$AB,4,0)),0,1)</f>
        <v>0</v>
      </c>
      <c r="U1878" s="4">
        <f>IF(COUNTIFS(F:F,F1878,H:H,H1878)&lt;=VLOOKUP(H1878,Dados!$X:$AB,5,0),0,1)</f>
        <v>0</v>
      </c>
    </row>
    <row r="1879" spans="6:21">
      <c r="F1879" s="4">
        <v>866</v>
      </c>
      <c r="G1879" s="4">
        <v>59</v>
      </c>
      <c r="H1879" s="4">
        <v>1</v>
      </c>
      <c r="I1879" s="4">
        <v>29</v>
      </c>
      <c r="J1879" s="4">
        <v>4</v>
      </c>
      <c r="K1879" s="4">
        <f t="shared" si="302"/>
        <v>0</v>
      </c>
      <c r="L1879" s="4">
        <f t="shared" si="302"/>
        <v>0</v>
      </c>
      <c r="M1879" s="4">
        <f t="shared" si="302"/>
        <v>0</v>
      </c>
      <c r="N1879" s="4">
        <f t="shared" si="302"/>
        <v>0</v>
      </c>
      <c r="O1879" s="4">
        <f t="shared" si="303"/>
        <v>0</v>
      </c>
      <c r="P1879" s="4">
        <f t="shared" si="304"/>
        <v>0</v>
      </c>
      <c r="Q1879" s="4">
        <f t="shared" si="305"/>
        <v>0</v>
      </c>
      <c r="R1879" s="4">
        <f t="shared" si="306"/>
        <v>0</v>
      </c>
      <c r="S1879" s="4">
        <f>IF(AND(VLOOKUP(G1879,Dados!$D:$L,2,0)=VLOOKUP(I1879,Dados!$S:$V,2,0),VLOOKUP(G1879,Dados!$D:$L,3,0)=VLOOKUP(I1879,Dados!$S:$V,3,0)),0,1)</f>
        <v>0</v>
      </c>
      <c r="T1879" s="4">
        <f>IF(AND(VLOOKUP(G1879,Dados!$D:$L,3,0)&lt;=VLOOKUP(H1879,Dados!$X:$AB,2,0),VLOOKUP(G1879,Dados!$D:$L,4,0)&gt;=VLOOKUP(H1879,Dados!$X:$AB,3,0),VLOOKUP(G1879,Dados!$D:$L,4,0)&lt;=VLOOKUP(H1879,Dados!$X:$AB,4,0)),0,1)</f>
        <v>0</v>
      </c>
      <c r="U1879" s="4">
        <f>IF(COUNTIFS(F:F,F1879,H:H,H1879)&lt;=VLOOKUP(H1879,Dados!$X:$AB,5,0),0,1)</f>
        <v>0</v>
      </c>
    </row>
    <row r="1880" spans="6:21">
      <c r="F1880" s="4">
        <v>866</v>
      </c>
      <c r="G1880" s="4">
        <v>66</v>
      </c>
      <c r="H1880" s="4">
        <v>1</v>
      </c>
      <c r="I1880" s="4">
        <v>29</v>
      </c>
      <c r="J1880" s="4">
        <v>3</v>
      </c>
      <c r="K1880" s="4">
        <f t="shared" si="302"/>
        <v>0</v>
      </c>
      <c r="L1880" s="4">
        <f t="shared" si="302"/>
        <v>0</v>
      </c>
      <c r="M1880" s="4">
        <f t="shared" si="302"/>
        <v>0</v>
      </c>
      <c r="N1880" s="4">
        <f t="shared" si="302"/>
        <v>0</v>
      </c>
      <c r="O1880" s="4">
        <f t="shared" si="303"/>
        <v>0</v>
      </c>
      <c r="P1880" s="4">
        <f t="shared" si="304"/>
        <v>0</v>
      </c>
      <c r="Q1880" s="4">
        <f t="shared" si="305"/>
        <v>0</v>
      </c>
      <c r="R1880" s="4">
        <f t="shared" si="306"/>
        <v>0</v>
      </c>
      <c r="S1880" s="4">
        <f>IF(AND(VLOOKUP(G1880,Dados!$D:$L,2,0)=VLOOKUP(I1880,Dados!$S:$V,2,0),VLOOKUP(G1880,Dados!$D:$L,3,0)=VLOOKUP(I1880,Dados!$S:$V,3,0)),0,1)</f>
        <v>0</v>
      </c>
      <c r="T1880" s="4">
        <f>IF(AND(VLOOKUP(G1880,Dados!$D:$L,3,0)&lt;=VLOOKUP(H1880,Dados!$X:$AB,2,0),VLOOKUP(G1880,Dados!$D:$L,4,0)&gt;=VLOOKUP(H1880,Dados!$X:$AB,3,0),VLOOKUP(G1880,Dados!$D:$L,4,0)&lt;=VLOOKUP(H1880,Dados!$X:$AB,4,0)),0,1)</f>
        <v>0</v>
      </c>
      <c r="U1880" s="4">
        <f>IF(COUNTIFS(F:F,F1880,H:H,H1880)&lt;=VLOOKUP(H1880,Dados!$X:$AB,5,0),0,1)</f>
        <v>0</v>
      </c>
    </row>
    <row r="1881" spans="6:21">
      <c r="F1881" s="4">
        <v>866</v>
      </c>
      <c r="G1881" s="4">
        <v>67</v>
      </c>
      <c r="H1881" s="4">
        <v>1</v>
      </c>
      <c r="I1881" s="4">
        <v>29</v>
      </c>
      <c r="J1881" s="4">
        <v>2</v>
      </c>
      <c r="K1881" s="4">
        <f t="shared" si="302"/>
        <v>0</v>
      </c>
      <c r="L1881" s="4">
        <f t="shared" si="302"/>
        <v>0</v>
      </c>
      <c r="M1881" s="4">
        <f t="shared" si="302"/>
        <v>0</v>
      </c>
      <c r="N1881" s="4">
        <f t="shared" si="302"/>
        <v>0</v>
      </c>
      <c r="O1881" s="4">
        <f t="shared" si="303"/>
        <v>0</v>
      </c>
      <c r="P1881" s="4">
        <f t="shared" si="304"/>
        <v>0</v>
      </c>
      <c r="Q1881" s="4">
        <f t="shared" si="305"/>
        <v>0</v>
      </c>
      <c r="R1881" s="4">
        <f t="shared" si="306"/>
        <v>0</v>
      </c>
      <c r="S1881" s="4">
        <f>IF(AND(VLOOKUP(G1881,Dados!$D:$L,2,0)=VLOOKUP(I1881,Dados!$S:$V,2,0),VLOOKUP(G1881,Dados!$D:$L,3,0)=VLOOKUP(I1881,Dados!$S:$V,3,0)),0,1)</f>
        <v>0</v>
      </c>
      <c r="T1881" s="4">
        <f>IF(AND(VLOOKUP(G1881,Dados!$D:$L,3,0)&lt;=VLOOKUP(H1881,Dados!$X:$AB,2,0),VLOOKUP(G1881,Dados!$D:$L,4,0)&gt;=VLOOKUP(H1881,Dados!$X:$AB,3,0),VLOOKUP(G1881,Dados!$D:$L,4,0)&lt;=VLOOKUP(H1881,Dados!$X:$AB,4,0)),0,1)</f>
        <v>0</v>
      </c>
      <c r="U1881" s="4">
        <f>IF(COUNTIFS(F:F,F1881,H:H,H1881)&lt;=VLOOKUP(H1881,Dados!$X:$AB,5,0),0,1)</f>
        <v>0</v>
      </c>
    </row>
    <row r="1882" spans="6:21">
      <c r="F1882" s="4">
        <v>867</v>
      </c>
      <c r="G1882" s="4">
        <v>59</v>
      </c>
      <c r="H1882" s="4">
        <v>2</v>
      </c>
      <c r="I1882" s="4">
        <v>29</v>
      </c>
      <c r="J1882" s="4">
        <v>4</v>
      </c>
      <c r="K1882" s="4">
        <f t="shared" si="302"/>
        <v>0</v>
      </c>
      <c r="L1882" s="4">
        <f t="shared" si="302"/>
        <v>0</v>
      </c>
      <c r="M1882" s="4">
        <f t="shared" si="302"/>
        <v>0</v>
      </c>
      <c r="N1882" s="4">
        <f t="shared" si="302"/>
        <v>0</v>
      </c>
      <c r="O1882" s="4">
        <f t="shared" si="303"/>
        <v>0</v>
      </c>
      <c r="P1882" s="4">
        <f t="shared" si="304"/>
        <v>0</v>
      </c>
      <c r="Q1882" s="4">
        <f t="shared" si="305"/>
        <v>0</v>
      </c>
      <c r="R1882" s="4">
        <f t="shared" si="306"/>
        <v>0</v>
      </c>
      <c r="S1882" s="4">
        <f>IF(AND(VLOOKUP(G1882,Dados!$D:$L,2,0)=VLOOKUP(I1882,Dados!$S:$V,2,0),VLOOKUP(G1882,Dados!$D:$L,3,0)=VLOOKUP(I1882,Dados!$S:$V,3,0)),0,1)</f>
        <v>0</v>
      </c>
      <c r="T1882" s="4">
        <f>IF(AND(VLOOKUP(G1882,Dados!$D:$L,3,0)&lt;=VLOOKUP(H1882,Dados!$X:$AB,2,0),VLOOKUP(G1882,Dados!$D:$L,4,0)&gt;=VLOOKUP(H1882,Dados!$X:$AB,3,0),VLOOKUP(G1882,Dados!$D:$L,4,0)&lt;=VLOOKUP(H1882,Dados!$X:$AB,4,0)),0,1)</f>
        <v>0</v>
      </c>
      <c r="U1882" s="4">
        <f>IF(COUNTIFS(F:F,F1882,H:H,H1882)&lt;=VLOOKUP(H1882,Dados!$X:$AB,5,0),0,1)</f>
        <v>0</v>
      </c>
    </row>
    <row r="1883" spans="6:21">
      <c r="F1883" s="4">
        <v>867</v>
      </c>
      <c r="G1883" s="4">
        <v>66</v>
      </c>
      <c r="H1883" s="4">
        <v>2</v>
      </c>
      <c r="I1883" s="4">
        <v>29</v>
      </c>
      <c r="J1883" s="4">
        <v>3</v>
      </c>
      <c r="K1883" s="4">
        <f t="shared" si="302"/>
        <v>0</v>
      </c>
      <c r="L1883" s="4">
        <f t="shared" si="302"/>
        <v>0</v>
      </c>
      <c r="M1883" s="4">
        <f t="shared" si="302"/>
        <v>0</v>
      </c>
      <c r="N1883" s="4">
        <f t="shared" si="302"/>
        <v>0</v>
      </c>
      <c r="O1883" s="4">
        <f t="shared" si="303"/>
        <v>0</v>
      </c>
      <c r="P1883" s="4">
        <f t="shared" si="304"/>
        <v>0</v>
      </c>
      <c r="Q1883" s="4">
        <f t="shared" si="305"/>
        <v>0</v>
      </c>
      <c r="R1883" s="4">
        <f t="shared" si="306"/>
        <v>0</v>
      </c>
      <c r="S1883" s="4">
        <f>IF(AND(VLOOKUP(G1883,Dados!$D:$L,2,0)=VLOOKUP(I1883,Dados!$S:$V,2,0),VLOOKUP(G1883,Dados!$D:$L,3,0)=VLOOKUP(I1883,Dados!$S:$V,3,0)),0,1)</f>
        <v>0</v>
      </c>
      <c r="T1883" s="4">
        <f>IF(AND(VLOOKUP(G1883,Dados!$D:$L,3,0)&lt;=VLOOKUP(H1883,Dados!$X:$AB,2,0),VLOOKUP(G1883,Dados!$D:$L,4,0)&gt;=VLOOKUP(H1883,Dados!$X:$AB,3,0),VLOOKUP(G1883,Dados!$D:$L,4,0)&lt;=VLOOKUP(H1883,Dados!$X:$AB,4,0)),0,1)</f>
        <v>0</v>
      </c>
      <c r="U1883" s="4">
        <f>IF(COUNTIFS(F:F,F1883,H:H,H1883)&lt;=VLOOKUP(H1883,Dados!$X:$AB,5,0),0,1)</f>
        <v>0</v>
      </c>
    </row>
    <row r="1884" spans="6:21">
      <c r="F1884" s="4">
        <v>867</v>
      </c>
      <c r="G1884" s="4">
        <v>67</v>
      </c>
      <c r="H1884" s="4">
        <v>2</v>
      </c>
      <c r="I1884" s="4">
        <v>29</v>
      </c>
      <c r="J1884" s="4">
        <v>2</v>
      </c>
      <c r="K1884" s="4">
        <f t="shared" si="302"/>
        <v>0</v>
      </c>
      <c r="L1884" s="4">
        <f t="shared" si="302"/>
        <v>0</v>
      </c>
      <c r="M1884" s="4">
        <f t="shared" si="302"/>
        <v>0</v>
      </c>
      <c r="N1884" s="4">
        <f t="shared" si="302"/>
        <v>0</v>
      </c>
      <c r="O1884" s="4">
        <f t="shared" si="303"/>
        <v>0</v>
      </c>
      <c r="P1884" s="4">
        <f t="shared" si="304"/>
        <v>0</v>
      </c>
      <c r="Q1884" s="4">
        <f t="shared" si="305"/>
        <v>0</v>
      </c>
      <c r="R1884" s="4">
        <f t="shared" si="306"/>
        <v>0</v>
      </c>
      <c r="S1884" s="4">
        <f>IF(AND(VLOOKUP(G1884,Dados!$D:$L,2,0)=VLOOKUP(I1884,Dados!$S:$V,2,0),VLOOKUP(G1884,Dados!$D:$L,3,0)=VLOOKUP(I1884,Dados!$S:$V,3,0)),0,1)</f>
        <v>0</v>
      </c>
      <c r="T1884" s="4">
        <f>IF(AND(VLOOKUP(G1884,Dados!$D:$L,3,0)&lt;=VLOOKUP(H1884,Dados!$X:$AB,2,0),VLOOKUP(G1884,Dados!$D:$L,4,0)&gt;=VLOOKUP(H1884,Dados!$X:$AB,3,0),VLOOKUP(G1884,Dados!$D:$L,4,0)&lt;=VLOOKUP(H1884,Dados!$X:$AB,4,0)),0,1)</f>
        <v>0</v>
      </c>
      <c r="U1884" s="4">
        <f>IF(COUNTIFS(F:F,F1884,H:H,H1884)&lt;=VLOOKUP(H1884,Dados!$X:$AB,5,0),0,1)</f>
        <v>0</v>
      </c>
    </row>
    <row r="1885" spans="6:21">
      <c r="F1885" s="4">
        <v>868</v>
      </c>
      <c r="G1885" s="4">
        <v>59</v>
      </c>
      <c r="H1885" s="4">
        <v>3</v>
      </c>
      <c r="I1885" s="4">
        <v>29</v>
      </c>
      <c r="J1885" s="4">
        <v>4</v>
      </c>
      <c r="K1885" s="4">
        <f t="shared" si="302"/>
        <v>0</v>
      </c>
      <c r="L1885" s="4">
        <f t="shared" si="302"/>
        <v>0</v>
      </c>
      <c r="M1885" s="4">
        <f t="shared" si="302"/>
        <v>0</v>
      </c>
      <c r="N1885" s="4">
        <f t="shared" si="302"/>
        <v>0</v>
      </c>
      <c r="O1885" s="4">
        <f t="shared" si="303"/>
        <v>0</v>
      </c>
      <c r="P1885" s="4">
        <f t="shared" si="304"/>
        <v>0</v>
      </c>
      <c r="Q1885" s="4">
        <f t="shared" si="305"/>
        <v>0</v>
      </c>
      <c r="R1885" s="4">
        <f t="shared" si="306"/>
        <v>0</v>
      </c>
      <c r="S1885" s="4">
        <f>IF(AND(VLOOKUP(G1885,Dados!$D:$L,2,0)=VLOOKUP(I1885,Dados!$S:$V,2,0),VLOOKUP(G1885,Dados!$D:$L,3,0)=VLOOKUP(I1885,Dados!$S:$V,3,0)),0,1)</f>
        <v>0</v>
      </c>
      <c r="T1885" s="4">
        <f>IF(AND(VLOOKUP(G1885,Dados!$D:$L,3,0)&lt;=VLOOKUP(H1885,Dados!$X:$AB,2,0),VLOOKUP(G1885,Dados!$D:$L,4,0)&gt;=VLOOKUP(H1885,Dados!$X:$AB,3,0),VLOOKUP(G1885,Dados!$D:$L,4,0)&lt;=VLOOKUP(H1885,Dados!$X:$AB,4,0)),0,1)</f>
        <v>0</v>
      </c>
      <c r="U1885" s="4">
        <f>IF(COUNTIFS(F:F,F1885,H:H,H1885)&lt;=VLOOKUP(H1885,Dados!$X:$AB,5,0),0,1)</f>
        <v>0</v>
      </c>
    </row>
    <row r="1886" spans="6:21">
      <c r="F1886" s="4">
        <v>868</v>
      </c>
      <c r="G1886" s="4">
        <v>66</v>
      </c>
      <c r="H1886" s="4">
        <v>3</v>
      </c>
      <c r="I1886" s="4">
        <v>29</v>
      </c>
      <c r="J1886" s="4">
        <v>3</v>
      </c>
      <c r="K1886" s="4">
        <f t="shared" si="302"/>
        <v>0</v>
      </c>
      <c r="L1886" s="4">
        <f t="shared" si="302"/>
        <v>0</v>
      </c>
      <c r="M1886" s="4">
        <f t="shared" si="302"/>
        <v>0</v>
      </c>
      <c r="N1886" s="4">
        <f t="shared" si="302"/>
        <v>0</v>
      </c>
      <c r="O1886" s="4">
        <f t="shared" si="303"/>
        <v>0</v>
      </c>
      <c r="P1886" s="4">
        <f t="shared" si="304"/>
        <v>0</v>
      </c>
      <c r="Q1886" s="4">
        <f t="shared" si="305"/>
        <v>0</v>
      </c>
      <c r="R1886" s="4">
        <f t="shared" si="306"/>
        <v>0</v>
      </c>
      <c r="S1886" s="4">
        <f>IF(AND(VLOOKUP(G1886,Dados!$D:$L,2,0)=VLOOKUP(I1886,Dados!$S:$V,2,0),VLOOKUP(G1886,Dados!$D:$L,3,0)=VLOOKUP(I1886,Dados!$S:$V,3,0)),0,1)</f>
        <v>0</v>
      </c>
      <c r="T1886" s="4">
        <f>IF(AND(VLOOKUP(G1886,Dados!$D:$L,3,0)&lt;=VLOOKUP(H1886,Dados!$X:$AB,2,0),VLOOKUP(G1886,Dados!$D:$L,4,0)&gt;=VLOOKUP(H1886,Dados!$X:$AB,3,0),VLOOKUP(G1886,Dados!$D:$L,4,0)&lt;=VLOOKUP(H1886,Dados!$X:$AB,4,0)),0,1)</f>
        <v>0</v>
      </c>
      <c r="U1886" s="4">
        <f>IF(COUNTIFS(F:F,F1886,H:H,H1886)&lt;=VLOOKUP(H1886,Dados!$X:$AB,5,0),0,1)</f>
        <v>0</v>
      </c>
    </row>
    <row r="1887" spans="6:21">
      <c r="F1887" s="4">
        <v>868</v>
      </c>
      <c r="G1887" s="4">
        <v>67</v>
      </c>
      <c r="H1887" s="4">
        <v>3</v>
      </c>
      <c r="I1887" s="4">
        <v>29</v>
      </c>
      <c r="J1887" s="4">
        <v>2</v>
      </c>
      <c r="K1887" s="4">
        <f t="shared" si="302"/>
        <v>0</v>
      </c>
      <c r="L1887" s="4">
        <f t="shared" si="302"/>
        <v>0</v>
      </c>
      <c r="M1887" s="4">
        <f t="shared" si="302"/>
        <v>0</v>
      </c>
      <c r="N1887" s="4">
        <f t="shared" si="302"/>
        <v>0</v>
      </c>
      <c r="O1887" s="4">
        <f t="shared" si="303"/>
        <v>0</v>
      </c>
      <c r="P1887" s="4">
        <f t="shared" si="304"/>
        <v>0</v>
      </c>
      <c r="Q1887" s="4">
        <f t="shared" si="305"/>
        <v>0</v>
      </c>
      <c r="R1887" s="4">
        <f t="shared" si="306"/>
        <v>0</v>
      </c>
      <c r="S1887" s="4">
        <f>IF(AND(VLOOKUP(G1887,Dados!$D:$L,2,0)=VLOOKUP(I1887,Dados!$S:$V,2,0),VLOOKUP(G1887,Dados!$D:$L,3,0)=VLOOKUP(I1887,Dados!$S:$V,3,0)),0,1)</f>
        <v>0</v>
      </c>
      <c r="T1887" s="4">
        <f>IF(AND(VLOOKUP(G1887,Dados!$D:$L,3,0)&lt;=VLOOKUP(H1887,Dados!$X:$AB,2,0),VLOOKUP(G1887,Dados!$D:$L,4,0)&gt;=VLOOKUP(H1887,Dados!$X:$AB,3,0),VLOOKUP(G1887,Dados!$D:$L,4,0)&lt;=VLOOKUP(H1887,Dados!$X:$AB,4,0)),0,1)</f>
        <v>0</v>
      </c>
      <c r="U1887" s="4">
        <f>IF(COUNTIFS(F:F,F1887,H:H,H1887)&lt;=VLOOKUP(H1887,Dados!$X:$AB,5,0),0,1)</f>
        <v>0</v>
      </c>
    </row>
    <row r="1888" spans="6:21">
      <c r="F1888" s="4">
        <v>869</v>
      </c>
      <c r="G1888" s="4">
        <v>12</v>
      </c>
      <c r="H1888" s="4">
        <v>1</v>
      </c>
      <c r="I1888" s="4">
        <v>8</v>
      </c>
      <c r="J1888" s="4">
        <v>3</v>
      </c>
      <c r="K1888" s="4">
        <f t="shared" si="302"/>
        <v>0</v>
      </c>
      <c r="L1888" s="4">
        <f t="shared" si="302"/>
        <v>0</v>
      </c>
      <c r="M1888" s="4">
        <f t="shared" si="302"/>
        <v>0</v>
      </c>
      <c r="N1888" s="4">
        <f t="shared" si="302"/>
        <v>0</v>
      </c>
      <c r="O1888" s="4">
        <f t="shared" si="303"/>
        <v>0</v>
      </c>
      <c r="P1888" s="4">
        <f t="shared" si="304"/>
        <v>0</v>
      </c>
      <c r="Q1888" s="4">
        <f t="shared" si="305"/>
        <v>0</v>
      </c>
      <c r="R1888" s="4">
        <f t="shared" si="306"/>
        <v>0</v>
      </c>
      <c r="S1888" s="4">
        <f>IF(AND(VLOOKUP(G1888,Dados!$D:$L,2,0)=VLOOKUP(I1888,Dados!$S:$V,2,0),VLOOKUP(G1888,Dados!$D:$L,3,0)=VLOOKUP(I1888,Dados!$S:$V,3,0)),0,1)</f>
        <v>0</v>
      </c>
      <c r="T1888" s="4">
        <f>IF(AND(VLOOKUP(G1888,Dados!$D:$L,3,0)&lt;=VLOOKUP(H1888,Dados!$X:$AB,2,0),VLOOKUP(G1888,Dados!$D:$L,4,0)&gt;=VLOOKUP(H1888,Dados!$X:$AB,3,0),VLOOKUP(G1888,Dados!$D:$L,4,0)&lt;=VLOOKUP(H1888,Dados!$X:$AB,4,0)),0,1)</f>
        <v>0</v>
      </c>
      <c r="U1888" s="4">
        <f>IF(COUNTIFS(F:F,F1888,H:H,H1888)&lt;=VLOOKUP(H1888,Dados!$X:$AB,5,0),0,1)</f>
        <v>0</v>
      </c>
    </row>
    <row r="1889" spans="6:21">
      <c r="F1889" s="4">
        <v>869</v>
      </c>
      <c r="G1889" s="4">
        <v>13</v>
      </c>
      <c r="H1889" s="4">
        <v>1</v>
      </c>
      <c r="I1889" s="4">
        <v>8</v>
      </c>
      <c r="J1889" s="4">
        <v>7</v>
      </c>
      <c r="K1889" s="4">
        <f t="shared" ref="K1889:N1952" si="307">SUMIFS($X:$X,$W:$W,$F1889,$Z:$Z,$I1889,$AA:$AA,$H1889,$AB:$AB,K$2)</f>
        <v>0</v>
      </c>
      <c r="L1889" s="4">
        <f t="shared" si="307"/>
        <v>0</v>
      </c>
      <c r="M1889" s="4">
        <f t="shared" si="307"/>
        <v>0</v>
      </c>
      <c r="N1889" s="4">
        <f t="shared" si="307"/>
        <v>0</v>
      </c>
      <c r="O1889" s="4">
        <f t="shared" si="303"/>
        <v>0</v>
      </c>
      <c r="P1889" s="4">
        <f t="shared" si="304"/>
        <v>0</v>
      </c>
      <c r="Q1889" s="4">
        <f t="shared" si="305"/>
        <v>0</v>
      </c>
      <c r="R1889" s="4">
        <f t="shared" si="306"/>
        <v>0</v>
      </c>
      <c r="S1889" s="4">
        <f>IF(AND(VLOOKUP(G1889,Dados!$D:$L,2,0)=VLOOKUP(I1889,Dados!$S:$V,2,0),VLOOKUP(G1889,Dados!$D:$L,3,0)=VLOOKUP(I1889,Dados!$S:$V,3,0)),0,1)</f>
        <v>0</v>
      </c>
      <c r="T1889" s="4">
        <f>IF(AND(VLOOKUP(G1889,Dados!$D:$L,3,0)&lt;=VLOOKUP(H1889,Dados!$X:$AB,2,0),VLOOKUP(G1889,Dados!$D:$L,4,0)&gt;=VLOOKUP(H1889,Dados!$X:$AB,3,0),VLOOKUP(G1889,Dados!$D:$L,4,0)&lt;=VLOOKUP(H1889,Dados!$X:$AB,4,0)),0,1)</f>
        <v>0</v>
      </c>
      <c r="U1889" s="4">
        <f>IF(COUNTIFS(F:F,F1889,H:H,H1889)&lt;=VLOOKUP(H1889,Dados!$X:$AB,5,0),0,1)</f>
        <v>0</v>
      </c>
    </row>
    <row r="1890" spans="6:21">
      <c r="F1890" s="4">
        <v>870</v>
      </c>
      <c r="G1890" s="4">
        <v>12</v>
      </c>
      <c r="H1890" s="4">
        <v>3</v>
      </c>
      <c r="I1890" s="4">
        <v>8</v>
      </c>
      <c r="J1890" s="4">
        <v>3</v>
      </c>
      <c r="K1890" s="4">
        <f t="shared" si="307"/>
        <v>0</v>
      </c>
      <c r="L1890" s="4">
        <f t="shared" si="307"/>
        <v>0</v>
      </c>
      <c r="M1890" s="4">
        <f t="shared" si="307"/>
        <v>0</v>
      </c>
      <c r="N1890" s="4">
        <f t="shared" si="307"/>
        <v>3</v>
      </c>
      <c r="O1890" s="4">
        <f t="shared" si="303"/>
        <v>0</v>
      </c>
      <c r="P1890" s="4">
        <f t="shared" si="304"/>
        <v>0</v>
      </c>
      <c r="Q1890" s="4">
        <f t="shared" si="305"/>
        <v>0</v>
      </c>
      <c r="R1890" s="4">
        <f t="shared" si="306"/>
        <v>9</v>
      </c>
      <c r="S1890" s="4">
        <f>IF(AND(VLOOKUP(G1890,Dados!$D:$L,2,0)=VLOOKUP(I1890,Dados!$S:$V,2,0),VLOOKUP(G1890,Dados!$D:$L,3,0)=VLOOKUP(I1890,Dados!$S:$V,3,0)),0,1)</f>
        <v>0</v>
      </c>
      <c r="T1890" s="4">
        <f>IF(AND(VLOOKUP(G1890,Dados!$D:$L,3,0)&lt;=VLOOKUP(H1890,Dados!$X:$AB,2,0),VLOOKUP(G1890,Dados!$D:$L,4,0)&gt;=VLOOKUP(H1890,Dados!$X:$AB,3,0),VLOOKUP(G1890,Dados!$D:$L,4,0)&lt;=VLOOKUP(H1890,Dados!$X:$AB,4,0)),0,1)</f>
        <v>0</v>
      </c>
      <c r="U1890" s="4">
        <f>IF(COUNTIFS(F:F,F1890,H:H,H1890)&lt;=VLOOKUP(H1890,Dados!$X:$AB,5,0),0,1)</f>
        <v>0</v>
      </c>
    </row>
    <row r="1891" spans="6:21">
      <c r="F1891" s="4">
        <v>870</v>
      </c>
      <c r="G1891" s="4">
        <v>13</v>
      </c>
      <c r="H1891" s="4">
        <v>3</v>
      </c>
      <c r="I1891" s="4">
        <v>8</v>
      </c>
      <c r="J1891" s="4">
        <v>7</v>
      </c>
      <c r="K1891" s="4">
        <f t="shared" si="307"/>
        <v>0</v>
      </c>
      <c r="L1891" s="4">
        <f t="shared" si="307"/>
        <v>0</v>
      </c>
      <c r="M1891" s="4">
        <f t="shared" si="307"/>
        <v>0</v>
      </c>
      <c r="N1891" s="4">
        <f t="shared" si="307"/>
        <v>3</v>
      </c>
      <c r="O1891" s="4">
        <f t="shared" si="303"/>
        <v>0</v>
      </c>
      <c r="P1891" s="4">
        <f t="shared" si="304"/>
        <v>0</v>
      </c>
      <c r="Q1891" s="4">
        <f t="shared" si="305"/>
        <v>0</v>
      </c>
      <c r="R1891" s="4">
        <f t="shared" si="306"/>
        <v>21</v>
      </c>
      <c r="S1891" s="4">
        <f>IF(AND(VLOOKUP(G1891,Dados!$D:$L,2,0)=VLOOKUP(I1891,Dados!$S:$V,2,0),VLOOKUP(G1891,Dados!$D:$L,3,0)=VLOOKUP(I1891,Dados!$S:$V,3,0)),0,1)</f>
        <v>0</v>
      </c>
      <c r="T1891" s="4">
        <f>IF(AND(VLOOKUP(G1891,Dados!$D:$L,3,0)&lt;=VLOOKUP(H1891,Dados!$X:$AB,2,0),VLOOKUP(G1891,Dados!$D:$L,4,0)&gt;=VLOOKUP(H1891,Dados!$X:$AB,3,0),VLOOKUP(G1891,Dados!$D:$L,4,0)&lt;=VLOOKUP(H1891,Dados!$X:$AB,4,0)),0,1)</f>
        <v>0</v>
      </c>
      <c r="U1891" s="4">
        <f>IF(COUNTIFS(F:F,F1891,H:H,H1891)&lt;=VLOOKUP(H1891,Dados!$X:$AB,5,0),0,1)</f>
        <v>0</v>
      </c>
    </row>
    <row r="1892" spans="6:21">
      <c r="F1892" s="4">
        <v>871</v>
      </c>
      <c r="G1892" s="4">
        <v>12</v>
      </c>
      <c r="H1892" s="4">
        <v>1</v>
      </c>
      <c r="I1892" s="4">
        <v>9</v>
      </c>
      <c r="J1892" s="4">
        <v>4</v>
      </c>
      <c r="K1892" s="4">
        <f t="shared" si="307"/>
        <v>0</v>
      </c>
      <c r="L1892" s="4">
        <f t="shared" si="307"/>
        <v>0</v>
      </c>
      <c r="M1892" s="4">
        <f t="shared" si="307"/>
        <v>0</v>
      </c>
      <c r="N1892" s="4">
        <f t="shared" si="307"/>
        <v>0</v>
      </c>
      <c r="O1892" s="4">
        <f t="shared" si="303"/>
        <v>0</v>
      </c>
      <c r="P1892" s="4">
        <f t="shared" si="304"/>
        <v>0</v>
      </c>
      <c r="Q1892" s="4">
        <f t="shared" si="305"/>
        <v>0</v>
      </c>
      <c r="R1892" s="4">
        <f t="shared" si="306"/>
        <v>0</v>
      </c>
      <c r="S1892" s="4">
        <f>IF(AND(VLOOKUP(G1892,Dados!$D:$L,2,0)=VLOOKUP(I1892,Dados!$S:$V,2,0),VLOOKUP(G1892,Dados!$D:$L,3,0)=VLOOKUP(I1892,Dados!$S:$V,3,0)),0,1)</f>
        <v>0</v>
      </c>
      <c r="T1892" s="4">
        <f>IF(AND(VLOOKUP(G1892,Dados!$D:$L,3,0)&lt;=VLOOKUP(H1892,Dados!$X:$AB,2,0),VLOOKUP(G1892,Dados!$D:$L,4,0)&gt;=VLOOKUP(H1892,Dados!$X:$AB,3,0),VLOOKUP(G1892,Dados!$D:$L,4,0)&lt;=VLOOKUP(H1892,Dados!$X:$AB,4,0)),0,1)</f>
        <v>0</v>
      </c>
      <c r="U1892" s="4">
        <f>IF(COUNTIFS(F:F,F1892,H:H,H1892)&lt;=VLOOKUP(H1892,Dados!$X:$AB,5,0),0,1)</f>
        <v>0</v>
      </c>
    </row>
    <row r="1893" spans="6:21">
      <c r="F1893" s="4">
        <v>871</v>
      </c>
      <c r="G1893" s="4">
        <v>13</v>
      </c>
      <c r="H1893" s="4">
        <v>1</v>
      </c>
      <c r="I1893" s="4">
        <v>9</v>
      </c>
      <c r="J1893" s="4">
        <v>6</v>
      </c>
      <c r="K1893" s="4">
        <f t="shared" si="307"/>
        <v>0</v>
      </c>
      <c r="L1893" s="4">
        <f t="shared" si="307"/>
        <v>0</v>
      </c>
      <c r="M1893" s="4">
        <f t="shared" si="307"/>
        <v>0</v>
      </c>
      <c r="N1893" s="4">
        <f t="shared" si="307"/>
        <v>0</v>
      </c>
      <c r="O1893" s="4">
        <f t="shared" si="303"/>
        <v>0</v>
      </c>
      <c r="P1893" s="4">
        <f t="shared" si="304"/>
        <v>0</v>
      </c>
      <c r="Q1893" s="4">
        <f t="shared" si="305"/>
        <v>0</v>
      </c>
      <c r="R1893" s="4">
        <f t="shared" si="306"/>
        <v>0</v>
      </c>
      <c r="S1893" s="4">
        <f>IF(AND(VLOOKUP(G1893,Dados!$D:$L,2,0)=VLOOKUP(I1893,Dados!$S:$V,2,0),VLOOKUP(G1893,Dados!$D:$L,3,0)=VLOOKUP(I1893,Dados!$S:$V,3,0)),0,1)</f>
        <v>0</v>
      </c>
      <c r="T1893" s="4">
        <f>IF(AND(VLOOKUP(G1893,Dados!$D:$L,3,0)&lt;=VLOOKUP(H1893,Dados!$X:$AB,2,0),VLOOKUP(G1893,Dados!$D:$L,4,0)&gt;=VLOOKUP(H1893,Dados!$X:$AB,3,0),VLOOKUP(G1893,Dados!$D:$L,4,0)&lt;=VLOOKUP(H1893,Dados!$X:$AB,4,0)),0,1)</f>
        <v>0</v>
      </c>
      <c r="U1893" s="4">
        <f>IF(COUNTIFS(F:F,F1893,H:H,H1893)&lt;=VLOOKUP(H1893,Dados!$X:$AB,5,0),0,1)</f>
        <v>0</v>
      </c>
    </row>
    <row r="1894" spans="6:21">
      <c r="F1894" s="4">
        <v>872</v>
      </c>
      <c r="G1894" s="4">
        <v>12</v>
      </c>
      <c r="H1894" s="4">
        <v>3</v>
      </c>
      <c r="I1894" s="4">
        <v>9</v>
      </c>
      <c r="J1894" s="4">
        <v>4</v>
      </c>
      <c r="K1894" s="4">
        <f t="shared" si="307"/>
        <v>0</v>
      </c>
      <c r="L1894" s="4">
        <f t="shared" si="307"/>
        <v>0</v>
      </c>
      <c r="M1894" s="4">
        <f t="shared" si="307"/>
        <v>0</v>
      </c>
      <c r="N1894" s="4">
        <f t="shared" si="307"/>
        <v>0</v>
      </c>
      <c r="O1894" s="4">
        <f t="shared" si="303"/>
        <v>0</v>
      </c>
      <c r="P1894" s="4">
        <f t="shared" si="304"/>
        <v>0</v>
      </c>
      <c r="Q1894" s="4">
        <f t="shared" si="305"/>
        <v>0</v>
      </c>
      <c r="R1894" s="4">
        <f t="shared" si="306"/>
        <v>0</v>
      </c>
      <c r="S1894" s="4">
        <f>IF(AND(VLOOKUP(G1894,Dados!$D:$L,2,0)=VLOOKUP(I1894,Dados!$S:$V,2,0),VLOOKUP(G1894,Dados!$D:$L,3,0)=VLOOKUP(I1894,Dados!$S:$V,3,0)),0,1)</f>
        <v>0</v>
      </c>
      <c r="T1894" s="4">
        <f>IF(AND(VLOOKUP(G1894,Dados!$D:$L,3,0)&lt;=VLOOKUP(H1894,Dados!$X:$AB,2,0),VLOOKUP(G1894,Dados!$D:$L,4,0)&gt;=VLOOKUP(H1894,Dados!$X:$AB,3,0),VLOOKUP(G1894,Dados!$D:$L,4,0)&lt;=VLOOKUP(H1894,Dados!$X:$AB,4,0)),0,1)</f>
        <v>0</v>
      </c>
      <c r="U1894" s="4">
        <f>IF(COUNTIFS(F:F,F1894,H:H,H1894)&lt;=VLOOKUP(H1894,Dados!$X:$AB,5,0),0,1)</f>
        <v>0</v>
      </c>
    </row>
    <row r="1895" spans="6:21">
      <c r="F1895" s="4">
        <v>872</v>
      </c>
      <c r="G1895" s="4">
        <v>13</v>
      </c>
      <c r="H1895" s="4">
        <v>3</v>
      </c>
      <c r="I1895" s="4">
        <v>9</v>
      </c>
      <c r="J1895" s="4">
        <v>6</v>
      </c>
      <c r="K1895" s="4">
        <f t="shared" si="307"/>
        <v>0</v>
      </c>
      <c r="L1895" s="4">
        <f t="shared" si="307"/>
        <v>0</v>
      </c>
      <c r="M1895" s="4">
        <f t="shared" si="307"/>
        <v>0</v>
      </c>
      <c r="N1895" s="4">
        <f t="shared" si="307"/>
        <v>0</v>
      </c>
      <c r="O1895" s="4">
        <f t="shared" ref="O1895:O1958" si="308">$J1895*K1895</f>
        <v>0</v>
      </c>
      <c r="P1895" s="4">
        <f t="shared" ref="P1895:P1958" si="309">$J1895*L1895</f>
        <v>0</v>
      </c>
      <c r="Q1895" s="4">
        <f t="shared" ref="Q1895:Q1958" si="310">$J1895*M1895</f>
        <v>0</v>
      </c>
      <c r="R1895" s="4">
        <f t="shared" ref="R1895:R1958" si="311">$J1895*N1895</f>
        <v>0</v>
      </c>
      <c r="S1895" s="4">
        <f>IF(AND(VLOOKUP(G1895,Dados!$D:$L,2,0)=VLOOKUP(I1895,Dados!$S:$V,2,0),VLOOKUP(G1895,Dados!$D:$L,3,0)=VLOOKUP(I1895,Dados!$S:$V,3,0)),0,1)</f>
        <v>0</v>
      </c>
      <c r="T1895" s="4">
        <f>IF(AND(VLOOKUP(G1895,Dados!$D:$L,3,0)&lt;=VLOOKUP(H1895,Dados!$X:$AB,2,0),VLOOKUP(G1895,Dados!$D:$L,4,0)&gt;=VLOOKUP(H1895,Dados!$X:$AB,3,0),VLOOKUP(G1895,Dados!$D:$L,4,0)&lt;=VLOOKUP(H1895,Dados!$X:$AB,4,0)),0,1)</f>
        <v>0</v>
      </c>
      <c r="U1895" s="4">
        <f>IF(COUNTIFS(F:F,F1895,H:H,H1895)&lt;=VLOOKUP(H1895,Dados!$X:$AB,5,0),0,1)</f>
        <v>0</v>
      </c>
    </row>
    <row r="1896" spans="6:21">
      <c r="F1896" s="4">
        <v>873</v>
      </c>
      <c r="G1896" s="4">
        <v>20</v>
      </c>
      <c r="H1896" s="4">
        <v>1</v>
      </c>
      <c r="I1896" s="4">
        <v>13</v>
      </c>
      <c r="J1896" s="4">
        <v>1</v>
      </c>
      <c r="K1896" s="4">
        <f t="shared" si="307"/>
        <v>0</v>
      </c>
      <c r="L1896" s="4">
        <f t="shared" si="307"/>
        <v>0</v>
      </c>
      <c r="M1896" s="4">
        <f t="shared" si="307"/>
        <v>0</v>
      </c>
      <c r="N1896" s="4">
        <f t="shared" si="307"/>
        <v>0</v>
      </c>
      <c r="O1896" s="4">
        <f t="shared" si="308"/>
        <v>0</v>
      </c>
      <c r="P1896" s="4">
        <f t="shared" si="309"/>
        <v>0</v>
      </c>
      <c r="Q1896" s="4">
        <f t="shared" si="310"/>
        <v>0</v>
      </c>
      <c r="R1896" s="4">
        <f t="shared" si="311"/>
        <v>0</v>
      </c>
      <c r="S1896" s="4">
        <f>IF(AND(VLOOKUP(G1896,Dados!$D:$L,2,0)=VLOOKUP(I1896,Dados!$S:$V,2,0),VLOOKUP(G1896,Dados!$D:$L,3,0)=VLOOKUP(I1896,Dados!$S:$V,3,0)),0,1)</f>
        <v>0</v>
      </c>
      <c r="T1896" s="4">
        <f>IF(AND(VLOOKUP(G1896,Dados!$D:$L,3,0)&lt;=VLOOKUP(H1896,Dados!$X:$AB,2,0),VLOOKUP(G1896,Dados!$D:$L,4,0)&gt;=VLOOKUP(H1896,Dados!$X:$AB,3,0),VLOOKUP(G1896,Dados!$D:$L,4,0)&lt;=VLOOKUP(H1896,Dados!$X:$AB,4,0)),0,1)</f>
        <v>0</v>
      </c>
      <c r="U1896" s="4">
        <f>IF(COUNTIFS(F:F,F1896,H:H,H1896)&lt;=VLOOKUP(H1896,Dados!$X:$AB,5,0),0,1)</f>
        <v>0</v>
      </c>
    </row>
    <row r="1897" spans="6:21">
      <c r="F1897" s="4">
        <v>873</v>
      </c>
      <c r="G1897" s="4">
        <v>22</v>
      </c>
      <c r="H1897" s="4">
        <v>1</v>
      </c>
      <c r="I1897" s="4">
        <v>13</v>
      </c>
      <c r="J1897" s="4">
        <v>6</v>
      </c>
      <c r="K1897" s="4">
        <f t="shared" si="307"/>
        <v>0</v>
      </c>
      <c r="L1897" s="4">
        <f t="shared" si="307"/>
        <v>0</v>
      </c>
      <c r="M1897" s="4">
        <f t="shared" si="307"/>
        <v>0</v>
      </c>
      <c r="N1897" s="4">
        <f t="shared" si="307"/>
        <v>0</v>
      </c>
      <c r="O1897" s="4">
        <f t="shared" si="308"/>
        <v>0</v>
      </c>
      <c r="P1897" s="4">
        <f t="shared" si="309"/>
        <v>0</v>
      </c>
      <c r="Q1897" s="4">
        <f t="shared" si="310"/>
        <v>0</v>
      </c>
      <c r="R1897" s="4">
        <f t="shared" si="311"/>
        <v>0</v>
      </c>
      <c r="S1897" s="4">
        <f>IF(AND(VLOOKUP(G1897,Dados!$D:$L,2,0)=VLOOKUP(I1897,Dados!$S:$V,2,0),VLOOKUP(G1897,Dados!$D:$L,3,0)=VLOOKUP(I1897,Dados!$S:$V,3,0)),0,1)</f>
        <v>0</v>
      </c>
      <c r="T1897" s="4">
        <f>IF(AND(VLOOKUP(G1897,Dados!$D:$L,3,0)&lt;=VLOOKUP(H1897,Dados!$X:$AB,2,0),VLOOKUP(G1897,Dados!$D:$L,4,0)&gt;=VLOOKUP(H1897,Dados!$X:$AB,3,0),VLOOKUP(G1897,Dados!$D:$L,4,0)&lt;=VLOOKUP(H1897,Dados!$X:$AB,4,0)),0,1)</f>
        <v>0</v>
      </c>
      <c r="U1897" s="4">
        <f>IF(COUNTIFS(F:F,F1897,H:H,H1897)&lt;=VLOOKUP(H1897,Dados!$X:$AB,5,0),0,1)</f>
        <v>0</v>
      </c>
    </row>
    <row r="1898" spans="6:21">
      <c r="F1898" s="4">
        <v>873</v>
      </c>
      <c r="G1898" s="4">
        <v>23</v>
      </c>
      <c r="H1898" s="4">
        <v>1</v>
      </c>
      <c r="I1898" s="4">
        <v>13</v>
      </c>
      <c r="J1898" s="4">
        <v>1</v>
      </c>
      <c r="K1898" s="4">
        <f t="shared" si="307"/>
        <v>0</v>
      </c>
      <c r="L1898" s="4">
        <f t="shared" si="307"/>
        <v>0</v>
      </c>
      <c r="M1898" s="4">
        <f t="shared" si="307"/>
        <v>0</v>
      </c>
      <c r="N1898" s="4">
        <f t="shared" si="307"/>
        <v>0</v>
      </c>
      <c r="O1898" s="4">
        <f t="shared" si="308"/>
        <v>0</v>
      </c>
      <c r="P1898" s="4">
        <f t="shared" si="309"/>
        <v>0</v>
      </c>
      <c r="Q1898" s="4">
        <f t="shared" si="310"/>
        <v>0</v>
      </c>
      <c r="R1898" s="4">
        <f t="shared" si="311"/>
        <v>0</v>
      </c>
      <c r="S1898" s="4">
        <f>IF(AND(VLOOKUP(G1898,Dados!$D:$L,2,0)=VLOOKUP(I1898,Dados!$S:$V,2,0),VLOOKUP(G1898,Dados!$D:$L,3,0)=VLOOKUP(I1898,Dados!$S:$V,3,0)),0,1)</f>
        <v>0</v>
      </c>
      <c r="T1898" s="4">
        <f>IF(AND(VLOOKUP(G1898,Dados!$D:$L,3,0)&lt;=VLOOKUP(H1898,Dados!$X:$AB,2,0),VLOOKUP(G1898,Dados!$D:$L,4,0)&gt;=VLOOKUP(H1898,Dados!$X:$AB,3,0),VLOOKUP(G1898,Dados!$D:$L,4,0)&lt;=VLOOKUP(H1898,Dados!$X:$AB,4,0)),0,1)</f>
        <v>0</v>
      </c>
      <c r="U1898" s="4">
        <f>IF(COUNTIFS(F:F,F1898,H:H,H1898)&lt;=VLOOKUP(H1898,Dados!$X:$AB,5,0),0,1)</f>
        <v>0</v>
      </c>
    </row>
    <row r="1899" spans="6:21">
      <c r="F1899" s="4">
        <v>874</v>
      </c>
      <c r="G1899" s="4">
        <v>20</v>
      </c>
      <c r="H1899" s="4">
        <v>2</v>
      </c>
      <c r="I1899" s="4">
        <v>13</v>
      </c>
      <c r="J1899" s="4">
        <v>1</v>
      </c>
      <c r="K1899" s="4">
        <f t="shared" si="307"/>
        <v>0</v>
      </c>
      <c r="L1899" s="4">
        <f t="shared" si="307"/>
        <v>0</v>
      </c>
      <c r="M1899" s="4">
        <f t="shared" si="307"/>
        <v>0</v>
      </c>
      <c r="N1899" s="4">
        <f t="shared" si="307"/>
        <v>27</v>
      </c>
      <c r="O1899" s="4">
        <f t="shared" si="308"/>
        <v>0</v>
      </c>
      <c r="P1899" s="4">
        <f t="shared" si="309"/>
        <v>0</v>
      </c>
      <c r="Q1899" s="4">
        <f t="shared" si="310"/>
        <v>0</v>
      </c>
      <c r="R1899" s="4">
        <f t="shared" si="311"/>
        <v>27</v>
      </c>
      <c r="S1899" s="4">
        <f>IF(AND(VLOOKUP(G1899,Dados!$D:$L,2,0)=VLOOKUP(I1899,Dados!$S:$V,2,0),VLOOKUP(G1899,Dados!$D:$L,3,0)=VLOOKUP(I1899,Dados!$S:$V,3,0)),0,1)</f>
        <v>0</v>
      </c>
      <c r="T1899" s="4">
        <f>IF(AND(VLOOKUP(G1899,Dados!$D:$L,3,0)&lt;=VLOOKUP(H1899,Dados!$X:$AB,2,0),VLOOKUP(G1899,Dados!$D:$L,4,0)&gt;=VLOOKUP(H1899,Dados!$X:$AB,3,0),VLOOKUP(G1899,Dados!$D:$L,4,0)&lt;=VLOOKUP(H1899,Dados!$X:$AB,4,0)),0,1)</f>
        <v>0</v>
      </c>
      <c r="U1899" s="4">
        <f>IF(COUNTIFS(F:F,F1899,H:H,H1899)&lt;=VLOOKUP(H1899,Dados!$X:$AB,5,0),0,1)</f>
        <v>0</v>
      </c>
    </row>
    <row r="1900" spans="6:21">
      <c r="F1900" s="4">
        <v>874</v>
      </c>
      <c r="G1900" s="4">
        <v>22</v>
      </c>
      <c r="H1900" s="4">
        <v>2</v>
      </c>
      <c r="I1900" s="4">
        <v>13</v>
      </c>
      <c r="J1900" s="4">
        <v>6</v>
      </c>
      <c r="K1900" s="4">
        <f t="shared" si="307"/>
        <v>0</v>
      </c>
      <c r="L1900" s="4">
        <f t="shared" si="307"/>
        <v>0</v>
      </c>
      <c r="M1900" s="4">
        <f t="shared" si="307"/>
        <v>0</v>
      </c>
      <c r="N1900" s="4">
        <f t="shared" si="307"/>
        <v>27</v>
      </c>
      <c r="O1900" s="4">
        <f t="shared" si="308"/>
        <v>0</v>
      </c>
      <c r="P1900" s="4">
        <f t="shared" si="309"/>
        <v>0</v>
      </c>
      <c r="Q1900" s="4">
        <f t="shared" si="310"/>
        <v>0</v>
      </c>
      <c r="R1900" s="4">
        <f t="shared" si="311"/>
        <v>162</v>
      </c>
      <c r="S1900" s="4">
        <f>IF(AND(VLOOKUP(G1900,Dados!$D:$L,2,0)=VLOOKUP(I1900,Dados!$S:$V,2,0),VLOOKUP(G1900,Dados!$D:$L,3,0)=VLOOKUP(I1900,Dados!$S:$V,3,0)),0,1)</f>
        <v>0</v>
      </c>
      <c r="T1900" s="4">
        <f>IF(AND(VLOOKUP(G1900,Dados!$D:$L,3,0)&lt;=VLOOKUP(H1900,Dados!$X:$AB,2,0),VLOOKUP(G1900,Dados!$D:$L,4,0)&gt;=VLOOKUP(H1900,Dados!$X:$AB,3,0),VLOOKUP(G1900,Dados!$D:$L,4,0)&lt;=VLOOKUP(H1900,Dados!$X:$AB,4,0)),0,1)</f>
        <v>0</v>
      </c>
      <c r="U1900" s="4">
        <f>IF(COUNTIFS(F:F,F1900,H:H,H1900)&lt;=VLOOKUP(H1900,Dados!$X:$AB,5,0),0,1)</f>
        <v>0</v>
      </c>
    </row>
    <row r="1901" spans="6:21">
      <c r="F1901" s="4">
        <v>874</v>
      </c>
      <c r="G1901" s="4">
        <v>23</v>
      </c>
      <c r="H1901" s="4">
        <v>2</v>
      </c>
      <c r="I1901" s="4">
        <v>13</v>
      </c>
      <c r="J1901" s="4">
        <v>1</v>
      </c>
      <c r="K1901" s="4">
        <f t="shared" si="307"/>
        <v>0</v>
      </c>
      <c r="L1901" s="4">
        <f t="shared" si="307"/>
        <v>0</v>
      </c>
      <c r="M1901" s="4">
        <f t="shared" si="307"/>
        <v>0</v>
      </c>
      <c r="N1901" s="4">
        <f t="shared" si="307"/>
        <v>27</v>
      </c>
      <c r="O1901" s="4">
        <f t="shared" si="308"/>
        <v>0</v>
      </c>
      <c r="P1901" s="4">
        <f t="shared" si="309"/>
        <v>0</v>
      </c>
      <c r="Q1901" s="4">
        <f t="shared" si="310"/>
        <v>0</v>
      </c>
      <c r="R1901" s="4">
        <f t="shared" si="311"/>
        <v>27</v>
      </c>
      <c r="S1901" s="4">
        <f>IF(AND(VLOOKUP(G1901,Dados!$D:$L,2,0)=VLOOKUP(I1901,Dados!$S:$V,2,0),VLOOKUP(G1901,Dados!$D:$L,3,0)=VLOOKUP(I1901,Dados!$S:$V,3,0)),0,1)</f>
        <v>0</v>
      </c>
      <c r="T1901" s="4">
        <f>IF(AND(VLOOKUP(G1901,Dados!$D:$L,3,0)&lt;=VLOOKUP(H1901,Dados!$X:$AB,2,0),VLOOKUP(G1901,Dados!$D:$L,4,0)&gt;=VLOOKUP(H1901,Dados!$X:$AB,3,0),VLOOKUP(G1901,Dados!$D:$L,4,0)&lt;=VLOOKUP(H1901,Dados!$X:$AB,4,0)),0,1)</f>
        <v>0</v>
      </c>
      <c r="U1901" s="4">
        <f>IF(COUNTIFS(F:F,F1901,H:H,H1901)&lt;=VLOOKUP(H1901,Dados!$X:$AB,5,0),0,1)</f>
        <v>0</v>
      </c>
    </row>
    <row r="1902" spans="6:21">
      <c r="F1902" s="4">
        <v>875</v>
      </c>
      <c r="G1902" s="4">
        <v>20</v>
      </c>
      <c r="H1902" s="4">
        <v>3</v>
      </c>
      <c r="I1902" s="4">
        <v>13</v>
      </c>
      <c r="J1902" s="4">
        <v>1</v>
      </c>
      <c r="K1902" s="4">
        <f t="shared" si="307"/>
        <v>0</v>
      </c>
      <c r="L1902" s="4">
        <f t="shared" si="307"/>
        <v>0</v>
      </c>
      <c r="M1902" s="4">
        <f t="shared" si="307"/>
        <v>0</v>
      </c>
      <c r="N1902" s="4">
        <f t="shared" si="307"/>
        <v>0</v>
      </c>
      <c r="O1902" s="4">
        <f t="shared" si="308"/>
        <v>0</v>
      </c>
      <c r="P1902" s="4">
        <f t="shared" si="309"/>
        <v>0</v>
      </c>
      <c r="Q1902" s="4">
        <f t="shared" si="310"/>
        <v>0</v>
      </c>
      <c r="R1902" s="4">
        <f t="shared" si="311"/>
        <v>0</v>
      </c>
      <c r="S1902" s="4">
        <f>IF(AND(VLOOKUP(G1902,Dados!$D:$L,2,0)=VLOOKUP(I1902,Dados!$S:$V,2,0),VLOOKUP(G1902,Dados!$D:$L,3,0)=VLOOKUP(I1902,Dados!$S:$V,3,0)),0,1)</f>
        <v>0</v>
      </c>
      <c r="T1902" s="4">
        <f>IF(AND(VLOOKUP(G1902,Dados!$D:$L,3,0)&lt;=VLOOKUP(H1902,Dados!$X:$AB,2,0),VLOOKUP(G1902,Dados!$D:$L,4,0)&gt;=VLOOKUP(H1902,Dados!$X:$AB,3,0),VLOOKUP(G1902,Dados!$D:$L,4,0)&lt;=VLOOKUP(H1902,Dados!$X:$AB,4,0)),0,1)</f>
        <v>0</v>
      </c>
      <c r="U1902" s="4">
        <f>IF(COUNTIFS(F:F,F1902,H:H,H1902)&lt;=VLOOKUP(H1902,Dados!$X:$AB,5,0),0,1)</f>
        <v>0</v>
      </c>
    </row>
    <row r="1903" spans="6:21">
      <c r="F1903" s="4">
        <v>875</v>
      </c>
      <c r="G1903" s="4">
        <v>22</v>
      </c>
      <c r="H1903" s="4">
        <v>3</v>
      </c>
      <c r="I1903" s="4">
        <v>13</v>
      </c>
      <c r="J1903" s="4">
        <v>6</v>
      </c>
      <c r="K1903" s="4">
        <f t="shared" si="307"/>
        <v>0</v>
      </c>
      <c r="L1903" s="4">
        <f t="shared" si="307"/>
        <v>0</v>
      </c>
      <c r="M1903" s="4">
        <f t="shared" si="307"/>
        <v>0</v>
      </c>
      <c r="N1903" s="4">
        <f t="shared" si="307"/>
        <v>0</v>
      </c>
      <c r="O1903" s="4">
        <f t="shared" si="308"/>
        <v>0</v>
      </c>
      <c r="P1903" s="4">
        <f t="shared" si="309"/>
        <v>0</v>
      </c>
      <c r="Q1903" s="4">
        <f t="shared" si="310"/>
        <v>0</v>
      </c>
      <c r="R1903" s="4">
        <f t="shared" si="311"/>
        <v>0</v>
      </c>
      <c r="S1903" s="4">
        <f>IF(AND(VLOOKUP(G1903,Dados!$D:$L,2,0)=VLOOKUP(I1903,Dados!$S:$V,2,0),VLOOKUP(G1903,Dados!$D:$L,3,0)=VLOOKUP(I1903,Dados!$S:$V,3,0)),0,1)</f>
        <v>0</v>
      </c>
      <c r="T1903" s="4">
        <f>IF(AND(VLOOKUP(G1903,Dados!$D:$L,3,0)&lt;=VLOOKUP(H1903,Dados!$X:$AB,2,0),VLOOKUP(G1903,Dados!$D:$L,4,0)&gt;=VLOOKUP(H1903,Dados!$X:$AB,3,0),VLOOKUP(G1903,Dados!$D:$L,4,0)&lt;=VLOOKUP(H1903,Dados!$X:$AB,4,0)),0,1)</f>
        <v>0</v>
      </c>
      <c r="U1903" s="4">
        <f>IF(COUNTIFS(F:F,F1903,H:H,H1903)&lt;=VLOOKUP(H1903,Dados!$X:$AB,5,0),0,1)</f>
        <v>0</v>
      </c>
    </row>
    <row r="1904" spans="6:21">
      <c r="F1904" s="4">
        <v>875</v>
      </c>
      <c r="G1904" s="4">
        <v>23</v>
      </c>
      <c r="H1904" s="4">
        <v>3</v>
      </c>
      <c r="I1904" s="4">
        <v>13</v>
      </c>
      <c r="J1904" s="4">
        <v>1</v>
      </c>
      <c r="K1904" s="4">
        <f t="shared" si="307"/>
        <v>0</v>
      </c>
      <c r="L1904" s="4">
        <f t="shared" si="307"/>
        <v>0</v>
      </c>
      <c r="M1904" s="4">
        <f t="shared" si="307"/>
        <v>0</v>
      </c>
      <c r="N1904" s="4">
        <f t="shared" si="307"/>
        <v>0</v>
      </c>
      <c r="O1904" s="4">
        <f t="shared" si="308"/>
        <v>0</v>
      </c>
      <c r="P1904" s="4">
        <f t="shared" si="309"/>
        <v>0</v>
      </c>
      <c r="Q1904" s="4">
        <f t="shared" si="310"/>
        <v>0</v>
      </c>
      <c r="R1904" s="4">
        <f t="shared" si="311"/>
        <v>0</v>
      </c>
      <c r="S1904" s="4">
        <f>IF(AND(VLOOKUP(G1904,Dados!$D:$L,2,0)=VLOOKUP(I1904,Dados!$S:$V,2,0),VLOOKUP(G1904,Dados!$D:$L,3,0)=VLOOKUP(I1904,Dados!$S:$V,3,0)),0,1)</f>
        <v>0</v>
      </c>
      <c r="T1904" s="4">
        <f>IF(AND(VLOOKUP(G1904,Dados!$D:$L,3,0)&lt;=VLOOKUP(H1904,Dados!$X:$AB,2,0),VLOOKUP(G1904,Dados!$D:$L,4,0)&gt;=VLOOKUP(H1904,Dados!$X:$AB,3,0),VLOOKUP(G1904,Dados!$D:$L,4,0)&lt;=VLOOKUP(H1904,Dados!$X:$AB,4,0)),0,1)</f>
        <v>0</v>
      </c>
      <c r="U1904" s="4">
        <f>IF(COUNTIFS(F:F,F1904,H:H,H1904)&lt;=VLOOKUP(H1904,Dados!$X:$AB,5,0),0,1)</f>
        <v>0</v>
      </c>
    </row>
    <row r="1905" spans="6:21">
      <c r="F1905" s="4">
        <v>876</v>
      </c>
      <c r="G1905" s="4">
        <v>27</v>
      </c>
      <c r="H1905" s="4">
        <v>1</v>
      </c>
      <c r="I1905" s="4">
        <v>15</v>
      </c>
      <c r="J1905" s="4">
        <v>5</v>
      </c>
      <c r="K1905" s="4">
        <f t="shared" si="307"/>
        <v>0</v>
      </c>
      <c r="L1905" s="4">
        <f t="shared" si="307"/>
        <v>0</v>
      </c>
      <c r="M1905" s="4">
        <f t="shared" si="307"/>
        <v>0</v>
      </c>
      <c r="N1905" s="4">
        <f t="shared" si="307"/>
        <v>16</v>
      </c>
      <c r="O1905" s="4">
        <f t="shared" si="308"/>
        <v>0</v>
      </c>
      <c r="P1905" s="4">
        <f t="shared" si="309"/>
        <v>0</v>
      </c>
      <c r="Q1905" s="4">
        <f t="shared" si="310"/>
        <v>0</v>
      </c>
      <c r="R1905" s="4">
        <f t="shared" si="311"/>
        <v>80</v>
      </c>
      <c r="S1905" s="4">
        <f>IF(AND(VLOOKUP(G1905,Dados!$D:$L,2,0)=VLOOKUP(I1905,Dados!$S:$V,2,0),VLOOKUP(G1905,Dados!$D:$L,3,0)=VLOOKUP(I1905,Dados!$S:$V,3,0)),0,1)</f>
        <v>0</v>
      </c>
      <c r="T1905" s="4">
        <f>IF(AND(VLOOKUP(G1905,Dados!$D:$L,3,0)&lt;=VLOOKUP(H1905,Dados!$X:$AB,2,0),VLOOKUP(G1905,Dados!$D:$L,4,0)&gt;=VLOOKUP(H1905,Dados!$X:$AB,3,0),VLOOKUP(G1905,Dados!$D:$L,4,0)&lt;=VLOOKUP(H1905,Dados!$X:$AB,4,0)),0,1)</f>
        <v>0</v>
      </c>
      <c r="U1905" s="4">
        <f>IF(COUNTIFS(F:F,F1905,H:H,H1905)&lt;=VLOOKUP(H1905,Dados!$X:$AB,5,0),0,1)</f>
        <v>0</v>
      </c>
    </row>
    <row r="1906" spans="6:21">
      <c r="F1906" s="4">
        <v>876</v>
      </c>
      <c r="G1906" s="4">
        <v>28</v>
      </c>
      <c r="H1906" s="4">
        <v>1</v>
      </c>
      <c r="I1906" s="4">
        <v>15</v>
      </c>
      <c r="J1906" s="4">
        <v>2</v>
      </c>
      <c r="K1906" s="4">
        <f t="shared" si="307"/>
        <v>0</v>
      </c>
      <c r="L1906" s="4">
        <f t="shared" si="307"/>
        <v>0</v>
      </c>
      <c r="M1906" s="4">
        <f t="shared" si="307"/>
        <v>0</v>
      </c>
      <c r="N1906" s="4">
        <f t="shared" si="307"/>
        <v>16</v>
      </c>
      <c r="O1906" s="4">
        <f t="shared" si="308"/>
        <v>0</v>
      </c>
      <c r="P1906" s="4">
        <f t="shared" si="309"/>
        <v>0</v>
      </c>
      <c r="Q1906" s="4">
        <f t="shared" si="310"/>
        <v>0</v>
      </c>
      <c r="R1906" s="4">
        <f t="shared" si="311"/>
        <v>32</v>
      </c>
      <c r="S1906" s="4">
        <f>IF(AND(VLOOKUP(G1906,Dados!$D:$L,2,0)=VLOOKUP(I1906,Dados!$S:$V,2,0),VLOOKUP(G1906,Dados!$D:$L,3,0)=VLOOKUP(I1906,Dados!$S:$V,3,0)),0,1)</f>
        <v>0</v>
      </c>
      <c r="T1906" s="4">
        <f>IF(AND(VLOOKUP(G1906,Dados!$D:$L,3,0)&lt;=VLOOKUP(H1906,Dados!$X:$AB,2,0),VLOOKUP(G1906,Dados!$D:$L,4,0)&gt;=VLOOKUP(H1906,Dados!$X:$AB,3,0),VLOOKUP(G1906,Dados!$D:$L,4,0)&lt;=VLOOKUP(H1906,Dados!$X:$AB,4,0)),0,1)</f>
        <v>0</v>
      </c>
      <c r="U1906" s="4">
        <f>IF(COUNTIFS(F:F,F1906,H:H,H1906)&lt;=VLOOKUP(H1906,Dados!$X:$AB,5,0),0,1)</f>
        <v>0</v>
      </c>
    </row>
    <row r="1907" spans="6:21">
      <c r="F1907" s="4">
        <v>877</v>
      </c>
      <c r="G1907" s="4">
        <v>27</v>
      </c>
      <c r="H1907" s="4">
        <v>3</v>
      </c>
      <c r="I1907" s="4">
        <v>15</v>
      </c>
      <c r="J1907" s="4">
        <v>5</v>
      </c>
      <c r="K1907" s="4">
        <f t="shared" si="307"/>
        <v>0</v>
      </c>
      <c r="L1907" s="4">
        <f t="shared" si="307"/>
        <v>0</v>
      </c>
      <c r="M1907" s="4">
        <f t="shared" si="307"/>
        <v>0</v>
      </c>
      <c r="N1907" s="4">
        <f t="shared" si="307"/>
        <v>0</v>
      </c>
      <c r="O1907" s="4">
        <f t="shared" si="308"/>
        <v>0</v>
      </c>
      <c r="P1907" s="4">
        <f t="shared" si="309"/>
        <v>0</v>
      </c>
      <c r="Q1907" s="4">
        <f t="shared" si="310"/>
        <v>0</v>
      </c>
      <c r="R1907" s="4">
        <f t="shared" si="311"/>
        <v>0</v>
      </c>
      <c r="S1907" s="4">
        <f>IF(AND(VLOOKUP(G1907,Dados!$D:$L,2,0)=VLOOKUP(I1907,Dados!$S:$V,2,0),VLOOKUP(G1907,Dados!$D:$L,3,0)=VLOOKUP(I1907,Dados!$S:$V,3,0)),0,1)</f>
        <v>0</v>
      </c>
      <c r="T1907" s="4">
        <f>IF(AND(VLOOKUP(G1907,Dados!$D:$L,3,0)&lt;=VLOOKUP(H1907,Dados!$X:$AB,2,0),VLOOKUP(G1907,Dados!$D:$L,4,0)&gt;=VLOOKUP(H1907,Dados!$X:$AB,3,0),VLOOKUP(G1907,Dados!$D:$L,4,0)&lt;=VLOOKUP(H1907,Dados!$X:$AB,4,0)),0,1)</f>
        <v>0</v>
      </c>
      <c r="U1907" s="4">
        <f>IF(COUNTIFS(F:F,F1907,H:H,H1907)&lt;=VLOOKUP(H1907,Dados!$X:$AB,5,0),0,1)</f>
        <v>0</v>
      </c>
    </row>
    <row r="1908" spans="6:21">
      <c r="F1908" s="4">
        <v>877</v>
      </c>
      <c r="G1908" s="4">
        <v>28</v>
      </c>
      <c r="H1908" s="4">
        <v>3</v>
      </c>
      <c r="I1908" s="4">
        <v>15</v>
      </c>
      <c r="J1908" s="4">
        <v>2</v>
      </c>
      <c r="K1908" s="4">
        <f t="shared" si="307"/>
        <v>0</v>
      </c>
      <c r="L1908" s="4">
        <f t="shared" si="307"/>
        <v>0</v>
      </c>
      <c r="M1908" s="4">
        <f t="shared" si="307"/>
        <v>0</v>
      </c>
      <c r="N1908" s="4">
        <f t="shared" si="307"/>
        <v>0</v>
      </c>
      <c r="O1908" s="4">
        <f t="shared" si="308"/>
        <v>0</v>
      </c>
      <c r="P1908" s="4">
        <f t="shared" si="309"/>
        <v>0</v>
      </c>
      <c r="Q1908" s="4">
        <f t="shared" si="310"/>
        <v>0</v>
      </c>
      <c r="R1908" s="4">
        <f t="shared" si="311"/>
        <v>0</v>
      </c>
      <c r="S1908" s="4">
        <f>IF(AND(VLOOKUP(G1908,Dados!$D:$L,2,0)=VLOOKUP(I1908,Dados!$S:$V,2,0),VLOOKUP(G1908,Dados!$D:$L,3,0)=VLOOKUP(I1908,Dados!$S:$V,3,0)),0,1)</f>
        <v>0</v>
      </c>
      <c r="T1908" s="4">
        <f>IF(AND(VLOOKUP(G1908,Dados!$D:$L,3,0)&lt;=VLOOKUP(H1908,Dados!$X:$AB,2,0),VLOOKUP(G1908,Dados!$D:$L,4,0)&gt;=VLOOKUP(H1908,Dados!$X:$AB,3,0),VLOOKUP(G1908,Dados!$D:$L,4,0)&lt;=VLOOKUP(H1908,Dados!$X:$AB,4,0)),0,1)</f>
        <v>0</v>
      </c>
      <c r="U1908" s="4">
        <f>IF(COUNTIFS(F:F,F1908,H:H,H1908)&lt;=VLOOKUP(H1908,Dados!$X:$AB,5,0),0,1)</f>
        <v>0</v>
      </c>
    </row>
    <row r="1909" spans="6:21">
      <c r="F1909" s="4">
        <v>878</v>
      </c>
      <c r="G1909" s="4">
        <v>35</v>
      </c>
      <c r="H1909" s="4">
        <v>1</v>
      </c>
      <c r="I1909" s="4">
        <v>16</v>
      </c>
      <c r="J1909" s="4">
        <v>1</v>
      </c>
      <c r="K1909" s="4">
        <f t="shared" si="307"/>
        <v>0</v>
      </c>
      <c r="L1909" s="4">
        <f t="shared" si="307"/>
        <v>0</v>
      </c>
      <c r="M1909" s="4">
        <f t="shared" si="307"/>
        <v>0</v>
      </c>
      <c r="N1909" s="4">
        <f t="shared" si="307"/>
        <v>0</v>
      </c>
      <c r="O1909" s="4">
        <f t="shared" si="308"/>
        <v>0</v>
      </c>
      <c r="P1909" s="4">
        <f t="shared" si="309"/>
        <v>0</v>
      </c>
      <c r="Q1909" s="4">
        <f t="shared" si="310"/>
        <v>0</v>
      </c>
      <c r="R1909" s="4">
        <f t="shared" si="311"/>
        <v>0</v>
      </c>
      <c r="S1909" s="4">
        <f>IF(AND(VLOOKUP(G1909,Dados!$D:$L,2,0)=VLOOKUP(I1909,Dados!$S:$V,2,0),VLOOKUP(G1909,Dados!$D:$L,3,0)=VLOOKUP(I1909,Dados!$S:$V,3,0)),0,1)</f>
        <v>0</v>
      </c>
      <c r="T1909" s="4">
        <f>IF(AND(VLOOKUP(G1909,Dados!$D:$L,3,0)&lt;=VLOOKUP(H1909,Dados!$X:$AB,2,0),VLOOKUP(G1909,Dados!$D:$L,4,0)&gt;=VLOOKUP(H1909,Dados!$X:$AB,3,0),VLOOKUP(G1909,Dados!$D:$L,4,0)&lt;=VLOOKUP(H1909,Dados!$X:$AB,4,0)),0,1)</f>
        <v>0</v>
      </c>
      <c r="U1909" s="4">
        <f>IF(COUNTIFS(F:F,F1909,H:H,H1909)&lt;=VLOOKUP(H1909,Dados!$X:$AB,5,0),0,1)</f>
        <v>0</v>
      </c>
    </row>
    <row r="1910" spans="6:21">
      <c r="F1910" s="4">
        <v>878</v>
      </c>
      <c r="G1910" s="4">
        <v>37</v>
      </c>
      <c r="H1910" s="4">
        <v>1</v>
      </c>
      <c r="I1910" s="4">
        <v>16</v>
      </c>
      <c r="J1910" s="4">
        <v>4</v>
      </c>
      <c r="K1910" s="4">
        <f t="shared" si="307"/>
        <v>0</v>
      </c>
      <c r="L1910" s="4">
        <f t="shared" si="307"/>
        <v>0</v>
      </c>
      <c r="M1910" s="4">
        <f t="shared" si="307"/>
        <v>0</v>
      </c>
      <c r="N1910" s="4">
        <f t="shared" si="307"/>
        <v>0</v>
      </c>
      <c r="O1910" s="4">
        <f t="shared" si="308"/>
        <v>0</v>
      </c>
      <c r="P1910" s="4">
        <f t="shared" si="309"/>
        <v>0</v>
      </c>
      <c r="Q1910" s="4">
        <f t="shared" si="310"/>
        <v>0</v>
      </c>
      <c r="R1910" s="4">
        <f t="shared" si="311"/>
        <v>0</v>
      </c>
      <c r="S1910" s="4">
        <f>IF(AND(VLOOKUP(G1910,Dados!$D:$L,2,0)=VLOOKUP(I1910,Dados!$S:$V,2,0),VLOOKUP(G1910,Dados!$D:$L,3,0)=VLOOKUP(I1910,Dados!$S:$V,3,0)),0,1)</f>
        <v>0</v>
      </c>
      <c r="T1910" s="4">
        <f>IF(AND(VLOOKUP(G1910,Dados!$D:$L,3,0)&lt;=VLOOKUP(H1910,Dados!$X:$AB,2,0),VLOOKUP(G1910,Dados!$D:$L,4,0)&gt;=VLOOKUP(H1910,Dados!$X:$AB,3,0),VLOOKUP(G1910,Dados!$D:$L,4,0)&lt;=VLOOKUP(H1910,Dados!$X:$AB,4,0)),0,1)</f>
        <v>0</v>
      </c>
      <c r="U1910" s="4">
        <f>IF(COUNTIFS(F:F,F1910,H:H,H1910)&lt;=VLOOKUP(H1910,Dados!$X:$AB,5,0),0,1)</f>
        <v>0</v>
      </c>
    </row>
    <row r="1911" spans="6:21">
      <c r="F1911" s="4">
        <v>878</v>
      </c>
      <c r="G1911" s="4">
        <v>38</v>
      </c>
      <c r="H1911" s="4">
        <v>1</v>
      </c>
      <c r="I1911" s="4">
        <v>16</v>
      </c>
      <c r="J1911" s="4">
        <v>1</v>
      </c>
      <c r="K1911" s="4">
        <f t="shared" si="307"/>
        <v>0</v>
      </c>
      <c r="L1911" s="4">
        <f t="shared" si="307"/>
        <v>0</v>
      </c>
      <c r="M1911" s="4">
        <f t="shared" si="307"/>
        <v>0</v>
      </c>
      <c r="N1911" s="4">
        <f t="shared" si="307"/>
        <v>0</v>
      </c>
      <c r="O1911" s="4">
        <f t="shared" si="308"/>
        <v>0</v>
      </c>
      <c r="P1911" s="4">
        <f t="shared" si="309"/>
        <v>0</v>
      </c>
      <c r="Q1911" s="4">
        <f t="shared" si="310"/>
        <v>0</v>
      </c>
      <c r="R1911" s="4">
        <f t="shared" si="311"/>
        <v>0</v>
      </c>
      <c r="S1911" s="4">
        <f>IF(AND(VLOOKUP(G1911,Dados!$D:$L,2,0)=VLOOKUP(I1911,Dados!$S:$V,2,0),VLOOKUP(G1911,Dados!$D:$L,3,0)=VLOOKUP(I1911,Dados!$S:$V,3,0)),0,1)</f>
        <v>0</v>
      </c>
      <c r="T1911" s="4">
        <f>IF(AND(VLOOKUP(G1911,Dados!$D:$L,3,0)&lt;=VLOOKUP(H1911,Dados!$X:$AB,2,0),VLOOKUP(G1911,Dados!$D:$L,4,0)&gt;=VLOOKUP(H1911,Dados!$X:$AB,3,0),VLOOKUP(G1911,Dados!$D:$L,4,0)&lt;=VLOOKUP(H1911,Dados!$X:$AB,4,0)),0,1)</f>
        <v>0</v>
      </c>
      <c r="U1911" s="4">
        <f>IF(COUNTIFS(F:F,F1911,H:H,H1911)&lt;=VLOOKUP(H1911,Dados!$X:$AB,5,0),0,1)</f>
        <v>0</v>
      </c>
    </row>
    <row r="1912" spans="6:21">
      <c r="F1912" s="4">
        <v>879</v>
      </c>
      <c r="G1912" s="4">
        <v>35</v>
      </c>
      <c r="H1912" s="4">
        <v>2</v>
      </c>
      <c r="I1912" s="4">
        <v>16</v>
      </c>
      <c r="J1912" s="4">
        <v>1</v>
      </c>
      <c r="K1912" s="4">
        <f t="shared" si="307"/>
        <v>0</v>
      </c>
      <c r="L1912" s="4">
        <f t="shared" si="307"/>
        <v>0</v>
      </c>
      <c r="M1912" s="4">
        <f t="shared" si="307"/>
        <v>0</v>
      </c>
      <c r="N1912" s="4">
        <f t="shared" si="307"/>
        <v>0</v>
      </c>
      <c r="O1912" s="4">
        <f t="shared" si="308"/>
        <v>0</v>
      </c>
      <c r="P1912" s="4">
        <f t="shared" si="309"/>
        <v>0</v>
      </c>
      <c r="Q1912" s="4">
        <f t="shared" si="310"/>
        <v>0</v>
      </c>
      <c r="R1912" s="4">
        <f t="shared" si="311"/>
        <v>0</v>
      </c>
      <c r="S1912" s="4">
        <f>IF(AND(VLOOKUP(G1912,Dados!$D:$L,2,0)=VLOOKUP(I1912,Dados!$S:$V,2,0),VLOOKUP(G1912,Dados!$D:$L,3,0)=VLOOKUP(I1912,Dados!$S:$V,3,0)),0,1)</f>
        <v>0</v>
      </c>
      <c r="T1912" s="4">
        <f>IF(AND(VLOOKUP(G1912,Dados!$D:$L,3,0)&lt;=VLOOKUP(H1912,Dados!$X:$AB,2,0),VLOOKUP(G1912,Dados!$D:$L,4,0)&gt;=VLOOKUP(H1912,Dados!$X:$AB,3,0),VLOOKUP(G1912,Dados!$D:$L,4,0)&lt;=VLOOKUP(H1912,Dados!$X:$AB,4,0)),0,1)</f>
        <v>0</v>
      </c>
      <c r="U1912" s="4">
        <f>IF(COUNTIFS(F:F,F1912,H:H,H1912)&lt;=VLOOKUP(H1912,Dados!$X:$AB,5,0),0,1)</f>
        <v>0</v>
      </c>
    </row>
    <row r="1913" spans="6:21">
      <c r="F1913" s="4">
        <v>879</v>
      </c>
      <c r="G1913" s="4">
        <v>37</v>
      </c>
      <c r="H1913" s="4">
        <v>2</v>
      </c>
      <c r="I1913" s="4">
        <v>16</v>
      </c>
      <c r="J1913" s="4">
        <v>4</v>
      </c>
      <c r="K1913" s="4">
        <f t="shared" si="307"/>
        <v>0</v>
      </c>
      <c r="L1913" s="4">
        <f t="shared" si="307"/>
        <v>0</v>
      </c>
      <c r="M1913" s="4">
        <f t="shared" si="307"/>
        <v>0</v>
      </c>
      <c r="N1913" s="4">
        <f t="shared" si="307"/>
        <v>0</v>
      </c>
      <c r="O1913" s="4">
        <f t="shared" si="308"/>
        <v>0</v>
      </c>
      <c r="P1913" s="4">
        <f t="shared" si="309"/>
        <v>0</v>
      </c>
      <c r="Q1913" s="4">
        <f t="shared" si="310"/>
        <v>0</v>
      </c>
      <c r="R1913" s="4">
        <f t="shared" si="311"/>
        <v>0</v>
      </c>
      <c r="S1913" s="4">
        <f>IF(AND(VLOOKUP(G1913,Dados!$D:$L,2,0)=VLOOKUP(I1913,Dados!$S:$V,2,0),VLOOKUP(G1913,Dados!$D:$L,3,0)=VLOOKUP(I1913,Dados!$S:$V,3,0)),0,1)</f>
        <v>0</v>
      </c>
      <c r="T1913" s="4">
        <f>IF(AND(VLOOKUP(G1913,Dados!$D:$L,3,0)&lt;=VLOOKUP(H1913,Dados!$X:$AB,2,0),VLOOKUP(G1913,Dados!$D:$L,4,0)&gt;=VLOOKUP(H1913,Dados!$X:$AB,3,0),VLOOKUP(G1913,Dados!$D:$L,4,0)&lt;=VLOOKUP(H1913,Dados!$X:$AB,4,0)),0,1)</f>
        <v>0</v>
      </c>
      <c r="U1913" s="4">
        <f>IF(COUNTIFS(F:F,F1913,H:H,H1913)&lt;=VLOOKUP(H1913,Dados!$X:$AB,5,0),0,1)</f>
        <v>0</v>
      </c>
    </row>
    <row r="1914" spans="6:21">
      <c r="F1914" s="4">
        <v>879</v>
      </c>
      <c r="G1914" s="4">
        <v>38</v>
      </c>
      <c r="H1914" s="4">
        <v>2</v>
      </c>
      <c r="I1914" s="4">
        <v>16</v>
      </c>
      <c r="J1914" s="4">
        <v>1</v>
      </c>
      <c r="K1914" s="4">
        <f t="shared" si="307"/>
        <v>0</v>
      </c>
      <c r="L1914" s="4">
        <f t="shared" si="307"/>
        <v>0</v>
      </c>
      <c r="M1914" s="4">
        <f t="shared" si="307"/>
        <v>0</v>
      </c>
      <c r="N1914" s="4">
        <f t="shared" si="307"/>
        <v>0</v>
      </c>
      <c r="O1914" s="4">
        <f t="shared" si="308"/>
        <v>0</v>
      </c>
      <c r="P1914" s="4">
        <f t="shared" si="309"/>
        <v>0</v>
      </c>
      <c r="Q1914" s="4">
        <f t="shared" si="310"/>
        <v>0</v>
      </c>
      <c r="R1914" s="4">
        <f t="shared" si="311"/>
        <v>0</v>
      </c>
      <c r="S1914" s="4">
        <f>IF(AND(VLOOKUP(G1914,Dados!$D:$L,2,0)=VLOOKUP(I1914,Dados!$S:$V,2,0),VLOOKUP(G1914,Dados!$D:$L,3,0)=VLOOKUP(I1914,Dados!$S:$V,3,0)),0,1)</f>
        <v>0</v>
      </c>
      <c r="T1914" s="4">
        <f>IF(AND(VLOOKUP(G1914,Dados!$D:$L,3,0)&lt;=VLOOKUP(H1914,Dados!$X:$AB,2,0),VLOOKUP(G1914,Dados!$D:$L,4,0)&gt;=VLOOKUP(H1914,Dados!$X:$AB,3,0),VLOOKUP(G1914,Dados!$D:$L,4,0)&lt;=VLOOKUP(H1914,Dados!$X:$AB,4,0)),0,1)</f>
        <v>0</v>
      </c>
      <c r="U1914" s="4">
        <f>IF(COUNTIFS(F:F,F1914,H:H,H1914)&lt;=VLOOKUP(H1914,Dados!$X:$AB,5,0),0,1)</f>
        <v>0</v>
      </c>
    </row>
    <row r="1915" spans="6:21">
      <c r="F1915" s="4">
        <v>880</v>
      </c>
      <c r="G1915" s="4">
        <v>35</v>
      </c>
      <c r="H1915" s="4">
        <v>3</v>
      </c>
      <c r="I1915" s="4">
        <v>16</v>
      </c>
      <c r="J1915" s="4">
        <v>1</v>
      </c>
      <c r="K1915" s="4">
        <f t="shared" si="307"/>
        <v>0</v>
      </c>
      <c r="L1915" s="4">
        <f t="shared" si="307"/>
        <v>0</v>
      </c>
      <c r="M1915" s="4">
        <f t="shared" si="307"/>
        <v>0</v>
      </c>
      <c r="N1915" s="4">
        <f t="shared" si="307"/>
        <v>0</v>
      </c>
      <c r="O1915" s="4">
        <f t="shared" si="308"/>
        <v>0</v>
      </c>
      <c r="P1915" s="4">
        <f t="shared" si="309"/>
        <v>0</v>
      </c>
      <c r="Q1915" s="4">
        <f t="shared" si="310"/>
        <v>0</v>
      </c>
      <c r="R1915" s="4">
        <f t="shared" si="311"/>
        <v>0</v>
      </c>
      <c r="S1915" s="4">
        <f>IF(AND(VLOOKUP(G1915,Dados!$D:$L,2,0)=VLOOKUP(I1915,Dados!$S:$V,2,0),VLOOKUP(G1915,Dados!$D:$L,3,0)=VLOOKUP(I1915,Dados!$S:$V,3,0)),0,1)</f>
        <v>0</v>
      </c>
      <c r="T1915" s="4">
        <f>IF(AND(VLOOKUP(G1915,Dados!$D:$L,3,0)&lt;=VLOOKUP(H1915,Dados!$X:$AB,2,0),VLOOKUP(G1915,Dados!$D:$L,4,0)&gt;=VLOOKUP(H1915,Dados!$X:$AB,3,0),VLOOKUP(G1915,Dados!$D:$L,4,0)&lt;=VLOOKUP(H1915,Dados!$X:$AB,4,0)),0,1)</f>
        <v>0</v>
      </c>
      <c r="U1915" s="4">
        <f>IF(COUNTIFS(F:F,F1915,H:H,H1915)&lt;=VLOOKUP(H1915,Dados!$X:$AB,5,0),0,1)</f>
        <v>0</v>
      </c>
    </row>
    <row r="1916" spans="6:21">
      <c r="F1916" s="4">
        <v>880</v>
      </c>
      <c r="G1916" s="4">
        <v>37</v>
      </c>
      <c r="H1916" s="4">
        <v>3</v>
      </c>
      <c r="I1916" s="4">
        <v>16</v>
      </c>
      <c r="J1916" s="4">
        <v>4</v>
      </c>
      <c r="K1916" s="4">
        <f t="shared" si="307"/>
        <v>0</v>
      </c>
      <c r="L1916" s="4">
        <f t="shared" si="307"/>
        <v>0</v>
      </c>
      <c r="M1916" s="4">
        <f t="shared" si="307"/>
        <v>0</v>
      </c>
      <c r="N1916" s="4">
        <f t="shared" si="307"/>
        <v>0</v>
      </c>
      <c r="O1916" s="4">
        <f t="shared" si="308"/>
        <v>0</v>
      </c>
      <c r="P1916" s="4">
        <f t="shared" si="309"/>
        <v>0</v>
      </c>
      <c r="Q1916" s="4">
        <f t="shared" si="310"/>
        <v>0</v>
      </c>
      <c r="R1916" s="4">
        <f t="shared" si="311"/>
        <v>0</v>
      </c>
      <c r="S1916" s="4">
        <f>IF(AND(VLOOKUP(G1916,Dados!$D:$L,2,0)=VLOOKUP(I1916,Dados!$S:$V,2,0),VLOOKUP(G1916,Dados!$D:$L,3,0)=VLOOKUP(I1916,Dados!$S:$V,3,0)),0,1)</f>
        <v>0</v>
      </c>
      <c r="T1916" s="4">
        <f>IF(AND(VLOOKUP(G1916,Dados!$D:$L,3,0)&lt;=VLOOKUP(H1916,Dados!$X:$AB,2,0),VLOOKUP(G1916,Dados!$D:$L,4,0)&gt;=VLOOKUP(H1916,Dados!$X:$AB,3,0),VLOOKUP(G1916,Dados!$D:$L,4,0)&lt;=VLOOKUP(H1916,Dados!$X:$AB,4,0)),0,1)</f>
        <v>0</v>
      </c>
      <c r="U1916" s="4">
        <f>IF(COUNTIFS(F:F,F1916,H:H,H1916)&lt;=VLOOKUP(H1916,Dados!$X:$AB,5,0),0,1)</f>
        <v>0</v>
      </c>
    </row>
    <row r="1917" spans="6:21">
      <c r="F1917" s="4">
        <v>880</v>
      </c>
      <c r="G1917" s="4">
        <v>38</v>
      </c>
      <c r="H1917" s="4">
        <v>3</v>
      </c>
      <c r="I1917" s="4">
        <v>16</v>
      </c>
      <c r="J1917" s="4">
        <v>1</v>
      </c>
      <c r="K1917" s="4">
        <f t="shared" si="307"/>
        <v>0</v>
      </c>
      <c r="L1917" s="4">
        <f t="shared" si="307"/>
        <v>0</v>
      </c>
      <c r="M1917" s="4">
        <f t="shared" si="307"/>
        <v>0</v>
      </c>
      <c r="N1917" s="4">
        <f t="shared" si="307"/>
        <v>0</v>
      </c>
      <c r="O1917" s="4">
        <f t="shared" si="308"/>
        <v>0</v>
      </c>
      <c r="P1917" s="4">
        <f t="shared" si="309"/>
        <v>0</v>
      </c>
      <c r="Q1917" s="4">
        <f t="shared" si="310"/>
        <v>0</v>
      </c>
      <c r="R1917" s="4">
        <f t="shared" si="311"/>
        <v>0</v>
      </c>
      <c r="S1917" s="4">
        <f>IF(AND(VLOOKUP(G1917,Dados!$D:$L,2,0)=VLOOKUP(I1917,Dados!$S:$V,2,0),VLOOKUP(G1917,Dados!$D:$L,3,0)=VLOOKUP(I1917,Dados!$S:$V,3,0)),0,1)</f>
        <v>0</v>
      </c>
      <c r="T1917" s="4">
        <f>IF(AND(VLOOKUP(G1917,Dados!$D:$L,3,0)&lt;=VLOOKUP(H1917,Dados!$X:$AB,2,0),VLOOKUP(G1917,Dados!$D:$L,4,0)&gt;=VLOOKUP(H1917,Dados!$X:$AB,3,0),VLOOKUP(G1917,Dados!$D:$L,4,0)&lt;=VLOOKUP(H1917,Dados!$X:$AB,4,0)),0,1)</f>
        <v>0</v>
      </c>
      <c r="U1917" s="4">
        <f>IF(COUNTIFS(F:F,F1917,H:H,H1917)&lt;=VLOOKUP(H1917,Dados!$X:$AB,5,0),0,1)</f>
        <v>0</v>
      </c>
    </row>
    <row r="1918" spans="6:21">
      <c r="F1918" s="4">
        <v>881</v>
      </c>
      <c r="G1918" s="4">
        <v>39</v>
      </c>
      <c r="H1918" s="4">
        <v>1</v>
      </c>
      <c r="I1918" s="4">
        <v>17</v>
      </c>
      <c r="J1918" s="4">
        <v>4</v>
      </c>
      <c r="K1918" s="4">
        <f t="shared" si="307"/>
        <v>0</v>
      </c>
      <c r="L1918" s="4">
        <f t="shared" si="307"/>
        <v>0</v>
      </c>
      <c r="M1918" s="4">
        <f t="shared" si="307"/>
        <v>0</v>
      </c>
      <c r="N1918" s="4">
        <f t="shared" si="307"/>
        <v>0</v>
      </c>
      <c r="O1918" s="4">
        <f t="shared" si="308"/>
        <v>0</v>
      </c>
      <c r="P1918" s="4">
        <f t="shared" si="309"/>
        <v>0</v>
      </c>
      <c r="Q1918" s="4">
        <f t="shared" si="310"/>
        <v>0</v>
      </c>
      <c r="R1918" s="4">
        <f t="shared" si="311"/>
        <v>0</v>
      </c>
      <c r="S1918" s="4">
        <f>IF(AND(VLOOKUP(G1918,Dados!$D:$L,2,0)=VLOOKUP(I1918,Dados!$S:$V,2,0),VLOOKUP(G1918,Dados!$D:$L,3,0)=VLOOKUP(I1918,Dados!$S:$V,3,0)),0,1)</f>
        <v>0</v>
      </c>
      <c r="T1918" s="4">
        <f>IF(AND(VLOOKUP(G1918,Dados!$D:$L,3,0)&lt;=VLOOKUP(H1918,Dados!$X:$AB,2,0),VLOOKUP(G1918,Dados!$D:$L,4,0)&gt;=VLOOKUP(H1918,Dados!$X:$AB,3,0),VLOOKUP(G1918,Dados!$D:$L,4,0)&lt;=VLOOKUP(H1918,Dados!$X:$AB,4,0)),0,1)</f>
        <v>0</v>
      </c>
      <c r="U1918" s="4">
        <f>IF(COUNTIFS(F:F,F1918,H:H,H1918)&lt;=VLOOKUP(H1918,Dados!$X:$AB,5,0),0,1)</f>
        <v>0</v>
      </c>
    </row>
    <row r="1919" spans="6:21">
      <c r="F1919" s="4">
        <v>881</v>
      </c>
      <c r="G1919" s="4">
        <v>41</v>
      </c>
      <c r="H1919" s="4">
        <v>1</v>
      </c>
      <c r="I1919" s="4">
        <v>17</v>
      </c>
      <c r="J1919" s="4">
        <v>1</v>
      </c>
      <c r="K1919" s="4">
        <f t="shared" si="307"/>
        <v>0</v>
      </c>
      <c r="L1919" s="4">
        <f t="shared" si="307"/>
        <v>0</v>
      </c>
      <c r="M1919" s="4">
        <f t="shared" si="307"/>
        <v>0</v>
      </c>
      <c r="N1919" s="4">
        <f t="shared" si="307"/>
        <v>0</v>
      </c>
      <c r="O1919" s="4">
        <f t="shared" si="308"/>
        <v>0</v>
      </c>
      <c r="P1919" s="4">
        <f t="shared" si="309"/>
        <v>0</v>
      </c>
      <c r="Q1919" s="4">
        <f t="shared" si="310"/>
        <v>0</v>
      </c>
      <c r="R1919" s="4">
        <f t="shared" si="311"/>
        <v>0</v>
      </c>
      <c r="S1919" s="4">
        <f>IF(AND(VLOOKUP(G1919,Dados!$D:$L,2,0)=VLOOKUP(I1919,Dados!$S:$V,2,0),VLOOKUP(G1919,Dados!$D:$L,3,0)=VLOOKUP(I1919,Dados!$S:$V,3,0)),0,1)</f>
        <v>0</v>
      </c>
      <c r="T1919" s="4">
        <f>IF(AND(VLOOKUP(G1919,Dados!$D:$L,3,0)&lt;=VLOOKUP(H1919,Dados!$X:$AB,2,0),VLOOKUP(G1919,Dados!$D:$L,4,0)&gt;=VLOOKUP(H1919,Dados!$X:$AB,3,0),VLOOKUP(G1919,Dados!$D:$L,4,0)&lt;=VLOOKUP(H1919,Dados!$X:$AB,4,0)),0,1)</f>
        <v>0</v>
      </c>
      <c r="U1919" s="4">
        <f>IF(COUNTIFS(F:F,F1919,H:H,H1919)&lt;=VLOOKUP(H1919,Dados!$X:$AB,5,0),0,1)</f>
        <v>0</v>
      </c>
    </row>
    <row r="1920" spans="6:21">
      <c r="F1920" s="4">
        <v>881</v>
      </c>
      <c r="G1920" s="4">
        <v>43</v>
      </c>
      <c r="H1920" s="4">
        <v>1</v>
      </c>
      <c r="I1920" s="4">
        <v>17</v>
      </c>
      <c r="J1920" s="4">
        <v>2</v>
      </c>
      <c r="K1920" s="4">
        <f t="shared" si="307"/>
        <v>0</v>
      </c>
      <c r="L1920" s="4">
        <f t="shared" si="307"/>
        <v>0</v>
      </c>
      <c r="M1920" s="4">
        <f t="shared" si="307"/>
        <v>0</v>
      </c>
      <c r="N1920" s="4">
        <f t="shared" si="307"/>
        <v>0</v>
      </c>
      <c r="O1920" s="4">
        <f t="shared" si="308"/>
        <v>0</v>
      </c>
      <c r="P1920" s="4">
        <f t="shared" si="309"/>
        <v>0</v>
      </c>
      <c r="Q1920" s="4">
        <f t="shared" si="310"/>
        <v>0</v>
      </c>
      <c r="R1920" s="4">
        <f t="shared" si="311"/>
        <v>0</v>
      </c>
      <c r="S1920" s="4">
        <f>IF(AND(VLOOKUP(G1920,Dados!$D:$L,2,0)=VLOOKUP(I1920,Dados!$S:$V,2,0),VLOOKUP(G1920,Dados!$D:$L,3,0)=VLOOKUP(I1920,Dados!$S:$V,3,0)),0,1)</f>
        <v>0</v>
      </c>
      <c r="T1920" s="4">
        <f>IF(AND(VLOOKUP(G1920,Dados!$D:$L,3,0)&lt;=VLOOKUP(H1920,Dados!$X:$AB,2,0),VLOOKUP(G1920,Dados!$D:$L,4,0)&gt;=VLOOKUP(H1920,Dados!$X:$AB,3,0),VLOOKUP(G1920,Dados!$D:$L,4,0)&lt;=VLOOKUP(H1920,Dados!$X:$AB,4,0)),0,1)</f>
        <v>0</v>
      </c>
      <c r="U1920" s="4">
        <f>IF(COUNTIFS(F:F,F1920,H:H,H1920)&lt;=VLOOKUP(H1920,Dados!$X:$AB,5,0),0,1)</f>
        <v>0</v>
      </c>
    </row>
    <row r="1921" spans="6:21">
      <c r="F1921" s="4">
        <v>882</v>
      </c>
      <c r="G1921" s="4">
        <v>39</v>
      </c>
      <c r="H1921" s="4">
        <v>2</v>
      </c>
      <c r="I1921" s="4">
        <v>17</v>
      </c>
      <c r="J1921" s="4">
        <v>4</v>
      </c>
      <c r="K1921" s="4">
        <f t="shared" si="307"/>
        <v>0</v>
      </c>
      <c r="L1921" s="4">
        <f t="shared" si="307"/>
        <v>0</v>
      </c>
      <c r="M1921" s="4">
        <f t="shared" si="307"/>
        <v>0</v>
      </c>
      <c r="N1921" s="4">
        <f t="shared" si="307"/>
        <v>0</v>
      </c>
      <c r="O1921" s="4">
        <f t="shared" si="308"/>
        <v>0</v>
      </c>
      <c r="P1921" s="4">
        <f t="shared" si="309"/>
        <v>0</v>
      </c>
      <c r="Q1921" s="4">
        <f t="shared" si="310"/>
        <v>0</v>
      </c>
      <c r="R1921" s="4">
        <f t="shared" si="311"/>
        <v>0</v>
      </c>
      <c r="S1921" s="4">
        <f>IF(AND(VLOOKUP(G1921,Dados!$D:$L,2,0)=VLOOKUP(I1921,Dados!$S:$V,2,0),VLOOKUP(G1921,Dados!$D:$L,3,0)=VLOOKUP(I1921,Dados!$S:$V,3,0)),0,1)</f>
        <v>0</v>
      </c>
      <c r="T1921" s="4">
        <f>IF(AND(VLOOKUP(G1921,Dados!$D:$L,3,0)&lt;=VLOOKUP(H1921,Dados!$X:$AB,2,0),VLOOKUP(G1921,Dados!$D:$L,4,0)&gt;=VLOOKUP(H1921,Dados!$X:$AB,3,0),VLOOKUP(G1921,Dados!$D:$L,4,0)&lt;=VLOOKUP(H1921,Dados!$X:$AB,4,0)),0,1)</f>
        <v>0</v>
      </c>
      <c r="U1921" s="4">
        <f>IF(COUNTIFS(F:F,F1921,H:H,H1921)&lt;=VLOOKUP(H1921,Dados!$X:$AB,5,0),0,1)</f>
        <v>0</v>
      </c>
    </row>
    <row r="1922" spans="6:21">
      <c r="F1922" s="4">
        <v>882</v>
      </c>
      <c r="G1922" s="4">
        <v>41</v>
      </c>
      <c r="H1922" s="4">
        <v>2</v>
      </c>
      <c r="I1922" s="4">
        <v>17</v>
      </c>
      <c r="J1922" s="4">
        <v>1</v>
      </c>
      <c r="K1922" s="4">
        <f t="shared" si="307"/>
        <v>0</v>
      </c>
      <c r="L1922" s="4">
        <f t="shared" si="307"/>
        <v>0</v>
      </c>
      <c r="M1922" s="4">
        <f t="shared" si="307"/>
        <v>0</v>
      </c>
      <c r="N1922" s="4">
        <f t="shared" si="307"/>
        <v>0</v>
      </c>
      <c r="O1922" s="4">
        <f t="shared" si="308"/>
        <v>0</v>
      </c>
      <c r="P1922" s="4">
        <f t="shared" si="309"/>
        <v>0</v>
      </c>
      <c r="Q1922" s="4">
        <f t="shared" si="310"/>
        <v>0</v>
      </c>
      <c r="R1922" s="4">
        <f t="shared" si="311"/>
        <v>0</v>
      </c>
      <c r="S1922" s="4">
        <f>IF(AND(VLOOKUP(G1922,Dados!$D:$L,2,0)=VLOOKUP(I1922,Dados!$S:$V,2,0),VLOOKUP(G1922,Dados!$D:$L,3,0)=VLOOKUP(I1922,Dados!$S:$V,3,0)),0,1)</f>
        <v>0</v>
      </c>
      <c r="T1922" s="4">
        <f>IF(AND(VLOOKUP(G1922,Dados!$D:$L,3,0)&lt;=VLOOKUP(H1922,Dados!$X:$AB,2,0),VLOOKUP(G1922,Dados!$D:$L,4,0)&gt;=VLOOKUP(H1922,Dados!$X:$AB,3,0),VLOOKUP(G1922,Dados!$D:$L,4,0)&lt;=VLOOKUP(H1922,Dados!$X:$AB,4,0)),0,1)</f>
        <v>0</v>
      </c>
      <c r="U1922" s="4">
        <f>IF(COUNTIFS(F:F,F1922,H:H,H1922)&lt;=VLOOKUP(H1922,Dados!$X:$AB,5,0),0,1)</f>
        <v>0</v>
      </c>
    </row>
    <row r="1923" spans="6:21">
      <c r="F1923" s="4">
        <v>882</v>
      </c>
      <c r="G1923" s="4">
        <v>43</v>
      </c>
      <c r="H1923" s="4">
        <v>2</v>
      </c>
      <c r="I1923" s="4">
        <v>17</v>
      </c>
      <c r="J1923" s="4">
        <v>2</v>
      </c>
      <c r="K1923" s="4">
        <f t="shared" si="307"/>
        <v>0</v>
      </c>
      <c r="L1923" s="4">
        <f t="shared" si="307"/>
        <v>0</v>
      </c>
      <c r="M1923" s="4">
        <f t="shared" si="307"/>
        <v>0</v>
      </c>
      <c r="N1923" s="4">
        <f t="shared" si="307"/>
        <v>0</v>
      </c>
      <c r="O1923" s="4">
        <f t="shared" si="308"/>
        <v>0</v>
      </c>
      <c r="P1923" s="4">
        <f t="shared" si="309"/>
        <v>0</v>
      </c>
      <c r="Q1923" s="4">
        <f t="shared" si="310"/>
        <v>0</v>
      </c>
      <c r="R1923" s="4">
        <f t="shared" si="311"/>
        <v>0</v>
      </c>
      <c r="S1923" s="4">
        <f>IF(AND(VLOOKUP(G1923,Dados!$D:$L,2,0)=VLOOKUP(I1923,Dados!$S:$V,2,0),VLOOKUP(G1923,Dados!$D:$L,3,0)=VLOOKUP(I1923,Dados!$S:$V,3,0)),0,1)</f>
        <v>0</v>
      </c>
      <c r="T1923" s="4">
        <f>IF(AND(VLOOKUP(G1923,Dados!$D:$L,3,0)&lt;=VLOOKUP(H1923,Dados!$X:$AB,2,0),VLOOKUP(G1923,Dados!$D:$L,4,0)&gt;=VLOOKUP(H1923,Dados!$X:$AB,3,0),VLOOKUP(G1923,Dados!$D:$L,4,0)&lt;=VLOOKUP(H1923,Dados!$X:$AB,4,0)),0,1)</f>
        <v>0</v>
      </c>
      <c r="U1923" s="4">
        <f>IF(COUNTIFS(F:F,F1923,H:H,H1923)&lt;=VLOOKUP(H1923,Dados!$X:$AB,5,0),0,1)</f>
        <v>0</v>
      </c>
    </row>
    <row r="1924" spans="6:21">
      <c r="F1924" s="4">
        <v>883</v>
      </c>
      <c r="G1924" s="4">
        <v>39</v>
      </c>
      <c r="H1924" s="4">
        <v>3</v>
      </c>
      <c r="I1924" s="4">
        <v>17</v>
      </c>
      <c r="J1924" s="4">
        <v>4</v>
      </c>
      <c r="K1924" s="4">
        <f t="shared" si="307"/>
        <v>0</v>
      </c>
      <c r="L1924" s="4">
        <f t="shared" si="307"/>
        <v>0</v>
      </c>
      <c r="M1924" s="4">
        <f t="shared" si="307"/>
        <v>0</v>
      </c>
      <c r="N1924" s="4">
        <f t="shared" si="307"/>
        <v>0</v>
      </c>
      <c r="O1924" s="4">
        <f t="shared" si="308"/>
        <v>0</v>
      </c>
      <c r="P1924" s="4">
        <f t="shared" si="309"/>
        <v>0</v>
      </c>
      <c r="Q1924" s="4">
        <f t="shared" si="310"/>
        <v>0</v>
      </c>
      <c r="R1924" s="4">
        <f t="shared" si="311"/>
        <v>0</v>
      </c>
      <c r="S1924" s="4">
        <f>IF(AND(VLOOKUP(G1924,Dados!$D:$L,2,0)=VLOOKUP(I1924,Dados!$S:$V,2,0),VLOOKUP(G1924,Dados!$D:$L,3,0)=VLOOKUP(I1924,Dados!$S:$V,3,0)),0,1)</f>
        <v>0</v>
      </c>
      <c r="T1924" s="4">
        <f>IF(AND(VLOOKUP(G1924,Dados!$D:$L,3,0)&lt;=VLOOKUP(H1924,Dados!$X:$AB,2,0),VLOOKUP(G1924,Dados!$D:$L,4,0)&gt;=VLOOKUP(H1924,Dados!$X:$AB,3,0),VLOOKUP(G1924,Dados!$D:$L,4,0)&lt;=VLOOKUP(H1924,Dados!$X:$AB,4,0)),0,1)</f>
        <v>0</v>
      </c>
      <c r="U1924" s="4">
        <f>IF(COUNTIFS(F:F,F1924,H:H,H1924)&lt;=VLOOKUP(H1924,Dados!$X:$AB,5,0),0,1)</f>
        <v>0</v>
      </c>
    </row>
    <row r="1925" spans="6:21">
      <c r="F1925" s="4">
        <v>883</v>
      </c>
      <c r="G1925" s="4">
        <v>41</v>
      </c>
      <c r="H1925" s="4">
        <v>3</v>
      </c>
      <c r="I1925" s="4">
        <v>17</v>
      </c>
      <c r="J1925" s="4">
        <v>1</v>
      </c>
      <c r="K1925" s="4">
        <f t="shared" si="307"/>
        <v>0</v>
      </c>
      <c r="L1925" s="4">
        <f t="shared" si="307"/>
        <v>0</v>
      </c>
      <c r="M1925" s="4">
        <f t="shared" si="307"/>
        <v>0</v>
      </c>
      <c r="N1925" s="4">
        <f t="shared" si="307"/>
        <v>0</v>
      </c>
      <c r="O1925" s="4">
        <f t="shared" si="308"/>
        <v>0</v>
      </c>
      <c r="P1925" s="4">
        <f t="shared" si="309"/>
        <v>0</v>
      </c>
      <c r="Q1925" s="4">
        <f t="shared" si="310"/>
        <v>0</v>
      </c>
      <c r="R1925" s="4">
        <f t="shared" si="311"/>
        <v>0</v>
      </c>
      <c r="S1925" s="4">
        <f>IF(AND(VLOOKUP(G1925,Dados!$D:$L,2,0)=VLOOKUP(I1925,Dados!$S:$V,2,0),VLOOKUP(G1925,Dados!$D:$L,3,0)=VLOOKUP(I1925,Dados!$S:$V,3,0)),0,1)</f>
        <v>0</v>
      </c>
      <c r="T1925" s="4">
        <f>IF(AND(VLOOKUP(G1925,Dados!$D:$L,3,0)&lt;=VLOOKUP(H1925,Dados!$X:$AB,2,0),VLOOKUP(G1925,Dados!$D:$L,4,0)&gt;=VLOOKUP(H1925,Dados!$X:$AB,3,0),VLOOKUP(G1925,Dados!$D:$L,4,0)&lt;=VLOOKUP(H1925,Dados!$X:$AB,4,0)),0,1)</f>
        <v>0</v>
      </c>
      <c r="U1925" s="4">
        <f>IF(COUNTIFS(F:F,F1925,H:H,H1925)&lt;=VLOOKUP(H1925,Dados!$X:$AB,5,0),0,1)</f>
        <v>0</v>
      </c>
    </row>
    <row r="1926" spans="6:21">
      <c r="F1926" s="4">
        <v>883</v>
      </c>
      <c r="G1926" s="4">
        <v>43</v>
      </c>
      <c r="H1926" s="4">
        <v>3</v>
      </c>
      <c r="I1926" s="4">
        <v>17</v>
      </c>
      <c r="J1926" s="4">
        <v>2</v>
      </c>
      <c r="K1926" s="4">
        <f t="shared" si="307"/>
        <v>0</v>
      </c>
      <c r="L1926" s="4">
        <f t="shared" si="307"/>
        <v>0</v>
      </c>
      <c r="M1926" s="4">
        <f t="shared" si="307"/>
        <v>0</v>
      </c>
      <c r="N1926" s="4">
        <f t="shared" si="307"/>
        <v>0</v>
      </c>
      <c r="O1926" s="4">
        <f t="shared" si="308"/>
        <v>0</v>
      </c>
      <c r="P1926" s="4">
        <f t="shared" si="309"/>
        <v>0</v>
      </c>
      <c r="Q1926" s="4">
        <f t="shared" si="310"/>
        <v>0</v>
      </c>
      <c r="R1926" s="4">
        <f t="shared" si="311"/>
        <v>0</v>
      </c>
      <c r="S1926" s="4">
        <f>IF(AND(VLOOKUP(G1926,Dados!$D:$L,2,0)=VLOOKUP(I1926,Dados!$S:$V,2,0),VLOOKUP(G1926,Dados!$D:$L,3,0)=VLOOKUP(I1926,Dados!$S:$V,3,0)),0,1)</f>
        <v>0</v>
      </c>
      <c r="T1926" s="4">
        <f>IF(AND(VLOOKUP(G1926,Dados!$D:$L,3,0)&lt;=VLOOKUP(H1926,Dados!$X:$AB,2,0),VLOOKUP(G1926,Dados!$D:$L,4,0)&gt;=VLOOKUP(H1926,Dados!$X:$AB,3,0),VLOOKUP(G1926,Dados!$D:$L,4,0)&lt;=VLOOKUP(H1926,Dados!$X:$AB,4,0)),0,1)</f>
        <v>0</v>
      </c>
      <c r="U1926" s="4">
        <f>IF(COUNTIFS(F:F,F1926,H:H,H1926)&lt;=VLOOKUP(H1926,Dados!$X:$AB,5,0),0,1)</f>
        <v>0</v>
      </c>
    </row>
    <row r="1927" spans="6:21">
      <c r="F1927" s="4">
        <v>884</v>
      </c>
      <c r="G1927" s="4">
        <v>47</v>
      </c>
      <c r="H1927" s="4">
        <v>1</v>
      </c>
      <c r="I1927" s="4">
        <v>18</v>
      </c>
      <c r="J1927" s="4">
        <v>5</v>
      </c>
      <c r="K1927" s="4">
        <f t="shared" si="307"/>
        <v>0</v>
      </c>
      <c r="L1927" s="4">
        <f t="shared" si="307"/>
        <v>0</v>
      </c>
      <c r="M1927" s="4">
        <f t="shared" si="307"/>
        <v>0</v>
      </c>
      <c r="N1927" s="4">
        <f t="shared" si="307"/>
        <v>1</v>
      </c>
      <c r="O1927" s="4">
        <f t="shared" si="308"/>
        <v>0</v>
      </c>
      <c r="P1927" s="4">
        <f t="shared" si="309"/>
        <v>0</v>
      </c>
      <c r="Q1927" s="4">
        <f t="shared" si="310"/>
        <v>0</v>
      </c>
      <c r="R1927" s="4">
        <f t="shared" si="311"/>
        <v>5</v>
      </c>
      <c r="S1927" s="4">
        <f>IF(AND(VLOOKUP(G1927,Dados!$D:$L,2,0)=VLOOKUP(I1927,Dados!$S:$V,2,0),VLOOKUP(G1927,Dados!$D:$L,3,0)=VLOOKUP(I1927,Dados!$S:$V,3,0)),0,1)</f>
        <v>0</v>
      </c>
      <c r="T1927" s="4">
        <f>IF(AND(VLOOKUP(G1927,Dados!$D:$L,3,0)&lt;=VLOOKUP(H1927,Dados!$X:$AB,2,0),VLOOKUP(G1927,Dados!$D:$L,4,0)&gt;=VLOOKUP(H1927,Dados!$X:$AB,3,0),VLOOKUP(G1927,Dados!$D:$L,4,0)&lt;=VLOOKUP(H1927,Dados!$X:$AB,4,0)),0,1)</f>
        <v>0</v>
      </c>
      <c r="U1927" s="4">
        <f>IF(COUNTIFS(F:F,F1927,H:H,H1927)&lt;=VLOOKUP(H1927,Dados!$X:$AB,5,0),0,1)</f>
        <v>0</v>
      </c>
    </row>
    <row r="1928" spans="6:21">
      <c r="F1928" s="4">
        <v>884</v>
      </c>
      <c r="G1928" s="4">
        <v>48</v>
      </c>
      <c r="H1928" s="4">
        <v>1</v>
      </c>
      <c r="I1928" s="4">
        <v>18</v>
      </c>
      <c r="J1928" s="4">
        <v>2</v>
      </c>
      <c r="K1928" s="4">
        <f t="shared" si="307"/>
        <v>0</v>
      </c>
      <c r="L1928" s="4">
        <f t="shared" si="307"/>
        <v>0</v>
      </c>
      <c r="M1928" s="4">
        <f t="shared" si="307"/>
        <v>0</v>
      </c>
      <c r="N1928" s="4">
        <f t="shared" si="307"/>
        <v>1</v>
      </c>
      <c r="O1928" s="4">
        <f t="shared" si="308"/>
        <v>0</v>
      </c>
      <c r="P1928" s="4">
        <f t="shared" si="309"/>
        <v>0</v>
      </c>
      <c r="Q1928" s="4">
        <f t="shared" si="310"/>
        <v>0</v>
      </c>
      <c r="R1928" s="4">
        <f t="shared" si="311"/>
        <v>2</v>
      </c>
      <c r="S1928" s="4">
        <f>IF(AND(VLOOKUP(G1928,Dados!$D:$L,2,0)=VLOOKUP(I1928,Dados!$S:$V,2,0),VLOOKUP(G1928,Dados!$D:$L,3,0)=VLOOKUP(I1928,Dados!$S:$V,3,0)),0,1)</f>
        <v>0</v>
      </c>
      <c r="T1928" s="4">
        <f>IF(AND(VLOOKUP(G1928,Dados!$D:$L,3,0)&lt;=VLOOKUP(H1928,Dados!$X:$AB,2,0),VLOOKUP(G1928,Dados!$D:$L,4,0)&gt;=VLOOKUP(H1928,Dados!$X:$AB,3,0),VLOOKUP(G1928,Dados!$D:$L,4,0)&lt;=VLOOKUP(H1928,Dados!$X:$AB,4,0)),0,1)</f>
        <v>0</v>
      </c>
      <c r="U1928" s="4">
        <f>IF(COUNTIFS(F:F,F1928,H:H,H1928)&lt;=VLOOKUP(H1928,Dados!$X:$AB,5,0),0,1)</f>
        <v>0</v>
      </c>
    </row>
    <row r="1929" spans="6:21">
      <c r="F1929" s="4">
        <v>884</v>
      </c>
      <c r="G1929" s="4">
        <v>50</v>
      </c>
      <c r="H1929" s="4">
        <v>1</v>
      </c>
      <c r="I1929" s="4">
        <v>18</v>
      </c>
      <c r="J1929" s="4">
        <v>1</v>
      </c>
      <c r="K1929" s="4">
        <f t="shared" si="307"/>
        <v>0</v>
      </c>
      <c r="L1929" s="4">
        <f t="shared" si="307"/>
        <v>0</v>
      </c>
      <c r="M1929" s="4">
        <f t="shared" si="307"/>
        <v>0</v>
      </c>
      <c r="N1929" s="4">
        <f t="shared" si="307"/>
        <v>1</v>
      </c>
      <c r="O1929" s="4">
        <f t="shared" si="308"/>
        <v>0</v>
      </c>
      <c r="P1929" s="4">
        <f t="shared" si="309"/>
        <v>0</v>
      </c>
      <c r="Q1929" s="4">
        <f t="shared" si="310"/>
        <v>0</v>
      </c>
      <c r="R1929" s="4">
        <f t="shared" si="311"/>
        <v>1</v>
      </c>
      <c r="S1929" s="4">
        <f>IF(AND(VLOOKUP(G1929,Dados!$D:$L,2,0)=VLOOKUP(I1929,Dados!$S:$V,2,0),VLOOKUP(G1929,Dados!$D:$L,3,0)=VLOOKUP(I1929,Dados!$S:$V,3,0)),0,1)</f>
        <v>0</v>
      </c>
      <c r="T1929" s="4">
        <f>IF(AND(VLOOKUP(G1929,Dados!$D:$L,3,0)&lt;=VLOOKUP(H1929,Dados!$X:$AB,2,0),VLOOKUP(G1929,Dados!$D:$L,4,0)&gt;=VLOOKUP(H1929,Dados!$X:$AB,3,0),VLOOKUP(G1929,Dados!$D:$L,4,0)&lt;=VLOOKUP(H1929,Dados!$X:$AB,4,0)),0,1)</f>
        <v>0</v>
      </c>
      <c r="U1929" s="4">
        <f>IF(COUNTIFS(F:F,F1929,H:H,H1929)&lt;=VLOOKUP(H1929,Dados!$X:$AB,5,0),0,1)</f>
        <v>0</v>
      </c>
    </row>
    <row r="1930" spans="6:21">
      <c r="F1930" s="4">
        <v>885</v>
      </c>
      <c r="G1930" s="4">
        <v>47</v>
      </c>
      <c r="H1930" s="4">
        <v>3</v>
      </c>
      <c r="I1930" s="4">
        <v>18</v>
      </c>
      <c r="J1930" s="4">
        <v>3</v>
      </c>
      <c r="K1930" s="4">
        <f t="shared" si="307"/>
        <v>0</v>
      </c>
      <c r="L1930" s="4">
        <f t="shared" si="307"/>
        <v>0</v>
      </c>
      <c r="M1930" s="4">
        <f t="shared" si="307"/>
        <v>0</v>
      </c>
      <c r="N1930" s="4">
        <f t="shared" si="307"/>
        <v>0</v>
      </c>
      <c r="O1930" s="4">
        <f t="shared" si="308"/>
        <v>0</v>
      </c>
      <c r="P1930" s="4">
        <f t="shared" si="309"/>
        <v>0</v>
      </c>
      <c r="Q1930" s="4">
        <f t="shared" si="310"/>
        <v>0</v>
      </c>
      <c r="R1930" s="4">
        <f t="shared" si="311"/>
        <v>0</v>
      </c>
      <c r="S1930" s="4">
        <f>IF(AND(VLOOKUP(G1930,Dados!$D:$L,2,0)=VLOOKUP(I1930,Dados!$S:$V,2,0),VLOOKUP(G1930,Dados!$D:$L,3,0)=VLOOKUP(I1930,Dados!$S:$V,3,0)),0,1)</f>
        <v>0</v>
      </c>
      <c r="T1930" s="4">
        <f>IF(AND(VLOOKUP(G1930,Dados!$D:$L,3,0)&lt;=VLOOKUP(H1930,Dados!$X:$AB,2,0),VLOOKUP(G1930,Dados!$D:$L,4,0)&gt;=VLOOKUP(H1930,Dados!$X:$AB,3,0),VLOOKUP(G1930,Dados!$D:$L,4,0)&lt;=VLOOKUP(H1930,Dados!$X:$AB,4,0)),0,1)</f>
        <v>0</v>
      </c>
      <c r="U1930" s="4">
        <f>IF(COUNTIFS(F:F,F1930,H:H,H1930)&lt;=VLOOKUP(H1930,Dados!$X:$AB,5,0),0,1)</f>
        <v>0</v>
      </c>
    </row>
    <row r="1931" spans="6:21">
      <c r="F1931" s="4">
        <v>885</v>
      </c>
      <c r="G1931" s="4">
        <v>48</v>
      </c>
      <c r="H1931" s="4">
        <v>3</v>
      </c>
      <c r="I1931" s="4">
        <v>18</v>
      </c>
      <c r="J1931" s="4">
        <v>3</v>
      </c>
      <c r="K1931" s="4">
        <f t="shared" si="307"/>
        <v>0</v>
      </c>
      <c r="L1931" s="4">
        <f t="shared" si="307"/>
        <v>0</v>
      </c>
      <c r="M1931" s="4">
        <f t="shared" si="307"/>
        <v>0</v>
      </c>
      <c r="N1931" s="4">
        <f t="shared" si="307"/>
        <v>0</v>
      </c>
      <c r="O1931" s="4">
        <f t="shared" si="308"/>
        <v>0</v>
      </c>
      <c r="P1931" s="4">
        <f t="shared" si="309"/>
        <v>0</v>
      </c>
      <c r="Q1931" s="4">
        <f t="shared" si="310"/>
        <v>0</v>
      </c>
      <c r="R1931" s="4">
        <f t="shared" si="311"/>
        <v>0</v>
      </c>
      <c r="S1931" s="4">
        <f>IF(AND(VLOOKUP(G1931,Dados!$D:$L,2,0)=VLOOKUP(I1931,Dados!$S:$V,2,0),VLOOKUP(G1931,Dados!$D:$L,3,0)=VLOOKUP(I1931,Dados!$S:$V,3,0)),0,1)</f>
        <v>0</v>
      </c>
      <c r="T1931" s="4">
        <f>IF(AND(VLOOKUP(G1931,Dados!$D:$L,3,0)&lt;=VLOOKUP(H1931,Dados!$X:$AB,2,0),VLOOKUP(G1931,Dados!$D:$L,4,0)&gt;=VLOOKUP(H1931,Dados!$X:$AB,3,0),VLOOKUP(G1931,Dados!$D:$L,4,0)&lt;=VLOOKUP(H1931,Dados!$X:$AB,4,0)),0,1)</f>
        <v>0</v>
      </c>
      <c r="U1931" s="4">
        <f>IF(COUNTIFS(F:F,F1931,H:H,H1931)&lt;=VLOOKUP(H1931,Dados!$X:$AB,5,0),0,1)</f>
        <v>0</v>
      </c>
    </row>
    <row r="1932" spans="6:21">
      <c r="F1932" s="4">
        <v>885</v>
      </c>
      <c r="G1932" s="4">
        <v>49</v>
      </c>
      <c r="H1932" s="4">
        <v>3</v>
      </c>
      <c r="I1932" s="4">
        <v>18</v>
      </c>
      <c r="J1932" s="4">
        <v>1</v>
      </c>
      <c r="K1932" s="4">
        <f t="shared" si="307"/>
        <v>0</v>
      </c>
      <c r="L1932" s="4">
        <f t="shared" si="307"/>
        <v>0</v>
      </c>
      <c r="M1932" s="4">
        <f t="shared" si="307"/>
        <v>0</v>
      </c>
      <c r="N1932" s="4">
        <f t="shared" si="307"/>
        <v>0</v>
      </c>
      <c r="O1932" s="4">
        <f t="shared" si="308"/>
        <v>0</v>
      </c>
      <c r="P1932" s="4">
        <f t="shared" si="309"/>
        <v>0</v>
      </c>
      <c r="Q1932" s="4">
        <f t="shared" si="310"/>
        <v>0</v>
      </c>
      <c r="R1932" s="4">
        <f t="shared" si="311"/>
        <v>0</v>
      </c>
      <c r="S1932" s="4">
        <f>IF(AND(VLOOKUP(G1932,Dados!$D:$L,2,0)=VLOOKUP(I1932,Dados!$S:$V,2,0),VLOOKUP(G1932,Dados!$D:$L,3,0)=VLOOKUP(I1932,Dados!$S:$V,3,0)),0,1)</f>
        <v>0</v>
      </c>
      <c r="T1932" s="4">
        <f>IF(AND(VLOOKUP(G1932,Dados!$D:$L,3,0)&lt;=VLOOKUP(H1932,Dados!$X:$AB,2,0),VLOOKUP(G1932,Dados!$D:$L,4,0)&gt;=VLOOKUP(H1932,Dados!$X:$AB,3,0),VLOOKUP(G1932,Dados!$D:$L,4,0)&lt;=VLOOKUP(H1932,Dados!$X:$AB,4,0)),0,1)</f>
        <v>0</v>
      </c>
      <c r="U1932" s="4">
        <f>IF(COUNTIFS(F:F,F1932,H:H,H1932)&lt;=VLOOKUP(H1932,Dados!$X:$AB,5,0),0,1)</f>
        <v>0</v>
      </c>
    </row>
    <row r="1933" spans="6:21">
      <c r="F1933" s="4">
        <v>885</v>
      </c>
      <c r="G1933" s="4">
        <v>51</v>
      </c>
      <c r="H1933" s="4">
        <v>3</v>
      </c>
      <c r="I1933" s="4">
        <v>18</v>
      </c>
      <c r="J1933" s="4">
        <v>1</v>
      </c>
      <c r="K1933" s="4">
        <f t="shared" si="307"/>
        <v>0</v>
      </c>
      <c r="L1933" s="4">
        <f t="shared" si="307"/>
        <v>0</v>
      </c>
      <c r="M1933" s="4">
        <f t="shared" si="307"/>
        <v>0</v>
      </c>
      <c r="N1933" s="4">
        <f t="shared" si="307"/>
        <v>0</v>
      </c>
      <c r="O1933" s="4">
        <f t="shared" si="308"/>
        <v>0</v>
      </c>
      <c r="P1933" s="4">
        <f t="shared" si="309"/>
        <v>0</v>
      </c>
      <c r="Q1933" s="4">
        <f t="shared" si="310"/>
        <v>0</v>
      </c>
      <c r="R1933" s="4">
        <f t="shared" si="311"/>
        <v>0</v>
      </c>
      <c r="S1933" s="4">
        <f>IF(AND(VLOOKUP(G1933,Dados!$D:$L,2,0)=VLOOKUP(I1933,Dados!$S:$V,2,0),VLOOKUP(G1933,Dados!$D:$L,3,0)=VLOOKUP(I1933,Dados!$S:$V,3,0)),0,1)</f>
        <v>0</v>
      </c>
      <c r="T1933" s="4">
        <f>IF(AND(VLOOKUP(G1933,Dados!$D:$L,3,0)&lt;=VLOOKUP(H1933,Dados!$X:$AB,2,0),VLOOKUP(G1933,Dados!$D:$L,4,0)&gt;=VLOOKUP(H1933,Dados!$X:$AB,3,0),VLOOKUP(G1933,Dados!$D:$L,4,0)&lt;=VLOOKUP(H1933,Dados!$X:$AB,4,0)),0,1)</f>
        <v>0</v>
      </c>
      <c r="U1933" s="4">
        <f>IF(COUNTIFS(F:F,F1933,H:H,H1933)&lt;=VLOOKUP(H1933,Dados!$X:$AB,5,0),0,1)</f>
        <v>0</v>
      </c>
    </row>
    <row r="1934" spans="6:21">
      <c r="F1934" s="4">
        <v>886</v>
      </c>
      <c r="G1934" s="4">
        <v>47</v>
      </c>
      <c r="H1934" s="4">
        <v>1</v>
      </c>
      <c r="I1934" s="4">
        <v>19</v>
      </c>
      <c r="J1934" s="4">
        <v>8</v>
      </c>
      <c r="K1934" s="4">
        <f t="shared" si="307"/>
        <v>0</v>
      </c>
      <c r="L1934" s="4">
        <f t="shared" si="307"/>
        <v>0</v>
      </c>
      <c r="M1934" s="4">
        <f t="shared" si="307"/>
        <v>0</v>
      </c>
      <c r="N1934" s="4">
        <f t="shared" si="307"/>
        <v>0</v>
      </c>
      <c r="O1934" s="4">
        <f t="shared" si="308"/>
        <v>0</v>
      </c>
      <c r="P1934" s="4">
        <f t="shared" si="309"/>
        <v>0</v>
      </c>
      <c r="Q1934" s="4">
        <f t="shared" si="310"/>
        <v>0</v>
      </c>
      <c r="R1934" s="4">
        <f t="shared" si="311"/>
        <v>0</v>
      </c>
      <c r="S1934" s="4">
        <f>IF(AND(VLOOKUP(G1934,Dados!$D:$L,2,0)=VLOOKUP(I1934,Dados!$S:$V,2,0),VLOOKUP(G1934,Dados!$D:$L,3,0)=VLOOKUP(I1934,Dados!$S:$V,3,0)),0,1)</f>
        <v>0</v>
      </c>
      <c r="T1934" s="4">
        <f>IF(AND(VLOOKUP(G1934,Dados!$D:$L,3,0)&lt;=VLOOKUP(H1934,Dados!$X:$AB,2,0),VLOOKUP(G1934,Dados!$D:$L,4,0)&gt;=VLOOKUP(H1934,Dados!$X:$AB,3,0),VLOOKUP(G1934,Dados!$D:$L,4,0)&lt;=VLOOKUP(H1934,Dados!$X:$AB,4,0)),0,1)</f>
        <v>0</v>
      </c>
      <c r="U1934" s="4">
        <f>IF(COUNTIFS(F:F,F1934,H:H,H1934)&lt;=VLOOKUP(H1934,Dados!$X:$AB,5,0),0,1)</f>
        <v>0</v>
      </c>
    </row>
    <row r="1935" spans="6:21">
      <c r="F1935" s="4">
        <v>886</v>
      </c>
      <c r="G1935" s="4">
        <v>50</v>
      </c>
      <c r="H1935" s="4">
        <v>1</v>
      </c>
      <c r="I1935" s="4">
        <v>19</v>
      </c>
      <c r="J1935" s="4">
        <v>2</v>
      </c>
      <c r="K1935" s="4">
        <f t="shared" si="307"/>
        <v>0</v>
      </c>
      <c r="L1935" s="4">
        <f t="shared" si="307"/>
        <v>0</v>
      </c>
      <c r="M1935" s="4">
        <f t="shared" si="307"/>
        <v>0</v>
      </c>
      <c r="N1935" s="4">
        <f t="shared" si="307"/>
        <v>0</v>
      </c>
      <c r="O1935" s="4">
        <f t="shared" si="308"/>
        <v>0</v>
      </c>
      <c r="P1935" s="4">
        <f t="shared" si="309"/>
        <v>0</v>
      </c>
      <c r="Q1935" s="4">
        <f t="shared" si="310"/>
        <v>0</v>
      </c>
      <c r="R1935" s="4">
        <f t="shared" si="311"/>
        <v>0</v>
      </c>
      <c r="S1935" s="4">
        <f>IF(AND(VLOOKUP(G1935,Dados!$D:$L,2,0)=VLOOKUP(I1935,Dados!$S:$V,2,0),VLOOKUP(G1935,Dados!$D:$L,3,0)=VLOOKUP(I1935,Dados!$S:$V,3,0)),0,1)</f>
        <v>0</v>
      </c>
      <c r="T1935" s="4">
        <f>IF(AND(VLOOKUP(G1935,Dados!$D:$L,3,0)&lt;=VLOOKUP(H1935,Dados!$X:$AB,2,0),VLOOKUP(G1935,Dados!$D:$L,4,0)&gt;=VLOOKUP(H1935,Dados!$X:$AB,3,0),VLOOKUP(G1935,Dados!$D:$L,4,0)&lt;=VLOOKUP(H1935,Dados!$X:$AB,4,0)),0,1)</f>
        <v>0</v>
      </c>
      <c r="U1935" s="4">
        <f>IF(COUNTIFS(F:F,F1935,H:H,H1935)&lt;=VLOOKUP(H1935,Dados!$X:$AB,5,0),0,1)</f>
        <v>0</v>
      </c>
    </row>
    <row r="1936" spans="6:21">
      <c r="F1936" s="4">
        <v>887</v>
      </c>
      <c r="G1936" s="4">
        <v>47</v>
      </c>
      <c r="H1936" s="4">
        <v>3</v>
      </c>
      <c r="I1936" s="4">
        <v>19</v>
      </c>
      <c r="J1936" s="4">
        <v>8</v>
      </c>
      <c r="K1936" s="4">
        <f t="shared" si="307"/>
        <v>0</v>
      </c>
      <c r="L1936" s="4">
        <f t="shared" si="307"/>
        <v>0</v>
      </c>
      <c r="M1936" s="4">
        <f t="shared" si="307"/>
        <v>0</v>
      </c>
      <c r="N1936" s="4">
        <f t="shared" si="307"/>
        <v>0</v>
      </c>
      <c r="O1936" s="4">
        <f t="shared" si="308"/>
        <v>0</v>
      </c>
      <c r="P1936" s="4">
        <f t="shared" si="309"/>
        <v>0</v>
      </c>
      <c r="Q1936" s="4">
        <f t="shared" si="310"/>
        <v>0</v>
      </c>
      <c r="R1936" s="4">
        <f t="shared" si="311"/>
        <v>0</v>
      </c>
      <c r="S1936" s="4">
        <f>IF(AND(VLOOKUP(G1936,Dados!$D:$L,2,0)=VLOOKUP(I1936,Dados!$S:$V,2,0),VLOOKUP(G1936,Dados!$D:$L,3,0)=VLOOKUP(I1936,Dados!$S:$V,3,0)),0,1)</f>
        <v>0</v>
      </c>
      <c r="T1936" s="4">
        <f>IF(AND(VLOOKUP(G1936,Dados!$D:$L,3,0)&lt;=VLOOKUP(H1936,Dados!$X:$AB,2,0),VLOOKUP(G1936,Dados!$D:$L,4,0)&gt;=VLOOKUP(H1936,Dados!$X:$AB,3,0),VLOOKUP(G1936,Dados!$D:$L,4,0)&lt;=VLOOKUP(H1936,Dados!$X:$AB,4,0)),0,1)</f>
        <v>0</v>
      </c>
      <c r="U1936" s="4">
        <f>IF(COUNTIFS(F:F,F1936,H:H,H1936)&lt;=VLOOKUP(H1936,Dados!$X:$AB,5,0),0,1)</f>
        <v>0</v>
      </c>
    </row>
    <row r="1937" spans="6:21">
      <c r="F1937" s="4">
        <v>887</v>
      </c>
      <c r="G1937" s="4">
        <v>50</v>
      </c>
      <c r="H1937" s="4">
        <v>3</v>
      </c>
      <c r="I1937" s="4">
        <v>19</v>
      </c>
      <c r="J1937" s="4">
        <v>2</v>
      </c>
      <c r="K1937" s="4">
        <f t="shared" si="307"/>
        <v>0</v>
      </c>
      <c r="L1937" s="4">
        <f t="shared" si="307"/>
        <v>0</v>
      </c>
      <c r="M1937" s="4">
        <f t="shared" si="307"/>
        <v>0</v>
      </c>
      <c r="N1937" s="4">
        <f t="shared" si="307"/>
        <v>0</v>
      </c>
      <c r="O1937" s="4">
        <f t="shared" si="308"/>
        <v>0</v>
      </c>
      <c r="P1937" s="4">
        <f t="shared" si="309"/>
        <v>0</v>
      </c>
      <c r="Q1937" s="4">
        <f t="shared" si="310"/>
        <v>0</v>
      </c>
      <c r="R1937" s="4">
        <f t="shared" si="311"/>
        <v>0</v>
      </c>
      <c r="S1937" s="4">
        <f>IF(AND(VLOOKUP(G1937,Dados!$D:$L,2,0)=VLOOKUP(I1937,Dados!$S:$V,2,0),VLOOKUP(G1937,Dados!$D:$L,3,0)=VLOOKUP(I1937,Dados!$S:$V,3,0)),0,1)</f>
        <v>0</v>
      </c>
      <c r="T1937" s="4">
        <f>IF(AND(VLOOKUP(G1937,Dados!$D:$L,3,0)&lt;=VLOOKUP(H1937,Dados!$X:$AB,2,0),VLOOKUP(G1937,Dados!$D:$L,4,0)&gt;=VLOOKUP(H1937,Dados!$X:$AB,3,0),VLOOKUP(G1937,Dados!$D:$L,4,0)&lt;=VLOOKUP(H1937,Dados!$X:$AB,4,0)),0,1)</f>
        <v>0</v>
      </c>
      <c r="U1937" s="4">
        <f>IF(COUNTIFS(F:F,F1937,H:H,H1937)&lt;=VLOOKUP(H1937,Dados!$X:$AB,5,0),0,1)</f>
        <v>0</v>
      </c>
    </row>
    <row r="1938" spans="6:21">
      <c r="F1938" s="4">
        <v>888</v>
      </c>
      <c r="G1938" s="4">
        <v>63</v>
      </c>
      <c r="H1938" s="4">
        <v>3</v>
      </c>
      <c r="I1938" s="4">
        <v>25</v>
      </c>
      <c r="J1938" s="4">
        <v>2</v>
      </c>
      <c r="K1938" s="4">
        <f t="shared" si="307"/>
        <v>0</v>
      </c>
      <c r="L1938" s="4">
        <f t="shared" si="307"/>
        <v>0</v>
      </c>
      <c r="M1938" s="4">
        <f t="shared" si="307"/>
        <v>0</v>
      </c>
      <c r="N1938" s="4">
        <f t="shared" si="307"/>
        <v>0</v>
      </c>
      <c r="O1938" s="4">
        <f t="shared" si="308"/>
        <v>0</v>
      </c>
      <c r="P1938" s="4">
        <f t="shared" si="309"/>
        <v>0</v>
      </c>
      <c r="Q1938" s="4">
        <f t="shared" si="310"/>
        <v>0</v>
      </c>
      <c r="R1938" s="4">
        <f t="shared" si="311"/>
        <v>0</v>
      </c>
      <c r="S1938" s="4">
        <f>IF(AND(VLOOKUP(G1938,Dados!$D:$L,2,0)=VLOOKUP(I1938,Dados!$S:$V,2,0),VLOOKUP(G1938,Dados!$D:$L,3,0)=VLOOKUP(I1938,Dados!$S:$V,3,0)),0,1)</f>
        <v>0</v>
      </c>
      <c r="T1938" s="4">
        <f>IF(AND(VLOOKUP(G1938,Dados!$D:$L,3,0)&lt;=VLOOKUP(H1938,Dados!$X:$AB,2,0),VLOOKUP(G1938,Dados!$D:$L,4,0)&gt;=VLOOKUP(H1938,Dados!$X:$AB,3,0),VLOOKUP(G1938,Dados!$D:$L,4,0)&lt;=VLOOKUP(H1938,Dados!$X:$AB,4,0)),0,1)</f>
        <v>0</v>
      </c>
      <c r="U1938" s="4">
        <f>IF(COUNTIFS(F:F,F1938,H:H,H1938)&lt;=VLOOKUP(H1938,Dados!$X:$AB,5,0),0,1)</f>
        <v>0</v>
      </c>
    </row>
    <row r="1939" spans="6:21">
      <c r="F1939" s="4">
        <v>888</v>
      </c>
      <c r="G1939" s="4">
        <v>64</v>
      </c>
      <c r="H1939" s="4">
        <v>3</v>
      </c>
      <c r="I1939" s="4">
        <v>25</v>
      </c>
      <c r="J1939" s="4">
        <v>1</v>
      </c>
      <c r="K1939" s="4">
        <f t="shared" si="307"/>
        <v>0</v>
      </c>
      <c r="L1939" s="4">
        <f t="shared" si="307"/>
        <v>0</v>
      </c>
      <c r="M1939" s="4">
        <f t="shared" si="307"/>
        <v>0</v>
      </c>
      <c r="N1939" s="4">
        <f t="shared" si="307"/>
        <v>0</v>
      </c>
      <c r="O1939" s="4">
        <f t="shared" si="308"/>
        <v>0</v>
      </c>
      <c r="P1939" s="4">
        <f t="shared" si="309"/>
        <v>0</v>
      </c>
      <c r="Q1939" s="4">
        <f t="shared" si="310"/>
        <v>0</v>
      </c>
      <c r="R1939" s="4">
        <f t="shared" si="311"/>
        <v>0</v>
      </c>
      <c r="S1939" s="4">
        <f>IF(AND(VLOOKUP(G1939,Dados!$D:$L,2,0)=VLOOKUP(I1939,Dados!$S:$V,2,0),VLOOKUP(G1939,Dados!$D:$L,3,0)=VLOOKUP(I1939,Dados!$S:$V,3,0)),0,1)</f>
        <v>0</v>
      </c>
      <c r="T1939" s="4">
        <f>IF(AND(VLOOKUP(G1939,Dados!$D:$L,3,0)&lt;=VLOOKUP(H1939,Dados!$X:$AB,2,0),VLOOKUP(G1939,Dados!$D:$L,4,0)&gt;=VLOOKUP(H1939,Dados!$X:$AB,3,0),VLOOKUP(G1939,Dados!$D:$L,4,0)&lt;=VLOOKUP(H1939,Dados!$X:$AB,4,0)),0,1)</f>
        <v>0</v>
      </c>
      <c r="U1939" s="4">
        <f>IF(COUNTIFS(F:F,F1939,H:H,H1939)&lt;=VLOOKUP(H1939,Dados!$X:$AB,5,0),0,1)</f>
        <v>0</v>
      </c>
    </row>
    <row r="1940" spans="6:21">
      <c r="F1940" s="4">
        <v>888</v>
      </c>
      <c r="G1940" s="4">
        <v>66</v>
      </c>
      <c r="H1940" s="4">
        <v>3</v>
      </c>
      <c r="I1940" s="4">
        <v>25</v>
      </c>
      <c r="J1940" s="4">
        <v>4</v>
      </c>
      <c r="K1940" s="4">
        <f t="shared" si="307"/>
        <v>0</v>
      </c>
      <c r="L1940" s="4">
        <f t="shared" si="307"/>
        <v>0</v>
      </c>
      <c r="M1940" s="4">
        <f t="shared" si="307"/>
        <v>0</v>
      </c>
      <c r="N1940" s="4">
        <f t="shared" si="307"/>
        <v>0</v>
      </c>
      <c r="O1940" s="4">
        <f t="shared" si="308"/>
        <v>0</v>
      </c>
      <c r="P1940" s="4">
        <f t="shared" si="309"/>
        <v>0</v>
      </c>
      <c r="Q1940" s="4">
        <f t="shared" si="310"/>
        <v>0</v>
      </c>
      <c r="R1940" s="4">
        <f t="shared" si="311"/>
        <v>0</v>
      </c>
      <c r="S1940" s="4">
        <f>IF(AND(VLOOKUP(G1940,Dados!$D:$L,2,0)=VLOOKUP(I1940,Dados!$S:$V,2,0),VLOOKUP(G1940,Dados!$D:$L,3,0)=VLOOKUP(I1940,Dados!$S:$V,3,0)),0,1)</f>
        <v>0</v>
      </c>
      <c r="T1940" s="4">
        <f>IF(AND(VLOOKUP(G1940,Dados!$D:$L,3,0)&lt;=VLOOKUP(H1940,Dados!$X:$AB,2,0),VLOOKUP(G1940,Dados!$D:$L,4,0)&gt;=VLOOKUP(H1940,Dados!$X:$AB,3,0),VLOOKUP(G1940,Dados!$D:$L,4,0)&lt;=VLOOKUP(H1940,Dados!$X:$AB,4,0)),0,1)</f>
        <v>0</v>
      </c>
      <c r="U1940" s="4">
        <f>IF(COUNTIFS(F:F,F1940,H:H,H1940)&lt;=VLOOKUP(H1940,Dados!$X:$AB,5,0),0,1)</f>
        <v>0</v>
      </c>
    </row>
    <row r="1941" spans="6:21">
      <c r="F1941" s="4">
        <v>888</v>
      </c>
      <c r="G1941" s="4">
        <v>67</v>
      </c>
      <c r="H1941" s="4">
        <v>3</v>
      </c>
      <c r="I1941" s="4">
        <v>25</v>
      </c>
      <c r="J1941" s="4">
        <v>1</v>
      </c>
      <c r="K1941" s="4">
        <f t="shared" si="307"/>
        <v>0</v>
      </c>
      <c r="L1941" s="4">
        <f t="shared" si="307"/>
        <v>0</v>
      </c>
      <c r="M1941" s="4">
        <f t="shared" si="307"/>
        <v>0</v>
      </c>
      <c r="N1941" s="4">
        <f t="shared" si="307"/>
        <v>0</v>
      </c>
      <c r="O1941" s="4">
        <f t="shared" si="308"/>
        <v>0</v>
      </c>
      <c r="P1941" s="4">
        <f t="shared" si="309"/>
        <v>0</v>
      </c>
      <c r="Q1941" s="4">
        <f t="shared" si="310"/>
        <v>0</v>
      </c>
      <c r="R1941" s="4">
        <f t="shared" si="311"/>
        <v>0</v>
      </c>
      <c r="S1941" s="4">
        <f>IF(AND(VLOOKUP(G1941,Dados!$D:$L,2,0)=VLOOKUP(I1941,Dados!$S:$V,2,0),VLOOKUP(G1941,Dados!$D:$L,3,0)=VLOOKUP(I1941,Dados!$S:$V,3,0)),0,1)</f>
        <v>0</v>
      </c>
      <c r="T1941" s="4">
        <f>IF(AND(VLOOKUP(G1941,Dados!$D:$L,3,0)&lt;=VLOOKUP(H1941,Dados!$X:$AB,2,0),VLOOKUP(G1941,Dados!$D:$L,4,0)&gt;=VLOOKUP(H1941,Dados!$X:$AB,3,0),VLOOKUP(G1941,Dados!$D:$L,4,0)&lt;=VLOOKUP(H1941,Dados!$X:$AB,4,0)),0,1)</f>
        <v>0</v>
      </c>
      <c r="U1941" s="4">
        <f>IF(COUNTIFS(F:F,F1941,H:H,H1941)&lt;=VLOOKUP(H1941,Dados!$X:$AB,5,0),0,1)</f>
        <v>0</v>
      </c>
    </row>
    <row r="1942" spans="6:21">
      <c r="F1942" s="4">
        <v>889</v>
      </c>
      <c r="G1942" s="4">
        <v>30</v>
      </c>
      <c r="H1942" s="4">
        <v>1</v>
      </c>
      <c r="I1942" s="4">
        <v>16</v>
      </c>
      <c r="J1942" s="4">
        <v>5</v>
      </c>
      <c r="K1942" s="4">
        <f t="shared" si="307"/>
        <v>0</v>
      </c>
      <c r="L1942" s="4">
        <f t="shared" si="307"/>
        <v>0</v>
      </c>
      <c r="M1942" s="4">
        <f t="shared" si="307"/>
        <v>0</v>
      </c>
      <c r="N1942" s="4">
        <f t="shared" si="307"/>
        <v>0</v>
      </c>
      <c r="O1942" s="4">
        <f t="shared" si="308"/>
        <v>0</v>
      </c>
      <c r="P1942" s="4">
        <f t="shared" si="309"/>
        <v>0</v>
      </c>
      <c r="Q1942" s="4">
        <f t="shared" si="310"/>
        <v>0</v>
      </c>
      <c r="R1942" s="4">
        <f t="shared" si="311"/>
        <v>0</v>
      </c>
      <c r="S1942" s="4">
        <f>IF(AND(VLOOKUP(G1942,Dados!$D:$L,2,0)=VLOOKUP(I1942,Dados!$S:$V,2,0),VLOOKUP(G1942,Dados!$D:$L,3,0)=VLOOKUP(I1942,Dados!$S:$V,3,0)),0,1)</f>
        <v>0</v>
      </c>
      <c r="T1942" s="4">
        <f>IF(AND(VLOOKUP(G1942,Dados!$D:$L,3,0)&lt;=VLOOKUP(H1942,Dados!$X:$AB,2,0),VLOOKUP(G1942,Dados!$D:$L,4,0)&gt;=VLOOKUP(H1942,Dados!$X:$AB,3,0),VLOOKUP(G1942,Dados!$D:$L,4,0)&lt;=VLOOKUP(H1942,Dados!$X:$AB,4,0)),0,1)</f>
        <v>0</v>
      </c>
      <c r="U1942" s="4">
        <f>IF(COUNTIFS(F:F,F1942,H:H,H1942)&lt;=VLOOKUP(H1942,Dados!$X:$AB,5,0),0,1)</f>
        <v>0</v>
      </c>
    </row>
    <row r="1943" spans="6:21">
      <c r="F1943" s="4">
        <v>889</v>
      </c>
      <c r="G1943" s="4">
        <v>37</v>
      </c>
      <c r="H1943" s="4">
        <v>1</v>
      </c>
      <c r="I1943" s="4">
        <v>16</v>
      </c>
      <c r="J1943" s="4">
        <v>1</v>
      </c>
      <c r="K1943" s="4">
        <f t="shared" si="307"/>
        <v>0</v>
      </c>
      <c r="L1943" s="4">
        <f t="shared" si="307"/>
        <v>0</v>
      </c>
      <c r="M1943" s="4">
        <f t="shared" si="307"/>
        <v>0</v>
      </c>
      <c r="N1943" s="4">
        <f t="shared" si="307"/>
        <v>0</v>
      </c>
      <c r="O1943" s="4">
        <f t="shared" si="308"/>
        <v>0</v>
      </c>
      <c r="P1943" s="4">
        <f t="shared" si="309"/>
        <v>0</v>
      </c>
      <c r="Q1943" s="4">
        <f t="shared" si="310"/>
        <v>0</v>
      </c>
      <c r="R1943" s="4">
        <f t="shared" si="311"/>
        <v>0</v>
      </c>
      <c r="S1943" s="4">
        <f>IF(AND(VLOOKUP(G1943,Dados!$D:$L,2,0)=VLOOKUP(I1943,Dados!$S:$V,2,0),VLOOKUP(G1943,Dados!$D:$L,3,0)=VLOOKUP(I1943,Dados!$S:$V,3,0)),0,1)</f>
        <v>0</v>
      </c>
      <c r="T1943" s="4">
        <f>IF(AND(VLOOKUP(G1943,Dados!$D:$L,3,0)&lt;=VLOOKUP(H1943,Dados!$X:$AB,2,0),VLOOKUP(G1943,Dados!$D:$L,4,0)&gt;=VLOOKUP(H1943,Dados!$X:$AB,3,0),VLOOKUP(G1943,Dados!$D:$L,4,0)&lt;=VLOOKUP(H1943,Dados!$X:$AB,4,0)),0,1)</f>
        <v>0</v>
      </c>
      <c r="U1943" s="4">
        <f>IF(COUNTIFS(F:F,F1943,H:H,H1943)&lt;=VLOOKUP(H1943,Dados!$X:$AB,5,0),0,1)</f>
        <v>0</v>
      </c>
    </row>
    <row r="1944" spans="6:21">
      <c r="F1944" s="4">
        <v>890</v>
      </c>
      <c r="G1944" s="4">
        <v>30</v>
      </c>
      <c r="H1944" s="4">
        <v>2</v>
      </c>
      <c r="I1944" s="4">
        <v>16</v>
      </c>
      <c r="J1944" s="4">
        <v>5</v>
      </c>
      <c r="K1944" s="4">
        <f t="shared" si="307"/>
        <v>0</v>
      </c>
      <c r="L1944" s="4">
        <f t="shared" si="307"/>
        <v>0</v>
      </c>
      <c r="M1944" s="4">
        <f t="shared" si="307"/>
        <v>0</v>
      </c>
      <c r="N1944" s="4">
        <f t="shared" si="307"/>
        <v>0</v>
      </c>
      <c r="O1944" s="4">
        <f t="shared" si="308"/>
        <v>0</v>
      </c>
      <c r="P1944" s="4">
        <f t="shared" si="309"/>
        <v>0</v>
      </c>
      <c r="Q1944" s="4">
        <f t="shared" si="310"/>
        <v>0</v>
      </c>
      <c r="R1944" s="4">
        <f t="shared" si="311"/>
        <v>0</v>
      </c>
      <c r="S1944" s="4">
        <f>IF(AND(VLOOKUP(G1944,Dados!$D:$L,2,0)=VLOOKUP(I1944,Dados!$S:$V,2,0),VLOOKUP(G1944,Dados!$D:$L,3,0)=VLOOKUP(I1944,Dados!$S:$V,3,0)),0,1)</f>
        <v>0</v>
      </c>
      <c r="T1944" s="4">
        <f>IF(AND(VLOOKUP(G1944,Dados!$D:$L,3,0)&lt;=VLOOKUP(H1944,Dados!$X:$AB,2,0),VLOOKUP(G1944,Dados!$D:$L,4,0)&gt;=VLOOKUP(H1944,Dados!$X:$AB,3,0),VLOOKUP(G1944,Dados!$D:$L,4,0)&lt;=VLOOKUP(H1944,Dados!$X:$AB,4,0)),0,1)</f>
        <v>0</v>
      </c>
      <c r="U1944" s="4">
        <f>IF(COUNTIFS(F:F,F1944,H:H,H1944)&lt;=VLOOKUP(H1944,Dados!$X:$AB,5,0),0,1)</f>
        <v>0</v>
      </c>
    </row>
    <row r="1945" spans="6:21">
      <c r="F1945" s="4">
        <v>890</v>
      </c>
      <c r="G1945" s="4">
        <v>37</v>
      </c>
      <c r="H1945" s="4">
        <v>2</v>
      </c>
      <c r="I1945" s="4">
        <v>16</v>
      </c>
      <c r="J1945" s="4">
        <v>1</v>
      </c>
      <c r="K1945" s="4">
        <f t="shared" si="307"/>
        <v>0</v>
      </c>
      <c r="L1945" s="4">
        <f t="shared" si="307"/>
        <v>0</v>
      </c>
      <c r="M1945" s="4">
        <f t="shared" si="307"/>
        <v>0</v>
      </c>
      <c r="N1945" s="4">
        <f t="shared" si="307"/>
        <v>0</v>
      </c>
      <c r="O1945" s="4">
        <f t="shared" si="308"/>
        <v>0</v>
      </c>
      <c r="P1945" s="4">
        <f t="shared" si="309"/>
        <v>0</v>
      </c>
      <c r="Q1945" s="4">
        <f t="shared" si="310"/>
        <v>0</v>
      </c>
      <c r="R1945" s="4">
        <f t="shared" si="311"/>
        <v>0</v>
      </c>
      <c r="S1945" s="4">
        <f>IF(AND(VLOOKUP(G1945,Dados!$D:$L,2,0)=VLOOKUP(I1945,Dados!$S:$V,2,0),VLOOKUP(G1945,Dados!$D:$L,3,0)=VLOOKUP(I1945,Dados!$S:$V,3,0)),0,1)</f>
        <v>0</v>
      </c>
      <c r="T1945" s="4">
        <f>IF(AND(VLOOKUP(G1945,Dados!$D:$L,3,0)&lt;=VLOOKUP(H1945,Dados!$X:$AB,2,0),VLOOKUP(G1945,Dados!$D:$L,4,0)&gt;=VLOOKUP(H1945,Dados!$X:$AB,3,0),VLOOKUP(G1945,Dados!$D:$L,4,0)&lt;=VLOOKUP(H1945,Dados!$X:$AB,4,0)),0,1)</f>
        <v>0</v>
      </c>
      <c r="U1945" s="4">
        <f>IF(COUNTIFS(F:F,F1945,H:H,H1945)&lt;=VLOOKUP(H1945,Dados!$X:$AB,5,0),0,1)</f>
        <v>0</v>
      </c>
    </row>
    <row r="1946" spans="6:21">
      <c r="F1946" s="4">
        <v>891</v>
      </c>
      <c r="G1946" s="4">
        <v>30</v>
      </c>
      <c r="H1946" s="4">
        <v>3</v>
      </c>
      <c r="I1946" s="4">
        <v>16</v>
      </c>
      <c r="J1946" s="4">
        <v>2</v>
      </c>
      <c r="K1946" s="4">
        <f t="shared" si="307"/>
        <v>0</v>
      </c>
      <c r="L1946" s="4">
        <f t="shared" si="307"/>
        <v>0</v>
      </c>
      <c r="M1946" s="4">
        <f t="shared" si="307"/>
        <v>0</v>
      </c>
      <c r="N1946" s="4">
        <f t="shared" si="307"/>
        <v>0</v>
      </c>
      <c r="O1946" s="4">
        <f t="shared" si="308"/>
        <v>0</v>
      </c>
      <c r="P1946" s="4">
        <f t="shared" si="309"/>
        <v>0</v>
      </c>
      <c r="Q1946" s="4">
        <f t="shared" si="310"/>
        <v>0</v>
      </c>
      <c r="R1946" s="4">
        <f t="shared" si="311"/>
        <v>0</v>
      </c>
      <c r="S1946" s="4">
        <f>IF(AND(VLOOKUP(G1946,Dados!$D:$L,2,0)=VLOOKUP(I1946,Dados!$S:$V,2,0),VLOOKUP(G1946,Dados!$D:$L,3,0)=VLOOKUP(I1946,Dados!$S:$V,3,0)),0,1)</f>
        <v>0</v>
      </c>
      <c r="T1946" s="4">
        <f>IF(AND(VLOOKUP(G1946,Dados!$D:$L,3,0)&lt;=VLOOKUP(H1946,Dados!$X:$AB,2,0),VLOOKUP(G1946,Dados!$D:$L,4,0)&gt;=VLOOKUP(H1946,Dados!$X:$AB,3,0),VLOOKUP(G1946,Dados!$D:$L,4,0)&lt;=VLOOKUP(H1946,Dados!$X:$AB,4,0)),0,1)</f>
        <v>0</v>
      </c>
      <c r="U1946" s="4">
        <f>IF(COUNTIFS(F:F,F1946,H:H,H1946)&lt;=VLOOKUP(H1946,Dados!$X:$AB,5,0),0,1)</f>
        <v>0</v>
      </c>
    </row>
    <row r="1947" spans="6:21">
      <c r="F1947" s="4">
        <v>891</v>
      </c>
      <c r="G1947" s="4">
        <v>31</v>
      </c>
      <c r="H1947" s="4">
        <v>3</v>
      </c>
      <c r="I1947" s="4">
        <v>16</v>
      </c>
      <c r="J1947" s="4">
        <v>5</v>
      </c>
      <c r="K1947" s="4">
        <f t="shared" si="307"/>
        <v>0</v>
      </c>
      <c r="L1947" s="4">
        <f t="shared" si="307"/>
        <v>0</v>
      </c>
      <c r="M1947" s="4">
        <f t="shared" si="307"/>
        <v>0</v>
      </c>
      <c r="N1947" s="4">
        <f t="shared" si="307"/>
        <v>0</v>
      </c>
      <c r="O1947" s="4">
        <f t="shared" si="308"/>
        <v>0</v>
      </c>
      <c r="P1947" s="4">
        <f t="shared" si="309"/>
        <v>0</v>
      </c>
      <c r="Q1947" s="4">
        <f t="shared" si="310"/>
        <v>0</v>
      </c>
      <c r="R1947" s="4">
        <f t="shared" si="311"/>
        <v>0</v>
      </c>
      <c r="S1947" s="4">
        <f>IF(AND(VLOOKUP(G1947,Dados!$D:$L,2,0)=VLOOKUP(I1947,Dados!$S:$V,2,0),VLOOKUP(G1947,Dados!$D:$L,3,0)=VLOOKUP(I1947,Dados!$S:$V,3,0)),0,1)</f>
        <v>0</v>
      </c>
      <c r="T1947" s="4">
        <f>IF(AND(VLOOKUP(G1947,Dados!$D:$L,3,0)&lt;=VLOOKUP(H1947,Dados!$X:$AB,2,0),VLOOKUP(G1947,Dados!$D:$L,4,0)&gt;=VLOOKUP(H1947,Dados!$X:$AB,3,0),VLOOKUP(G1947,Dados!$D:$L,4,0)&lt;=VLOOKUP(H1947,Dados!$X:$AB,4,0)),0,1)</f>
        <v>0</v>
      </c>
      <c r="U1947" s="4">
        <f>IF(COUNTIFS(F:F,F1947,H:H,H1947)&lt;=VLOOKUP(H1947,Dados!$X:$AB,5,0),0,1)</f>
        <v>0</v>
      </c>
    </row>
    <row r="1948" spans="6:21">
      <c r="F1948" s="4">
        <v>891</v>
      </c>
      <c r="G1948" s="4">
        <v>37</v>
      </c>
      <c r="H1948" s="4">
        <v>3</v>
      </c>
      <c r="I1948" s="4">
        <v>16</v>
      </c>
      <c r="J1948" s="4">
        <v>1</v>
      </c>
      <c r="K1948" s="4">
        <f t="shared" si="307"/>
        <v>0</v>
      </c>
      <c r="L1948" s="4">
        <f t="shared" si="307"/>
        <v>0</v>
      </c>
      <c r="M1948" s="4">
        <f t="shared" si="307"/>
        <v>0</v>
      </c>
      <c r="N1948" s="4">
        <f t="shared" si="307"/>
        <v>0</v>
      </c>
      <c r="O1948" s="4">
        <f t="shared" si="308"/>
        <v>0</v>
      </c>
      <c r="P1948" s="4">
        <f t="shared" si="309"/>
        <v>0</v>
      </c>
      <c r="Q1948" s="4">
        <f t="shared" si="310"/>
        <v>0</v>
      </c>
      <c r="R1948" s="4">
        <f t="shared" si="311"/>
        <v>0</v>
      </c>
      <c r="S1948" s="4">
        <f>IF(AND(VLOOKUP(G1948,Dados!$D:$L,2,0)=VLOOKUP(I1948,Dados!$S:$V,2,0),VLOOKUP(G1948,Dados!$D:$L,3,0)=VLOOKUP(I1948,Dados!$S:$V,3,0)),0,1)</f>
        <v>0</v>
      </c>
      <c r="T1948" s="4">
        <f>IF(AND(VLOOKUP(G1948,Dados!$D:$L,3,0)&lt;=VLOOKUP(H1948,Dados!$X:$AB,2,0),VLOOKUP(G1948,Dados!$D:$L,4,0)&gt;=VLOOKUP(H1948,Dados!$X:$AB,3,0),VLOOKUP(G1948,Dados!$D:$L,4,0)&lt;=VLOOKUP(H1948,Dados!$X:$AB,4,0)),0,1)</f>
        <v>0</v>
      </c>
      <c r="U1948" s="4">
        <f>IF(COUNTIFS(F:F,F1948,H:H,H1948)&lt;=VLOOKUP(H1948,Dados!$X:$AB,5,0),0,1)</f>
        <v>0</v>
      </c>
    </row>
    <row r="1949" spans="6:21">
      <c r="F1949" s="4">
        <v>892</v>
      </c>
      <c r="G1949" s="4">
        <v>39</v>
      </c>
      <c r="H1949" s="4">
        <v>1</v>
      </c>
      <c r="I1949" s="4">
        <v>17</v>
      </c>
      <c r="J1949" s="4">
        <v>1</v>
      </c>
      <c r="K1949" s="4">
        <f t="shared" si="307"/>
        <v>0</v>
      </c>
      <c r="L1949" s="4">
        <f t="shared" si="307"/>
        <v>0</v>
      </c>
      <c r="M1949" s="4">
        <f t="shared" si="307"/>
        <v>0</v>
      </c>
      <c r="N1949" s="4">
        <f t="shared" si="307"/>
        <v>0</v>
      </c>
      <c r="O1949" s="4">
        <f t="shared" si="308"/>
        <v>0</v>
      </c>
      <c r="P1949" s="4">
        <f t="shared" si="309"/>
        <v>0</v>
      </c>
      <c r="Q1949" s="4">
        <f t="shared" si="310"/>
        <v>0</v>
      </c>
      <c r="R1949" s="4">
        <f t="shared" si="311"/>
        <v>0</v>
      </c>
      <c r="S1949" s="4">
        <f>IF(AND(VLOOKUP(G1949,Dados!$D:$L,2,0)=VLOOKUP(I1949,Dados!$S:$V,2,0),VLOOKUP(G1949,Dados!$D:$L,3,0)=VLOOKUP(I1949,Dados!$S:$V,3,0)),0,1)</f>
        <v>0</v>
      </c>
      <c r="T1949" s="4">
        <f>IF(AND(VLOOKUP(G1949,Dados!$D:$L,3,0)&lt;=VLOOKUP(H1949,Dados!$X:$AB,2,0),VLOOKUP(G1949,Dados!$D:$L,4,0)&gt;=VLOOKUP(H1949,Dados!$X:$AB,3,0),VLOOKUP(G1949,Dados!$D:$L,4,0)&lt;=VLOOKUP(H1949,Dados!$X:$AB,4,0)),0,1)</f>
        <v>0</v>
      </c>
      <c r="U1949" s="4">
        <f>IF(COUNTIFS(F:F,F1949,H:H,H1949)&lt;=VLOOKUP(H1949,Dados!$X:$AB,5,0),0,1)</f>
        <v>0</v>
      </c>
    </row>
    <row r="1950" spans="6:21">
      <c r="F1950" s="4">
        <v>892</v>
      </c>
      <c r="G1950" s="4">
        <v>43</v>
      </c>
      <c r="H1950" s="4">
        <v>1</v>
      </c>
      <c r="I1950" s="4">
        <v>17</v>
      </c>
      <c r="J1950" s="4">
        <v>6</v>
      </c>
      <c r="K1950" s="4">
        <f t="shared" si="307"/>
        <v>0</v>
      </c>
      <c r="L1950" s="4">
        <f t="shared" si="307"/>
        <v>0</v>
      </c>
      <c r="M1950" s="4">
        <f t="shared" si="307"/>
        <v>0</v>
      </c>
      <c r="N1950" s="4">
        <f t="shared" si="307"/>
        <v>0</v>
      </c>
      <c r="O1950" s="4">
        <f t="shared" si="308"/>
        <v>0</v>
      </c>
      <c r="P1950" s="4">
        <f t="shared" si="309"/>
        <v>0</v>
      </c>
      <c r="Q1950" s="4">
        <f t="shared" si="310"/>
        <v>0</v>
      </c>
      <c r="R1950" s="4">
        <f t="shared" si="311"/>
        <v>0</v>
      </c>
      <c r="S1950" s="4">
        <f>IF(AND(VLOOKUP(G1950,Dados!$D:$L,2,0)=VLOOKUP(I1950,Dados!$S:$V,2,0),VLOOKUP(G1950,Dados!$D:$L,3,0)=VLOOKUP(I1950,Dados!$S:$V,3,0)),0,1)</f>
        <v>0</v>
      </c>
      <c r="T1950" s="4">
        <f>IF(AND(VLOOKUP(G1950,Dados!$D:$L,3,0)&lt;=VLOOKUP(H1950,Dados!$X:$AB,2,0),VLOOKUP(G1950,Dados!$D:$L,4,0)&gt;=VLOOKUP(H1950,Dados!$X:$AB,3,0),VLOOKUP(G1950,Dados!$D:$L,4,0)&lt;=VLOOKUP(H1950,Dados!$X:$AB,4,0)),0,1)</f>
        <v>0</v>
      </c>
      <c r="U1950" s="4">
        <f>IF(COUNTIFS(F:F,F1950,H:H,H1950)&lt;=VLOOKUP(H1950,Dados!$X:$AB,5,0),0,1)</f>
        <v>0</v>
      </c>
    </row>
    <row r="1951" spans="6:21">
      <c r="F1951" s="4">
        <v>892</v>
      </c>
      <c r="G1951" s="4">
        <v>44</v>
      </c>
      <c r="H1951" s="4">
        <v>1</v>
      </c>
      <c r="I1951" s="4">
        <v>17</v>
      </c>
      <c r="J1951" s="4">
        <v>2</v>
      </c>
      <c r="K1951" s="4">
        <f t="shared" si="307"/>
        <v>0</v>
      </c>
      <c r="L1951" s="4">
        <f t="shared" si="307"/>
        <v>0</v>
      </c>
      <c r="M1951" s="4">
        <f t="shared" si="307"/>
        <v>0</v>
      </c>
      <c r="N1951" s="4">
        <f t="shared" si="307"/>
        <v>0</v>
      </c>
      <c r="O1951" s="4">
        <f t="shared" si="308"/>
        <v>0</v>
      </c>
      <c r="P1951" s="4">
        <f t="shared" si="309"/>
        <v>0</v>
      </c>
      <c r="Q1951" s="4">
        <f t="shared" si="310"/>
        <v>0</v>
      </c>
      <c r="R1951" s="4">
        <f t="shared" si="311"/>
        <v>0</v>
      </c>
      <c r="S1951" s="4">
        <f>IF(AND(VLOOKUP(G1951,Dados!$D:$L,2,0)=VLOOKUP(I1951,Dados!$S:$V,2,0),VLOOKUP(G1951,Dados!$D:$L,3,0)=VLOOKUP(I1951,Dados!$S:$V,3,0)),0,1)</f>
        <v>0</v>
      </c>
      <c r="T1951" s="4">
        <f>IF(AND(VLOOKUP(G1951,Dados!$D:$L,3,0)&lt;=VLOOKUP(H1951,Dados!$X:$AB,2,0),VLOOKUP(G1951,Dados!$D:$L,4,0)&gt;=VLOOKUP(H1951,Dados!$X:$AB,3,0),VLOOKUP(G1951,Dados!$D:$L,4,0)&lt;=VLOOKUP(H1951,Dados!$X:$AB,4,0)),0,1)</f>
        <v>0</v>
      </c>
      <c r="U1951" s="4">
        <f>IF(COUNTIFS(F:F,F1951,H:H,H1951)&lt;=VLOOKUP(H1951,Dados!$X:$AB,5,0),0,1)</f>
        <v>0</v>
      </c>
    </row>
    <row r="1952" spans="6:21">
      <c r="F1952" s="4">
        <v>893</v>
      </c>
      <c r="G1952" s="4">
        <v>39</v>
      </c>
      <c r="H1952" s="4">
        <v>2</v>
      </c>
      <c r="I1952" s="4">
        <v>17</v>
      </c>
      <c r="J1952" s="4">
        <v>1</v>
      </c>
      <c r="K1952" s="4">
        <f t="shared" si="307"/>
        <v>0</v>
      </c>
      <c r="L1952" s="4">
        <f t="shared" si="307"/>
        <v>0</v>
      </c>
      <c r="M1952" s="4">
        <f t="shared" si="307"/>
        <v>0</v>
      </c>
      <c r="N1952" s="4">
        <f t="shared" ref="K1952:N2015" si="312">SUMIFS($X:$X,$W:$W,$F1952,$Z:$Z,$I1952,$AA:$AA,$H1952,$AB:$AB,N$2)</f>
        <v>3</v>
      </c>
      <c r="O1952" s="4">
        <f t="shared" si="308"/>
        <v>0</v>
      </c>
      <c r="P1952" s="4">
        <f t="shared" si="309"/>
        <v>0</v>
      </c>
      <c r="Q1952" s="4">
        <f t="shared" si="310"/>
        <v>0</v>
      </c>
      <c r="R1952" s="4">
        <f t="shared" si="311"/>
        <v>3</v>
      </c>
      <c r="S1952" s="4">
        <f>IF(AND(VLOOKUP(G1952,Dados!$D:$L,2,0)=VLOOKUP(I1952,Dados!$S:$V,2,0),VLOOKUP(G1952,Dados!$D:$L,3,0)=VLOOKUP(I1952,Dados!$S:$V,3,0)),0,1)</f>
        <v>0</v>
      </c>
      <c r="T1952" s="4">
        <f>IF(AND(VLOOKUP(G1952,Dados!$D:$L,3,0)&lt;=VLOOKUP(H1952,Dados!$X:$AB,2,0),VLOOKUP(G1952,Dados!$D:$L,4,0)&gt;=VLOOKUP(H1952,Dados!$X:$AB,3,0),VLOOKUP(G1952,Dados!$D:$L,4,0)&lt;=VLOOKUP(H1952,Dados!$X:$AB,4,0)),0,1)</f>
        <v>0</v>
      </c>
      <c r="U1952" s="4">
        <f>IF(COUNTIFS(F:F,F1952,H:H,H1952)&lt;=VLOOKUP(H1952,Dados!$X:$AB,5,0),0,1)</f>
        <v>0</v>
      </c>
    </row>
    <row r="1953" spans="6:21">
      <c r="F1953" s="4">
        <v>893</v>
      </c>
      <c r="G1953" s="4">
        <v>43</v>
      </c>
      <c r="H1953" s="4">
        <v>2</v>
      </c>
      <c r="I1953" s="4">
        <v>17</v>
      </c>
      <c r="J1953" s="4">
        <v>6</v>
      </c>
      <c r="K1953" s="4">
        <f t="shared" si="312"/>
        <v>0</v>
      </c>
      <c r="L1953" s="4">
        <f t="shared" si="312"/>
        <v>0</v>
      </c>
      <c r="M1953" s="4">
        <f t="shared" si="312"/>
        <v>0</v>
      </c>
      <c r="N1953" s="4">
        <f t="shared" si="312"/>
        <v>3</v>
      </c>
      <c r="O1953" s="4">
        <f t="shared" si="308"/>
        <v>0</v>
      </c>
      <c r="P1953" s="4">
        <f t="shared" si="309"/>
        <v>0</v>
      </c>
      <c r="Q1953" s="4">
        <f t="shared" si="310"/>
        <v>0</v>
      </c>
      <c r="R1953" s="4">
        <f t="shared" si="311"/>
        <v>18</v>
      </c>
      <c r="S1953" s="4">
        <f>IF(AND(VLOOKUP(G1953,Dados!$D:$L,2,0)=VLOOKUP(I1953,Dados!$S:$V,2,0),VLOOKUP(G1953,Dados!$D:$L,3,0)=VLOOKUP(I1953,Dados!$S:$V,3,0)),0,1)</f>
        <v>0</v>
      </c>
      <c r="T1953" s="4">
        <f>IF(AND(VLOOKUP(G1953,Dados!$D:$L,3,0)&lt;=VLOOKUP(H1953,Dados!$X:$AB,2,0),VLOOKUP(G1953,Dados!$D:$L,4,0)&gt;=VLOOKUP(H1953,Dados!$X:$AB,3,0),VLOOKUP(G1953,Dados!$D:$L,4,0)&lt;=VLOOKUP(H1953,Dados!$X:$AB,4,0)),0,1)</f>
        <v>0</v>
      </c>
      <c r="U1953" s="4">
        <f>IF(COUNTIFS(F:F,F1953,H:H,H1953)&lt;=VLOOKUP(H1953,Dados!$X:$AB,5,0),0,1)</f>
        <v>0</v>
      </c>
    </row>
    <row r="1954" spans="6:21">
      <c r="F1954" s="4">
        <v>893</v>
      </c>
      <c r="G1954" s="4">
        <v>44</v>
      </c>
      <c r="H1954" s="4">
        <v>2</v>
      </c>
      <c r="I1954" s="4">
        <v>17</v>
      </c>
      <c r="J1954" s="4">
        <v>2</v>
      </c>
      <c r="K1954" s="4">
        <f t="shared" si="312"/>
        <v>0</v>
      </c>
      <c r="L1954" s="4">
        <f t="shared" si="312"/>
        <v>0</v>
      </c>
      <c r="M1954" s="4">
        <f t="shared" si="312"/>
        <v>0</v>
      </c>
      <c r="N1954" s="4">
        <f t="shared" si="312"/>
        <v>3</v>
      </c>
      <c r="O1954" s="4">
        <f t="shared" si="308"/>
        <v>0</v>
      </c>
      <c r="P1954" s="4">
        <f t="shared" si="309"/>
        <v>0</v>
      </c>
      <c r="Q1954" s="4">
        <f t="shared" si="310"/>
        <v>0</v>
      </c>
      <c r="R1954" s="4">
        <f t="shared" si="311"/>
        <v>6</v>
      </c>
      <c r="S1954" s="4">
        <f>IF(AND(VLOOKUP(G1954,Dados!$D:$L,2,0)=VLOOKUP(I1954,Dados!$S:$V,2,0),VLOOKUP(G1954,Dados!$D:$L,3,0)=VLOOKUP(I1954,Dados!$S:$V,3,0)),0,1)</f>
        <v>0</v>
      </c>
      <c r="T1954" s="4">
        <f>IF(AND(VLOOKUP(G1954,Dados!$D:$L,3,0)&lt;=VLOOKUP(H1954,Dados!$X:$AB,2,0),VLOOKUP(G1954,Dados!$D:$L,4,0)&gt;=VLOOKUP(H1954,Dados!$X:$AB,3,0),VLOOKUP(G1954,Dados!$D:$L,4,0)&lt;=VLOOKUP(H1954,Dados!$X:$AB,4,0)),0,1)</f>
        <v>0</v>
      </c>
      <c r="U1954" s="4">
        <f>IF(COUNTIFS(F:F,F1954,H:H,H1954)&lt;=VLOOKUP(H1954,Dados!$X:$AB,5,0),0,1)</f>
        <v>0</v>
      </c>
    </row>
    <row r="1955" spans="6:21">
      <c r="F1955" s="4">
        <v>894</v>
      </c>
      <c r="G1955" s="4">
        <v>39</v>
      </c>
      <c r="H1955" s="4">
        <v>3</v>
      </c>
      <c r="I1955" s="4">
        <v>17</v>
      </c>
      <c r="J1955" s="4">
        <v>1</v>
      </c>
      <c r="K1955" s="4">
        <f t="shared" si="312"/>
        <v>0</v>
      </c>
      <c r="L1955" s="4">
        <f t="shared" si="312"/>
        <v>0</v>
      </c>
      <c r="M1955" s="4">
        <f t="shared" si="312"/>
        <v>0</v>
      </c>
      <c r="N1955" s="4">
        <f t="shared" si="312"/>
        <v>0</v>
      </c>
      <c r="O1955" s="4">
        <f t="shared" si="308"/>
        <v>0</v>
      </c>
      <c r="P1955" s="4">
        <f t="shared" si="309"/>
        <v>0</v>
      </c>
      <c r="Q1955" s="4">
        <f t="shared" si="310"/>
        <v>0</v>
      </c>
      <c r="R1955" s="4">
        <f t="shared" si="311"/>
        <v>0</v>
      </c>
      <c r="S1955" s="4">
        <f>IF(AND(VLOOKUP(G1955,Dados!$D:$L,2,0)=VLOOKUP(I1955,Dados!$S:$V,2,0),VLOOKUP(G1955,Dados!$D:$L,3,0)=VLOOKUP(I1955,Dados!$S:$V,3,0)),0,1)</f>
        <v>0</v>
      </c>
      <c r="T1955" s="4">
        <f>IF(AND(VLOOKUP(G1955,Dados!$D:$L,3,0)&lt;=VLOOKUP(H1955,Dados!$X:$AB,2,0),VLOOKUP(G1955,Dados!$D:$L,4,0)&gt;=VLOOKUP(H1955,Dados!$X:$AB,3,0),VLOOKUP(G1955,Dados!$D:$L,4,0)&lt;=VLOOKUP(H1955,Dados!$X:$AB,4,0)),0,1)</f>
        <v>0</v>
      </c>
      <c r="U1955" s="4">
        <f>IF(COUNTIFS(F:F,F1955,H:H,H1955)&lt;=VLOOKUP(H1955,Dados!$X:$AB,5,0),0,1)</f>
        <v>0</v>
      </c>
    </row>
    <row r="1956" spans="6:21">
      <c r="F1956" s="4">
        <v>894</v>
      </c>
      <c r="G1956" s="4">
        <v>43</v>
      </c>
      <c r="H1956" s="4">
        <v>3</v>
      </c>
      <c r="I1956" s="4">
        <v>17</v>
      </c>
      <c r="J1956" s="4">
        <v>6</v>
      </c>
      <c r="K1956" s="4">
        <f t="shared" si="312"/>
        <v>0</v>
      </c>
      <c r="L1956" s="4">
        <f t="shared" si="312"/>
        <v>0</v>
      </c>
      <c r="M1956" s="4">
        <f t="shared" si="312"/>
        <v>0</v>
      </c>
      <c r="N1956" s="4">
        <f t="shared" si="312"/>
        <v>0</v>
      </c>
      <c r="O1956" s="4">
        <f t="shared" si="308"/>
        <v>0</v>
      </c>
      <c r="P1956" s="4">
        <f t="shared" si="309"/>
        <v>0</v>
      </c>
      <c r="Q1956" s="4">
        <f t="shared" si="310"/>
        <v>0</v>
      </c>
      <c r="R1956" s="4">
        <f t="shared" si="311"/>
        <v>0</v>
      </c>
      <c r="S1956" s="4">
        <f>IF(AND(VLOOKUP(G1956,Dados!$D:$L,2,0)=VLOOKUP(I1956,Dados!$S:$V,2,0),VLOOKUP(G1956,Dados!$D:$L,3,0)=VLOOKUP(I1956,Dados!$S:$V,3,0)),0,1)</f>
        <v>0</v>
      </c>
      <c r="T1956" s="4">
        <f>IF(AND(VLOOKUP(G1956,Dados!$D:$L,3,0)&lt;=VLOOKUP(H1956,Dados!$X:$AB,2,0),VLOOKUP(G1956,Dados!$D:$L,4,0)&gt;=VLOOKUP(H1956,Dados!$X:$AB,3,0),VLOOKUP(G1956,Dados!$D:$L,4,0)&lt;=VLOOKUP(H1956,Dados!$X:$AB,4,0)),0,1)</f>
        <v>0</v>
      </c>
      <c r="U1956" s="4">
        <f>IF(COUNTIFS(F:F,F1956,H:H,H1956)&lt;=VLOOKUP(H1956,Dados!$X:$AB,5,0),0,1)</f>
        <v>0</v>
      </c>
    </row>
    <row r="1957" spans="6:21">
      <c r="F1957" s="4">
        <v>894</v>
      </c>
      <c r="G1957" s="4">
        <v>44</v>
      </c>
      <c r="H1957" s="4">
        <v>3</v>
      </c>
      <c r="I1957" s="4">
        <v>17</v>
      </c>
      <c r="J1957" s="4">
        <v>2</v>
      </c>
      <c r="K1957" s="4">
        <f t="shared" si="312"/>
        <v>0</v>
      </c>
      <c r="L1957" s="4">
        <f t="shared" si="312"/>
        <v>0</v>
      </c>
      <c r="M1957" s="4">
        <f t="shared" si="312"/>
        <v>0</v>
      </c>
      <c r="N1957" s="4">
        <f t="shared" si="312"/>
        <v>0</v>
      </c>
      <c r="O1957" s="4">
        <f t="shared" si="308"/>
        <v>0</v>
      </c>
      <c r="P1957" s="4">
        <f t="shared" si="309"/>
        <v>0</v>
      </c>
      <c r="Q1957" s="4">
        <f t="shared" si="310"/>
        <v>0</v>
      </c>
      <c r="R1957" s="4">
        <f t="shared" si="311"/>
        <v>0</v>
      </c>
      <c r="S1957" s="4">
        <f>IF(AND(VLOOKUP(G1957,Dados!$D:$L,2,0)=VLOOKUP(I1957,Dados!$S:$V,2,0),VLOOKUP(G1957,Dados!$D:$L,3,0)=VLOOKUP(I1957,Dados!$S:$V,3,0)),0,1)</f>
        <v>0</v>
      </c>
      <c r="T1957" s="4">
        <f>IF(AND(VLOOKUP(G1957,Dados!$D:$L,3,0)&lt;=VLOOKUP(H1957,Dados!$X:$AB,2,0),VLOOKUP(G1957,Dados!$D:$L,4,0)&gt;=VLOOKUP(H1957,Dados!$X:$AB,3,0),VLOOKUP(G1957,Dados!$D:$L,4,0)&lt;=VLOOKUP(H1957,Dados!$X:$AB,4,0)),0,1)</f>
        <v>0</v>
      </c>
      <c r="U1957" s="4">
        <f>IF(COUNTIFS(F:F,F1957,H:H,H1957)&lt;=VLOOKUP(H1957,Dados!$X:$AB,5,0),0,1)</f>
        <v>0</v>
      </c>
    </row>
    <row r="1958" spans="6:21">
      <c r="F1958" s="4">
        <v>895</v>
      </c>
      <c r="G1958" s="4">
        <v>46</v>
      </c>
      <c r="H1958" s="4">
        <v>1</v>
      </c>
      <c r="I1958" s="4">
        <v>18</v>
      </c>
      <c r="J1958" s="4">
        <v>3</v>
      </c>
      <c r="K1958" s="4">
        <f t="shared" si="312"/>
        <v>0</v>
      </c>
      <c r="L1958" s="4">
        <f t="shared" si="312"/>
        <v>0</v>
      </c>
      <c r="M1958" s="4">
        <f t="shared" si="312"/>
        <v>0</v>
      </c>
      <c r="N1958" s="4">
        <f t="shared" si="312"/>
        <v>0</v>
      </c>
      <c r="O1958" s="4">
        <f t="shared" si="308"/>
        <v>0</v>
      </c>
      <c r="P1958" s="4">
        <f t="shared" si="309"/>
        <v>0</v>
      </c>
      <c r="Q1958" s="4">
        <f t="shared" si="310"/>
        <v>0</v>
      </c>
      <c r="R1958" s="4">
        <f t="shared" si="311"/>
        <v>0</v>
      </c>
      <c r="S1958" s="4">
        <f>IF(AND(VLOOKUP(G1958,Dados!$D:$L,2,0)=VLOOKUP(I1958,Dados!$S:$V,2,0),VLOOKUP(G1958,Dados!$D:$L,3,0)=VLOOKUP(I1958,Dados!$S:$V,3,0)),0,1)</f>
        <v>0</v>
      </c>
      <c r="T1958" s="4">
        <f>IF(AND(VLOOKUP(G1958,Dados!$D:$L,3,0)&lt;=VLOOKUP(H1958,Dados!$X:$AB,2,0),VLOOKUP(G1958,Dados!$D:$L,4,0)&gt;=VLOOKUP(H1958,Dados!$X:$AB,3,0),VLOOKUP(G1958,Dados!$D:$L,4,0)&lt;=VLOOKUP(H1958,Dados!$X:$AB,4,0)),0,1)</f>
        <v>0</v>
      </c>
      <c r="U1958" s="4">
        <f>IF(COUNTIFS(F:F,F1958,H:H,H1958)&lt;=VLOOKUP(H1958,Dados!$X:$AB,5,0),0,1)</f>
        <v>0</v>
      </c>
    </row>
    <row r="1959" spans="6:21">
      <c r="F1959" s="4">
        <v>895</v>
      </c>
      <c r="G1959" s="4">
        <v>47</v>
      </c>
      <c r="H1959" s="4">
        <v>1</v>
      </c>
      <c r="I1959" s="4">
        <v>18</v>
      </c>
      <c r="J1959" s="4">
        <v>3</v>
      </c>
      <c r="K1959" s="4">
        <f t="shared" si="312"/>
        <v>0</v>
      </c>
      <c r="L1959" s="4">
        <f t="shared" si="312"/>
        <v>0</v>
      </c>
      <c r="M1959" s="4">
        <f t="shared" si="312"/>
        <v>0</v>
      </c>
      <c r="N1959" s="4">
        <f t="shared" si="312"/>
        <v>0</v>
      </c>
      <c r="O1959" s="4">
        <f t="shared" ref="O1959:O2022" si="313">$J1959*K1959</f>
        <v>0</v>
      </c>
      <c r="P1959" s="4">
        <f t="shared" ref="P1959:P2022" si="314">$J1959*L1959</f>
        <v>0</v>
      </c>
      <c r="Q1959" s="4">
        <f t="shared" ref="Q1959:Q2022" si="315">$J1959*M1959</f>
        <v>0</v>
      </c>
      <c r="R1959" s="4">
        <f t="shared" ref="R1959:R2022" si="316">$J1959*N1959</f>
        <v>0</v>
      </c>
      <c r="S1959" s="4">
        <f>IF(AND(VLOOKUP(G1959,Dados!$D:$L,2,0)=VLOOKUP(I1959,Dados!$S:$V,2,0),VLOOKUP(G1959,Dados!$D:$L,3,0)=VLOOKUP(I1959,Dados!$S:$V,3,0)),0,1)</f>
        <v>0</v>
      </c>
      <c r="T1959" s="4">
        <f>IF(AND(VLOOKUP(G1959,Dados!$D:$L,3,0)&lt;=VLOOKUP(H1959,Dados!$X:$AB,2,0),VLOOKUP(G1959,Dados!$D:$L,4,0)&gt;=VLOOKUP(H1959,Dados!$X:$AB,3,0),VLOOKUP(G1959,Dados!$D:$L,4,0)&lt;=VLOOKUP(H1959,Dados!$X:$AB,4,0)),0,1)</f>
        <v>0</v>
      </c>
      <c r="U1959" s="4">
        <f>IF(COUNTIFS(F:F,F1959,H:H,H1959)&lt;=VLOOKUP(H1959,Dados!$X:$AB,5,0),0,1)</f>
        <v>0</v>
      </c>
    </row>
    <row r="1960" spans="6:21">
      <c r="F1960" s="4">
        <v>895</v>
      </c>
      <c r="G1960" s="4">
        <v>48</v>
      </c>
      <c r="H1960" s="4">
        <v>1</v>
      </c>
      <c r="I1960" s="4">
        <v>18</v>
      </c>
      <c r="J1960" s="4">
        <v>1</v>
      </c>
      <c r="K1960" s="4">
        <f t="shared" si="312"/>
        <v>0</v>
      </c>
      <c r="L1960" s="4">
        <f t="shared" si="312"/>
        <v>0</v>
      </c>
      <c r="M1960" s="4">
        <f t="shared" si="312"/>
        <v>0</v>
      </c>
      <c r="N1960" s="4">
        <f t="shared" si="312"/>
        <v>0</v>
      </c>
      <c r="O1960" s="4">
        <f t="shared" si="313"/>
        <v>0</v>
      </c>
      <c r="P1960" s="4">
        <f t="shared" si="314"/>
        <v>0</v>
      </c>
      <c r="Q1960" s="4">
        <f t="shared" si="315"/>
        <v>0</v>
      </c>
      <c r="R1960" s="4">
        <f t="shared" si="316"/>
        <v>0</v>
      </c>
      <c r="S1960" s="4">
        <f>IF(AND(VLOOKUP(G1960,Dados!$D:$L,2,0)=VLOOKUP(I1960,Dados!$S:$V,2,0),VLOOKUP(G1960,Dados!$D:$L,3,0)=VLOOKUP(I1960,Dados!$S:$V,3,0)),0,1)</f>
        <v>0</v>
      </c>
      <c r="T1960" s="4">
        <f>IF(AND(VLOOKUP(G1960,Dados!$D:$L,3,0)&lt;=VLOOKUP(H1960,Dados!$X:$AB,2,0),VLOOKUP(G1960,Dados!$D:$L,4,0)&gt;=VLOOKUP(H1960,Dados!$X:$AB,3,0),VLOOKUP(G1960,Dados!$D:$L,4,0)&lt;=VLOOKUP(H1960,Dados!$X:$AB,4,0)),0,1)</f>
        <v>0</v>
      </c>
      <c r="U1960" s="4">
        <f>IF(COUNTIFS(F:F,F1960,H:H,H1960)&lt;=VLOOKUP(H1960,Dados!$X:$AB,5,0),0,1)</f>
        <v>0</v>
      </c>
    </row>
    <row r="1961" spans="6:21">
      <c r="F1961" s="4">
        <v>896</v>
      </c>
      <c r="G1961" s="4">
        <v>46</v>
      </c>
      <c r="H1961" s="4">
        <v>3</v>
      </c>
      <c r="I1961" s="4">
        <v>18</v>
      </c>
      <c r="J1961" s="4">
        <v>3</v>
      </c>
      <c r="K1961" s="4">
        <f t="shared" si="312"/>
        <v>0</v>
      </c>
      <c r="L1961" s="4">
        <f t="shared" si="312"/>
        <v>0</v>
      </c>
      <c r="M1961" s="4">
        <f t="shared" si="312"/>
        <v>0</v>
      </c>
      <c r="N1961" s="4">
        <f t="shared" si="312"/>
        <v>0</v>
      </c>
      <c r="O1961" s="4">
        <f t="shared" si="313"/>
        <v>0</v>
      </c>
      <c r="P1961" s="4">
        <f t="shared" si="314"/>
        <v>0</v>
      </c>
      <c r="Q1961" s="4">
        <f t="shared" si="315"/>
        <v>0</v>
      </c>
      <c r="R1961" s="4">
        <f t="shared" si="316"/>
        <v>0</v>
      </c>
      <c r="S1961" s="4">
        <f>IF(AND(VLOOKUP(G1961,Dados!$D:$L,2,0)=VLOOKUP(I1961,Dados!$S:$V,2,0),VLOOKUP(G1961,Dados!$D:$L,3,0)=VLOOKUP(I1961,Dados!$S:$V,3,0)),0,1)</f>
        <v>0</v>
      </c>
      <c r="T1961" s="4">
        <f>IF(AND(VLOOKUP(G1961,Dados!$D:$L,3,0)&lt;=VLOOKUP(H1961,Dados!$X:$AB,2,0),VLOOKUP(G1961,Dados!$D:$L,4,0)&gt;=VLOOKUP(H1961,Dados!$X:$AB,3,0),VLOOKUP(G1961,Dados!$D:$L,4,0)&lt;=VLOOKUP(H1961,Dados!$X:$AB,4,0)),0,1)</f>
        <v>0</v>
      </c>
      <c r="U1961" s="4">
        <f>IF(COUNTIFS(F:F,F1961,H:H,H1961)&lt;=VLOOKUP(H1961,Dados!$X:$AB,5,0),0,1)</f>
        <v>0</v>
      </c>
    </row>
    <row r="1962" spans="6:21">
      <c r="F1962" s="4">
        <v>896</v>
      </c>
      <c r="G1962" s="4">
        <v>47</v>
      </c>
      <c r="H1962" s="4">
        <v>3</v>
      </c>
      <c r="I1962" s="4">
        <v>18</v>
      </c>
      <c r="J1962" s="4">
        <v>3</v>
      </c>
      <c r="K1962" s="4">
        <f t="shared" si="312"/>
        <v>0</v>
      </c>
      <c r="L1962" s="4">
        <f t="shared" si="312"/>
        <v>0</v>
      </c>
      <c r="M1962" s="4">
        <f t="shared" si="312"/>
        <v>0</v>
      </c>
      <c r="N1962" s="4">
        <f t="shared" si="312"/>
        <v>0</v>
      </c>
      <c r="O1962" s="4">
        <f t="shared" si="313"/>
        <v>0</v>
      </c>
      <c r="P1962" s="4">
        <f t="shared" si="314"/>
        <v>0</v>
      </c>
      <c r="Q1962" s="4">
        <f t="shared" si="315"/>
        <v>0</v>
      </c>
      <c r="R1962" s="4">
        <f t="shared" si="316"/>
        <v>0</v>
      </c>
      <c r="S1962" s="4">
        <f>IF(AND(VLOOKUP(G1962,Dados!$D:$L,2,0)=VLOOKUP(I1962,Dados!$S:$V,2,0),VLOOKUP(G1962,Dados!$D:$L,3,0)=VLOOKUP(I1962,Dados!$S:$V,3,0)),0,1)</f>
        <v>0</v>
      </c>
      <c r="T1962" s="4">
        <f>IF(AND(VLOOKUP(G1962,Dados!$D:$L,3,0)&lt;=VLOOKUP(H1962,Dados!$X:$AB,2,0),VLOOKUP(G1962,Dados!$D:$L,4,0)&gt;=VLOOKUP(H1962,Dados!$X:$AB,3,0),VLOOKUP(G1962,Dados!$D:$L,4,0)&lt;=VLOOKUP(H1962,Dados!$X:$AB,4,0)),0,1)</f>
        <v>0</v>
      </c>
      <c r="U1962" s="4">
        <f>IF(COUNTIFS(F:F,F1962,H:H,H1962)&lt;=VLOOKUP(H1962,Dados!$X:$AB,5,0),0,1)</f>
        <v>0</v>
      </c>
    </row>
    <row r="1963" spans="6:21">
      <c r="F1963" s="4">
        <v>896</v>
      </c>
      <c r="G1963" s="4">
        <v>48</v>
      </c>
      <c r="H1963" s="4">
        <v>3</v>
      </c>
      <c r="I1963" s="4">
        <v>18</v>
      </c>
      <c r="J1963" s="4">
        <v>1</v>
      </c>
      <c r="K1963" s="4">
        <f t="shared" si="312"/>
        <v>0</v>
      </c>
      <c r="L1963" s="4">
        <f t="shared" si="312"/>
        <v>0</v>
      </c>
      <c r="M1963" s="4">
        <f t="shared" si="312"/>
        <v>0</v>
      </c>
      <c r="N1963" s="4">
        <f t="shared" si="312"/>
        <v>0</v>
      </c>
      <c r="O1963" s="4">
        <f t="shared" si="313"/>
        <v>0</v>
      </c>
      <c r="P1963" s="4">
        <f t="shared" si="314"/>
        <v>0</v>
      </c>
      <c r="Q1963" s="4">
        <f t="shared" si="315"/>
        <v>0</v>
      </c>
      <c r="R1963" s="4">
        <f t="shared" si="316"/>
        <v>0</v>
      </c>
      <c r="S1963" s="4">
        <f>IF(AND(VLOOKUP(G1963,Dados!$D:$L,2,0)=VLOOKUP(I1963,Dados!$S:$V,2,0),VLOOKUP(G1963,Dados!$D:$L,3,0)=VLOOKUP(I1963,Dados!$S:$V,3,0)),0,1)</f>
        <v>0</v>
      </c>
      <c r="T1963" s="4">
        <f>IF(AND(VLOOKUP(G1963,Dados!$D:$L,3,0)&lt;=VLOOKUP(H1963,Dados!$X:$AB,2,0),VLOOKUP(G1963,Dados!$D:$L,4,0)&gt;=VLOOKUP(H1963,Dados!$X:$AB,3,0),VLOOKUP(G1963,Dados!$D:$L,4,0)&lt;=VLOOKUP(H1963,Dados!$X:$AB,4,0)),0,1)</f>
        <v>0</v>
      </c>
      <c r="U1963" s="4">
        <f>IF(COUNTIFS(F:F,F1963,H:H,H1963)&lt;=VLOOKUP(H1963,Dados!$X:$AB,5,0),0,1)</f>
        <v>0</v>
      </c>
    </row>
    <row r="1964" spans="6:21">
      <c r="F1964" s="4">
        <v>897</v>
      </c>
      <c r="G1964" s="4">
        <v>46</v>
      </c>
      <c r="H1964" s="4">
        <v>1</v>
      </c>
      <c r="I1964" s="4">
        <v>19</v>
      </c>
      <c r="J1964" s="4">
        <v>4</v>
      </c>
      <c r="K1964" s="4">
        <f t="shared" si="312"/>
        <v>0</v>
      </c>
      <c r="L1964" s="4">
        <f t="shared" si="312"/>
        <v>0</v>
      </c>
      <c r="M1964" s="4">
        <f t="shared" si="312"/>
        <v>0</v>
      </c>
      <c r="N1964" s="4">
        <f t="shared" si="312"/>
        <v>0</v>
      </c>
      <c r="O1964" s="4">
        <f t="shared" si="313"/>
        <v>0</v>
      </c>
      <c r="P1964" s="4">
        <f t="shared" si="314"/>
        <v>0</v>
      </c>
      <c r="Q1964" s="4">
        <f t="shared" si="315"/>
        <v>0</v>
      </c>
      <c r="R1964" s="4">
        <f t="shared" si="316"/>
        <v>0</v>
      </c>
      <c r="S1964" s="4">
        <f>IF(AND(VLOOKUP(G1964,Dados!$D:$L,2,0)=VLOOKUP(I1964,Dados!$S:$V,2,0),VLOOKUP(G1964,Dados!$D:$L,3,0)=VLOOKUP(I1964,Dados!$S:$V,3,0)),0,1)</f>
        <v>0</v>
      </c>
      <c r="T1964" s="4">
        <f>IF(AND(VLOOKUP(G1964,Dados!$D:$L,3,0)&lt;=VLOOKUP(H1964,Dados!$X:$AB,2,0),VLOOKUP(G1964,Dados!$D:$L,4,0)&gt;=VLOOKUP(H1964,Dados!$X:$AB,3,0),VLOOKUP(G1964,Dados!$D:$L,4,0)&lt;=VLOOKUP(H1964,Dados!$X:$AB,4,0)),0,1)</f>
        <v>0</v>
      </c>
      <c r="U1964" s="4">
        <f>IF(COUNTIFS(F:F,F1964,H:H,H1964)&lt;=VLOOKUP(H1964,Dados!$X:$AB,5,0),0,1)</f>
        <v>0</v>
      </c>
    </row>
    <row r="1965" spans="6:21">
      <c r="F1965" s="4">
        <v>897</v>
      </c>
      <c r="G1965" s="4">
        <v>47</v>
      </c>
      <c r="H1965" s="4">
        <v>1</v>
      </c>
      <c r="I1965" s="4">
        <v>19</v>
      </c>
      <c r="J1965" s="4">
        <v>3</v>
      </c>
      <c r="K1965" s="4">
        <f t="shared" si="312"/>
        <v>0</v>
      </c>
      <c r="L1965" s="4">
        <f t="shared" si="312"/>
        <v>0</v>
      </c>
      <c r="M1965" s="4">
        <f t="shared" si="312"/>
        <v>0</v>
      </c>
      <c r="N1965" s="4">
        <f t="shared" si="312"/>
        <v>0</v>
      </c>
      <c r="O1965" s="4">
        <f t="shared" si="313"/>
        <v>0</v>
      </c>
      <c r="P1965" s="4">
        <f t="shared" si="314"/>
        <v>0</v>
      </c>
      <c r="Q1965" s="4">
        <f t="shared" si="315"/>
        <v>0</v>
      </c>
      <c r="R1965" s="4">
        <f t="shared" si="316"/>
        <v>0</v>
      </c>
      <c r="S1965" s="4">
        <f>IF(AND(VLOOKUP(G1965,Dados!$D:$L,2,0)=VLOOKUP(I1965,Dados!$S:$V,2,0),VLOOKUP(G1965,Dados!$D:$L,3,0)=VLOOKUP(I1965,Dados!$S:$V,3,0)),0,1)</f>
        <v>0</v>
      </c>
      <c r="T1965" s="4">
        <f>IF(AND(VLOOKUP(G1965,Dados!$D:$L,3,0)&lt;=VLOOKUP(H1965,Dados!$X:$AB,2,0),VLOOKUP(G1965,Dados!$D:$L,4,0)&gt;=VLOOKUP(H1965,Dados!$X:$AB,3,0),VLOOKUP(G1965,Dados!$D:$L,4,0)&lt;=VLOOKUP(H1965,Dados!$X:$AB,4,0)),0,1)</f>
        <v>0</v>
      </c>
      <c r="U1965" s="4">
        <f>IF(COUNTIFS(F:F,F1965,H:H,H1965)&lt;=VLOOKUP(H1965,Dados!$X:$AB,5,0),0,1)</f>
        <v>0</v>
      </c>
    </row>
    <row r="1966" spans="6:21">
      <c r="F1966" s="4">
        <v>897</v>
      </c>
      <c r="G1966" s="4">
        <v>51</v>
      </c>
      <c r="H1966" s="4">
        <v>1</v>
      </c>
      <c r="I1966" s="4">
        <v>19</v>
      </c>
      <c r="J1966" s="4">
        <v>1</v>
      </c>
      <c r="K1966" s="4">
        <f t="shared" si="312"/>
        <v>0</v>
      </c>
      <c r="L1966" s="4">
        <f t="shared" si="312"/>
        <v>0</v>
      </c>
      <c r="M1966" s="4">
        <f t="shared" si="312"/>
        <v>0</v>
      </c>
      <c r="N1966" s="4">
        <f t="shared" si="312"/>
        <v>0</v>
      </c>
      <c r="O1966" s="4">
        <f t="shared" si="313"/>
        <v>0</v>
      </c>
      <c r="P1966" s="4">
        <f t="shared" si="314"/>
        <v>0</v>
      </c>
      <c r="Q1966" s="4">
        <f t="shared" si="315"/>
        <v>0</v>
      </c>
      <c r="R1966" s="4">
        <f t="shared" si="316"/>
        <v>0</v>
      </c>
      <c r="S1966" s="4">
        <f>IF(AND(VLOOKUP(G1966,Dados!$D:$L,2,0)=VLOOKUP(I1966,Dados!$S:$V,2,0),VLOOKUP(G1966,Dados!$D:$L,3,0)=VLOOKUP(I1966,Dados!$S:$V,3,0)),0,1)</f>
        <v>0</v>
      </c>
      <c r="T1966" s="4">
        <f>IF(AND(VLOOKUP(G1966,Dados!$D:$L,3,0)&lt;=VLOOKUP(H1966,Dados!$X:$AB,2,0),VLOOKUP(G1966,Dados!$D:$L,4,0)&gt;=VLOOKUP(H1966,Dados!$X:$AB,3,0),VLOOKUP(G1966,Dados!$D:$L,4,0)&lt;=VLOOKUP(H1966,Dados!$X:$AB,4,0)),0,1)</f>
        <v>0</v>
      </c>
      <c r="U1966" s="4">
        <f>IF(COUNTIFS(F:F,F1966,H:H,H1966)&lt;=VLOOKUP(H1966,Dados!$X:$AB,5,0),0,1)</f>
        <v>0</v>
      </c>
    </row>
    <row r="1967" spans="6:21">
      <c r="F1967" s="4">
        <v>898</v>
      </c>
      <c r="G1967" s="4">
        <v>46</v>
      </c>
      <c r="H1967" s="4">
        <v>3</v>
      </c>
      <c r="I1967" s="4">
        <v>19</v>
      </c>
      <c r="J1967" s="4">
        <v>4</v>
      </c>
      <c r="K1967" s="4">
        <f t="shared" si="312"/>
        <v>0</v>
      </c>
      <c r="L1967" s="4">
        <f t="shared" si="312"/>
        <v>0</v>
      </c>
      <c r="M1967" s="4">
        <f t="shared" si="312"/>
        <v>0</v>
      </c>
      <c r="N1967" s="4">
        <f t="shared" si="312"/>
        <v>0</v>
      </c>
      <c r="O1967" s="4">
        <f t="shared" si="313"/>
        <v>0</v>
      </c>
      <c r="P1967" s="4">
        <f t="shared" si="314"/>
        <v>0</v>
      </c>
      <c r="Q1967" s="4">
        <f t="shared" si="315"/>
        <v>0</v>
      </c>
      <c r="R1967" s="4">
        <f t="shared" si="316"/>
        <v>0</v>
      </c>
      <c r="S1967" s="4">
        <f>IF(AND(VLOOKUP(G1967,Dados!$D:$L,2,0)=VLOOKUP(I1967,Dados!$S:$V,2,0),VLOOKUP(G1967,Dados!$D:$L,3,0)=VLOOKUP(I1967,Dados!$S:$V,3,0)),0,1)</f>
        <v>0</v>
      </c>
      <c r="T1967" s="4">
        <f>IF(AND(VLOOKUP(G1967,Dados!$D:$L,3,0)&lt;=VLOOKUP(H1967,Dados!$X:$AB,2,0),VLOOKUP(G1967,Dados!$D:$L,4,0)&gt;=VLOOKUP(H1967,Dados!$X:$AB,3,0),VLOOKUP(G1967,Dados!$D:$L,4,0)&lt;=VLOOKUP(H1967,Dados!$X:$AB,4,0)),0,1)</f>
        <v>0</v>
      </c>
      <c r="U1967" s="4">
        <f>IF(COUNTIFS(F:F,F1967,H:H,H1967)&lt;=VLOOKUP(H1967,Dados!$X:$AB,5,0),0,1)</f>
        <v>0</v>
      </c>
    </row>
    <row r="1968" spans="6:21">
      <c r="F1968" s="4">
        <v>898</v>
      </c>
      <c r="G1968" s="4">
        <v>47</v>
      </c>
      <c r="H1968" s="4">
        <v>3</v>
      </c>
      <c r="I1968" s="4">
        <v>19</v>
      </c>
      <c r="J1968" s="4">
        <v>3</v>
      </c>
      <c r="K1968" s="4">
        <f t="shared" si="312"/>
        <v>0</v>
      </c>
      <c r="L1968" s="4">
        <f t="shared" si="312"/>
        <v>0</v>
      </c>
      <c r="M1968" s="4">
        <f t="shared" si="312"/>
        <v>0</v>
      </c>
      <c r="N1968" s="4">
        <f t="shared" si="312"/>
        <v>0</v>
      </c>
      <c r="O1968" s="4">
        <f t="shared" si="313"/>
        <v>0</v>
      </c>
      <c r="P1968" s="4">
        <f t="shared" si="314"/>
        <v>0</v>
      </c>
      <c r="Q1968" s="4">
        <f t="shared" si="315"/>
        <v>0</v>
      </c>
      <c r="R1968" s="4">
        <f t="shared" si="316"/>
        <v>0</v>
      </c>
      <c r="S1968" s="4">
        <f>IF(AND(VLOOKUP(G1968,Dados!$D:$L,2,0)=VLOOKUP(I1968,Dados!$S:$V,2,0),VLOOKUP(G1968,Dados!$D:$L,3,0)=VLOOKUP(I1968,Dados!$S:$V,3,0)),0,1)</f>
        <v>0</v>
      </c>
      <c r="T1968" s="4">
        <f>IF(AND(VLOOKUP(G1968,Dados!$D:$L,3,0)&lt;=VLOOKUP(H1968,Dados!$X:$AB,2,0),VLOOKUP(G1968,Dados!$D:$L,4,0)&gt;=VLOOKUP(H1968,Dados!$X:$AB,3,0),VLOOKUP(G1968,Dados!$D:$L,4,0)&lt;=VLOOKUP(H1968,Dados!$X:$AB,4,0)),0,1)</f>
        <v>0</v>
      </c>
      <c r="U1968" s="4">
        <f>IF(COUNTIFS(F:F,F1968,H:H,H1968)&lt;=VLOOKUP(H1968,Dados!$X:$AB,5,0),0,1)</f>
        <v>0</v>
      </c>
    </row>
    <row r="1969" spans="6:21">
      <c r="F1969" s="4">
        <v>898</v>
      </c>
      <c r="G1969" s="4">
        <v>51</v>
      </c>
      <c r="H1969" s="4">
        <v>3</v>
      </c>
      <c r="I1969" s="4">
        <v>19</v>
      </c>
      <c r="J1969" s="4">
        <v>1</v>
      </c>
      <c r="K1969" s="4">
        <f t="shared" si="312"/>
        <v>0</v>
      </c>
      <c r="L1969" s="4">
        <f t="shared" si="312"/>
        <v>0</v>
      </c>
      <c r="M1969" s="4">
        <f t="shared" si="312"/>
        <v>0</v>
      </c>
      <c r="N1969" s="4">
        <f t="shared" si="312"/>
        <v>0</v>
      </c>
      <c r="O1969" s="4">
        <f t="shared" si="313"/>
        <v>0</v>
      </c>
      <c r="P1969" s="4">
        <f t="shared" si="314"/>
        <v>0</v>
      </c>
      <c r="Q1969" s="4">
        <f t="shared" si="315"/>
        <v>0</v>
      </c>
      <c r="R1969" s="4">
        <f t="shared" si="316"/>
        <v>0</v>
      </c>
      <c r="S1969" s="4">
        <f>IF(AND(VLOOKUP(G1969,Dados!$D:$L,2,0)=VLOOKUP(I1969,Dados!$S:$V,2,0),VLOOKUP(G1969,Dados!$D:$L,3,0)=VLOOKUP(I1969,Dados!$S:$V,3,0)),0,1)</f>
        <v>0</v>
      </c>
      <c r="T1969" s="4">
        <f>IF(AND(VLOOKUP(G1969,Dados!$D:$L,3,0)&lt;=VLOOKUP(H1969,Dados!$X:$AB,2,0),VLOOKUP(G1969,Dados!$D:$L,4,0)&gt;=VLOOKUP(H1969,Dados!$X:$AB,3,0),VLOOKUP(G1969,Dados!$D:$L,4,0)&lt;=VLOOKUP(H1969,Dados!$X:$AB,4,0)),0,1)</f>
        <v>0</v>
      </c>
      <c r="U1969" s="4">
        <f>IF(COUNTIFS(F:F,F1969,H:H,H1969)&lt;=VLOOKUP(H1969,Dados!$X:$AB,5,0),0,1)</f>
        <v>0</v>
      </c>
    </row>
    <row r="1970" spans="6:21">
      <c r="F1970" s="4">
        <v>899</v>
      </c>
      <c r="G1970" s="4">
        <v>60</v>
      </c>
      <c r="H1970" s="4">
        <v>1</v>
      </c>
      <c r="I1970" s="4">
        <v>21</v>
      </c>
      <c r="J1970" s="4">
        <v>5</v>
      </c>
      <c r="K1970" s="4">
        <f t="shared" si="312"/>
        <v>0</v>
      </c>
      <c r="L1970" s="4">
        <f t="shared" si="312"/>
        <v>0</v>
      </c>
      <c r="M1970" s="4">
        <f t="shared" si="312"/>
        <v>0</v>
      </c>
      <c r="N1970" s="4">
        <f t="shared" si="312"/>
        <v>0</v>
      </c>
      <c r="O1970" s="4">
        <f t="shared" si="313"/>
        <v>0</v>
      </c>
      <c r="P1970" s="4">
        <f t="shared" si="314"/>
        <v>0</v>
      </c>
      <c r="Q1970" s="4">
        <f t="shared" si="315"/>
        <v>0</v>
      </c>
      <c r="R1970" s="4">
        <f t="shared" si="316"/>
        <v>0</v>
      </c>
      <c r="S1970" s="4">
        <f>IF(AND(VLOOKUP(G1970,Dados!$D:$L,2,0)=VLOOKUP(I1970,Dados!$S:$V,2,0),VLOOKUP(G1970,Dados!$D:$L,3,0)=VLOOKUP(I1970,Dados!$S:$V,3,0)),0,1)</f>
        <v>0</v>
      </c>
      <c r="T1970" s="4">
        <f>IF(AND(VLOOKUP(G1970,Dados!$D:$L,3,0)&lt;=VLOOKUP(H1970,Dados!$X:$AB,2,0),VLOOKUP(G1970,Dados!$D:$L,4,0)&gt;=VLOOKUP(H1970,Dados!$X:$AB,3,0),VLOOKUP(G1970,Dados!$D:$L,4,0)&lt;=VLOOKUP(H1970,Dados!$X:$AB,4,0)),0,1)</f>
        <v>0</v>
      </c>
      <c r="U1970" s="4">
        <f>IF(COUNTIFS(F:F,F1970,H:H,H1970)&lt;=VLOOKUP(H1970,Dados!$X:$AB,5,0),0,1)</f>
        <v>0</v>
      </c>
    </row>
    <row r="1971" spans="6:21">
      <c r="F1971" s="4">
        <v>899</v>
      </c>
      <c r="G1971" s="4">
        <v>63</v>
      </c>
      <c r="H1971" s="4">
        <v>1</v>
      </c>
      <c r="I1971" s="4">
        <v>21</v>
      </c>
      <c r="J1971" s="4">
        <v>6</v>
      </c>
      <c r="K1971" s="4">
        <f t="shared" si="312"/>
        <v>0</v>
      </c>
      <c r="L1971" s="4">
        <f t="shared" si="312"/>
        <v>0</v>
      </c>
      <c r="M1971" s="4">
        <f t="shared" si="312"/>
        <v>0</v>
      </c>
      <c r="N1971" s="4">
        <f t="shared" si="312"/>
        <v>0</v>
      </c>
      <c r="O1971" s="4">
        <f t="shared" si="313"/>
        <v>0</v>
      </c>
      <c r="P1971" s="4">
        <f t="shared" si="314"/>
        <v>0</v>
      </c>
      <c r="Q1971" s="4">
        <f t="shared" si="315"/>
        <v>0</v>
      </c>
      <c r="R1971" s="4">
        <f t="shared" si="316"/>
        <v>0</v>
      </c>
      <c r="S1971" s="4">
        <f>IF(AND(VLOOKUP(G1971,Dados!$D:$L,2,0)=VLOOKUP(I1971,Dados!$S:$V,2,0),VLOOKUP(G1971,Dados!$D:$L,3,0)=VLOOKUP(I1971,Dados!$S:$V,3,0)),0,1)</f>
        <v>0</v>
      </c>
      <c r="T1971" s="4">
        <f>IF(AND(VLOOKUP(G1971,Dados!$D:$L,3,0)&lt;=VLOOKUP(H1971,Dados!$X:$AB,2,0),VLOOKUP(G1971,Dados!$D:$L,4,0)&gt;=VLOOKUP(H1971,Dados!$X:$AB,3,0),VLOOKUP(G1971,Dados!$D:$L,4,0)&lt;=VLOOKUP(H1971,Dados!$X:$AB,4,0)),0,1)</f>
        <v>0</v>
      </c>
      <c r="U1971" s="4">
        <f>IF(COUNTIFS(F:F,F1971,H:H,H1971)&lt;=VLOOKUP(H1971,Dados!$X:$AB,5,0),0,1)</f>
        <v>0</v>
      </c>
    </row>
    <row r="1972" spans="6:21">
      <c r="F1972" s="4">
        <v>900</v>
      </c>
      <c r="G1972" s="4">
        <v>60</v>
      </c>
      <c r="H1972" s="4">
        <v>2</v>
      </c>
      <c r="I1972" s="4">
        <v>21</v>
      </c>
      <c r="J1972" s="4">
        <v>5</v>
      </c>
      <c r="K1972" s="4">
        <f t="shared" si="312"/>
        <v>0</v>
      </c>
      <c r="L1972" s="4">
        <f t="shared" si="312"/>
        <v>0</v>
      </c>
      <c r="M1972" s="4">
        <f t="shared" si="312"/>
        <v>0</v>
      </c>
      <c r="N1972" s="4">
        <f t="shared" si="312"/>
        <v>0</v>
      </c>
      <c r="O1972" s="4">
        <f t="shared" si="313"/>
        <v>0</v>
      </c>
      <c r="P1972" s="4">
        <f t="shared" si="314"/>
        <v>0</v>
      </c>
      <c r="Q1972" s="4">
        <f t="shared" si="315"/>
        <v>0</v>
      </c>
      <c r="R1972" s="4">
        <f t="shared" si="316"/>
        <v>0</v>
      </c>
      <c r="S1972" s="4">
        <f>IF(AND(VLOOKUP(G1972,Dados!$D:$L,2,0)=VLOOKUP(I1972,Dados!$S:$V,2,0),VLOOKUP(G1972,Dados!$D:$L,3,0)=VLOOKUP(I1972,Dados!$S:$V,3,0)),0,1)</f>
        <v>0</v>
      </c>
      <c r="T1972" s="4">
        <f>IF(AND(VLOOKUP(G1972,Dados!$D:$L,3,0)&lt;=VLOOKUP(H1972,Dados!$X:$AB,2,0),VLOOKUP(G1972,Dados!$D:$L,4,0)&gt;=VLOOKUP(H1972,Dados!$X:$AB,3,0),VLOOKUP(G1972,Dados!$D:$L,4,0)&lt;=VLOOKUP(H1972,Dados!$X:$AB,4,0)),0,1)</f>
        <v>0</v>
      </c>
      <c r="U1972" s="4">
        <f>IF(COUNTIFS(F:F,F1972,H:H,H1972)&lt;=VLOOKUP(H1972,Dados!$X:$AB,5,0),0,1)</f>
        <v>0</v>
      </c>
    </row>
    <row r="1973" spans="6:21">
      <c r="F1973" s="4">
        <v>900</v>
      </c>
      <c r="G1973" s="4">
        <v>63</v>
      </c>
      <c r="H1973" s="4">
        <v>2</v>
      </c>
      <c r="I1973" s="4">
        <v>21</v>
      </c>
      <c r="J1973" s="4">
        <v>6</v>
      </c>
      <c r="K1973" s="4">
        <f t="shared" si="312"/>
        <v>0</v>
      </c>
      <c r="L1973" s="4">
        <f t="shared" si="312"/>
        <v>0</v>
      </c>
      <c r="M1973" s="4">
        <f t="shared" si="312"/>
        <v>0</v>
      </c>
      <c r="N1973" s="4">
        <f t="shared" si="312"/>
        <v>0</v>
      </c>
      <c r="O1973" s="4">
        <f t="shared" si="313"/>
        <v>0</v>
      </c>
      <c r="P1973" s="4">
        <f t="shared" si="314"/>
        <v>0</v>
      </c>
      <c r="Q1973" s="4">
        <f t="shared" si="315"/>
        <v>0</v>
      </c>
      <c r="R1973" s="4">
        <f t="shared" si="316"/>
        <v>0</v>
      </c>
      <c r="S1973" s="4">
        <f>IF(AND(VLOOKUP(G1973,Dados!$D:$L,2,0)=VLOOKUP(I1973,Dados!$S:$V,2,0),VLOOKUP(G1973,Dados!$D:$L,3,0)=VLOOKUP(I1973,Dados!$S:$V,3,0)),0,1)</f>
        <v>0</v>
      </c>
      <c r="T1973" s="4">
        <f>IF(AND(VLOOKUP(G1973,Dados!$D:$L,3,0)&lt;=VLOOKUP(H1973,Dados!$X:$AB,2,0),VLOOKUP(G1973,Dados!$D:$L,4,0)&gt;=VLOOKUP(H1973,Dados!$X:$AB,3,0),VLOOKUP(G1973,Dados!$D:$L,4,0)&lt;=VLOOKUP(H1973,Dados!$X:$AB,4,0)),0,1)</f>
        <v>0</v>
      </c>
      <c r="U1973" s="4">
        <f>IF(COUNTIFS(F:F,F1973,H:H,H1973)&lt;=VLOOKUP(H1973,Dados!$X:$AB,5,0),0,1)</f>
        <v>0</v>
      </c>
    </row>
    <row r="1974" spans="6:21">
      <c r="F1974" s="4">
        <v>901</v>
      </c>
      <c r="G1974" s="4">
        <v>60</v>
      </c>
      <c r="H1974" s="4">
        <v>3</v>
      </c>
      <c r="I1974" s="4">
        <v>21</v>
      </c>
      <c r="J1974" s="4">
        <v>1</v>
      </c>
      <c r="K1974" s="4">
        <f t="shared" si="312"/>
        <v>0</v>
      </c>
      <c r="L1974" s="4">
        <f t="shared" si="312"/>
        <v>0</v>
      </c>
      <c r="M1974" s="4">
        <f t="shared" si="312"/>
        <v>0</v>
      </c>
      <c r="N1974" s="4">
        <f t="shared" si="312"/>
        <v>0</v>
      </c>
      <c r="O1974" s="4">
        <f t="shared" si="313"/>
        <v>0</v>
      </c>
      <c r="P1974" s="4">
        <f t="shared" si="314"/>
        <v>0</v>
      </c>
      <c r="Q1974" s="4">
        <f t="shared" si="315"/>
        <v>0</v>
      </c>
      <c r="R1974" s="4">
        <f t="shared" si="316"/>
        <v>0</v>
      </c>
      <c r="S1974" s="4">
        <f>IF(AND(VLOOKUP(G1974,Dados!$D:$L,2,0)=VLOOKUP(I1974,Dados!$S:$V,2,0),VLOOKUP(G1974,Dados!$D:$L,3,0)=VLOOKUP(I1974,Dados!$S:$V,3,0)),0,1)</f>
        <v>0</v>
      </c>
      <c r="T1974" s="4">
        <f>IF(AND(VLOOKUP(G1974,Dados!$D:$L,3,0)&lt;=VLOOKUP(H1974,Dados!$X:$AB,2,0),VLOOKUP(G1974,Dados!$D:$L,4,0)&gt;=VLOOKUP(H1974,Dados!$X:$AB,3,0),VLOOKUP(G1974,Dados!$D:$L,4,0)&lt;=VLOOKUP(H1974,Dados!$X:$AB,4,0)),0,1)</f>
        <v>0</v>
      </c>
      <c r="U1974" s="4">
        <f>IF(COUNTIFS(F:F,F1974,H:H,H1974)&lt;=VLOOKUP(H1974,Dados!$X:$AB,5,0),0,1)</f>
        <v>0</v>
      </c>
    </row>
    <row r="1975" spans="6:21">
      <c r="F1975" s="4">
        <v>901</v>
      </c>
      <c r="G1975" s="4">
        <v>61</v>
      </c>
      <c r="H1975" s="4">
        <v>3</v>
      </c>
      <c r="I1975" s="4">
        <v>21</v>
      </c>
      <c r="J1975" s="4">
        <v>1</v>
      </c>
      <c r="K1975" s="4">
        <f t="shared" si="312"/>
        <v>0</v>
      </c>
      <c r="L1975" s="4">
        <f t="shared" si="312"/>
        <v>0</v>
      </c>
      <c r="M1975" s="4">
        <f t="shared" si="312"/>
        <v>0</v>
      </c>
      <c r="N1975" s="4">
        <f t="shared" si="312"/>
        <v>0</v>
      </c>
      <c r="O1975" s="4">
        <f t="shared" si="313"/>
        <v>0</v>
      </c>
      <c r="P1975" s="4">
        <f t="shared" si="314"/>
        <v>0</v>
      </c>
      <c r="Q1975" s="4">
        <f t="shared" si="315"/>
        <v>0</v>
      </c>
      <c r="R1975" s="4">
        <f t="shared" si="316"/>
        <v>0</v>
      </c>
      <c r="S1975" s="4">
        <f>IF(AND(VLOOKUP(G1975,Dados!$D:$L,2,0)=VLOOKUP(I1975,Dados!$S:$V,2,0),VLOOKUP(G1975,Dados!$D:$L,3,0)=VLOOKUP(I1975,Dados!$S:$V,3,0)),0,1)</f>
        <v>0</v>
      </c>
      <c r="T1975" s="4">
        <f>IF(AND(VLOOKUP(G1975,Dados!$D:$L,3,0)&lt;=VLOOKUP(H1975,Dados!$X:$AB,2,0),VLOOKUP(G1975,Dados!$D:$L,4,0)&gt;=VLOOKUP(H1975,Dados!$X:$AB,3,0),VLOOKUP(G1975,Dados!$D:$L,4,0)&lt;=VLOOKUP(H1975,Dados!$X:$AB,4,0)),0,1)</f>
        <v>0</v>
      </c>
      <c r="U1975" s="4">
        <f>IF(COUNTIFS(F:F,F1975,H:H,H1975)&lt;=VLOOKUP(H1975,Dados!$X:$AB,5,0),0,1)</f>
        <v>0</v>
      </c>
    </row>
    <row r="1976" spans="6:21">
      <c r="F1976" s="4">
        <v>901</v>
      </c>
      <c r="G1976" s="4">
        <v>63</v>
      </c>
      <c r="H1976" s="4">
        <v>3</v>
      </c>
      <c r="I1976" s="4">
        <v>21</v>
      </c>
      <c r="J1976" s="4">
        <v>8</v>
      </c>
      <c r="K1976" s="4">
        <f t="shared" si="312"/>
        <v>0</v>
      </c>
      <c r="L1976" s="4">
        <f t="shared" si="312"/>
        <v>0</v>
      </c>
      <c r="M1976" s="4">
        <f t="shared" si="312"/>
        <v>0</v>
      </c>
      <c r="N1976" s="4">
        <f t="shared" si="312"/>
        <v>0</v>
      </c>
      <c r="O1976" s="4">
        <f t="shared" si="313"/>
        <v>0</v>
      </c>
      <c r="P1976" s="4">
        <f t="shared" si="314"/>
        <v>0</v>
      </c>
      <c r="Q1976" s="4">
        <f t="shared" si="315"/>
        <v>0</v>
      </c>
      <c r="R1976" s="4">
        <f t="shared" si="316"/>
        <v>0</v>
      </c>
      <c r="S1976" s="4">
        <f>IF(AND(VLOOKUP(G1976,Dados!$D:$L,2,0)=VLOOKUP(I1976,Dados!$S:$V,2,0),VLOOKUP(G1976,Dados!$D:$L,3,0)=VLOOKUP(I1976,Dados!$S:$V,3,0)),0,1)</f>
        <v>0</v>
      </c>
      <c r="T1976" s="4">
        <f>IF(AND(VLOOKUP(G1976,Dados!$D:$L,3,0)&lt;=VLOOKUP(H1976,Dados!$X:$AB,2,0),VLOOKUP(G1976,Dados!$D:$L,4,0)&gt;=VLOOKUP(H1976,Dados!$X:$AB,3,0),VLOOKUP(G1976,Dados!$D:$L,4,0)&lt;=VLOOKUP(H1976,Dados!$X:$AB,4,0)),0,1)</f>
        <v>0</v>
      </c>
      <c r="U1976" s="4">
        <f>IF(COUNTIFS(F:F,F1976,H:H,H1976)&lt;=VLOOKUP(H1976,Dados!$X:$AB,5,0),0,1)</f>
        <v>0</v>
      </c>
    </row>
    <row r="1977" spans="6:21">
      <c r="F1977" s="4">
        <v>901</v>
      </c>
      <c r="G1977" s="4">
        <v>64</v>
      </c>
      <c r="H1977" s="4">
        <v>3</v>
      </c>
      <c r="I1977" s="4">
        <v>21</v>
      </c>
      <c r="J1977" s="4">
        <v>1</v>
      </c>
      <c r="K1977" s="4">
        <f t="shared" si="312"/>
        <v>0</v>
      </c>
      <c r="L1977" s="4">
        <f t="shared" si="312"/>
        <v>0</v>
      </c>
      <c r="M1977" s="4">
        <f t="shared" si="312"/>
        <v>0</v>
      </c>
      <c r="N1977" s="4">
        <f t="shared" si="312"/>
        <v>0</v>
      </c>
      <c r="O1977" s="4">
        <f t="shared" si="313"/>
        <v>0</v>
      </c>
      <c r="P1977" s="4">
        <f t="shared" si="314"/>
        <v>0</v>
      </c>
      <c r="Q1977" s="4">
        <f t="shared" si="315"/>
        <v>0</v>
      </c>
      <c r="R1977" s="4">
        <f t="shared" si="316"/>
        <v>0</v>
      </c>
      <c r="S1977" s="4">
        <f>IF(AND(VLOOKUP(G1977,Dados!$D:$L,2,0)=VLOOKUP(I1977,Dados!$S:$V,2,0),VLOOKUP(G1977,Dados!$D:$L,3,0)=VLOOKUP(I1977,Dados!$S:$V,3,0)),0,1)</f>
        <v>0</v>
      </c>
      <c r="T1977" s="4">
        <f>IF(AND(VLOOKUP(G1977,Dados!$D:$L,3,0)&lt;=VLOOKUP(H1977,Dados!$X:$AB,2,0),VLOOKUP(G1977,Dados!$D:$L,4,0)&gt;=VLOOKUP(H1977,Dados!$X:$AB,3,0),VLOOKUP(G1977,Dados!$D:$L,4,0)&lt;=VLOOKUP(H1977,Dados!$X:$AB,4,0)),0,1)</f>
        <v>0</v>
      </c>
      <c r="U1977" s="4">
        <f>IF(COUNTIFS(F:F,F1977,H:H,H1977)&lt;=VLOOKUP(H1977,Dados!$X:$AB,5,0),0,1)</f>
        <v>0</v>
      </c>
    </row>
    <row r="1978" spans="6:21">
      <c r="F1978" s="4">
        <v>902</v>
      </c>
      <c r="G1978" s="4">
        <v>60</v>
      </c>
      <c r="H1978" s="4">
        <v>1</v>
      </c>
      <c r="I1978" s="4">
        <v>26</v>
      </c>
      <c r="J1978" s="4">
        <v>3</v>
      </c>
      <c r="K1978" s="4">
        <f t="shared" si="312"/>
        <v>0</v>
      </c>
      <c r="L1978" s="4">
        <f t="shared" si="312"/>
        <v>0</v>
      </c>
      <c r="M1978" s="4">
        <f t="shared" si="312"/>
        <v>0</v>
      </c>
      <c r="N1978" s="4">
        <f t="shared" si="312"/>
        <v>0</v>
      </c>
      <c r="O1978" s="4">
        <f t="shared" si="313"/>
        <v>0</v>
      </c>
      <c r="P1978" s="4">
        <f t="shared" si="314"/>
        <v>0</v>
      </c>
      <c r="Q1978" s="4">
        <f t="shared" si="315"/>
        <v>0</v>
      </c>
      <c r="R1978" s="4">
        <f t="shared" si="316"/>
        <v>0</v>
      </c>
      <c r="S1978" s="4">
        <f>IF(AND(VLOOKUP(G1978,Dados!$D:$L,2,0)=VLOOKUP(I1978,Dados!$S:$V,2,0),VLOOKUP(G1978,Dados!$D:$L,3,0)=VLOOKUP(I1978,Dados!$S:$V,3,0)),0,1)</f>
        <v>0</v>
      </c>
      <c r="T1978" s="4">
        <f>IF(AND(VLOOKUP(G1978,Dados!$D:$L,3,0)&lt;=VLOOKUP(H1978,Dados!$X:$AB,2,0),VLOOKUP(G1978,Dados!$D:$L,4,0)&gt;=VLOOKUP(H1978,Dados!$X:$AB,3,0),VLOOKUP(G1978,Dados!$D:$L,4,0)&lt;=VLOOKUP(H1978,Dados!$X:$AB,4,0)),0,1)</f>
        <v>0</v>
      </c>
      <c r="U1978" s="4">
        <f>IF(COUNTIFS(F:F,F1978,H:H,H1978)&lt;=VLOOKUP(H1978,Dados!$X:$AB,5,0),0,1)</f>
        <v>0</v>
      </c>
    </row>
    <row r="1979" spans="6:21">
      <c r="F1979" s="4">
        <v>902</v>
      </c>
      <c r="G1979" s="4">
        <v>63</v>
      </c>
      <c r="H1979" s="4">
        <v>1</v>
      </c>
      <c r="I1979" s="4">
        <v>26</v>
      </c>
      <c r="J1979" s="4">
        <v>7</v>
      </c>
      <c r="K1979" s="4">
        <f t="shared" si="312"/>
        <v>0</v>
      </c>
      <c r="L1979" s="4">
        <f t="shared" si="312"/>
        <v>0</v>
      </c>
      <c r="M1979" s="4">
        <f t="shared" si="312"/>
        <v>0</v>
      </c>
      <c r="N1979" s="4">
        <f t="shared" si="312"/>
        <v>0</v>
      </c>
      <c r="O1979" s="4">
        <f t="shared" si="313"/>
        <v>0</v>
      </c>
      <c r="P1979" s="4">
        <f t="shared" si="314"/>
        <v>0</v>
      </c>
      <c r="Q1979" s="4">
        <f t="shared" si="315"/>
        <v>0</v>
      </c>
      <c r="R1979" s="4">
        <f t="shared" si="316"/>
        <v>0</v>
      </c>
      <c r="S1979" s="4">
        <f>IF(AND(VLOOKUP(G1979,Dados!$D:$L,2,0)=VLOOKUP(I1979,Dados!$S:$V,2,0),VLOOKUP(G1979,Dados!$D:$L,3,0)=VLOOKUP(I1979,Dados!$S:$V,3,0)),0,1)</f>
        <v>0</v>
      </c>
      <c r="T1979" s="4">
        <f>IF(AND(VLOOKUP(G1979,Dados!$D:$L,3,0)&lt;=VLOOKUP(H1979,Dados!$X:$AB,2,0),VLOOKUP(G1979,Dados!$D:$L,4,0)&gt;=VLOOKUP(H1979,Dados!$X:$AB,3,0),VLOOKUP(G1979,Dados!$D:$L,4,0)&lt;=VLOOKUP(H1979,Dados!$X:$AB,4,0)),0,1)</f>
        <v>0</v>
      </c>
      <c r="U1979" s="4">
        <f>IF(COUNTIFS(F:F,F1979,H:H,H1979)&lt;=VLOOKUP(H1979,Dados!$X:$AB,5,0),0,1)</f>
        <v>0</v>
      </c>
    </row>
    <row r="1980" spans="6:21">
      <c r="F1980" s="4">
        <v>903</v>
      </c>
      <c r="G1980" s="4">
        <v>60</v>
      </c>
      <c r="H1980" s="4">
        <v>2</v>
      </c>
      <c r="I1980" s="4">
        <v>26</v>
      </c>
      <c r="J1980" s="4">
        <v>3</v>
      </c>
      <c r="K1980" s="4">
        <f t="shared" si="312"/>
        <v>0</v>
      </c>
      <c r="L1980" s="4">
        <f t="shared" si="312"/>
        <v>0</v>
      </c>
      <c r="M1980" s="4">
        <f t="shared" si="312"/>
        <v>0</v>
      </c>
      <c r="N1980" s="4">
        <f t="shared" si="312"/>
        <v>0</v>
      </c>
      <c r="O1980" s="4">
        <f t="shared" si="313"/>
        <v>0</v>
      </c>
      <c r="P1980" s="4">
        <f t="shared" si="314"/>
        <v>0</v>
      </c>
      <c r="Q1980" s="4">
        <f t="shared" si="315"/>
        <v>0</v>
      </c>
      <c r="R1980" s="4">
        <f t="shared" si="316"/>
        <v>0</v>
      </c>
      <c r="S1980" s="4">
        <f>IF(AND(VLOOKUP(G1980,Dados!$D:$L,2,0)=VLOOKUP(I1980,Dados!$S:$V,2,0),VLOOKUP(G1980,Dados!$D:$L,3,0)=VLOOKUP(I1980,Dados!$S:$V,3,0)),0,1)</f>
        <v>0</v>
      </c>
      <c r="T1980" s="4">
        <f>IF(AND(VLOOKUP(G1980,Dados!$D:$L,3,0)&lt;=VLOOKUP(H1980,Dados!$X:$AB,2,0),VLOOKUP(G1980,Dados!$D:$L,4,0)&gt;=VLOOKUP(H1980,Dados!$X:$AB,3,0),VLOOKUP(G1980,Dados!$D:$L,4,0)&lt;=VLOOKUP(H1980,Dados!$X:$AB,4,0)),0,1)</f>
        <v>0</v>
      </c>
      <c r="U1980" s="4">
        <f>IF(COUNTIFS(F:F,F1980,H:H,H1980)&lt;=VLOOKUP(H1980,Dados!$X:$AB,5,0),0,1)</f>
        <v>0</v>
      </c>
    </row>
    <row r="1981" spans="6:21">
      <c r="F1981" s="4">
        <v>903</v>
      </c>
      <c r="G1981" s="4">
        <v>63</v>
      </c>
      <c r="H1981" s="4">
        <v>2</v>
      </c>
      <c r="I1981" s="4">
        <v>26</v>
      </c>
      <c r="J1981" s="4">
        <v>7</v>
      </c>
      <c r="K1981" s="4">
        <f t="shared" si="312"/>
        <v>0</v>
      </c>
      <c r="L1981" s="4">
        <f t="shared" si="312"/>
        <v>0</v>
      </c>
      <c r="M1981" s="4">
        <f t="shared" si="312"/>
        <v>0</v>
      </c>
      <c r="N1981" s="4">
        <f t="shared" si="312"/>
        <v>0</v>
      </c>
      <c r="O1981" s="4">
        <f t="shared" si="313"/>
        <v>0</v>
      </c>
      <c r="P1981" s="4">
        <f t="shared" si="314"/>
        <v>0</v>
      </c>
      <c r="Q1981" s="4">
        <f t="shared" si="315"/>
        <v>0</v>
      </c>
      <c r="R1981" s="4">
        <f t="shared" si="316"/>
        <v>0</v>
      </c>
      <c r="S1981" s="4">
        <f>IF(AND(VLOOKUP(G1981,Dados!$D:$L,2,0)=VLOOKUP(I1981,Dados!$S:$V,2,0),VLOOKUP(G1981,Dados!$D:$L,3,0)=VLOOKUP(I1981,Dados!$S:$V,3,0)),0,1)</f>
        <v>0</v>
      </c>
      <c r="T1981" s="4">
        <f>IF(AND(VLOOKUP(G1981,Dados!$D:$L,3,0)&lt;=VLOOKUP(H1981,Dados!$X:$AB,2,0),VLOOKUP(G1981,Dados!$D:$L,4,0)&gt;=VLOOKUP(H1981,Dados!$X:$AB,3,0),VLOOKUP(G1981,Dados!$D:$L,4,0)&lt;=VLOOKUP(H1981,Dados!$X:$AB,4,0)),0,1)</f>
        <v>0</v>
      </c>
      <c r="U1981" s="4">
        <f>IF(COUNTIFS(F:F,F1981,H:H,H1981)&lt;=VLOOKUP(H1981,Dados!$X:$AB,5,0),0,1)</f>
        <v>0</v>
      </c>
    </row>
    <row r="1982" spans="6:21">
      <c r="F1982" s="4">
        <v>904</v>
      </c>
      <c r="G1982" s="4">
        <v>60</v>
      </c>
      <c r="H1982" s="4">
        <v>3</v>
      </c>
      <c r="I1982" s="4">
        <v>26</v>
      </c>
      <c r="J1982" s="4">
        <v>3</v>
      </c>
      <c r="K1982" s="4">
        <f t="shared" si="312"/>
        <v>0</v>
      </c>
      <c r="L1982" s="4">
        <f t="shared" si="312"/>
        <v>0</v>
      </c>
      <c r="M1982" s="4">
        <f t="shared" si="312"/>
        <v>0</v>
      </c>
      <c r="N1982" s="4">
        <f t="shared" si="312"/>
        <v>0</v>
      </c>
      <c r="O1982" s="4">
        <f t="shared" si="313"/>
        <v>0</v>
      </c>
      <c r="P1982" s="4">
        <f t="shared" si="314"/>
        <v>0</v>
      </c>
      <c r="Q1982" s="4">
        <f t="shared" si="315"/>
        <v>0</v>
      </c>
      <c r="R1982" s="4">
        <f t="shared" si="316"/>
        <v>0</v>
      </c>
      <c r="S1982" s="4">
        <f>IF(AND(VLOOKUP(G1982,Dados!$D:$L,2,0)=VLOOKUP(I1982,Dados!$S:$V,2,0),VLOOKUP(G1982,Dados!$D:$L,3,0)=VLOOKUP(I1982,Dados!$S:$V,3,0)),0,1)</f>
        <v>0</v>
      </c>
      <c r="T1982" s="4">
        <f>IF(AND(VLOOKUP(G1982,Dados!$D:$L,3,0)&lt;=VLOOKUP(H1982,Dados!$X:$AB,2,0),VLOOKUP(G1982,Dados!$D:$L,4,0)&gt;=VLOOKUP(H1982,Dados!$X:$AB,3,0),VLOOKUP(G1982,Dados!$D:$L,4,0)&lt;=VLOOKUP(H1982,Dados!$X:$AB,4,0)),0,1)</f>
        <v>0</v>
      </c>
      <c r="U1982" s="4">
        <f>IF(COUNTIFS(F:F,F1982,H:H,H1982)&lt;=VLOOKUP(H1982,Dados!$X:$AB,5,0),0,1)</f>
        <v>0</v>
      </c>
    </row>
    <row r="1983" spans="6:21">
      <c r="F1983" s="4">
        <v>904</v>
      </c>
      <c r="G1983" s="4">
        <v>63</v>
      </c>
      <c r="H1983" s="4">
        <v>3</v>
      </c>
      <c r="I1983" s="4">
        <v>26</v>
      </c>
      <c r="J1983" s="4">
        <v>7</v>
      </c>
      <c r="K1983" s="4">
        <f t="shared" si="312"/>
        <v>0</v>
      </c>
      <c r="L1983" s="4">
        <f t="shared" si="312"/>
        <v>0</v>
      </c>
      <c r="M1983" s="4">
        <f t="shared" si="312"/>
        <v>0</v>
      </c>
      <c r="N1983" s="4">
        <f t="shared" si="312"/>
        <v>0</v>
      </c>
      <c r="O1983" s="4">
        <f t="shared" si="313"/>
        <v>0</v>
      </c>
      <c r="P1983" s="4">
        <f t="shared" si="314"/>
        <v>0</v>
      </c>
      <c r="Q1983" s="4">
        <f t="shared" si="315"/>
        <v>0</v>
      </c>
      <c r="R1983" s="4">
        <f t="shared" si="316"/>
        <v>0</v>
      </c>
      <c r="S1983" s="4">
        <f>IF(AND(VLOOKUP(G1983,Dados!$D:$L,2,0)=VLOOKUP(I1983,Dados!$S:$V,2,0),VLOOKUP(G1983,Dados!$D:$L,3,0)=VLOOKUP(I1983,Dados!$S:$V,3,0)),0,1)</f>
        <v>0</v>
      </c>
      <c r="T1983" s="4">
        <f>IF(AND(VLOOKUP(G1983,Dados!$D:$L,3,0)&lt;=VLOOKUP(H1983,Dados!$X:$AB,2,0),VLOOKUP(G1983,Dados!$D:$L,4,0)&gt;=VLOOKUP(H1983,Dados!$X:$AB,3,0),VLOOKUP(G1983,Dados!$D:$L,4,0)&lt;=VLOOKUP(H1983,Dados!$X:$AB,4,0)),0,1)</f>
        <v>0</v>
      </c>
      <c r="U1983" s="4">
        <f>IF(COUNTIFS(F:F,F1983,H:H,H1983)&lt;=VLOOKUP(H1983,Dados!$X:$AB,5,0),0,1)</f>
        <v>0</v>
      </c>
    </row>
    <row r="1984" spans="6:21">
      <c r="F1984" s="4">
        <v>905</v>
      </c>
      <c r="G1984" s="4">
        <v>61</v>
      </c>
      <c r="H1984" s="4">
        <v>1</v>
      </c>
      <c r="I1984" s="4">
        <v>28</v>
      </c>
      <c r="J1984" s="4">
        <v>1</v>
      </c>
      <c r="K1984" s="4">
        <f t="shared" si="312"/>
        <v>19</v>
      </c>
      <c r="L1984" s="4">
        <f t="shared" si="312"/>
        <v>0</v>
      </c>
      <c r="M1984" s="4">
        <f t="shared" si="312"/>
        <v>0</v>
      </c>
      <c r="N1984" s="4">
        <f t="shared" si="312"/>
        <v>0</v>
      </c>
      <c r="O1984" s="4">
        <f t="shared" si="313"/>
        <v>19</v>
      </c>
      <c r="P1984" s="4">
        <f t="shared" si="314"/>
        <v>0</v>
      </c>
      <c r="Q1984" s="4">
        <f t="shared" si="315"/>
        <v>0</v>
      </c>
      <c r="R1984" s="4">
        <f t="shared" si="316"/>
        <v>0</v>
      </c>
      <c r="S1984" s="4">
        <f>IF(AND(VLOOKUP(G1984,Dados!$D:$L,2,0)=VLOOKUP(I1984,Dados!$S:$V,2,0),VLOOKUP(G1984,Dados!$D:$L,3,0)=VLOOKUP(I1984,Dados!$S:$V,3,0)),0,1)</f>
        <v>0</v>
      </c>
      <c r="T1984" s="4">
        <f>IF(AND(VLOOKUP(G1984,Dados!$D:$L,3,0)&lt;=VLOOKUP(H1984,Dados!$X:$AB,2,0),VLOOKUP(G1984,Dados!$D:$L,4,0)&gt;=VLOOKUP(H1984,Dados!$X:$AB,3,0),VLOOKUP(G1984,Dados!$D:$L,4,0)&lt;=VLOOKUP(H1984,Dados!$X:$AB,4,0)),0,1)</f>
        <v>0</v>
      </c>
      <c r="U1984" s="4">
        <f>IF(COUNTIFS(F:F,F1984,H:H,H1984)&lt;=VLOOKUP(H1984,Dados!$X:$AB,5,0),0,1)</f>
        <v>0</v>
      </c>
    </row>
    <row r="1985" spans="6:21">
      <c r="F1985" s="4">
        <v>905</v>
      </c>
      <c r="G1985" s="4">
        <v>63</v>
      </c>
      <c r="H1985" s="4">
        <v>1</v>
      </c>
      <c r="I1985" s="4">
        <v>28</v>
      </c>
      <c r="J1985" s="4">
        <v>9</v>
      </c>
      <c r="K1985" s="4">
        <f t="shared" si="312"/>
        <v>19</v>
      </c>
      <c r="L1985" s="4">
        <f t="shared" si="312"/>
        <v>0</v>
      </c>
      <c r="M1985" s="4">
        <f t="shared" si="312"/>
        <v>0</v>
      </c>
      <c r="N1985" s="4">
        <f t="shared" si="312"/>
        <v>0</v>
      </c>
      <c r="O1985" s="4">
        <f t="shared" si="313"/>
        <v>171</v>
      </c>
      <c r="P1985" s="4">
        <f t="shared" si="314"/>
        <v>0</v>
      </c>
      <c r="Q1985" s="4">
        <f t="shared" si="315"/>
        <v>0</v>
      </c>
      <c r="R1985" s="4">
        <f t="shared" si="316"/>
        <v>0</v>
      </c>
      <c r="S1985" s="4">
        <f>IF(AND(VLOOKUP(G1985,Dados!$D:$L,2,0)=VLOOKUP(I1985,Dados!$S:$V,2,0),VLOOKUP(G1985,Dados!$D:$L,3,0)=VLOOKUP(I1985,Dados!$S:$V,3,0)),0,1)</f>
        <v>0</v>
      </c>
      <c r="T1985" s="4">
        <f>IF(AND(VLOOKUP(G1985,Dados!$D:$L,3,0)&lt;=VLOOKUP(H1985,Dados!$X:$AB,2,0),VLOOKUP(G1985,Dados!$D:$L,4,0)&gt;=VLOOKUP(H1985,Dados!$X:$AB,3,0),VLOOKUP(G1985,Dados!$D:$L,4,0)&lt;=VLOOKUP(H1985,Dados!$X:$AB,4,0)),0,1)</f>
        <v>0</v>
      </c>
      <c r="U1985" s="4">
        <f>IF(COUNTIFS(F:F,F1985,H:H,H1985)&lt;=VLOOKUP(H1985,Dados!$X:$AB,5,0),0,1)</f>
        <v>0</v>
      </c>
    </row>
    <row r="1986" spans="6:21">
      <c r="F1986" s="4">
        <v>905</v>
      </c>
      <c r="G1986" s="4">
        <v>64</v>
      </c>
      <c r="H1986" s="4">
        <v>1</v>
      </c>
      <c r="I1986" s="4">
        <v>28</v>
      </c>
      <c r="J1986" s="4">
        <v>1</v>
      </c>
      <c r="K1986" s="4">
        <f t="shared" si="312"/>
        <v>19</v>
      </c>
      <c r="L1986" s="4">
        <f t="shared" si="312"/>
        <v>0</v>
      </c>
      <c r="M1986" s="4">
        <f t="shared" si="312"/>
        <v>0</v>
      </c>
      <c r="N1986" s="4">
        <f t="shared" si="312"/>
        <v>0</v>
      </c>
      <c r="O1986" s="4">
        <f t="shared" si="313"/>
        <v>19</v>
      </c>
      <c r="P1986" s="4">
        <f t="shared" si="314"/>
        <v>0</v>
      </c>
      <c r="Q1986" s="4">
        <f t="shared" si="315"/>
        <v>0</v>
      </c>
      <c r="R1986" s="4">
        <f t="shared" si="316"/>
        <v>0</v>
      </c>
      <c r="S1986" s="4">
        <f>IF(AND(VLOOKUP(G1986,Dados!$D:$L,2,0)=VLOOKUP(I1986,Dados!$S:$V,2,0),VLOOKUP(G1986,Dados!$D:$L,3,0)=VLOOKUP(I1986,Dados!$S:$V,3,0)),0,1)</f>
        <v>0</v>
      </c>
      <c r="T1986" s="4">
        <f>IF(AND(VLOOKUP(G1986,Dados!$D:$L,3,0)&lt;=VLOOKUP(H1986,Dados!$X:$AB,2,0),VLOOKUP(G1986,Dados!$D:$L,4,0)&gt;=VLOOKUP(H1986,Dados!$X:$AB,3,0),VLOOKUP(G1986,Dados!$D:$L,4,0)&lt;=VLOOKUP(H1986,Dados!$X:$AB,4,0)),0,1)</f>
        <v>0</v>
      </c>
      <c r="U1986" s="4">
        <f>IF(COUNTIFS(F:F,F1986,H:H,H1986)&lt;=VLOOKUP(H1986,Dados!$X:$AB,5,0),0,1)</f>
        <v>0</v>
      </c>
    </row>
    <row r="1987" spans="6:21">
      <c r="F1987" s="4">
        <v>906</v>
      </c>
      <c r="G1987" s="4">
        <v>61</v>
      </c>
      <c r="H1987" s="4">
        <v>2</v>
      </c>
      <c r="I1987" s="4">
        <v>28</v>
      </c>
      <c r="J1987" s="4">
        <v>1</v>
      </c>
      <c r="K1987" s="4">
        <f t="shared" si="312"/>
        <v>0</v>
      </c>
      <c r="L1987" s="4">
        <f t="shared" si="312"/>
        <v>0</v>
      </c>
      <c r="M1987" s="4">
        <f t="shared" si="312"/>
        <v>0</v>
      </c>
      <c r="N1987" s="4">
        <f t="shared" si="312"/>
        <v>0</v>
      </c>
      <c r="O1987" s="4">
        <f t="shared" si="313"/>
        <v>0</v>
      </c>
      <c r="P1987" s="4">
        <f t="shared" si="314"/>
        <v>0</v>
      </c>
      <c r="Q1987" s="4">
        <f t="shared" si="315"/>
        <v>0</v>
      </c>
      <c r="R1987" s="4">
        <f t="shared" si="316"/>
        <v>0</v>
      </c>
      <c r="S1987" s="4">
        <f>IF(AND(VLOOKUP(G1987,Dados!$D:$L,2,0)=VLOOKUP(I1987,Dados!$S:$V,2,0),VLOOKUP(G1987,Dados!$D:$L,3,0)=VLOOKUP(I1987,Dados!$S:$V,3,0)),0,1)</f>
        <v>0</v>
      </c>
      <c r="T1987" s="4">
        <f>IF(AND(VLOOKUP(G1987,Dados!$D:$L,3,0)&lt;=VLOOKUP(H1987,Dados!$X:$AB,2,0),VLOOKUP(G1987,Dados!$D:$L,4,0)&gt;=VLOOKUP(H1987,Dados!$X:$AB,3,0),VLOOKUP(G1987,Dados!$D:$L,4,0)&lt;=VLOOKUP(H1987,Dados!$X:$AB,4,0)),0,1)</f>
        <v>0</v>
      </c>
      <c r="U1987" s="4">
        <f>IF(COUNTIFS(F:F,F1987,H:H,H1987)&lt;=VLOOKUP(H1987,Dados!$X:$AB,5,0),0,1)</f>
        <v>0</v>
      </c>
    </row>
    <row r="1988" spans="6:21">
      <c r="F1988" s="4">
        <v>906</v>
      </c>
      <c r="G1988" s="4">
        <v>63</v>
      </c>
      <c r="H1988" s="4">
        <v>2</v>
      </c>
      <c r="I1988" s="4">
        <v>28</v>
      </c>
      <c r="J1988" s="4">
        <v>9</v>
      </c>
      <c r="K1988" s="4">
        <f t="shared" si="312"/>
        <v>0</v>
      </c>
      <c r="L1988" s="4">
        <f t="shared" si="312"/>
        <v>0</v>
      </c>
      <c r="M1988" s="4">
        <f t="shared" si="312"/>
        <v>0</v>
      </c>
      <c r="N1988" s="4">
        <f t="shared" si="312"/>
        <v>0</v>
      </c>
      <c r="O1988" s="4">
        <f t="shared" si="313"/>
        <v>0</v>
      </c>
      <c r="P1988" s="4">
        <f t="shared" si="314"/>
        <v>0</v>
      </c>
      <c r="Q1988" s="4">
        <f t="shared" si="315"/>
        <v>0</v>
      </c>
      <c r="R1988" s="4">
        <f t="shared" si="316"/>
        <v>0</v>
      </c>
      <c r="S1988" s="4">
        <f>IF(AND(VLOOKUP(G1988,Dados!$D:$L,2,0)=VLOOKUP(I1988,Dados!$S:$V,2,0),VLOOKUP(G1988,Dados!$D:$L,3,0)=VLOOKUP(I1988,Dados!$S:$V,3,0)),0,1)</f>
        <v>0</v>
      </c>
      <c r="T1988" s="4">
        <f>IF(AND(VLOOKUP(G1988,Dados!$D:$L,3,0)&lt;=VLOOKUP(H1988,Dados!$X:$AB,2,0),VLOOKUP(G1988,Dados!$D:$L,4,0)&gt;=VLOOKUP(H1988,Dados!$X:$AB,3,0),VLOOKUP(G1988,Dados!$D:$L,4,0)&lt;=VLOOKUP(H1988,Dados!$X:$AB,4,0)),0,1)</f>
        <v>0</v>
      </c>
      <c r="U1988" s="4">
        <f>IF(COUNTIFS(F:F,F1988,H:H,H1988)&lt;=VLOOKUP(H1988,Dados!$X:$AB,5,0),0,1)</f>
        <v>0</v>
      </c>
    </row>
    <row r="1989" spans="6:21">
      <c r="F1989" s="4">
        <v>906</v>
      </c>
      <c r="G1989" s="4">
        <v>64</v>
      </c>
      <c r="H1989" s="4">
        <v>2</v>
      </c>
      <c r="I1989" s="4">
        <v>28</v>
      </c>
      <c r="J1989" s="4">
        <v>1</v>
      </c>
      <c r="K1989" s="4">
        <f t="shared" si="312"/>
        <v>0</v>
      </c>
      <c r="L1989" s="4">
        <f t="shared" si="312"/>
        <v>0</v>
      </c>
      <c r="M1989" s="4">
        <f t="shared" si="312"/>
        <v>0</v>
      </c>
      <c r="N1989" s="4">
        <f t="shared" si="312"/>
        <v>0</v>
      </c>
      <c r="O1989" s="4">
        <f t="shared" si="313"/>
        <v>0</v>
      </c>
      <c r="P1989" s="4">
        <f t="shared" si="314"/>
        <v>0</v>
      </c>
      <c r="Q1989" s="4">
        <f t="shared" si="315"/>
        <v>0</v>
      </c>
      <c r="R1989" s="4">
        <f t="shared" si="316"/>
        <v>0</v>
      </c>
      <c r="S1989" s="4">
        <f>IF(AND(VLOOKUP(G1989,Dados!$D:$L,2,0)=VLOOKUP(I1989,Dados!$S:$V,2,0),VLOOKUP(G1989,Dados!$D:$L,3,0)=VLOOKUP(I1989,Dados!$S:$V,3,0)),0,1)</f>
        <v>0</v>
      </c>
      <c r="T1989" s="4">
        <f>IF(AND(VLOOKUP(G1989,Dados!$D:$L,3,0)&lt;=VLOOKUP(H1989,Dados!$X:$AB,2,0),VLOOKUP(G1989,Dados!$D:$L,4,0)&gt;=VLOOKUP(H1989,Dados!$X:$AB,3,0),VLOOKUP(G1989,Dados!$D:$L,4,0)&lt;=VLOOKUP(H1989,Dados!$X:$AB,4,0)),0,1)</f>
        <v>0</v>
      </c>
      <c r="U1989" s="4">
        <f>IF(COUNTIFS(F:F,F1989,H:H,H1989)&lt;=VLOOKUP(H1989,Dados!$X:$AB,5,0),0,1)</f>
        <v>0</v>
      </c>
    </row>
    <row r="1990" spans="6:21">
      <c r="F1990" s="4">
        <v>907</v>
      </c>
      <c r="G1990" s="4">
        <v>61</v>
      </c>
      <c r="H1990" s="4">
        <v>3</v>
      </c>
      <c r="I1990" s="4">
        <v>28</v>
      </c>
      <c r="J1990" s="4">
        <v>1</v>
      </c>
      <c r="K1990" s="4">
        <f t="shared" si="312"/>
        <v>0</v>
      </c>
      <c r="L1990" s="4">
        <f t="shared" si="312"/>
        <v>0</v>
      </c>
      <c r="M1990" s="4">
        <f t="shared" si="312"/>
        <v>0</v>
      </c>
      <c r="N1990" s="4">
        <f t="shared" si="312"/>
        <v>0</v>
      </c>
      <c r="O1990" s="4">
        <f t="shared" si="313"/>
        <v>0</v>
      </c>
      <c r="P1990" s="4">
        <f t="shared" si="314"/>
        <v>0</v>
      </c>
      <c r="Q1990" s="4">
        <f t="shared" si="315"/>
        <v>0</v>
      </c>
      <c r="R1990" s="4">
        <f t="shared" si="316"/>
        <v>0</v>
      </c>
      <c r="S1990" s="4">
        <f>IF(AND(VLOOKUP(G1990,Dados!$D:$L,2,0)=VLOOKUP(I1990,Dados!$S:$V,2,0),VLOOKUP(G1990,Dados!$D:$L,3,0)=VLOOKUP(I1990,Dados!$S:$V,3,0)),0,1)</f>
        <v>0</v>
      </c>
      <c r="T1990" s="4">
        <f>IF(AND(VLOOKUP(G1990,Dados!$D:$L,3,0)&lt;=VLOOKUP(H1990,Dados!$X:$AB,2,0),VLOOKUP(G1990,Dados!$D:$L,4,0)&gt;=VLOOKUP(H1990,Dados!$X:$AB,3,0),VLOOKUP(G1990,Dados!$D:$L,4,0)&lt;=VLOOKUP(H1990,Dados!$X:$AB,4,0)),0,1)</f>
        <v>0</v>
      </c>
      <c r="U1990" s="4">
        <f>IF(COUNTIFS(F:F,F1990,H:H,H1990)&lt;=VLOOKUP(H1990,Dados!$X:$AB,5,0),0,1)</f>
        <v>0</v>
      </c>
    </row>
    <row r="1991" spans="6:21">
      <c r="F1991" s="4">
        <v>907</v>
      </c>
      <c r="G1991" s="4">
        <v>63</v>
      </c>
      <c r="H1991" s="4">
        <v>3</v>
      </c>
      <c r="I1991" s="4">
        <v>28</v>
      </c>
      <c r="J1991" s="4">
        <v>9</v>
      </c>
      <c r="K1991" s="4">
        <f t="shared" si="312"/>
        <v>0</v>
      </c>
      <c r="L1991" s="4">
        <f t="shared" si="312"/>
        <v>0</v>
      </c>
      <c r="M1991" s="4">
        <f t="shared" si="312"/>
        <v>0</v>
      </c>
      <c r="N1991" s="4">
        <f t="shared" si="312"/>
        <v>0</v>
      </c>
      <c r="O1991" s="4">
        <f t="shared" si="313"/>
        <v>0</v>
      </c>
      <c r="P1991" s="4">
        <f t="shared" si="314"/>
        <v>0</v>
      </c>
      <c r="Q1991" s="4">
        <f t="shared" si="315"/>
        <v>0</v>
      </c>
      <c r="R1991" s="4">
        <f t="shared" si="316"/>
        <v>0</v>
      </c>
      <c r="S1991" s="4">
        <f>IF(AND(VLOOKUP(G1991,Dados!$D:$L,2,0)=VLOOKUP(I1991,Dados!$S:$V,2,0),VLOOKUP(G1991,Dados!$D:$L,3,0)=VLOOKUP(I1991,Dados!$S:$V,3,0)),0,1)</f>
        <v>0</v>
      </c>
      <c r="T1991" s="4">
        <f>IF(AND(VLOOKUP(G1991,Dados!$D:$L,3,0)&lt;=VLOOKUP(H1991,Dados!$X:$AB,2,0),VLOOKUP(G1991,Dados!$D:$L,4,0)&gt;=VLOOKUP(H1991,Dados!$X:$AB,3,0),VLOOKUP(G1991,Dados!$D:$L,4,0)&lt;=VLOOKUP(H1991,Dados!$X:$AB,4,0)),0,1)</f>
        <v>0</v>
      </c>
      <c r="U1991" s="4">
        <f>IF(COUNTIFS(F:F,F1991,H:H,H1991)&lt;=VLOOKUP(H1991,Dados!$X:$AB,5,0),0,1)</f>
        <v>0</v>
      </c>
    </row>
    <row r="1992" spans="6:21">
      <c r="F1992" s="4">
        <v>907</v>
      </c>
      <c r="G1992" s="4">
        <v>64</v>
      </c>
      <c r="H1992" s="4">
        <v>3</v>
      </c>
      <c r="I1992" s="4">
        <v>28</v>
      </c>
      <c r="J1992" s="4">
        <v>1</v>
      </c>
      <c r="K1992" s="4">
        <f t="shared" si="312"/>
        <v>0</v>
      </c>
      <c r="L1992" s="4">
        <f t="shared" si="312"/>
        <v>0</v>
      </c>
      <c r="M1992" s="4">
        <f t="shared" si="312"/>
        <v>0</v>
      </c>
      <c r="N1992" s="4">
        <f t="shared" si="312"/>
        <v>0</v>
      </c>
      <c r="O1992" s="4">
        <f t="shared" si="313"/>
        <v>0</v>
      </c>
      <c r="P1992" s="4">
        <f t="shared" si="314"/>
        <v>0</v>
      </c>
      <c r="Q1992" s="4">
        <f t="shared" si="315"/>
        <v>0</v>
      </c>
      <c r="R1992" s="4">
        <f t="shared" si="316"/>
        <v>0</v>
      </c>
      <c r="S1992" s="4">
        <f>IF(AND(VLOOKUP(G1992,Dados!$D:$L,2,0)=VLOOKUP(I1992,Dados!$S:$V,2,0),VLOOKUP(G1992,Dados!$D:$L,3,0)=VLOOKUP(I1992,Dados!$S:$V,3,0)),0,1)</f>
        <v>0</v>
      </c>
      <c r="T1992" s="4">
        <f>IF(AND(VLOOKUP(G1992,Dados!$D:$L,3,0)&lt;=VLOOKUP(H1992,Dados!$X:$AB,2,0),VLOOKUP(G1992,Dados!$D:$L,4,0)&gt;=VLOOKUP(H1992,Dados!$X:$AB,3,0),VLOOKUP(G1992,Dados!$D:$L,4,0)&lt;=VLOOKUP(H1992,Dados!$X:$AB,4,0)),0,1)</f>
        <v>0</v>
      </c>
      <c r="U1992" s="4">
        <f>IF(COUNTIFS(F:F,F1992,H:H,H1992)&lt;=VLOOKUP(H1992,Dados!$X:$AB,5,0),0,1)</f>
        <v>0</v>
      </c>
    </row>
    <row r="1993" spans="6:21">
      <c r="F1993" s="4">
        <v>908</v>
      </c>
      <c r="G1993" s="4">
        <v>24</v>
      </c>
      <c r="H1993" s="4">
        <v>1</v>
      </c>
      <c r="I1993" s="4">
        <v>15</v>
      </c>
      <c r="J1993" s="4">
        <v>5</v>
      </c>
      <c r="K1993" s="4">
        <f t="shared" si="312"/>
        <v>0</v>
      </c>
      <c r="L1993" s="4">
        <f t="shared" si="312"/>
        <v>0</v>
      </c>
      <c r="M1993" s="4">
        <f t="shared" si="312"/>
        <v>0</v>
      </c>
      <c r="N1993" s="4">
        <f t="shared" si="312"/>
        <v>0</v>
      </c>
      <c r="O1993" s="4">
        <f t="shared" si="313"/>
        <v>0</v>
      </c>
      <c r="P1993" s="4">
        <f t="shared" si="314"/>
        <v>0</v>
      </c>
      <c r="Q1993" s="4">
        <f t="shared" si="315"/>
        <v>0</v>
      </c>
      <c r="R1993" s="4">
        <f t="shared" si="316"/>
        <v>0</v>
      </c>
      <c r="S1993" s="4">
        <f>IF(AND(VLOOKUP(G1993,Dados!$D:$L,2,0)=VLOOKUP(I1993,Dados!$S:$V,2,0),VLOOKUP(G1993,Dados!$D:$L,3,0)=VLOOKUP(I1993,Dados!$S:$V,3,0)),0,1)</f>
        <v>0</v>
      </c>
      <c r="T1993" s="4">
        <f>IF(AND(VLOOKUP(G1993,Dados!$D:$L,3,0)&lt;=VLOOKUP(H1993,Dados!$X:$AB,2,0),VLOOKUP(G1993,Dados!$D:$L,4,0)&gt;=VLOOKUP(H1993,Dados!$X:$AB,3,0),VLOOKUP(G1993,Dados!$D:$L,4,0)&lt;=VLOOKUP(H1993,Dados!$X:$AB,4,0)),0,1)</f>
        <v>0</v>
      </c>
      <c r="U1993" s="4">
        <f>IF(COUNTIFS(F:F,F1993,H:H,H1993)&lt;=VLOOKUP(H1993,Dados!$X:$AB,5,0),0,1)</f>
        <v>0</v>
      </c>
    </row>
    <row r="1994" spans="6:21">
      <c r="F1994" s="4">
        <v>908</v>
      </c>
      <c r="G1994" s="4">
        <v>27</v>
      </c>
      <c r="H1994" s="4">
        <v>1</v>
      </c>
      <c r="I1994" s="4">
        <v>15</v>
      </c>
      <c r="J1994" s="4">
        <v>2</v>
      </c>
      <c r="K1994" s="4">
        <f t="shared" si="312"/>
        <v>0</v>
      </c>
      <c r="L1994" s="4">
        <f t="shared" si="312"/>
        <v>0</v>
      </c>
      <c r="M1994" s="4">
        <f t="shared" si="312"/>
        <v>0</v>
      </c>
      <c r="N1994" s="4">
        <f t="shared" si="312"/>
        <v>0</v>
      </c>
      <c r="O1994" s="4">
        <f t="shared" si="313"/>
        <v>0</v>
      </c>
      <c r="P1994" s="4">
        <f t="shared" si="314"/>
        <v>0</v>
      </c>
      <c r="Q1994" s="4">
        <f t="shared" si="315"/>
        <v>0</v>
      </c>
      <c r="R1994" s="4">
        <f t="shared" si="316"/>
        <v>0</v>
      </c>
      <c r="S1994" s="4">
        <f>IF(AND(VLOOKUP(G1994,Dados!$D:$L,2,0)=VLOOKUP(I1994,Dados!$S:$V,2,0),VLOOKUP(G1994,Dados!$D:$L,3,0)=VLOOKUP(I1994,Dados!$S:$V,3,0)),0,1)</f>
        <v>0</v>
      </c>
      <c r="T1994" s="4">
        <f>IF(AND(VLOOKUP(G1994,Dados!$D:$L,3,0)&lt;=VLOOKUP(H1994,Dados!$X:$AB,2,0),VLOOKUP(G1994,Dados!$D:$L,4,0)&gt;=VLOOKUP(H1994,Dados!$X:$AB,3,0),VLOOKUP(G1994,Dados!$D:$L,4,0)&lt;=VLOOKUP(H1994,Dados!$X:$AB,4,0)),0,1)</f>
        <v>0</v>
      </c>
      <c r="U1994" s="4">
        <f>IF(COUNTIFS(F:F,F1994,H:H,H1994)&lt;=VLOOKUP(H1994,Dados!$X:$AB,5,0),0,1)</f>
        <v>0</v>
      </c>
    </row>
    <row r="1995" spans="6:21">
      <c r="F1995" s="4">
        <v>908</v>
      </c>
      <c r="G1995" s="4">
        <v>29</v>
      </c>
      <c r="H1995" s="4">
        <v>1</v>
      </c>
      <c r="I1995" s="4">
        <v>15</v>
      </c>
      <c r="J1995" s="4">
        <v>1</v>
      </c>
      <c r="K1995" s="4">
        <f t="shared" si="312"/>
        <v>0</v>
      </c>
      <c r="L1995" s="4">
        <f t="shared" si="312"/>
        <v>0</v>
      </c>
      <c r="M1995" s="4">
        <f t="shared" si="312"/>
        <v>0</v>
      </c>
      <c r="N1995" s="4">
        <f t="shared" si="312"/>
        <v>0</v>
      </c>
      <c r="O1995" s="4">
        <f t="shared" si="313"/>
        <v>0</v>
      </c>
      <c r="P1995" s="4">
        <f t="shared" si="314"/>
        <v>0</v>
      </c>
      <c r="Q1995" s="4">
        <f t="shared" si="315"/>
        <v>0</v>
      </c>
      <c r="R1995" s="4">
        <f t="shared" si="316"/>
        <v>0</v>
      </c>
      <c r="S1995" s="4">
        <f>IF(AND(VLOOKUP(G1995,Dados!$D:$L,2,0)=VLOOKUP(I1995,Dados!$S:$V,2,0),VLOOKUP(G1995,Dados!$D:$L,3,0)=VLOOKUP(I1995,Dados!$S:$V,3,0)),0,1)</f>
        <v>0</v>
      </c>
      <c r="T1995" s="4">
        <f>IF(AND(VLOOKUP(G1995,Dados!$D:$L,3,0)&lt;=VLOOKUP(H1995,Dados!$X:$AB,2,0),VLOOKUP(G1995,Dados!$D:$L,4,0)&gt;=VLOOKUP(H1995,Dados!$X:$AB,3,0),VLOOKUP(G1995,Dados!$D:$L,4,0)&lt;=VLOOKUP(H1995,Dados!$X:$AB,4,0)),0,1)</f>
        <v>0</v>
      </c>
      <c r="U1995" s="4">
        <f>IF(COUNTIFS(F:F,F1995,H:H,H1995)&lt;=VLOOKUP(H1995,Dados!$X:$AB,5,0),0,1)</f>
        <v>0</v>
      </c>
    </row>
    <row r="1996" spans="6:21">
      <c r="F1996" s="4">
        <v>909</v>
      </c>
      <c r="G1996" s="4">
        <v>24</v>
      </c>
      <c r="H1996" s="4">
        <v>3</v>
      </c>
      <c r="I1996" s="4">
        <v>15</v>
      </c>
      <c r="J1996" s="4">
        <v>5</v>
      </c>
      <c r="K1996" s="4">
        <f t="shared" si="312"/>
        <v>0</v>
      </c>
      <c r="L1996" s="4">
        <f t="shared" si="312"/>
        <v>1</v>
      </c>
      <c r="M1996" s="4">
        <f t="shared" si="312"/>
        <v>0</v>
      </c>
      <c r="N1996" s="4">
        <f t="shared" si="312"/>
        <v>0</v>
      </c>
      <c r="O1996" s="4">
        <f t="shared" si="313"/>
        <v>0</v>
      </c>
      <c r="P1996" s="4">
        <f t="shared" si="314"/>
        <v>5</v>
      </c>
      <c r="Q1996" s="4">
        <f t="shared" si="315"/>
        <v>0</v>
      </c>
      <c r="R1996" s="4">
        <f t="shared" si="316"/>
        <v>0</v>
      </c>
      <c r="S1996" s="4">
        <f>IF(AND(VLOOKUP(G1996,Dados!$D:$L,2,0)=VLOOKUP(I1996,Dados!$S:$V,2,0),VLOOKUP(G1996,Dados!$D:$L,3,0)=VLOOKUP(I1996,Dados!$S:$V,3,0)),0,1)</f>
        <v>0</v>
      </c>
      <c r="T1996" s="4">
        <f>IF(AND(VLOOKUP(G1996,Dados!$D:$L,3,0)&lt;=VLOOKUP(H1996,Dados!$X:$AB,2,0),VLOOKUP(G1996,Dados!$D:$L,4,0)&gt;=VLOOKUP(H1996,Dados!$X:$AB,3,0),VLOOKUP(G1996,Dados!$D:$L,4,0)&lt;=VLOOKUP(H1996,Dados!$X:$AB,4,0)),0,1)</f>
        <v>0</v>
      </c>
      <c r="U1996" s="4">
        <f>IF(COUNTIFS(F:F,F1996,H:H,H1996)&lt;=VLOOKUP(H1996,Dados!$X:$AB,5,0),0,1)</f>
        <v>0</v>
      </c>
    </row>
    <row r="1997" spans="6:21">
      <c r="F1997" s="4">
        <v>909</v>
      </c>
      <c r="G1997" s="4">
        <v>27</v>
      </c>
      <c r="H1997" s="4">
        <v>3</v>
      </c>
      <c r="I1997" s="4">
        <v>15</v>
      </c>
      <c r="J1997" s="4">
        <v>2</v>
      </c>
      <c r="K1997" s="4">
        <f t="shared" si="312"/>
        <v>0</v>
      </c>
      <c r="L1997" s="4">
        <f t="shared" si="312"/>
        <v>1</v>
      </c>
      <c r="M1997" s="4">
        <f t="shared" si="312"/>
        <v>0</v>
      </c>
      <c r="N1997" s="4">
        <f t="shared" si="312"/>
        <v>0</v>
      </c>
      <c r="O1997" s="4">
        <f t="shared" si="313"/>
        <v>0</v>
      </c>
      <c r="P1997" s="4">
        <f t="shared" si="314"/>
        <v>2</v>
      </c>
      <c r="Q1997" s="4">
        <f t="shared" si="315"/>
        <v>0</v>
      </c>
      <c r="R1997" s="4">
        <f t="shared" si="316"/>
        <v>0</v>
      </c>
      <c r="S1997" s="4">
        <f>IF(AND(VLOOKUP(G1997,Dados!$D:$L,2,0)=VLOOKUP(I1997,Dados!$S:$V,2,0),VLOOKUP(G1997,Dados!$D:$L,3,0)=VLOOKUP(I1997,Dados!$S:$V,3,0)),0,1)</f>
        <v>0</v>
      </c>
      <c r="T1997" s="4">
        <f>IF(AND(VLOOKUP(G1997,Dados!$D:$L,3,0)&lt;=VLOOKUP(H1997,Dados!$X:$AB,2,0),VLOOKUP(G1997,Dados!$D:$L,4,0)&gt;=VLOOKUP(H1997,Dados!$X:$AB,3,0),VLOOKUP(G1997,Dados!$D:$L,4,0)&lt;=VLOOKUP(H1997,Dados!$X:$AB,4,0)),0,1)</f>
        <v>0</v>
      </c>
      <c r="U1997" s="4">
        <f>IF(COUNTIFS(F:F,F1997,H:H,H1997)&lt;=VLOOKUP(H1997,Dados!$X:$AB,5,0),0,1)</f>
        <v>0</v>
      </c>
    </row>
    <row r="1998" spans="6:21">
      <c r="F1998" s="4">
        <v>909</v>
      </c>
      <c r="G1998" s="4">
        <v>29</v>
      </c>
      <c r="H1998" s="4">
        <v>3</v>
      </c>
      <c r="I1998" s="4">
        <v>15</v>
      </c>
      <c r="J1998" s="4">
        <v>1</v>
      </c>
      <c r="K1998" s="4">
        <f t="shared" si="312"/>
        <v>0</v>
      </c>
      <c r="L1998" s="4">
        <f t="shared" si="312"/>
        <v>1</v>
      </c>
      <c r="M1998" s="4">
        <f t="shared" si="312"/>
        <v>0</v>
      </c>
      <c r="N1998" s="4">
        <f t="shared" si="312"/>
        <v>0</v>
      </c>
      <c r="O1998" s="4">
        <f t="shared" si="313"/>
        <v>0</v>
      </c>
      <c r="P1998" s="4">
        <f t="shared" si="314"/>
        <v>1</v>
      </c>
      <c r="Q1998" s="4">
        <f t="shared" si="315"/>
        <v>0</v>
      </c>
      <c r="R1998" s="4">
        <f t="shared" si="316"/>
        <v>0</v>
      </c>
      <c r="S1998" s="4">
        <f>IF(AND(VLOOKUP(G1998,Dados!$D:$L,2,0)=VLOOKUP(I1998,Dados!$S:$V,2,0),VLOOKUP(G1998,Dados!$D:$L,3,0)=VLOOKUP(I1998,Dados!$S:$V,3,0)),0,1)</f>
        <v>0</v>
      </c>
      <c r="T1998" s="4">
        <f>IF(AND(VLOOKUP(G1998,Dados!$D:$L,3,0)&lt;=VLOOKUP(H1998,Dados!$X:$AB,2,0),VLOOKUP(G1998,Dados!$D:$L,4,0)&gt;=VLOOKUP(H1998,Dados!$X:$AB,3,0),VLOOKUP(G1998,Dados!$D:$L,4,0)&lt;=VLOOKUP(H1998,Dados!$X:$AB,4,0)),0,1)</f>
        <v>0</v>
      </c>
      <c r="U1998" s="4">
        <f>IF(COUNTIFS(F:F,F1998,H:H,H1998)&lt;=VLOOKUP(H1998,Dados!$X:$AB,5,0),0,1)</f>
        <v>0</v>
      </c>
    </row>
    <row r="1999" spans="6:21">
      <c r="F1999" s="4">
        <v>910</v>
      </c>
      <c r="G1999" s="4">
        <v>32</v>
      </c>
      <c r="H1999" s="4">
        <v>1</v>
      </c>
      <c r="I1999" s="4">
        <v>16</v>
      </c>
      <c r="J1999" s="4">
        <v>1</v>
      </c>
      <c r="K1999" s="4">
        <f t="shared" si="312"/>
        <v>0</v>
      </c>
      <c r="L1999" s="4">
        <f t="shared" si="312"/>
        <v>0</v>
      </c>
      <c r="M1999" s="4">
        <f t="shared" si="312"/>
        <v>0</v>
      </c>
      <c r="N1999" s="4">
        <f t="shared" si="312"/>
        <v>0</v>
      </c>
      <c r="O1999" s="4">
        <f t="shared" si="313"/>
        <v>0</v>
      </c>
      <c r="P1999" s="4">
        <f t="shared" si="314"/>
        <v>0</v>
      </c>
      <c r="Q1999" s="4">
        <f t="shared" si="315"/>
        <v>0</v>
      </c>
      <c r="R1999" s="4">
        <f t="shared" si="316"/>
        <v>0</v>
      </c>
      <c r="S1999" s="4">
        <f>IF(AND(VLOOKUP(G1999,Dados!$D:$L,2,0)=VLOOKUP(I1999,Dados!$S:$V,2,0),VLOOKUP(G1999,Dados!$D:$L,3,0)=VLOOKUP(I1999,Dados!$S:$V,3,0)),0,1)</f>
        <v>0</v>
      </c>
      <c r="T1999" s="4">
        <f>IF(AND(VLOOKUP(G1999,Dados!$D:$L,3,0)&lt;=VLOOKUP(H1999,Dados!$X:$AB,2,0),VLOOKUP(G1999,Dados!$D:$L,4,0)&gt;=VLOOKUP(H1999,Dados!$X:$AB,3,0),VLOOKUP(G1999,Dados!$D:$L,4,0)&lt;=VLOOKUP(H1999,Dados!$X:$AB,4,0)),0,1)</f>
        <v>0</v>
      </c>
      <c r="U1999" s="4">
        <f>IF(COUNTIFS(F:F,F1999,H:H,H1999)&lt;=VLOOKUP(H1999,Dados!$X:$AB,5,0),0,1)</f>
        <v>0</v>
      </c>
    </row>
    <row r="2000" spans="6:21">
      <c r="F2000" s="4">
        <v>910</v>
      </c>
      <c r="G2000" s="4">
        <v>33</v>
      </c>
      <c r="H2000" s="4">
        <v>1</v>
      </c>
      <c r="I2000" s="4">
        <v>16</v>
      </c>
      <c r="J2000" s="4">
        <v>6</v>
      </c>
      <c r="K2000" s="4">
        <f t="shared" si="312"/>
        <v>0</v>
      </c>
      <c r="L2000" s="4">
        <f t="shared" si="312"/>
        <v>0</v>
      </c>
      <c r="M2000" s="4">
        <f t="shared" si="312"/>
        <v>0</v>
      </c>
      <c r="N2000" s="4">
        <f t="shared" si="312"/>
        <v>0</v>
      </c>
      <c r="O2000" s="4">
        <f t="shared" si="313"/>
        <v>0</v>
      </c>
      <c r="P2000" s="4">
        <f t="shared" si="314"/>
        <v>0</v>
      </c>
      <c r="Q2000" s="4">
        <f t="shared" si="315"/>
        <v>0</v>
      </c>
      <c r="R2000" s="4">
        <f t="shared" si="316"/>
        <v>0</v>
      </c>
      <c r="S2000" s="4">
        <f>IF(AND(VLOOKUP(G2000,Dados!$D:$L,2,0)=VLOOKUP(I2000,Dados!$S:$V,2,0),VLOOKUP(G2000,Dados!$D:$L,3,0)=VLOOKUP(I2000,Dados!$S:$V,3,0)),0,1)</f>
        <v>0</v>
      </c>
      <c r="T2000" s="4">
        <f>IF(AND(VLOOKUP(G2000,Dados!$D:$L,3,0)&lt;=VLOOKUP(H2000,Dados!$X:$AB,2,0),VLOOKUP(G2000,Dados!$D:$L,4,0)&gt;=VLOOKUP(H2000,Dados!$X:$AB,3,0),VLOOKUP(G2000,Dados!$D:$L,4,0)&lt;=VLOOKUP(H2000,Dados!$X:$AB,4,0)),0,1)</f>
        <v>0</v>
      </c>
      <c r="U2000" s="4">
        <f>IF(COUNTIFS(F:F,F2000,H:H,H2000)&lt;=VLOOKUP(H2000,Dados!$X:$AB,5,0),0,1)</f>
        <v>0</v>
      </c>
    </row>
    <row r="2001" spans="6:21">
      <c r="F2001" s="4">
        <v>911</v>
      </c>
      <c r="G2001" s="4">
        <v>32</v>
      </c>
      <c r="H2001" s="4">
        <v>2</v>
      </c>
      <c r="I2001" s="4">
        <v>16</v>
      </c>
      <c r="J2001" s="4">
        <v>1</v>
      </c>
      <c r="K2001" s="4">
        <f t="shared" si="312"/>
        <v>0</v>
      </c>
      <c r="L2001" s="4">
        <f t="shared" si="312"/>
        <v>29</v>
      </c>
      <c r="M2001" s="4">
        <f t="shared" si="312"/>
        <v>0</v>
      </c>
      <c r="N2001" s="4">
        <f t="shared" si="312"/>
        <v>0</v>
      </c>
      <c r="O2001" s="4">
        <f t="shared" si="313"/>
        <v>0</v>
      </c>
      <c r="P2001" s="4">
        <f t="shared" si="314"/>
        <v>29</v>
      </c>
      <c r="Q2001" s="4">
        <f t="shared" si="315"/>
        <v>0</v>
      </c>
      <c r="R2001" s="4">
        <f t="shared" si="316"/>
        <v>0</v>
      </c>
      <c r="S2001" s="4">
        <f>IF(AND(VLOOKUP(G2001,Dados!$D:$L,2,0)=VLOOKUP(I2001,Dados!$S:$V,2,0),VLOOKUP(G2001,Dados!$D:$L,3,0)=VLOOKUP(I2001,Dados!$S:$V,3,0)),0,1)</f>
        <v>0</v>
      </c>
      <c r="T2001" s="4">
        <f>IF(AND(VLOOKUP(G2001,Dados!$D:$L,3,0)&lt;=VLOOKUP(H2001,Dados!$X:$AB,2,0),VLOOKUP(G2001,Dados!$D:$L,4,0)&gt;=VLOOKUP(H2001,Dados!$X:$AB,3,0),VLOOKUP(G2001,Dados!$D:$L,4,0)&lt;=VLOOKUP(H2001,Dados!$X:$AB,4,0)),0,1)</f>
        <v>0</v>
      </c>
      <c r="U2001" s="4">
        <f>IF(COUNTIFS(F:F,F2001,H:H,H2001)&lt;=VLOOKUP(H2001,Dados!$X:$AB,5,0),0,1)</f>
        <v>0</v>
      </c>
    </row>
    <row r="2002" spans="6:21">
      <c r="F2002" s="4">
        <v>911</v>
      </c>
      <c r="G2002" s="4">
        <v>33</v>
      </c>
      <c r="H2002" s="4">
        <v>2</v>
      </c>
      <c r="I2002" s="4">
        <v>16</v>
      </c>
      <c r="J2002" s="4">
        <v>6</v>
      </c>
      <c r="K2002" s="4">
        <f t="shared" si="312"/>
        <v>0</v>
      </c>
      <c r="L2002" s="4">
        <f t="shared" si="312"/>
        <v>29</v>
      </c>
      <c r="M2002" s="4">
        <f t="shared" si="312"/>
        <v>0</v>
      </c>
      <c r="N2002" s="4">
        <f t="shared" si="312"/>
        <v>0</v>
      </c>
      <c r="O2002" s="4">
        <f t="shared" si="313"/>
        <v>0</v>
      </c>
      <c r="P2002" s="4">
        <f t="shared" si="314"/>
        <v>174</v>
      </c>
      <c r="Q2002" s="4">
        <f t="shared" si="315"/>
        <v>0</v>
      </c>
      <c r="R2002" s="4">
        <f t="shared" si="316"/>
        <v>0</v>
      </c>
      <c r="S2002" s="4">
        <f>IF(AND(VLOOKUP(G2002,Dados!$D:$L,2,0)=VLOOKUP(I2002,Dados!$S:$V,2,0),VLOOKUP(G2002,Dados!$D:$L,3,0)=VLOOKUP(I2002,Dados!$S:$V,3,0)),0,1)</f>
        <v>0</v>
      </c>
      <c r="T2002" s="4">
        <f>IF(AND(VLOOKUP(G2002,Dados!$D:$L,3,0)&lt;=VLOOKUP(H2002,Dados!$X:$AB,2,0),VLOOKUP(G2002,Dados!$D:$L,4,0)&gt;=VLOOKUP(H2002,Dados!$X:$AB,3,0),VLOOKUP(G2002,Dados!$D:$L,4,0)&lt;=VLOOKUP(H2002,Dados!$X:$AB,4,0)),0,1)</f>
        <v>0</v>
      </c>
      <c r="U2002" s="4">
        <f>IF(COUNTIFS(F:F,F2002,H:H,H2002)&lt;=VLOOKUP(H2002,Dados!$X:$AB,5,0),0,1)</f>
        <v>0</v>
      </c>
    </row>
    <row r="2003" spans="6:21">
      <c r="F2003" s="4">
        <v>912</v>
      </c>
      <c r="G2003" s="4">
        <v>32</v>
      </c>
      <c r="H2003" s="4">
        <v>3</v>
      </c>
      <c r="I2003" s="4">
        <v>16</v>
      </c>
      <c r="J2003" s="4">
        <v>1</v>
      </c>
      <c r="K2003" s="4">
        <f t="shared" si="312"/>
        <v>0</v>
      </c>
      <c r="L2003" s="4">
        <f t="shared" si="312"/>
        <v>0</v>
      </c>
      <c r="M2003" s="4">
        <f t="shared" si="312"/>
        <v>0</v>
      </c>
      <c r="N2003" s="4">
        <f t="shared" si="312"/>
        <v>0</v>
      </c>
      <c r="O2003" s="4">
        <f t="shared" si="313"/>
        <v>0</v>
      </c>
      <c r="P2003" s="4">
        <f t="shared" si="314"/>
        <v>0</v>
      </c>
      <c r="Q2003" s="4">
        <f t="shared" si="315"/>
        <v>0</v>
      </c>
      <c r="R2003" s="4">
        <f t="shared" si="316"/>
        <v>0</v>
      </c>
      <c r="S2003" s="4">
        <f>IF(AND(VLOOKUP(G2003,Dados!$D:$L,2,0)=VLOOKUP(I2003,Dados!$S:$V,2,0),VLOOKUP(G2003,Dados!$D:$L,3,0)=VLOOKUP(I2003,Dados!$S:$V,3,0)),0,1)</f>
        <v>0</v>
      </c>
      <c r="T2003" s="4">
        <f>IF(AND(VLOOKUP(G2003,Dados!$D:$L,3,0)&lt;=VLOOKUP(H2003,Dados!$X:$AB,2,0),VLOOKUP(G2003,Dados!$D:$L,4,0)&gt;=VLOOKUP(H2003,Dados!$X:$AB,3,0),VLOOKUP(G2003,Dados!$D:$L,4,0)&lt;=VLOOKUP(H2003,Dados!$X:$AB,4,0)),0,1)</f>
        <v>0</v>
      </c>
      <c r="U2003" s="4">
        <f>IF(COUNTIFS(F:F,F2003,H:H,H2003)&lt;=VLOOKUP(H2003,Dados!$X:$AB,5,0),0,1)</f>
        <v>0</v>
      </c>
    </row>
    <row r="2004" spans="6:21">
      <c r="F2004" s="4">
        <v>912</v>
      </c>
      <c r="G2004" s="4">
        <v>33</v>
      </c>
      <c r="H2004" s="4">
        <v>3</v>
      </c>
      <c r="I2004" s="4">
        <v>16</v>
      </c>
      <c r="J2004" s="4">
        <v>6</v>
      </c>
      <c r="K2004" s="4">
        <f t="shared" si="312"/>
        <v>0</v>
      </c>
      <c r="L2004" s="4">
        <f t="shared" si="312"/>
        <v>0</v>
      </c>
      <c r="M2004" s="4">
        <f t="shared" si="312"/>
        <v>0</v>
      </c>
      <c r="N2004" s="4">
        <f t="shared" si="312"/>
        <v>0</v>
      </c>
      <c r="O2004" s="4">
        <f t="shared" si="313"/>
        <v>0</v>
      </c>
      <c r="P2004" s="4">
        <f t="shared" si="314"/>
        <v>0</v>
      </c>
      <c r="Q2004" s="4">
        <f t="shared" si="315"/>
        <v>0</v>
      </c>
      <c r="R2004" s="4">
        <f t="shared" si="316"/>
        <v>0</v>
      </c>
      <c r="S2004" s="4">
        <f>IF(AND(VLOOKUP(G2004,Dados!$D:$L,2,0)=VLOOKUP(I2004,Dados!$S:$V,2,0),VLOOKUP(G2004,Dados!$D:$L,3,0)=VLOOKUP(I2004,Dados!$S:$V,3,0)),0,1)</f>
        <v>0</v>
      </c>
      <c r="T2004" s="4">
        <f>IF(AND(VLOOKUP(G2004,Dados!$D:$L,3,0)&lt;=VLOOKUP(H2004,Dados!$X:$AB,2,0),VLOOKUP(G2004,Dados!$D:$L,4,0)&gt;=VLOOKUP(H2004,Dados!$X:$AB,3,0),VLOOKUP(G2004,Dados!$D:$L,4,0)&lt;=VLOOKUP(H2004,Dados!$X:$AB,4,0)),0,1)</f>
        <v>0</v>
      </c>
      <c r="U2004" s="4">
        <f>IF(COUNTIFS(F:F,F2004,H:H,H2004)&lt;=VLOOKUP(H2004,Dados!$X:$AB,5,0),0,1)</f>
        <v>0</v>
      </c>
    </row>
    <row r="2005" spans="6:21">
      <c r="F2005" s="4">
        <v>913</v>
      </c>
      <c r="G2005" s="4">
        <v>40</v>
      </c>
      <c r="H2005" s="4">
        <v>1</v>
      </c>
      <c r="I2005" s="4">
        <v>17</v>
      </c>
      <c r="J2005" s="4">
        <v>4</v>
      </c>
      <c r="K2005" s="4">
        <f t="shared" si="312"/>
        <v>0</v>
      </c>
      <c r="L2005" s="4">
        <f t="shared" si="312"/>
        <v>0</v>
      </c>
      <c r="M2005" s="4">
        <f t="shared" si="312"/>
        <v>0</v>
      </c>
      <c r="N2005" s="4">
        <f t="shared" si="312"/>
        <v>0</v>
      </c>
      <c r="O2005" s="4">
        <f t="shared" si="313"/>
        <v>0</v>
      </c>
      <c r="P2005" s="4">
        <f t="shared" si="314"/>
        <v>0</v>
      </c>
      <c r="Q2005" s="4">
        <f t="shared" si="315"/>
        <v>0</v>
      </c>
      <c r="R2005" s="4">
        <f t="shared" si="316"/>
        <v>0</v>
      </c>
      <c r="S2005" s="4">
        <f>IF(AND(VLOOKUP(G2005,Dados!$D:$L,2,0)=VLOOKUP(I2005,Dados!$S:$V,2,0),VLOOKUP(G2005,Dados!$D:$L,3,0)=VLOOKUP(I2005,Dados!$S:$V,3,0)),0,1)</f>
        <v>0</v>
      </c>
      <c r="T2005" s="4">
        <f>IF(AND(VLOOKUP(G2005,Dados!$D:$L,3,0)&lt;=VLOOKUP(H2005,Dados!$X:$AB,2,0),VLOOKUP(G2005,Dados!$D:$L,4,0)&gt;=VLOOKUP(H2005,Dados!$X:$AB,3,0),VLOOKUP(G2005,Dados!$D:$L,4,0)&lt;=VLOOKUP(H2005,Dados!$X:$AB,4,0)),0,1)</f>
        <v>0</v>
      </c>
      <c r="U2005" s="4">
        <f>IF(COUNTIFS(F:F,F2005,H:H,H2005)&lt;=VLOOKUP(H2005,Dados!$X:$AB,5,0),0,1)</f>
        <v>0</v>
      </c>
    </row>
    <row r="2006" spans="6:21">
      <c r="F2006" s="4">
        <v>913</v>
      </c>
      <c r="G2006" s="4">
        <v>41</v>
      </c>
      <c r="H2006" s="4">
        <v>1</v>
      </c>
      <c r="I2006" s="4">
        <v>17</v>
      </c>
      <c r="J2006" s="4">
        <v>3</v>
      </c>
      <c r="K2006" s="4">
        <f t="shared" si="312"/>
        <v>0</v>
      </c>
      <c r="L2006" s="4">
        <f t="shared" si="312"/>
        <v>0</v>
      </c>
      <c r="M2006" s="4">
        <f t="shared" si="312"/>
        <v>0</v>
      </c>
      <c r="N2006" s="4">
        <f t="shared" si="312"/>
        <v>0</v>
      </c>
      <c r="O2006" s="4">
        <f t="shared" si="313"/>
        <v>0</v>
      </c>
      <c r="P2006" s="4">
        <f t="shared" si="314"/>
        <v>0</v>
      </c>
      <c r="Q2006" s="4">
        <f t="shared" si="315"/>
        <v>0</v>
      </c>
      <c r="R2006" s="4">
        <f t="shared" si="316"/>
        <v>0</v>
      </c>
      <c r="S2006" s="4">
        <f>IF(AND(VLOOKUP(G2006,Dados!$D:$L,2,0)=VLOOKUP(I2006,Dados!$S:$V,2,0),VLOOKUP(G2006,Dados!$D:$L,3,0)=VLOOKUP(I2006,Dados!$S:$V,3,0)),0,1)</f>
        <v>0</v>
      </c>
      <c r="T2006" s="4">
        <f>IF(AND(VLOOKUP(G2006,Dados!$D:$L,3,0)&lt;=VLOOKUP(H2006,Dados!$X:$AB,2,0),VLOOKUP(G2006,Dados!$D:$L,4,0)&gt;=VLOOKUP(H2006,Dados!$X:$AB,3,0),VLOOKUP(G2006,Dados!$D:$L,4,0)&lt;=VLOOKUP(H2006,Dados!$X:$AB,4,0)),0,1)</f>
        <v>0</v>
      </c>
      <c r="U2006" s="4">
        <f>IF(COUNTIFS(F:F,F2006,H:H,H2006)&lt;=VLOOKUP(H2006,Dados!$X:$AB,5,0),0,1)</f>
        <v>0</v>
      </c>
    </row>
    <row r="2007" spans="6:21">
      <c r="F2007" s="4">
        <v>914</v>
      </c>
      <c r="G2007" s="4">
        <v>40</v>
      </c>
      <c r="H2007" s="4">
        <v>2</v>
      </c>
      <c r="I2007" s="4">
        <v>17</v>
      </c>
      <c r="J2007" s="4">
        <v>4</v>
      </c>
      <c r="K2007" s="4">
        <f t="shared" si="312"/>
        <v>0</v>
      </c>
      <c r="L2007" s="4">
        <f t="shared" si="312"/>
        <v>2</v>
      </c>
      <c r="M2007" s="4">
        <f t="shared" si="312"/>
        <v>0</v>
      </c>
      <c r="N2007" s="4">
        <f t="shared" si="312"/>
        <v>0</v>
      </c>
      <c r="O2007" s="4">
        <f t="shared" si="313"/>
        <v>0</v>
      </c>
      <c r="P2007" s="4">
        <f t="shared" si="314"/>
        <v>8</v>
      </c>
      <c r="Q2007" s="4">
        <f t="shared" si="315"/>
        <v>0</v>
      </c>
      <c r="R2007" s="4">
        <f t="shared" si="316"/>
        <v>0</v>
      </c>
      <c r="S2007" s="4">
        <f>IF(AND(VLOOKUP(G2007,Dados!$D:$L,2,0)=VLOOKUP(I2007,Dados!$S:$V,2,0),VLOOKUP(G2007,Dados!$D:$L,3,0)=VLOOKUP(I2007,Dados!$S:$V,3,0)),0,1)</f>
        <v>0</v>
      </c>
      <c r="T2007" s="4">
        <f>IF(AND(VLOOKUP(G2007,Dados!$D:$L,3,0)&lt;=VLOOKUP(H2007,Dados!$X:$AB,2,0),VLOOKUP(G2007,Dados!$D:$L,4,0)&gt;=VLOOKUP(H2007,Dados!$X:$AB,3,0),VLOOKUP(G2007,Dados!$D:$L,4,0)&lt;=VLOOKUP(H2007,Dados!$X:$AB,4,0)),0,1)</f>
        <v>0</v>
      </c>
      <c r="U2007" s="4">
        <f>IF(COUNTIFS(F:F,F2007,H:H,H2007)&lt;=VLOOKUP(H2007,Dados!$X:$AB,5,0),0,1)</f>
        <v>0</v>
      </c>
    </row>
    <row r="2008" spans="6:21">
      <c r="F2008" s="4">
        <v>914</v>
      </c>
      <c r="G2008" s="4">
        <v>41</v>
      </c>
      <c r="H2008" s="4">
        <v>2</v>
      </c>
      <c r="I2008" s="4">
        <v>17</v>
      </c>
      <c r="J2008" s="4">
        <v>3</v>
      </c>
      <c r="K2008" s="4">
        <f t="shared" si="312"/>
        <v>0</v>
      </c>
      <c r="L2008" s="4">
        <f t="shared" si="312"/>
        <v>2</v>
      </c>
      <c r="M2008" s="4">
        <f t="shared" si="312"/>
        <v>0</v>
      </c>
      <c r="N2008" s="4">
        <f t="shared" si="312"/>
        <v>0</v>
      </c>
      <c r="O2008" s="4">
        <f t="shared" si="313"/>
        <v>0</v>
      </c>
      <c r="P2008" s="4">
        <f t="shared" si="314"/>
        <v>6</v>
      </c>
      <c r="Q2008" s="4">
        <f t="shared" si="315"/>
        <v>0</v>
      </c>
      <c r="R2008" s="4">
        <f t="shared" si="316"/>
        <v>0</v>
      </c>
      <c r="S2008" s="4">
        <f>IF(AND(VLOOKUP(G2008,Dados!$D:$L,2,0)=VLOOKUP(I2008,Dados!$S:$V,2,0),VLOOKUP(G2008,Dados!$D:$L,3,0)=VLOOKUP(I2008,Dados!$S:$V,3,0)),0,1)</f>
        <v>0</v>
      </c>
      <c r="T2008" s="4">
        <f>IF(AND(VLOOKUP(G2008,Dados!$D:$L,3,0)&lt;=VLOOKUP(H2008,Dados!$X:$AB,2,0),VLOOKUP(G2008,Dados!$D:$L,4,0)&gt;=VLOOKUP(H2008,Dados!$X:$AB,3,0),VLOOKUP(G2008,Dados!$D:$L,4,0)&lt;=VLOOKUP(H2008,Dados!$X:$AB,4,0)),0,1)</f>
        <v>0</v>
      </c>
      <c r="U2008" s="4">
        <f>IF(COUNTIFS(F:F,F2008,H:H,H2008)&lt;=VLOOKUP(H2008,Dados!$X:$AB,5,0),0,1)</f>
        <v>0</v>
      </c>
    </row>
    <row r="2009" spans="6:21">
      <c r="F2009" s="4">
        <v>915</v>
      </c>
      <c r="G2009" s="4">
        <v>40</v>
      </c>
      <c r="H2009" s="4">
        <v>3</v>
      </c>
      <c r="I2009" s="4">
        <v>17</v>
      </c>
      <c r="J2009" s="4">
        <v>4</v>
      </c>
      <c r="K2009" s="4">
        <f t="shared" si="312"/>
        <v>0</v>
      </c>
      <c r="L2009" s="4">
        <f t="shared" si="312"/>
        <v>0</v>
      </c>
      <c r="M2009" s="4">
        <f t="shared" si="312"/>
        <v>0</v>
      </c>
      <c r="N2009" s="4">
        <f t="shared" si="312"/>
        <v>0</v>
      </c>
      <c r="O2009" s="4">
        <f t="shared" si="313"/>
        <v>0</v>
      </c>
      <c r="P2009" s="4">
        <f t="shared" si="314"/>
        <v>0</v>
      </c>
      <c r="Q2009" s="4">
        <f t="shared" si="315"/>
        <v>0</v>
      </c>
      <c r="R2009" s="4">
        <f t="shared" si="316"/>
        <v>0</v>
      </c>
      <c r="S2009" s="4">
        <f>IF(AND(VLOOKUP(G2009,Dados!$D:$L,2,0)=VLOOKUP(I2009,Dados!$S:$V,2,0),VLOOKUP(G2009,Dados!$D:$L,3,0)=VLOOKUP(I2009,Dados!$S:$V,3,0)),0,1)</f>
        <v>0</v>
      </c>
      <c r="T2009" s="4">
        <f>IF(AND(VLOOKUP(G2009,Dados!$D:$L,3,0)&lt;=VLOOKUP(H2009,Dados!$X:$AB,2,0),VLOOKUP(G2009,Dados!$D:$L,4,0)&gt;=VLOOKUP(H2009,Dados!$X:$AB,3,0),VLOOKUP(G2009,Dados!$D:$L,4,0)&lt;=VLOOKUP(H2009,Dados!$X:$AB,4,0)),0,1)</f>
        <v>0</v>
      </c>
      <c r="U2009" s="4">
        <f>IF(COUNTIFS(F:F,F2009,H:H,H2009)&lt;=VLOOKUP(H2009,Dados!$X:$AB,5,0),0,1)</f>
        <v>0</v>
      </c>
    </row>
    <row r="2010" spans="6:21">
      <c r="F2010" s="4">
        <v>915</v>
      </c>
      <c r="G2010" s="4">
        <v>41</v>
      </c>
      <c r="H2010" s="4">
        <v>3</v>
      </c>
      <c r="I2010" s="4">
        <v>17</v>
      </c>
      <c r="J2010" s="4">
        <v>3</v>
      </c>
      <c r="K2010" s="4">
        <f t="shared" si="312"/>
        <v>0</v>
      </c>
      <c r="L2010" s="4">
        <f t="shared" si="312"/>
        <v>0</v>
      </c>
      <c r="M2010" s="4">
        <f t="shared" si="312"/>
        <v>0</v>
      </c>
      <c r="N2010" s="4">
        <f t="shared" si="312"/>
        <v>0</v>
      </c>
      <c r="O2010" s="4">
        <f t="shared" si="313"/>
        <v>0</v>
      </c>
      <c r="P2010" s="4">
        <f t="shared" si="314"/>
        <v>0</v>
      </c>
      <c r="Q2010" s="4">
        <f t="shared" si="315"/>
        <v>0</v>
      </c>
      <c r="R2010" s="4">
        <f t="shared" si="316"/>
        <v>0</v>
      </c>
      <c r="S2010" s="4">
        <f>IF(AND(VLOOKUP(G2010,Dados!$D:$L,2,0)=VLOOKUP(I2010,Dados!$S:$V,2,0),VLOOKUP(G2010,Dados!$D:$L,3,0)=VLOOKUP(I2010,Dados!$S:$V,3,0)),0,1)</f>
        <v>0</v>
      </c>
      <c r="T2010" s="4">
        <f>IF(AND(VLOOKUP(G2010,Dados!$D:$L,3,0)&lt;=VLOOKUP(H2010,Dados!$X:$AB,2,0),VLOOKUP(G2010,Dados!$D:$L,4,0)&gt;=VLOOKUP(H2010,Dados!$X:$AB,3,0),VLOOKUP(G2010,Dados!$D:$L,4,0)&lt;=VLOOKUP(H2010,Dados!$X:$AB,4,0)),0,1)</f>
        <v>0</v>
      </c>
      <c r="U2010" s="4">
        <f>IF(COUNTIFS(F:F,F2010,H:H,H2010)&lt;=VLOOKUP(H2010,Dados!$X:$AB,5,0),0,1)</f>
        <v>0</v>
      </c>
    </row>
    <row r="2011" spans="6:21">
      <c r="F2011" s="4">
        <v>916</v>
      </c>
      <c r="G2011" s="4">
        <v>46</v>
      </c>
      <c r="H2011" s="4">
        <v>1</v>
      </c>
      <c r="I2011" s="4">
        <v>19</v>
      </c>
      <c r="J2011" s="4">
        <v>1</v>
      </c>
      <c r="K2011" s="4">
        <f t="shared" si="312"/>
        <v>0</v>
      </c>
      <c r="L2011" s="4">
        <f t="shared" si="312"/>
        <v>24</v>
      </c>
      <c r="M2011" s="4">
        <f t="shared" si="312"/>
        <v>0</v>
      </c>
      <c r="N2011" s="4">
        <f t="shared" si="312"/>
        <v>0</v>
      </c>
      <c r="O2011" s="4">
        <f t="shared" si="313"/>
        <v>0</v>
      </c>
      <c r="P2011" s="4">
        <f t="shared" si="314"/>
        <v>24</v>
      </c>
      <c r="Q2011" s="4">
        <f t="shared" si="315"/>
        <v>0</v>
      </c>
      <c r="R2011" s="4">
        <f t="shared" si="316"/>
        <v>0</v>
      </c>
      <c r="S2011" s="4">
        <f>IF(AND(VLOOKUP(G2011,Dados!$D:$L,2,0)=VLOOKUP(I2011,Dados!$S:$V,2,0),VLOOKUP(G2011,Dados!$D:$L,3,0)=VLOOKUP(I2011,Dados!$S:$V,3,0)),0,1)</f>
        <v>0</v>
      </c>
      <c r="T2011" s="4">
        <f>IF(AND(VLOOKUP(G2011,Dados!$D:$L,3,0)&lt;=VLOOKUP(H2011,Dados!$X:$AB,2,0),VLOOKUP(G2011,Dados!$D:$L,4,0)&gt;=VLOOKUP(H2011,Dados!$X:$AB,3,0),VLOOKUP(G2011,Dados!$D:$L,4,0)&lt;=VLOOKUP(H2011,Dados!$X:$AB,4,0)),0,1)</f>
        <v>0</v>
      </c>
      <c r="U2011" s="4">
        <f>IF(COUNTIFS(F:F,F2011,H:H,H2011)&lt;=VLOOKUP(H2011,Dados!$X:$AB,5,0),0,1)</f>
        <v>0</v>
      </c>
    </row>
    <row r="2012" spans="6:21">
      <c r="F2012" s="4">
        <v>916</v>
      </c>
      <c r="G2012" s="4">
        <v>47</v>
      </c>
      <c r="H2012" s="4">
        <v>1</v>
      </c>
      <c r="I2012" s="4">
        <v>19</v>
      </c>
      <c r="J2012" s="4">
        <v>10</v>
      </c>
      <c r="K2012" s="4">
        <f t="shared" si="312"/>
        <v>0</v>
      </c>
      <c r="L2012" s="4">
        <f t="shared" si="312"/>
        <v>24</v>
      </c>
      <c r="M2012" s="4">
        <f t="shared" si="312"/>
        <v>0</v>
      </c>
      <c r="N2012" s="4">
        <f t="shared" si="312"/>
        <v>0</v>
      </c>
      <c r="O2012" s="4">
        <f t="shared" si="313"/>
        <v>0</v>
      </c>
      <c r="P2012" s="4">
        <f t="shared" si="314"/>
        <v>240</v>
      </c>
      <c r="Q2012" s="4">
        <f t="shared" si="315"/>
        <v>0</v>
      </c>
      <c r="R2012" s="4">
        <f t="shared" si="316"/>
        <v>0</v>
      </c>
      <c r="S2012" s="4">
        <f>IF(AND(VLOOKUP(G2012,Dados!$D:$L,2,0)=VLOOKUP(I2012,Dados!$S:$V,2,0),VLOOKUP(G2012,Dados!$D:$L,3,0)=VLOOKUP(I2012,Dados!$S:$V,3,0)),0,1)</f>
        <v>0</v>
      </c>
      <c r="T2012" s="4">
        <f>IF(AND(VLOOKUP(G2012,Dados!$D:$L,3,0)&lt;=VLOOKUP(H2012,Dados!$X:$AB,2,0),VLOOKUP(G2012,Dados!$D:$L,4,0)&gt;=VLOOKUP(H2012,Dados!$X:$AB,3,0),VLOOKUP(G2012,Dados!$D:$L,4,0)&lt;=VLOOKUP(H2012,Dados!$X:$AB,4,0)),0,1)</f>
        <v>0</v>
      </c>
      <c r="U2012" s="4">
        <f>IF(COUNTIFS(F:F,F2012,H:H,H2012)&lt;=VLOOKUP(H2012,Dados!$X:$AB,5,0),0,1)</f>
        <v>0</v>
      </c>
    </row>
    <row r="2013" spans="6:21">
      <c r="F2013" s="4">
        <v>917</v>
      </c>
      <c r="G2013" s="4">
        <v>46</v>
      </c>
      <c r="H2013" s="4">
        <v>3</v>
      </c>
      <c r="I2013" s="4">
        <v>19</v>
      </c>
      <c r="J2013" s="4">
        <v>1</v>
      </c>
      <c r="K2013" s="4">
        <f t="shared" si="312"/>
        <v>0</v>
      </c>
      <c r="L2013" s="4">
        <f t="shared" si="312"/>
        <v>0</v>
      </c>
      <c r="M2013" s="4">
        <f t="shared" si="312"/>
        <v>0</v>
      </c>
      <c r="N2013" s="4">
        <f t="shared" si="312"/>
        <v>0</v>
      </c>
      <c r="O2013" s="4">
        <f t="shared" si="313"/>
        <v>0</v>
      </c>
      <c r="P2013" s="4">
        <f t="shared" si="314"/>
        <v>0</v>
      </c>
      <c r="Q2013" s="4">
        <f t="shared" si="315"/>
        <v>0</v>
      </c>
      <c r="R2013" s="4">
        <f t="shared" si="316"/>
        <v>0</v>
      </c>
      <c r="S2013" s="4">
        <f>IF(AND(VLOOKUP(G2013,Dados!$D:$L,2,0)=VLOOKUP(I2013,Dados!$S:$V,2,0),VLOOKUP(G2013,Dados!$D:$L,3,0)=VLOOKUP(I2013,Dados!$S:$V,3,0)),0,1)</f>
        <v>0</v>
      </c>
      <c r="T2013" s="4">
        <f>IF(AND(VLOOKUP(G2013,Dados!$D:$L,3,0)&lt;=VLOOKUP(H2013,Dados!$X:$AB,2,0),VLOOKUP(G2013,Dados!$D:$L,4,0)&gt;=VLOOKUP(H2013,Dados!$X:$AB,3,0),VLOOKUP(G2013,Dados!$D:$L,4,0)&lt;=VLOOKUP(H2013,Dados!$X:$AB,4,0)),0,1)</f>
        <v>0</v>
      </c>
      <c r="U2013" s="4">
        <f>IF(COUNTIFS(F:F,F2013,H:H,H2013)&lt;=VLOOKUP(H2013,Dados!$X:$AB,5,0),0,1)</f>
        <v>0</v>
      </c>
    </row>
    <row r="2014" spans="6:21">
      <c r="F2014" s="4">
        <v>917</v>
      </c>
      <c r="G2014" s="4">
        <v>47</v>
      </c>
      <c r="H2014" s="4">
        <v>3</v>
      </c>
      <c r="I2014" s="4">
        <v>19</v>
      </c>
      <c r="J2014" s="4">
        <v>10</v>
      </c>
      <c r="K2014" s="4">
        <f t="shared" si="312"/>
        <v>0</v>
      </c>
      <c r="L2014" s="4">
        <f t="shared" si="312"/>
        <v>0</v>
      </c>
      <c r="M2014" s="4">
        <f t="shared" si="312"/>
        <v>0</v>
      </c>
      <c r="N2014" s="4">
        <f t="shared" si="312"/>
        <v>0</v>
      </c>
      <c r="O2014" s="4">
        <f t="shared" si="313"/>
        <v>0</v>
      </c>
      <c r="P2014" s="4">
        <f t="shared" si="314"/>
        <v>0</v>
      </c>
      <c r="Q2014" s="4">
        <f t="shared" si="315"/>
        <v>0</v>
      </c>
      <c r="R2014" s="4">
        <f t="shared" si="316"/>
        <v>0</v>
      </c>
      <c r="S2014" s="4">
        <f>IF(AND(VLOOKUP(G2014,Dados!$D:$L,2,0)=VLOOKUP(I2014,Dados!$S:$V,2,0),VLOOKUP(G2014,Dados!$D:$L,3,0)=VLOOKUP(I2014,Dados!$S:$V,3,0)),0,1)</f>
        <v>0</v>
      </c>
      <c r="T2014" s="4">
        <f>IF(AND(VLOOKUP(G2014,Dados!$D:$L,3,0)&lt;=VLOOKUP(H2014,Dados!$X:$AB,2,0),VLOOKUP(G2014,Dados!$D:$L,4,0)&gt;=VLOOKUP(H2014,Dados!$X:$AB,3,0),VLOOKUP(G2014,Dados!$D:$L,4,0)&lt;=VLOOKUP(H2014,Dados!$X:$AB,4,0)),0,1)</f>
        <v>0</v>
      </c>
      <c r="U2014" s="4">
        <f>IF(COUNTIFS(F:F,F2014,H:H,H2014)&lt;=VLOOKUP(H2014,Dados!$X:$AB,5,0),0,1)</f>
        <v>0</v>
      </c>
    </row>
    <row r="2015" spans="6:21">
      <c r="F2015" s="4">
        <v>918</v>
      </c>
      <c r="G2015" s="4">
        <v>1</v>
      </c>
      <c r="H2015" s="4">
        <v>1</v>
      </c>
      <c r="I2015" s="4">
        <v>1</v>
      </c>
      <c r="J2015" s="4">
        <v>4</v>
      </c>
      <c r="K2015" s="4">
        <f t="shared" si="312"/>
        <v>0</v>
      </c>
      <c r="L2015" s="4">
        <f t="shared" si="312"/>
        <v>0</v>
      </c>
      <c r="M2015" s="4">
        <f t="shared" si="312"/>
        <v>0</v>
      </c>
      <c r="N2015" s="4">
        <f t="shared" si="312"/>
        <v>0</v>
      </c>
      <c r="O2015" s="4">
        <f t="shared" si="313"/>
        <v>0</v>
      </c>
      <c r="P2015" s="4">
        <f t="shared" si="314"/>
        <v>0</v>
      </c>
      <c r="Q2015" s="4">
        <f t="shared" si="315"/>
        <v>0</v>
      </c>
      <c r="R2015" s="4">
        <f t="shared" si="316"/>
        <v>0</v>
      </c>
      <c r="S2015" s="4">
        <f>IF(AND(VLOOKUP(G2015,Dados!$D:$L,2,0)=VLOOKUP(I2015,Dados!$S:$V,2,0),VLOOKUP(G2015,Dados!$D:$L,3,0)=VLOOKUP(I2015,Dados!$S:$V,3,0)),0,1)</f>
        <v>0</v>
      </c>
      <c r="T2015" s="4">
        <f>IF(AND(VLOOKUP(G2015,Dados!$D:$L,3,0)&lt;=VLOOKUP(H2015,Dados!$X:$AB,2,0),VLOOKUP(G2015,Dados!$D:$L,4,0)&gt;=VLOOKUP(H2015,Dados!$X:$AB,3,0),VLOOKUP(G2015,Dados!$D:$L,4,0)&lt;=VLOOKUP(H2015,Dados!$X:$AB,4,0)),0,1)</f>
        <v>0</v>
      </c>
      <c r="U2015" s="4">
        <f>IF(COUNTIFS(F:F,F2015,H:H,H2015)&lt;=VLOOKUP(H2015,Dados!$X:$AB,5,0),0,1)</f>
        <v>0</v>
      </c>
    </row>
    <row r="2016" spans="6:21">
      <c r="F2016" s="4">
        <v>918</v>
      </c>
      <c r="G2016" s="4">
        <v>5</v>
      </c>
      <c r="H2016" s="4">
        <v>1</v>
      </c>
      <c r="I2016" s="4">
        <v>1</v>
      </c>
      <c r="J2016" s="4">
        <v>2</v>
      </c>
      <c r="K2016" s="4">
        <f t="shared" ref="K2016:N2079" si="317">SUMIFS($X:$X,$W:$W,$F2016,$Z:$Z,$I2016,$AA:$AA,$H2016,$AB:$AB,K$2)</f>
        <v>0</v>
      </c>
      <c r="L2016" s="4">
        <f t="shared" si="317"/>
        <v>0</v>
      </c>
      <c r="M2016" s="4">
        <f t="shared" si="317"/>
        <v>0</v>
      </c>
      <c r="N2016" s="4">
        <f t="shared" si="317"/>
        <v>0</v>
      </c>
      <c r="O2016" s="4">
        <f t="shared" si="313"/>
        <v>0</v>
      </c>
      <c r="P2016" s="4">
        <f t="shared" si="314"/>
        <v>0</v>
      </c>
      <c r="Q2016" s="4">
        <f t="shared" si="315"/>
        <v>0</v>
      </c>
      <c r="R2016" s="4">
        <f t="shared" si="316"/>
        <v>0</v>
      </c>
      <c r="S2016" s="4">
        <f>IF(AND(VLOOKUP(G2016,Dados!$D:$L,2,0)=VLOOKUP(I2016,Dados!$S:$V,2,0),VLOOKUP(G2016,Dados!$D:$L,3,0)=VLOOKUP(I2016,Dados!$S:$V,3,0)),0,1)</f>
        <v>0</v>
      </c>
      <c r="T2016" s="4">
        <f>IF(AND(VLOOKUP(G2016,Dados!$D:$L,3,0)&lt;=VLOOKUP(H2016,Dados!$X:$AB,2,0),VLOOKUP(G2016,Dados!$D:$L,4,0)&gt;=VLOOKUP(H2016,Dados!$X:$AB,3,0),VLOOKUP(G2016,Dados!$D:$L,4,0)&lt;=VLOOKUP(H2016,Dados!$X:$AB,4,0)),0,1)</f>
        <v>0</v>
      </c>
      <c r="U2016" s="4">
        <f>IF(COUNTIFS(F:F,F2016,H:H,H2016)&lt;=VLOOKUP(H2016,Dados!$X:$AB,5,0),0,1)</f>
        <v>0</v>
      </c>
    </row>
    <row r="2017" spans="6:21">
      <c r="F2017" s="4">
        <v>919</v>
      </c>
      <c r="G2017" s="4">
        <v>1</v>
      </c>
      <c r="H2017" s="4">
        <v>2</v>
      </c>
      <c r="I2017" s="4">
        <v>1</v>
      </c>
      <c r="J2017" s="4">
        <v>4</v>
      </c>
      <c r="K2017" s="4">
        <f t="shared" si="317"/>
        <v>0</v>
      </c>
      <c r="L2017" s="4">
        <f t="shared" si="317"/>
        <v>0</v>
      </c>
      <c r="M2017" s="4">
        <f t="shared" si="317"/>
        <v>5</v>
      </c>
      <c r="N2017" s="4">
        <f t="shared" si="317"/>
        <v>0</v>
      </c>
      <c r="O2017" s="4">
        <f t="shared" si="313"/>
        <v>0</v>
      </c>
      <c r="P2017" s="4">
        <f t="shared" si="314"/>
        <v>0</v>
      </c>
      <c r="Q2017" s="4">
        <f t="shared" si="315"/>
        <v>20</v>
      </c>
      <c r="R2017" s="4">
        <f t="shared" si="316"/>
        <v>0</v>
      </c>
      <c r="S2017" s="4">
        <f>IF(AND(VLOOKUP(G2017,Dados!$D:$L,2,0)=VLOOKUP(I2017,Dados!$S:$V,2,0),VLOOKUP(G2017,Dados!$D:$L,3,0)=VLOOKUP(I2017,Dados!$S:$V,3,0)),0,1)</f>
        <v>0</v>
      </c>
      <c r="T2017" s="4">
        <f>IF(AND(VLOOKUP(G2017,Dados!$D:$L,3,0)&lt;=VLOOKUP(H2017,Dados!$X:$AB,2,0),VLOOKUP(G2017,Dados!$D:$L,4,0)&gt;=VLOOKUP(H2017,Dados!$X:$AB,3,0),VLOOKUP(G2017,Dados!$D:$L,4,0)&lt;=VLOOKUP(H2017,Dados!$X:$AB,4,0)),0,1)</f>
        <v>0</v>
      </c>
      <c r="U2017" s="4">
        <f>IF(COUNTIFS(F:F,F2017,H:H,H2017)&lt;=VLOOKUP(H2017,Dados!$X:$AB,5,0),0,1)</f>
        <v>0</v>
      </c>
    </row>
    <row r="2018" spans="6:21">
      <c r="F2018" s="4">
        <v>919</v>
      </c>
      <c r="G2018" s="4">
        <v>5</v>
      </c>
      <c r="H2018" s="4">
        <v>2</v>
      </c>
      <c r="I2018" s="4">
        <v>1</v>
      </c>
      <c r="J2018" s="4">
        <v>2</v>
      </c>
      <c r="K2018" s="4">
        <f t="shared" si="317"/>
        <v>0</v>
      </c>
      <c r="L2018" s="4">
        <f t="shared" si="317"/>
        <v>0</v>
      </c>
      <c r="M2018" s="4">
        <f t="shared" si="317"/>
        <v>5</v>
      </c>
      <c r="N2018" s="4">
        <f t="shared" si="317"/>
        <v>0</v>
      </c>
      <c r="O2018" s="4">
        <f t="shared" si="313"/>
        <v>0</v>
      </c>
      <c r="P2018" s="4">
        <f t="shared" si="314"/>
        <v>0</v>
      </c>
      <c r="Q2018" s="4">
        <f t="shared" si="315"/>
        <v>10</v>
      </c>
      <c r="R2018" s="4">
        <f t="shared" si="316"/>
        <v>0</v>
      </c>
      <c r="S2018" s="4">
        <f>IF(AND(VLOOKUP(G2018,Dados!$D:$L,2,0)=VLOOKUP(I2018,Dados!$S:$V,2,0),VLOOKUP(G2018,Dados!$D:$L,3,0)=VLOOKUP(I2018,Dados!$S:$V,3,0)),0,1)</f>
        <v>0</v>
      </c>
      <c r="T2018" s="4">
        <f>IF(AND(VLOOKUP(G2018,Dados!$D:$L,3,0)&lt;=VLOOKUP(H2018,Dados!$X:$AB,2,0),VLOOKUP(G2018,Dados!$D:$L,4,0)&gt;=VLOOKUP(H2018,Dados!$X:$AB,3,0),VLOOKUP(G2018,Dados!$D:$L,4,0)&lt;=VLOOKUP(H2018,Dados!$X:$AB,4,0)),0,1)</f>
        <v>0</v>
      </c>
      <c r="U2018" s="4">
        <f>IF(COUNTIFS(F:F,F2018,H:H,H2018)&lt;=VLOOKUP(H2018,Dados!$X:$AB,5,0),0,1)</f>
        <v>0</v>
      </c>
    </row>
    <row r="2019" spans="6:21">
      <c r="F2019" s="4">
        <v>920</v>
      </c>
      <c r="G2019" s="4">
        <v>1</v>
      </c>
      <c r="H2019" s="4">
        <v>3</v>
      </c>
      <c r="I2019" s="4">
        <v>1</v>
      </c>
      <c r="J2019" s="4">
        <v>4</v>
      </c>
      <c r="K2019" s="4">
        <f t="shared" si="317"/>
        <v>0</v>
      </c>
      <c r="L2019" s="4">
        <f t="shared" si="317"/>
        <v>0</v>
      </c>
      <c r="M2019" s="4">
        <f t="shared" si="317"/>
        <v>3</v>
      </c>
      <c r="N2019" s="4">
        <f t="shared" si="317"/>
        <v>0</v>
      </c>
      <c r="O2019" s="4">
        <f t="shared" si="313"/>
        <v>0</v>
      </c>
      <c r="P2019" s="4">
        <f t="shared" si="314"/>
        <v>0</v>
      </c>
      <c r="Q2019" s="4">
        <f t="shared" si="315"/>
        <v>12</v>
      </c>
      <c r="R2019" s="4">
        <f t="shared" si="316"/>
        <v>0</v>
      </c>
      <c r="S2019" s="4">
        <f>IF(AND(VLOOKUP(G2019,Dados!$D:$L,2,0)=VLOOKUP(I2019,Dados!$S:$V,2,0),VLOOKUP(G2019,Dados!$D:$L,3,0)=VLOOKUP(I2019,Dados!$S:$V,3,0)),0,1)</f>
        <v>0</v>
      </c>
      <c r="T2019" s="4">
        <f>IF(AND(VLOOKUP(G2019,Dados!$D:$L,3,0)&lt;=VLOOKUP(H2019,Dados!$X:$AB,2,0),VLOOKUP(G2019,Dados!$D:$L,4,0)&gt;=VLOOKUP(H2019,Dados!$X:$AB,3,0),VLOOKUP(G2019,Dados!$D:$L,4,0)&lt;=VLOOKUP(H2019,Dados!$X:$AB,4,0)),0,1)</f>
        <v>0</v>
      </c>
      <c r="U2019" s="4">
        <f>IF(COUNTIFS(F:F,F2019,H:H,H2019)&lt;=VLOOKUP(H2019,Dados!$X:$AB,5,0),0,1)</f>
        <v>0</v>
      </c>
    </row>
    <row r="2020" spans="6:21">
      <c r="F2020" s="4">
        <v>920</v>
      </c>
      <c r="G2020" s="4">
        <v>5</v>
      </c>
      <c r="H2020" s="4">
        <v>3</v>
      </c>
      <c r="I2020" s="4">
        <v>1</v>
      </c>
      <c r="J2020" s="4">
        <v>2</v>
      </c>
      <c r="K2020" s="4">
        <f t="shared" si="317"/>
        <v>0</v>
      </c>
      <c r="L2020" s="4">
        <f t="shared" si="317"/>
        <v>0</v>
      </c>
      <c r="M2020" s="4">
        <f t="shared" si="317"/>
        <v>3</v>
      </c>
      <c r="N2020" s="4">
        <f t="shared" si="317"/>
        <v>0</v>
      </c>
      <c r="O2020" s="4">
        <f t="shared" si="313"/>
        <v>0</v>
      </c>
      <c r="P2020" s="4">
        <f t="shared" si="314"/>
        <v>0</v>
      </c>
      <c r="Q2020" s="4">
        <f t="shared" si="315"/>
        <v>6</v>
      </c>
      <c r="R2020" s="4">
        <f t="shared" si="316"/>
        <v>0</v>
      </c>
      <c r="S2020" s="4">
        <f>IF(AND(VLOOKUP(G2020,Dados!$D:$L,2,0)=VLOOKUP(I2020,Dados!$S:$V,2,0),VLOOKUP(G2020,Dados!$D:$L,3,0)=VLOOKUP(I2020,Dados!$S:$V,3,0)),0,1)</f>
        <v>0</v>
      </c>
      <c r="T2020" s="4">
        <f>IF(AND(VLOOKUP(G2020,Dados!$D:$L,3,0)&lt;=VLOOKUP(H2020,Dados!$X:$AB,2,0),VLOOKUP(G2020,Dados!$D:$L,4,0)&gt;=VLOOKUP(H2020,Dados!$X:$AB,3,0),VLOOKUP(G2020,Dados!$D:$L,4,0)&lt;=VLOOKUP(H2020,Dados!$X:$AB,4,0)),0,1)</f>
        <v>0</v>
      </c>
      <c r="U2020" s="4">
        <f>IF(COUNTIFS(F:F,F2020,H:H,H2020)&lt;=VLOOKUP(H2020,Dados!$X:$AB,5,0),0,1)</f>
        <v>0</v>
      </c>
    </row>
    <row r="2021" spans="6:21">
      <c r="F2021" s="4">
        <v>921</v>
      </c>
      <c r="G2021" s="4">
        <v>12</v>
      </c>
      <c r="H2021" s="4">
        <v>1</v>
      </c>
      <c r="I2021" s="4">
        <v>9</v>
      </c>
      <c r="J2021" s="4">
        <v>3</v>
      </c>
      <c r="K2021" s="4">
        <f t="shared" si="317"/>
        <v>0</v>
      </c>
      <c r="L2021" s="4">
        <f t="shared" si="317"/>
        <v>0</v>
      </c>
      <c r="M2021" s="4">
        <f t="shared" si="317"/>
        <v>0</v>
      </c>
      <c r="N2021" s="4">
        <f t="shared" si="317"/>
        <v>0</v>
      </c>
      <c r="O2021" s="4">
        <f t="shared" si="313"/>
        <v>0</v>
      </c>
      <c r="P2021" s="4">
        <f t="shared" si="314"/>
        <v>0</v>
      </c>
      <c r="Q2021" s="4">
        <f t="shared" si="315"/>
        <v>0</v>
      </c>
      <c r="R2021" s="4">
        <f t="shared" si="316"/>
        <v>0</v>
      </c>
      <c r="S2021" s="4">
        <f>IF(AND(VLOOKUP(G2021,Dados!$D:$L,2,0)=VLOOKUP(I2021,Dados!$S:$V,2,0),VLOOKUP(G2021,Dados!$D:$L,3,0)=VLOOKUP(I2021,Dados!$S:$V,3,0)),0,1)</f>
        <v>0</v>
      </c>
      <c r="T2021" s="4">
        <f>IF(AND(VLOOKUP(G2021,Dados!$D:$L,3,0)&lt;=VLOOKUP(H2021,Dados!$X:$AB,2,0),VLOOKUP(G2021,Dados!$D:$L,4,0)&gt;=VLOOKUP(H2021,Dados!$X:$AB,3,0),VLOOKUP(G2021,Dados!$D:$L,4,0)&lt;=VLOOKUP(H2021,Dados!$X:$AB,4,0)),0,1)</f>
        <v>0</v>
      </c>
      <c r="U2021" s="4">
        <f>IF(COUNTIFS(F:F,F2021,H:H,H2021)&lt;=VLOOKUP(H2021,Dados!$X:$AB,5,0),0,1)</f>
        <v>0</v>
      </c>
    </row>
    <row r="2022" spans="6:21">
      <c r="F2022" s="4">
        <v>921</v>
      </c>
      <c r="G2022" s="4">
        <v>14</v>
      </c>
      <c r="H2022" s="4">
        <v>1</v>
      </c>
      <c r="I2022" s="4">
        <v>9</v>
      </c>
      <c r="J2022" s="4">
        <v>4</v>
      </c>
      <c r="K2022" s="4">
        <f t="shared" si="317"/>
        <v>0</v>
      </c>
      <c r="L2022" s="4">
        <f t="shared" si="317"/>
        <v>0</v>
      </c>
      <c r="M2022" s="4">
        <f t="shared" si="317"/>
        <v>0</v>
      </c>
      <c r="N2022" s="4">
        <f t="shared" si="317"/>
        <v>0</v>
      </c>
      <c r="O2022" s="4">
        <f t="shared" si="313"/>
        <v>0</v>
      </c>
      <c r="P2022" s="4">
        <f t="shared" si="314"/>
        <v>0</v>
      </c>
      <c r="Q2022" s="4">
        <f t="shared" si="315"/>
        <v>0</v>
      </c>
      <c r="R2022" s="4">
        <f t="shared" si="316"/>
        <v>0</v>
      </c>
      <c r="S2022" s="4">
        <f>IF(AND(VLOOKUP(G2022,Dados!$D:$L,2,0)=VLOOKUP(I2022,Dados!$S:$V,2,0),VLOOKUP(G2022,Dados!$D:$L,3,0)=VLOOKUP(I2022,Dados!$S:$V,3,0)),0,1)</f>
        <v>0</v>
      </c>
      <c r="T2022" s="4">
        <f>IF(AND(VLOOKUP(G2022,Dados!$D:$L,3,0)&lt;=VLOOKUP(H2022,Dados!$X:$AB,2,0),VLOOKUP(G2022,Dados!$D:$L,4,0)&gt;=VLOOKUP(H2022,Dados!$X:$AB,3,0),VLOOKUP(G2022,Dados!$D:$L,4,0)&lt;=VLOOKUP(H2022,Dados!$X:$AB,4,0)),0,1)</f>
        <v>0</v>
      </c>
      <c r="U2022" s="4">
        <f>IF(COUNTIFS(F:F,F2022,H:H,H2022)&lt;=VLOOKUP(H2022,Dados!$X:$AB,5,0),0,1)</f>
        <v>0</v>
      </c>
    </row>
    <row r="2023" spans="6:21">
      <c r="F2023" s="4">
        <v>921</v>
      </c>
      <c r="G2023" s="4">
        <v>15</v>
      </c>
      <c r="H2023" s="4">
        <v>1</v>
      </c>
      <c r="I2023" s="4">
        <v>9</v>
      </c>
      <c r="J2023" s="4">
        <v>3</v>
      </c>
      <c r="K2023" s="4">
        <f t="shared" si="317"/>
        <v>0</v>
      </c>
      <c r="L2023" s="4">
        <f t="shared" si="317"/>
        <v>0</v>
      </c>
      <c r="M2023" s="4">
        <f t="shared" si="317"/>
        <v>0</v>
      </c>
      <c r="N2023" s="4">
        <f t="shared" si="317"/>
        <v>0</v>
      </c>
      <c r="O2023" s="4">
        <f t="shared" ref="O2023:O2086" si="318">$J2023*K2023</f>
        <v>0</v>
      </c>
      <c r="P2023" s="4">
        <f t="shared" ref="P2023:P2086" si="319">$J2023*L2023</f>
        <v>0</v>
      </c>
      <c r="Q2023" s="4">
        <f t="shared" ref="Q2023:Q2086" si="320">$J2023*M2023</f>
        <v>0</v>
      </c>
      <c r="R2023" s="4">
        <f t="shared" ref="R2023:R2086" si="321">$J2023*N2023</f>
        <v>0</v>
      </c>
      <c r="S2023" s="4">
        <f>IF(AND(VLOOKUP(G2023,Dados!$D:$L,2,0)=VLOOKUP(I2023,Dados!$S:$V,2,0),VLOOKUP(G2023,Dados!$D:$L,3,0)=VLOOKUP(I2023,Dados!$S:$V,3,0)),0,1)</f>
        <v>0</v>
      </c>
      <c r="T2023" s="4">
        <f>IF(AND(VLOOKUP(G2023,Dados!$D:$L,3,0)&lt;=VLOOKUP(H2023,Dados!$X:$AB,2,0),VLOOKUP(G2023,Dados!$D:$L,4,0)&gt;=VLOOKUP(H2023,Dados!$X:$AB,3,0),VLOOKUP(G2023,Dados!$D:$L,4,0)&lt;=VLOOKUP(H2023,Dados!$X:$AB,4,0)),0,1)</f>
        <v>0</v>
      </c>
      <c r="U2023" s="4">
        <f>IF(COUNTIFS(F:F,F2023,H:H,H2023)&lt;=VLOOKUP(H2023,Dados!$X:$AB,5,0),0,1)</f>
        <v>0</v>
      </c>
    </row>
    <row r="2024" spans="6:21">
      <c r="F2024" s="4">
        <v>922</v>
      </c>
      <c r="G2024" s="4">
        <v>12</v>
      </c>
      <c r="H2024" s="4">
        <v>3</v>
      </c>
      <c r="I2024" s="4">
        <v>9</v>
      </c>
      <c r="J2024" s="4">
        <v>6</v>
      </c>
      <c r="K2024" s="4">
        <f t="shared" si="317"/>
        <v>0</v>
      </c>
      <c r="L2024" s="4">
        <f t="shared" si="317"/>
        <v>0</v>
      </c>
      <c r="M2024" s="4">
        <f t="shared" si="317"/>
        <v>0</v>
      </c>
      <c r="N2024" s="4">
        <f t="shared" si="317"/>
        <v>0</v>
      </c>
      <c r="O2024" s="4">
        <f t="shared" si="318"/>
        <v>0</v>
      </c>
      <c r="P2024" s="4">
        <f t="shared" si="319"/>
        <v>0</v>
      </c>
      <c r="Q2024" s="4">
        <f t="shared" si="320"/>
        <v>0</v>
      </c>
      <c r="R2024" s="4">
        <f t="shared" si="321"/>
        <v>0</v>
      </c>
      <c r="S2024" s="4">
        <f>IF(AND(VLOOKUP(G2024,Dados!$D:$L,2,0)=VLOOKUP(I2024,Dados!$S:$V,2,0),VLOOKUP(G2024,Dados!$D:$L,3,0)=VLOOKUP(I2024,Dados!$S:$V,3,0)),0,1)</f>
        <v>0</v>
      </c>
      <c r="T2024" s="4">
        <f>IF(AND(VLOOKUP(G2024,Dados!$D:$L,3,0)&lt;=VLOOKUP(H2024,Dados!$X:$AB,2,0),VLOOKUP(G2024,Dados!$D:$L,4,0)&gt;=VLOOKUP(H2024,Dados!$X:$AB,3,0),VLOOKUP(G2024,Dados!$D:$L,4,0)&lt;=VLOOKUP(H2024,Dados!$X:$AB,4,0)),0,1)</f>
        <v>0</v>
      </c>
      <c r="U2024" s="4">
        <f>IF(COUNTIFS(F:F,F2024,H:H,H2024)&lt;=VLOOKUP(H2024,Dados!$X:$AB,5,0),0,1)</f>
        <v>0</v>
      </c>
    </row>
    <row r="2025" spans="6:21">
      <c r="F2025" s="4">
        <v>922</v>
      </c>
      <c r="G2025" s="4">
        <v>14</v>
      </c>
      <c r="H2025" s="4">
        <v>3</v>
      </c>
      <c r="I2025" s="4">
        <v>9</v>
      </c>
      <c r="J2025" s="4">
        <v>3</v>
      </c>
      <c r="K2025" s="4">
        <f t="shared" si="317"/>
        <v>0</v>
      </c>
      <c r="L2025" s="4">
        <f t="shared" si="317"/>
        <v>0</v>
      </c>
      <c r="M2025" s="4">
        <f t="shared" si="317"/>
        <v>0</v>
      </c>
      <c r="N2025" s="4">
        <f t="shared" si="317"/>
        <v>0</v>
      </c>
      <c r="O2025" s="4">
        <f t="shared" si="318"/>
        <v>0</v>
      </c>
      <c r="P2025" s="4">
        <f t="shared" si="319"/>
        <v>0</v>
      </c>
      <c r="Q2025" s="4">
        <f t="shared" si="320"/>
        <v>0</v>
      </c>
      <c r="R2025" s="4">
        <f t="shared" si="321"/>
        <v>0</v>
      </c>
      <c r="S2025" s="4">
        <f>IF(AND(VLOOKUP(G2025,Dados!$D:$L,2,0)=VLOOKUP(I2025,Dados!$S:$V,2,0),VLOOKUP(G2025,Dados!$D:$L,3,0)=VLOOKUP(I2025,Dados!$S:$V,3,0)),0,1)</f>
        <v>0</v>
      </c>
      <c r="T2025" s="4">
        <f>IF(AND(VLOOKUP(G2025,Dados!$D:$L,3,0)&lt;=VLOOKUP(H2025,Dados!$X:$AB,2,0),VLOOKUP(G2025,Dados!$D:$L,4,0)&gt;=VLOOKUP(H2025,Dados!$X:$AB,3,0),VLOOKUP(G2025,Dados!$D:$L,4,0)&lt;=VLOOKUP(H2025,Dados!$X:$AB,4,0)),0,1)</f>
        <v>0</v>
      </c>
      <c r="U2025" s="4">
        <f>IF(COUNTIFS(F:F,F2025,H:H,H2025)&lt;=VLOOKUP(H2025,Dados!$X:$AB,5,0),0,1)</f>
        <v>0</v>
      </c>
    </row>
    <row r="2026" spans="6:21">
      <c r="F2026" s="4">
        <v>922</v>
      </c>
      <c r="G2026" s="4">
        <v>15</v>
      </c>
      <c r="H2026" s="4">
        <v>3</v>
      </c>
      <c r="I2026" s="4">
        <v>9</v>
      </c>
      <c r="J2026" s="4">
        <v>1</v>
      </c>
      <c r="K2026" s="4">
        <f t="shared" si="317"/>
        <v>0</v>
      </c>
      <c r="L2026" s="4">
        <f t="shared" si="317"/>
        <v>0</v>
      </c>
      <c r="M2026" s="4">
        <f t="shared" si="317"/>
        <v>0</v>
      </c>
      <c r="N2026" s="4">
        <f t="shared" si="317"/>
        <v>0</v>
      </c>
      <c r="O2026" s="4">
        <f t="shared" si="318"/>
        <v>0</v>
      </c>
      <c r="P2026" s="4">
        <f t="shared" si="319"/>
        <v>0</v>
      </c>
      <c r="Q2026" s="4">
        <f t="shared" si="320"/>
        <v>0</v>
      </c>
      <c r="R2026" s="4">
        <f t="shared" si="321"/>
        <v>0</v>
      </c>
      <c r="S2026" s="4">
        <f>IF(AND(VLOOKUP(G2026,Dados!$D:$L,2,0)=VLOOKUP(I2026,Dados!$S:$V,2,0),VLOOKUP(G2026,Dados!$D:$L,3,0)=VLOOKUP(I2026,Dados!$S:$V,3,0)),0,1)</f>
        <v>0</v>
      </c>
      <c r="T2026" s="4">
        <f>IF(AND(VLOOKUP(G2026,Dados!$D:$L,3,0)&lt;=VLOOKUP(H2026,Dados!$X:$AB,2,0),VLOOKUP(G2026,Dados!$D:$L,4,0)&gt;=VLOOKUP(H2026,Dados!$X:$AB,3,0),VLOOKUP(G2026,Dados!$D:$L,4,0)&lt;=VLOOKUP(H2026,Dados!$X:$AB,4,0)),0,1)</f>
        <v>0</v>
      </c>
      <c r="U2026" s="4">
        <f>IF(COUNTIFS(F:F,F2026,H:H,H2026)&lt;=VLOOKUP(H2026,Dados!$X:$AB,5,0),0,1)</f>
        <v>0</v>
      </c>
    </row>
    <row r="2027" spans="6:21">
      <c r="F2027" s="4">
        <v>922</v>
      </c>
      <c r="G2027" s="4">
        <v>17</v>
      </c>
      <c r="H2027" s="4">
        <v>3</v>
      </c>
      <c r="I2027" s="4">
        <v>9</v>
      </c>
      <c r="J2027" s="4">
        <v>1</v>
      </c>
      <c r="K2027" s="4">
        <f t="shared" si="317"/>
        <v>0</v>
      </c>
      <c r="L2027" s="4">
        <f t="shared" si="317"/>
        <v>0</v>
      </c>
      <c r="M2027" s="4">
        <f t="shared" si="317"/>
        <v>0</v>
      </c>
      <c r="N2027" s="4">
        <f t="shared" si="317"/>
        <v>0</v>
      </c>
      <c r="O2027" s="4">
        <f t="shared" si="318"/>
        <v>0</v>
      </c>
      <c r="P2027" s="4">
        <f t="shared" si="319"/>
        <v>0</v>
      </c>
      <c r="Q2027" s="4">
        <f t="shared" si="320"/>
        <v>0</v>
      </c>
      <c r="R2027" s="4">
        <f t="shared" si="321"/>
        <v>0</v>
      </c>
      <c r="S2027" s="4">
        <f>IF(AND(VLOOKUP(G2027,Dados!$D:$L,2,0)=VLOOKUP(I2027,Dados!$S:$V,2,0),VLOOKUP(G2027,Dados!$D:$L,3,0)=VLOOKUP(I2027,Dados!$S:$V,3,0)),0,1)</f>
        <v>0</v>
      </c>
      <c r="T2027" s="4">
        <f>IF(AND(VLOOKUP(G2027,Dados!$D:$L,3,0)&lt;=VLOOKUP(H2027,Dados!$X:$AB,2,0),VLOOKUP(G2027,Dados!$D:$L,4,0)&gt;=VLOOKUP(H2027,Dados!$X:$AB,3,0),VLOOKUP(G2027,Dados!$D:$L,4,0)&lt;=VLOOKUP(H2027,Dados!$X:$AB,4,0)),0,1)</f>
        <v>0</v>
      </c>
      <c r="U2027" s="4">
        <f>IF(COUNTIFS(F:F,F2027,H:H,H2027)&lt;=VLOOKUP(H2027,Dados!$X:$AB,5,0),0,1)</f>
        <v>0</v>
      </c>
    </row>
    <row r="2028" spans="6:21">
      <c r="F2028" s="4">
        <v>923</v>
      </c>
      <c r="G2028" s="4">
        <v>31</v>
      </c>
      <c r="H2028" s="4">
        <v>1</v>
      </c>
      <c r="I2028" s="4">
        <v>16</v>
      </c>
      <c r="J2028" s="4">
        <v>1</v>
      </c>
      <c r="K2028" s="4">
        <f t="shared" si="317"/>
        <v>0</v>
      </c>
      <c r="L2028" s="4">
        <f t="shared" si="317"/>
        <v>0</v>
      </c>
      <c r="M2028" s="4">
        <f t="shared" si="317"/>
        <v>0</v>
      </c>
      <c r="N2028" s="4">
        <f t="shared" si="317"/>
        <v>0</v>
      </c>
      <c r="O2028" s="4">
        <f t="shared" si="318"/>
        <v>0</v>
      </c>
      <c r="P2028" s="4">
        <f t="shared" si="319"/>
        <v>0</v>
      </c>
      <c r="Q2028" s="4">
        <f t="shared" si="320"/>
        <v>0</v>
      </c>
      <c r="R2028" s="4">
        <f t="shared" si="321"/>
        <v>0</v>
      </c>
      <c r="S2028" s="4">
        <f>IF(AND(VLOOKUP(G2028,Dados!$D:$L,2,0)=VLOOKUP(I2028,Dados!$S:$V,2,0),VLOOKUP(G2028,Dados!$D:$L,3,0)=VLOOKUP(I2028,Dados!$S:$V,3,0)),0,1)</f>
        <v>0</v>
      </c>
      <c r="T2028" s="4">
        <f>IF(AND(VLOOKUP(G2028,Dados!$D:$L,3,0)&lt;=VLOOKUP(H2028,Dados!$X:$AB,2,0),VLOOKUP(G2028,Dados!$D:$L,4,0)&gt;=VLOOKUP(H2028,Dados!$X:$AB,3,0),VLOOKUP(G2028,Dados!$D:$L,4,0)&lt;=VLOOKUP(H2028,Dados!$X:$AB,4,0)),0,1)</f>
        <v>0</v>
      </c>
      <c r="U2028" s="4">
        <f>IF(COUNTIFS(F:F,F2028,H:H,H2028)&lt;=VLOOKUP(H2028,Dados!$X:$AB,5,0),0,1)</f>
        <v>0</v>
      </c>
    </row>
    <row r="2029" spans="6:21">
      <c r="F2029" s="4">
        <v>923</v>
      </c>
      <c r="G2029" s="4">
        <v>36</v>
      </c>
      <c r="H2029" s="4">
        <v>1</v>
      </c>
      <c r="I2029" s="4">
        <v>16</v>
      </c>
      <c r="J2029" s="4">
        <v>6</v>
      </c>
      <c r="K2029" s="4">
        <f t="shared" si="317"/>
        <v>0</v>
      </c>
      <c r="L2029" s="4">
        <f t="shared" si="317"/>
        <v>0</v>
      </c>
      <c r="M2029" s="4">
        <f t="shared" si="317"/>
        <v>0</v>
      </c>
      <c r="N2029" s="4">
        <f t="shared" si="317"/>
        <v>0</v>
      </c>
      <c r="O2029" s="4">
        <f t="shared" si="318"/>
        <v>0</v>
      </c>
      <c r="P2029" s="4">
        <f t="shared" si="319"/>
        <v>0</v>
      </c>
      <c r="Q2029" s="4">
        <f t="shared" si="320"/>
        <v>0</v>
      </c>
      <c r="R2029" s="4">
        <f t="shared" si="321"/>
        <v>0</v>
      </c>
      <c r="S2029" s="4">
        <f>IF(AND(VLOOKUP(G2029,Dados!$D:$L,2,0)=VLOOKUP(I2029,Dados!$S:$V,2,0),VLOOKUP(G2029,Dados!$D:$L,3,0)=VLOOKUP(I2029,Dados!$S:$V,3,0)),0,1)</f>
        <v>0</v>
      </c>
      <c r="T2029" s="4">
        <f>IF(AND(VLOOKUP(G2029,Dados!$D:$L,3,0)&lt;=VLOOKUP(H2029,Dados!$X:$AB,2,0),VLOOKUP(G2029,Dados!$D:$L,4,0)&gt;=VLOOKUP(H2029,Dados!$X:$AB,3,0),VLOOKUP(G2029,Dados!$D:$L,4,0)&lt;=VLOOKUP(H2029,Dados!$X:$AB,4,0)),0,1)</f>
        <v>0</v>
      </c>
      <c r="U2029" s="4">
        <f>IF(COUNTIFS(F:F,F2029,H:H,H2029)&lt;=VLOOKUP(H2029,Dados!$X:$AB,5,0),0,1)</f>
        <v>0</v>
      </c>
    </row>
    <row r="2030" spans="6:21">
      <c r="F2030" s="4">
        <v>923</v>
      </c>
      <c r="G2030" s="4">
        <v>37</v>
      </c>
      <c r="H2030" s="4">
        <v>1</v>
      </c>
      <c r="I2030" s="4">
        <v>16</v>
      </c>
      <c r="J2030" s="4">
        <v>1</v>
      </c>
      <c r="K2030" s="4">
        <f t="shared" si="317"/>
        <v>0</v>
      </c>
      <c r="L2030" s="4">
        <f t="shared" si="317"/>
        <v>0</v>
      </c>
      <c r="M2030" s="4">
        <f t="shared" si="317"/>
        <v>0</v>
      </c>
      <c r="N2030" s="4">
        <f t="shared" si="317"/>
        <v>0</v>
      </c>
      <c r="O2030" s="4">
        <f t="shared" si="318"/>
        <v>0</v>
      </c>
      <c r="P2030" s="4">
        <f t="shared" si="319"/>
        <v>0</v>
      </c>
      <c r="Q2030" s="4">
        <f t="shared" si="320"/>
        <v>0</v>
      </c>
      <c r="R2030" s="4">
        <f t="shared" si="321"/>
        <v>0</v>
      </c>
      <c r="S2030" s="4">
        <f>IF(AND(VLOOKUP(G2030,Dados!$D:$L,2,0)=VLOOKUP(I2030,Dados!$S:$V,2,0),VLOOKUP(G2030,Dados!$D:$L,3,0)=VLOOKUP(I2030,Dados!$S:$V,3,0)),0,1)</f>
        <v>0</v>
      </c>
      <c r="T2030" s="4">
        <f>IF(AND(VLOOKUP(G2030,Dados!$D:$L,3,0)&lt;=VLOOKUP(H2030,Dados!$X:$AB,2,0),VLOOKUP(G2030,Dados!$D:$L,4,0)&gt;=VLOOKUP(H2030,Dados!$X:$AB,3,0),VLOOKUP(G2030,Dados!$D:$L,4,0)&lt;=VLOOKUP(H2030,Dados!$X:$AB,4,0)),0,1)</f>
        <v>0</v>
      </c>
      <c r="U2030" s="4">
        <f>IF(COUNTIFS(F:F,F2030,H:H,H2030)&lt;=VLOOKUP(H2030,Dados!$X:$AB,5,0),0,1)</f>
        <v>0</v>
      </c>
    </row>
    <row r="2031" spans="6:21">
      <c r="F2031" s="4">
        <v>924</v>
      </c>
      <c r="G2031" s="4">
        <v>31</v>
      </c>
      <c r="H2031" s="4">
        <v>2</v>
      </c>
      <c r="I2031" s="4">
        <v>16</v>
      </c>
      <c r="J2031" s="4">
        <v>1</v>
      </c>
      <c r="K2031" s="4">
        <f t="shared" si="317"/>
        <v>0</v>
      </c>
      <c r="L2031" s="4">
        <f t="shared" si="317"/>
        <v>0</v>
      </c>
      <c r="M2031" s="4">
        <f t="shared" si="317"/>
        <v>0</v>
      </c>
      <c r="N2031" s="4">
        <f t="shared" si="317"/>
        <v>0</v>
      </c>
      <c r="O2031" s="4">
        <f t="shared" si="318"/>
        <v>0</v>
      </c>
      <c r="P2031" s="4">
        <f t="shared" si="319"/>
        <v>0</v>
      </c>
      <c r="Q2031" s="4">
        <f t="shared" si="320"/>
        <v>0</v>
      </c>
      <c r="R2031" s="4">
        <f t="shared" si="321"/>
        <v>0</v>
      </c>
      <c r="S2031" s="4">
        <f>IF(AND(VLOOKUP(G2031,Dados!$D:$L,2,0)=VLOOKUP(I2031,Dados!$S:$V,2,0),VLOOKUP(G2031,Dados!$D:$L,3,0)=VLOOKUP(I2031,Dados!$S:$V,3,0)),0,1)</f>
        <v>0</v>
      </c>
      <c r="T2031" s="4">
        <f>IF(AND(VLOOKUP(G2031,Dados!$D:$L,3,0)&lt;=VLOOKUP(H2031,Dados!$X:$AB,2,0),VLOOKUP(G2031,Dados!$D:$L,4,0)&gt;=VLOOKUP(H2031,Dados!$X:$AB,3,0),VLOOKUP(G2031,Dados!$D:$L,4,0)&lt;=VLOOKUP(H2031,Dados!$X:$AB,4,0)),0,1)</f>
        <v>0</v>
      </c>
      <c r="U2031" s="4">
        <f>IF(COUNTIFS(F:F,F2031,H:H,H2031)&lt;=VLOOKUP(H2031,Dados!$X:$AB,5,0),0,1)</f>
        <v>0</v>
      </c>
    </row>
    <row r="2032" spans="6:21">
      <c r="F2032" s="4">
        <v>924</v>
      </c>
      <c r="G2032" s="4">
        <v>36</v>
      </c>
      <c r="H2032" s="4">
        <v>2</v>
      </c>
      <c r="I2032" s="4">
        <v>16</v>
      </c>
      <c r="J2032" s="4">
        <v>6</v>
      </c>
      <c r="K2032" s="4">
        <f t="shared" si="317"/>
        <v>0</v>
      </c>
      <c r="L2032" s="4">
        <f t="shared" si="317"/>
        <v>0</v>
      </c>
      <c r="M2032" s="4">
        <f t="shared" si="317"/>
        <v>0</v>
      </c>
      <c r="N2032" s="4">
        <f t="shared" si="317"/>
        <v>0</v>
      </c>
      <c r="O2032" s="4">
        <f t="shared" si="318"/>
        <v>0</v>
      </c>
      <c r="P2032" s="4">
        <f t="shared" si="319"/>
        <v>0</v>
      </c>
      <c r="Q2032" s="4">
        <f t="shared" si="320"/>
        <v>0</v>
      </c>
      <c r="R2032" s="4">
        <f t="shared" si="321"/>
        <v>0</v>
      </c>
      <c r="S2032" s="4">
        <f>IF(AND(VLOOKUP(G2032,Dados!$D:$L,2,0)=VLOOKUP(I2032,Dados!$S:$V,2,0),VLOOKUP(G2032,Dados!$D:$L,3,0)=VLOOKUP(I2032,Dados!$S:$V,3,0)),0,1)</f>
        <v>0</v>
      </c>
      <c r="T2032" s="4">
        <f>IF(AND(VLOOKUP(G2032,Dados!$D:$L,3,0)&lt;=VLOOKUP(H2032,Dados!$X:$AB,2,0),VLOOKUP(G2032,Dados!$D:$L,4,0)&gt;=VLOOKUP(H2032,Dados!$X:$AB,3,0),VLOOKUP(G2032,Dados!$D:$L,4,0)&lt;=VLOOKUP(H2032,Dados!$X:$AB,4,0)),0,1)</f>
        <v>0</v>
      </c>
      <c r="U2032" s="4">
        <f>IF(COUNTIFS(F:F,F2032,H:H,H2032)&lt;=VLOOKUP(H2032,Dados!$X:$AB,5,0),0,1)</f>
        <v>0</v>
      </c>
    </row>
    <row r="2033" spans="6:21">
      <c r="F2033" s="4">
        <v>924</v>
      </c>
      <c r="G2033" s="4">
        <v>37</v>
      </c>
      <c r="H2033" s="4">
        <v>2</v>
      </c>
      <c r="I2033" s="4">
        <v>16</v>
      </c>
      <c r="J2033" s="4">
        <v>1</v>
      </c>
      <c r="K2033" s="4">
        <f t="shared" si="317"/>
        <v>0</v>
      </c>
      <c r="L2033" s="4">
        <f t="shared" si="317"/>
        <v>0</v>
      </c>
      <c r="M2033" s="4">
        <f t="shared" si="317"/>
        <v>0</v>
      </c>
      <c r="N2033" s="4">
        <f t="shared" si="317"/>
        <v>0</v>
      </c>
      <c r="O2033" s="4">
        <f t="shared" si="318"/>
        <v>0</v>
      </c>
      <c r="P2033" s="4">
        <f t="shared" si="319"/>
        <v>0</v>
      </c>
      <c r="Q2033" s="4">
        <f t="shared" si="320"/>
        <v>0</v>
      </c>
      <c r="R2033" s="4">
        <f t="shared" si="321"/>
        <v>0</v>
      </c>
      <c r="S2033" s="4">
        <f>IF(AND(VLOOKUP(G2033,Dados!$D:$L,2,0)=VLOOKUP(I2033,Dados!$S:$V,2,0),VLOOKUP(G2033,Dados!$D:$L,3,0)=VLOOKUP(I2033,Dados!$S:$V,3,0)),0,1)</f>
        <v>0</v>
      </c>
      <c r="T2033" s="4">
        <f>IF(AND(VLOOKUP(G2033,Dados!$D:$L,3,0)&lt;=VLOOKUP(H2033,Dados!$X:$AB,2,0),VLOOKUP(G2033,Dados!$D:$L,4,0)&gt;=VLOOKUP(H2033,Dados!$X:$AB,3,0),VLOOKUP(G2033,Dados!$D:$L,4,0)&lt;=VLOOKUP(H2033,Dados!$X:$AB,4,0)),0,1)</f>
        <v>0</v>
      </c>
      <c r="U2033" s="4">
        <f>IF(COUNTIFS(F:F,F2033,H:H,H2033)&lt;=VLOOKUP(H2033,Dados!$X:$AB,5,0),0,1)</f>
        <v>0</v>
      </c>
    </row>
    <row r="2034" spans="6:21">
      <c r="F2034" s="4">
        <v>925</v>
      </c>
      <c r="G2034" s="4">
        <v>31</v>
      </c>
      <c r="H2034" s="4">
        <v>3</v>
      </c>
      <c r="I2034" s="4">
        <v>16</v>
      </c>
      <c r="J2034" s="4">
        <v>1</v>
      </c>
      <c r="K2034" s="4">
        <f t="shared" si="317"/>
        <v>0</v>
      </c>
      <c r="L2034" s="4">
        <f t="shared" si="317"/>
        <v>0</v>
      </c>
      <c r="M2034" s="4">
        <f t="shared" si="317"/>
        <v>0</v>
      </c>
      <c r="N2034" s="4">
        <f t="shared" si="317"/>
        <v>0</v>
      </c>
      <c r="O2034" s="4">
        <f t="shared" si="318"/>
        <v>0</v>
      </c>
      <c r="P2034" s="4">
        <f t="shared" si="319"/>
        <v>0</v>
      </c>
      <c r="Q2034" s="4">
        <f t="shared" si="320"/>
        <v>0</v>
      </c>
      <c r="R2034" s="4">
        <f t="shared" si="321"/>
        <v>0</v>
      </c>
      <c r="S2034" s="4">
        <f>IF(AND(VLOOKUP(G2034,Dados!$D:$L,2,0)=VLOOKUP(I2034,Dados!$S:$V,2,0),VLOOKUP(G2034,Dados!$D:$L,3,0)=VLOOKUP(I2034,Dados!$S:$V,3,0)),0,1)</f>
        <v>0</v>
      </c>
      <c r="T2034" s="4">
        <f>IF(AND(VLOOKUP(G2034,Dados!$D:$L,3,0)&lt;=VLOOKUP(H2034,Dados!$X:$AB,2,0),VLOOKUP(G2034,Dados!$D:$L,4,0)&gt;=VLOOKUP(H2034,Dados!$X:$AB,3,0),VLOOKUP(G2034,Dados!$D:$L,4,0)&lt;=VLOOKUP(H2034,Dados!$X:$AB,4,0)),0,1)</f>
        <v>0</v>
      </c>
      <c r="U2034" s="4">
        <f>IF(COUNTIFS(F:F,F2034,H:H,H2034)&lt;=VLOOKUP(H2034,Dados!$X:$AB,5,0),0,1)</f>
        <v>0</v>
      </c>
    </row>
    <row r="2035" spans="6:21">
      <c r="F2035" s="4">
        <v>925</v>
      </c>
      <c r="G2035" s="4">
        <v>36</v>
      </c>
      <c r="H2035" s="4">
        <v>3</v>
      </c>
      <c r="I2035" s="4">
        <v>16</v>
      </c>
      <c r="J2035" s="4">
        <v>6</v>
      </c>
      <c r="K2035" s="4">
        <f t="shared" si="317"/>
        <v>0</v>
      </c>
      <c r="L2035" s="4">
        <f t="shared" si="317"/>
        <v>0</v>
      </c>
      <c r="M2035" s="4">
        <f t="shared" si="317"/>
        <v>0</v>
      </c>
      <c r="N2035" s="4">
        <f t="shared" si="317"/>
        <v>0</v>
      </c>
      <c r="O2035" s="4">
        <f t="shared" si="318"/>
        <v>0</v>
      </c>
      <c r="P2035" s="4">
        <f t="shared" si="319"/>
        <v>0</v>
      </c>
      <c r="Q2035" s="4">
        <f t="shared" si="320"/>
        <v>0</v>
      </c>
      <c r="R2035" s="4">
        <f t="shared" si="321"/>
        <v>0</v>
      </c>
      <c r="S2035" s="4">
        <f>IF(AND(VLOOKUP(G2035,Dados!$D:$L,2,0)=VLOOKUP(I2035,Dados!$S:$V,2,0),VLOOKUP(G2035,Dados!$D:$L,3,0)=VLOOKUP(I2035,Dados!$S:$V,3,0)),0,1)</f>
        <v>0</v>
      </c>
      <c r="T2035" s="4">
        <f>IF(AND(VLOOKUP(G2035,Dados!$D:$L,3,0)&lt;=VLOOKUP(H2035,Dados!$X:$AB,2,0),VLOOKUP(G2035,Dados!$D:$L,4,0)&gt;=VLOOKUP(H2035,Dados!$X:$AB,3,0),VLOOKUP(G2035,Dados!$D:$L,4,0)&lt;=VLOOKUP(H2035,Dados!$X:$AB,4,0)),0,1)</f>
        <v>0</v>
      </c>
      <c r="U2035" s="4">
        <f>IF(COUNTIFS(F:F,F2035,H:H,H2035)&lt;=VLOOKUP(H2035,Dados!$X:$AB,5,0),0,1)</f>
        <v>0</v>
      </c>
    </row>
    <row r="2036" spans="6:21">
      <c r="F2036" s="4">
        <v>925</v>
      </c>
      <c r="G2036" s="4">
        <v>37</v>
      </c>
      <c r="H2036" s="4">
        <v>3</v>
      </c>
      <c r="I2036" s="4">
        <v>16</v>
      </c>
      <c r="J2036" s="4">
        <v>1</v>
      </c>
      <c r="K2036" s="4">
        <f t="shared" si="317"/>
        <v>0</v>
      </c>
      <c r="L2036" s="4">
        <f t="shared" si="317"/>
        <v>0</v>
      </c>
      <c r="M2036" s="4">
        <f t="shared" si="317"/>
        <v>0</v>
      </c>
      <c r="N2036" s="4">
        <f t="shared" si="317"/>
        <v>0</v>
      </c>
      <c r="O2036" s="4">
        <f t="shared" si="318"/>
        <v>0</v>
      </c>
      <c r="P2036" s="4">
        <f t="shared" si="319"/>
        <v>0</v>
      </c>
      <c r="Q2036" s="4">
        <f t="shared" si="320"/>
        <v>0</v>
      </c>
      <c r="R2036" s="4">
        <f t="shared" si="321"/>
        <v>0</v>
      </c>
      <c r="S2036" s="4">
        <f>IF(AND(VLOOKUP(G2036,Dados!$D:$L,2,0)=VLOOKUP(I2036,Dados!$S:$V,2,0),VLOOKUP(G2036,Dados!$D:$L,3,0)=VLOOKUP(I2036,Dados!$S:$V,3,0)),0,1)</f>
        <v>0</v>
      </c>
      <c r="T2036" s="4">
        <f>IF(AND(VLOOKUP(G2036,Dados!$D:$L,3,0)&lt;=VLOOKUP(H2036,Dados!$X:$AB,2,0),VLOOKUP(G2036,Dados!$D:$L,4,0)&gt;=VLOOKUP(H2036,Dados!$X:$AB,3,0),VLOOKUP(G2036,Dados!$D:$L,4,0)&lt;=VLOOKUP(H2036,Dados!$X:$AB,4,0)),0,1)</f>
        <v>0</v>
      </c>
      <c r="U2036" s="4">
        <f>IF(COUNTIFS(F:F,F2036,H:H,H2036)&lt;=VLOOKUP(H2036,Dados!$X:$AB,5,0),0,1)</f>
        <v>0</v>
      </c>
    </row>
    <row r="2037" spans="6:21">
      <c r="F2037" s="4">
        <v>926</v>
      </c>
      <c r="G2037" s="4">
        <v>40</v>
      </c>
      <c r="H2037" s="4">
        <v>1</v>
      </c>
      <c r="I2037" s="4">
        <v>17</v>
      </c>
      <c r="J2037" s="4">
        <v>3</v>
      </c>
      <c r="K2037" s="4">
        <f t="shared" si="317"/>
        <v>0</v>
      </c>
      <c r="L2037" s="4">
        <f t="shared" si="317"/>
        <v>0</v>
      </c>
      <c r="M2037" s="4">
        <f t="shared" si="317"/>
        <v>22</v>
      </c>
      <c r="N2037" s="4">
        <f t="shared" si="317"/>
        <v>0</v>
      </c>
      <c r="O2037" s="4">
        <f t="shared" si="318"/>
        <v>0</v>
      </c>
      <c r="P2037" s="4">
        <f t="shared" si="319"/>
        <v>0</v>
      </c>
      <c r="Q2037" s="4">
        <f t="shared" si="320"/>
        <v>66</v>
      </c>
      <c r="R2037" s="4">
        <f t="shared" si="321"/>
        <v>0</v>
      </c>
      <c r="S2037" s="4">
        <f>IF(AND(VLOOKUP(G2037,Dados!$D:$L,2,0)=VLOOKUP(I2037,Dados!$S:$V,2,0),VLOOKUP(G2037,Dados!$D:$L,3,0)=VLOOKUP(I2037,Dados!$S:$V,3,0)),0,1)</f>
        <v>0</v>
      </c>
      <c r="T2037" s="4">
        <f>IF(AND(VLOOKUP(G2037,Dados!$D:$L,3,0)&lt;=VLOOKUP(H2037,Dados!$X:$AB,2,0),VLOOKUP(G2037,Dados!$D:$L,4,0)&gt;=VLOOKUP(H2037,Dados!$X:$AB,3,0),VLOOKUP(G2037,Dados!$D:$L,4,0)&lt;=VLOOKUP(H2037,Dados!$X:$AB,4,0)),0,1)</f>
        <v>0</v>
      </c>
      <c r="U2037" s="4">
        <f>IF(COUNTIFS(F:F,F2037,H:H,H2037)&lt;=VLOOKUP(H2037,Dados!$X:$AB,5,0),0,1)</f>
        <v>0</v>
      </c>
    </row>
    <row r="2038" spans="6:21">
      <c r="F2038" s="4">
        <v>926</v>
      </c>
      <c r="G2038" s="4">
        <v>44</v>
      </c>
      <c r="H2038" s="4">
        <v>1</v>
      </c>
      <c r="I2038" s="4">
        <v>17</v>
      </c>
      <c r="J2038" s="4">
        <v>1</v>
      </c>
      <c r="K2038" s="4">
        <f t="shared" si="317"/>
        <v>0</v>
      </c>
      <c r="L2038" s="4">
        <f t="shared" si="317"/>
        <v>0</v>
      </c>
      <c r="M2038" s="4">
        <f t="shared" si="317"/>
        <v>22</v>
      </c>
      <c r="N2038" s="4">
        <f t="shared" si="317"/>
        <v>0</v>
      </c>
      <c r="O2038" s="4">
        <f t="shared" si="318"/>
        <v>0</v>
      </c>
      <c r="P2038" s="4">
        <f t="shared" si="319"/>
        <v>0</v>
      </c>
      <c r="Q2038" s="4">
        <f t="shared" si="320"/>
        <v>22</v>
      </c>
      <c r="R2038" s="4">
        <f t="shared" si="321"/>
        <v>0</v>
      </c>
      <c r="S2038" s="4">
        <f>IF(AND(VLOOKUP(G2038,Dados!$D:$L,2,0)=VLOOKUP(I2038,Dados!$S:$V,2,0),VLOOKUP(G2038,Dados!$D:$L,3,0)=VLOOKUP(I2038,Dados!$S:$V,3,0)),0,1)</f>
        <v>0</v>
      </c>
      <c r="T2038" s="4">
        <f>IF(AND(VLOOKUP(G2038,Dados!$D:$L,3,0)&lt;=VLOOKUP(H2038,Dados!$X:$AB,2,0),VLOOKUP(G2038,Dados!$D:$L,4,0)&gt;=VLOOKUP(H2038,Dados!$X:$AB,3,0),VLOOKUP(G2038,Dados!$D:$L,4,0)&lt;=VLOOKUP(H2038,Dados!$X:$AB,4,0)),0,1)</f>
        <v>0</v>
      </c>
      <c r="U2038" s="4">
        <f>IF(COUNTIFS(F:F,F2038,H:H,H2038)&lt;=VLOOKUP(H2038,Dados!$X:$AB,5,0),0,1)</f>
        <v>0</v>
      </c>
    </row>
    <row r="2039" spans="6:21">
      <c r="F2039" s="4">
        <v>926</v>
      </c>
      <c r="G2039" s="4">
        <v>45</v>
      </c>
      <c r="H2039" s="4">
        <v>1</v>
      </c>
      <c r="I2039" s="4">
        <v>17</v>
      </c>
      <c r="J2039" s="4">
        <v>4</v>
      </c>
      <c r="K2039" s="4">
        <f t="shared" si="317"/>
        <v>0</v>
      </c>
      <c r="L2039" s="4">
        <f t="shared" si="317"/>
        <v>0</v>
      </c>
      <c r="M2039" s="4">
        <f t="shared" si="317"/>
        <v>22</v>
      </c>
      <c r="N2039" s="4">
        <f t="shared" si="317"/>
        <v>0</v>
      </c>
      <c r="O2039" s="4">
        <f t="shared" si="318"/>
        <v>0</v>
      </c>
      <c r="P2039" s="4">
        <f t="shared" si="319"/>
        <v>0</v>
      </c>
      <c r="Q2039" s="4">
        <f t="shared" si="320"/>
        <v>88</v>
      </c>
      <c r="R2039" s="4">
        <f t="shared" si="321"/>
        <v>0</v>
      </c>
      <c r="S2039" s="4">
        <f>IF(AND(VLOOKUP(G2039,Dados!$D:$L,2,0)=VLOOKUP(I2039,Dados!$S:$V,2,0),VLOOKUP(G2039,Dados!$D:$L,3,0)=VLOOKUP(I2039,Dados!$S:$V,3,0)),0,1)</f>
        <v>0</v>
      </c>
      <c r="T2039" s="4">
        <f>IF(AND(VLOOKUP(G2039,Dados!$D:$L,3,0)&lt;=VLOOKUP(H2039,Dados!$X:$AB,2,0),VLOOKUP(G2039,Dados!$D:$L,4,0)&gt;=VLOOKUP(H2039,Dados!$X:$AB,3,0),VLOOKUP(G2039,Dados!$D:$L,4,0)&lt;=VLOOKUP(H2039,Dados!$X:$AB,4,0)),0,1)</f>
        <v>0</v>
      </c>
      <c r="U2039" s="4">
        <f>IF(COUNTIFS(F:F,F2039,H:H,H2039)&lt;=VLOOKUP(H2039,Dados!$X:$AB,5,0),0,1)</f>
        <v>0</v>
      </c>
    </row>
    <row r="2040" spans="6:21">
      <c r="F2040" s="4">
        <v>927</v>
      </c>
      <c r="G2040" s="4">
        <v>40</v>
      </c>
      <c r="H2040" s="4">
        <v>2</v>
      </c>
      <c r="I2040" s="4">
        <v>17</v>
      </c>
      <c r="J2040" s="4">
        <v>3</v>
      </c>
      <c r="K2040" s="4">
        <f t="shared" si="317"/>
        <v>0</v>
      </c>
      <c r="L2040" s="4">
        <f t="shared" si="317"/>
        <v>0</v>
      </c>
      <c r="M2040" s="4">
        <f t="shared" si="317"/>
        <v>0</v>
      </c>
      <c r="N2040" s="4">
        <f t="shared" si="317"/>
        <v>0</v>
      </c>
      <c r="O2040" s="4">
        <f t="shared" si="318"/>
        <v>0</v>
      </c>
      <c r="P2040" s="4">
        <f t="shared" si="319"/>
        <v>0</v>
      </c>
      <c r="Q2040" s="4">
        <f t="shared" si="320"/>
        <v>0</v>
      </c>
      <c r="R2040" s="4">
        <f t="shared" si="321"/>
        <v>0</v>
      </c>
      <c r="S2040" s="4">
        <f>IF(AND(VLOOKUP(G2040,Dados!$D:$L,2,0)=VLOOKUP(I2040,Dados!$S:$V,2,0),VLOOKUP(G2040,Dados!$D:$L,3,0)=VLOOKUP(I2040,Dados!$S:$V,3,0)),0,1)</f>
        <v>0</v>
      </c>
      <c r="T2040" s="4">
        <f>IF(AND(VLOOKUP(G2040,Dados!$D:$L,3,0)&lt;=VLOOKUP(H2040,Dados!$X:$AB,2,0),VLOOKUP(G2040,Dados!$D:$L,4,0)&gt;=VLOOKUP(H2040,Dados!$X:$AB,3,0),VLOOKUP(G2040,Dados!$D:$L,4,0)&lt;=VLOOKUP(H2040,Dados!$X:$AB,4,0)),0,1)</f>
        <v>0</v>
      </c>
      <c r="U2040" s="4">
        <f>IF(COUNTIFS(F:F,F2040,H:H,H2040)&lt;=VLOOKUP(H2040,Dados!$X:$AB,5,0),0,1)</f>
        <v>0</v>
      </c>
    </row>
    <row r="2041" spans="6:21">
      <c r="F2041" s="4">
        <v>927</v>
      </c>
      <c r="G2041" s="4">
        <v>44</v>
      </c>
      <c r="H2041" s="4">
        <v>2</v>
      </c>
      <c r="I2041" s="4">
        <v>17</v>
      </c>
      <c r="J2041" s="4">
        <v>1</v>
      </c>
      <c r="K2041" s="4">
        <f t="shared" si="317"/>
        <v>0</v>
      </c>
      <c r="L2041" s="4">
        <f t="shared" si="317"/>
        <v>0</v>
      </c>
      <c r="M2041" s="4">
        <f t="shared" si="317"/>
        <v>0</v>
      </c>
      <c r="N2041" s="4">
        <f t="shared" si="317"/>
        <v>0</v>
      </c>
      <c r="O2041" s="4">
        <f t="shared" si="318"/>
        <v>0</v>
      </c>
      <c r="P2041" s="4">
        <f t="shared" si="319"/>
        <v>0</v>
      </c>
      <c r="Q2041" s="4">
        <f t="shared" si="320"/>
        <v>0</v>
      </c>
      <c r="R2041" s="4">
        <f t="shared" si="321"/>
        <v>0</v>
      </c>
      <c r="S2041" s="4">
        <f>IF(AND(VLOOKUP(G2041,Dados!$D:$L,2,0)=VLOOKUP(I2041,Dados!$S:$V,2,0),VLOOKUP(G2041,Dados!$D:$L,3,0)=VLOOKUP(I2041,Dados!$S:$V,3,0)),0,1)</f>
        <v>0</v>
      </c>
      <c r="T2041" s="4">
        <f>IF(AND(VLOOKUP(G2041,Dados!$D:$L,3,0)&lt;=VLOOKUP(H2041,Dados!$X:$AB,2,0),VLOOKUP(G2041,Dados!$D:$L,4,0)&gt;=VLOOKUP(H2041,Dados!$X:$AB,3,0),VLOOKUP(G2041,Dados!$D:$L,4,0)&lt;=VLOOKUP(H2041,Dados!$X:$AB,4,0)),0,1)</f>
        <v>0</v>
      </c>
      <c r="U2041" s="4">
        <f>IF(COUNTIFS(F:F,F2041,H:H,H2041)&lt;=VLOOKUP(H2041,Dados!$X:$AB,5,0),0,1)</f>
        <v>0</v>
      </c>
    </row>
    <row r="2042" spans="6:21">
      <c r="F2042" s="4">
        <v>927</v>
      </c>
      <c r="G2042" s="4">
        <v>45</v>
      </c>
      <c r="H2042" s="4">
        <v>2</v>
      </c>
      <c r="I2042" s="4">
        <v>17</v>
      </c>
      <c r="J2042" s="4">
        <v>4</v>
      </c>
      <c r="K2042" s="4">
        <f t="shared" si="317"/>
        <v>0</v>
      </c>
      <c r="L2042" s="4">
        <f t="shared" si="317"/>
        <v>0</v>
      </c>
      <c r="M2042" s="4">
        <f t="shared" si="317"/>
        <v>0</v>
      </c>
      <c r="N2042" s="4">
        <f t="shared" si="317"/>
        <v>0</v>
      </c>
      <c r="O2042" s="4">
        <f t="shared" si="318"/>
        <v>0</v>
      </c>
      <c r="P2042" s="4">
        <f t="shared" si="319"/>
        <v>0</v>
      </c>
      <c r="Q2042" s="4">
        <f t="shared" si="320"/>
        <v>0</v>
      </c>
      <c r="R2042" s="4">
        <f t="shared" si="321"/>
        <v>0</v>
      </c>
      <c r="S2042" s="4">
        <f>IF(AND(VLOOKUP(G2042,Dados!$D:$L,2,0)=VLOOKUP(I2042,Dados!$S:$V,2,0),VLOOKUP(G2042,Dados!$D:$L,3,0)=VLOOKUP(I2042,Dados!$S:$V,3,0)),0,1)</f>
        <v>0</v>
      </c>
      <c r="T2042" s="4">
        <f>IF(AND(VLOOKUP(G2042,Dados!$D:$L,3,0)&lt;=VLOOKUP(H2042,Dados!$X:$AB,2,0),VLOOKUP(G2042,Dados!$D:$L,4,0)&gt;=VLOOKUP(H2042,Dados!$X:$AB,3,0),VLOOKUP(G2042,Dados!$D:$L,4,0)&lt;=VLOOKUP(H2042,Dados!$X:$AB,4,0)),0,1)</f>
        <v>0</v>
      </c>
      <c r="U2042" s="4">
        <f>IF(COUNTIFS(F:F,F2042,H:H,H2042)&lt;=VLOOKUP(H2042,Dados!$X:$AB,5,0),0,1)</f>
        <v>0</v>
      </c>
    </row>
    <row r="2043" spans="6:21">
      <c r="F2043" s="4">
        <v>928</v>
      </c>
      <c r="G2043" s="4">
        <v>39</v>
      </c>
      <c r="H2043" s="4">
        <v>3</v>
      </c>
      <c r="I2043" s="4">
        <v>17</v>
      </c>
      <c r="J2043" s="4">
        <v>2</v>
      </c>
      <c r="K2043" s="4">
        <f t="shared" si="317"/>
        <v>0</v>
      </c>
      <c r="L2043" s="4">
        <f t="shared" si="317"/>
        <v>0</v>
      </c>
      <c r="M2043" s="4">
        <f t="shared" si="317"/>
        <v>0</v>
      </c>
      <c r="N2043" s="4">
        <f t="shared" si="317"/>
        <v>0</v>
      </c>
      <c r="O2043" s="4">
        <f t="shared" si="318"/>
        <v>0</v>
      </c>
      <c r="P2043" s="4">
        <f t="shared" si="319"/>
        <v>0</v>
      </c>
      <c r="Q2043" s="4">
        <f t="shared" si="320"/>
        <v>0</v>
      </c>
      <c r="R2043" s="4">
        <f t="shared" si="321"/>
        <v>0</v>
      </c>
      <c r="S2043" s="4">
        <f>IF(AND(VLOOKUP(G2043,Dados!$D:$L,2,0)=VLOOKUP(I2043,Dados!$S:$V,2,0),VLOOKUP(G2043,Dados!$D:$L,3,0)=VLOOKUP(I2043,Dados!$S:$V,3,0)),0,1)</f>
        <v>0</v>
      </c>
      <c r="T2043" s="4">
        <f>IF(AND(VLOOKUP(G2043,Dados!$D:$L,3,0)&lt;=VLOOKUP(H2043,Dados!$X:$AB,2,0),VLOOKUP(G2043,Dados!$D:$L,4,0)&gt;=VLOOKUP(H2043,Dados!$X:$AB,3,0),VLOOKUP(G2043,Dados!$D:$L,4,0)&lt;=VLOOKUP(H2043,Dados!$X:$AB,4,0)),0,1)</f>
        <v>0</v>
      </c>
      <c r="U2043" s="4">
        <f>IF(COUNTIFS(F:F,F2043,H:H,H2043)&lt;=VLOOKUP(H2043,Dados!$X:$AB,5,0),0,1)</f>
        <v>0</v>
      </c>
    </row>
    <row r="2044" spans="6:21">
      <c r="F2044" s="4">
        <v>928</v>
      </c>
      <c r="G2044" s="4">
        <v>40</v>
      </c>
      <c r="H2044" s="4">
        <v>3</v>
      </c>
      <c r="I2044" s="4">
        <v>17</v>
      </c>
      <c r="J2044" s="4">
        <v>3</v>
      </c>
      <c r="K2044" s="4">
        <f t="shared" si="317"/>
        <v>0</v>
      </c>
      <c r="L2044" s="4">
        <f t="shared" si="317"/>
        <v>0</v>
      </c>
      <c r="M2044" s="4">
        <f t="shared" si="317"/>
        <v>0</v>
      </c>
      <c r="N2044" s="4">
        <f t="shared" si="317"/>
        <v>0</v>
      </c>
      <c r="O2044" s="4">
        <f t="shared" si="318"/>
        <v>0</v>
      </c>
      <c r="P2044" s="4">
        <f t="shared" si="319"/>
        <v>0</v>
      </c>
      <c r="Q2044" s="4">
        <f t="shared" si="320"/>
        <v>0</v>
      </c>
      <c r="R2044" s="4">
        <f t="shared" si="321"/>
        <v>0</v>
      </c>
      <c r="S2044" s="4">
        <f>IF(AND(VLOOKUP(G2044,Dados!$D:$L,2,0)=VLOOKUP(I2044,Dados!$S:$V,2,0),VLOOKUP(G2044,Dados!$D:$L,3,0)=VLOOKUP(I2044,Dados!$S:$V,3,0)),0,1)</f>
        <v>0</v>
      </c>
      <c r="T2044" s="4">
        <f>IF(AND(VLOOKUP(G2044,Dados!$D:$L,3,0)&lt;=VLOOKUP(H2044,Dados!$X:$AB,2,0),VLOOKUP(G2044,Dados!$D:$L,4,0)&gt;=VLOOKUP(H2044,Dados!$X:$AB,3,0),VLOOKUP(G2044,Dados!$D:$L,4,0)&lt;=VLOOKUP(H2044,Dados!$X:$AB,4,0)),0,1)</f>
        <v>0</v>
      </c>
      <c r="U2044" s="4">
        <f>IF(COUNTIFS(F:F,F2044,H:H,H2044)&lt;=VLOOKUP(H2044,Dados!$X:$AB,5,0),0,1)</f>
        <v>0</v>
      </c>
    </row>
    <row r="2045" spans="6:21">
      <c r="F2045" s="4">
        <v>928</v>
      </c>
      <c r="G2045" s="4">
        <v>44</v>
      </c>
      <c r="H2045" s="4">
        <v>3</v>
      </c>
      <c r="I2045" s="4">
        <v>17</v>
      </c>
      <c r="J2045" s="4">
        <v>1</v>
      </c>
      <c r="K2045" s="4">
        <f t="shared" si="317"/>
        <v>0</v>
      </c>
      <c r="L2045" s="4">
        <f t="shared" si="317"/>
        <v>0</v>
      </c>
      <c r="M2045" s="4">
        <f t="shared" si="317"/>
        <v>0</v>
      </c>
      <c r="N2045" s="4">
        <f t="shared" si="317"/>
        <v>0</v>
      </c>
      <c r="O2045" s="4">
        <f t="shared" si="318"/>
        <v>0</v>
      </c>
      <c r="P2045" s="4">
        <f t="shared" si="319"/>
        <v>0</v>
      </c>
      <c r="Q2045" s="4">
        <f t="shared" si="320"/>
        <v>0</v>
      </c>
      <c r="R2045" s="4">
        <f t="shared" si="321"/>
        <v>0</v>
      </c>
      <c r="S2045" s="4">
        <f>IF(AND(VLOOKUP(G2045,Dados!$D:$L,2,0)=VLOOKUP(I2045,Dados!$S:$V,2,0),VLOOKUP(G2045,Dados!$D:$L,3,0)=VLOOKUP(I2045,Dados!$S:$V,3,0)),0,1)</f>
        <v>0</v>
      </c>
      <c r="T2045" s="4">
        <f>IF(AND(VLOOKUP(G2045,Dados!$D:$L,3,0)&lt;=VLOOKUP(H2045,Dados!$X:$AB,2,0),VLOOKUP(G2045,Dados!$D:$L,4,0)&gt;=VLOOKUP(H2045,Dados!$X:$AB,3,0),VLOOKUP(G2045,Dados!$D:$L,4,0)&lt;=VLOOKUP(H2045,Dados!$X:$AB,4,0)),0,1)</f>
        <v>0</v>
      </c>
      <c r="U2045" s="4">
        <f>IF(COUNTIFS(F:F,F2045,H:H,H2045)&lt;=VLOOKUP(H2045,Dados!$X:$AB,5,0),0,1)</f>
        <v>0</v>
      </c>
    </row>
    <row r="2046" spans="6:21">
      <c r="F2046" s="4">
        <v>928</v>
      </c>
      <c r="G2046" s="4">
        <v>45</v>
      </c>
      <c r="H2046" s="4">
        <v>3</v>
      </c>
      <c r="I2046" s="4">
        <v>17</v>
      </c>
      <c r="J2046" s="4">
        <v>1</v>
      </c>
      <c r="K2046" s="4">
        <f t="shared" si="317"/>
        <v>0</v>
      </c>
      <c r="L2046" s="4">
        <f t="shared" si="317"/>
        <v>0</v>
      </c>
      <c r="M2046" s="4">
        <f t="shared" si="317"/>
        <v>0</v>
      </c>
      <c r="N2046" s="4">
        <f t="shared" si="317"/>
        <v>0</v>
      </c>
      <c r="O2046" s="4">
        <f t="shared" si="318"/>
        <v>0</v>
      </c>
      <c r="P2046" s="4">
        <f t="shared" si="319"/>
        <v>0</v>
      </c>
      <c r="Q2046" s="4">
        <f t="shared" si="320"/>
        <v>0</v>
      </c>
      <c r="R2046" s="4">
        <f t="shared" si="321"/>
        <v>0</v>
      </c>
      <c r="S2046" s="4">
        <f>IF(AND(VLOOKUP(G2046,Dados!$D:$L,2,0)=VLOOKUP(I2046,Dados!$S:$V,2,0),VLOOKUP(G2046,Dados!$D:$L,3,0)=VLOOKUP(I2046,Dados!$S:$V,3,0)),0,1)</f>
        <v>0</v>
      </c>
      <c r="T2046" s="4">
        <f>IF(AND(VLOOKUP(G2046,Dados!$D:$L,3,0)&lt;=VLOOKUP(H2046,Dados!$X:$AB,2,0),VLOOKUP(G2046,Dados!$D:$L,4,0)&gt;=VLOOKUP(H2046,Dados!$X:$AB,3,0),VLOOKUP(G2046,Dados!$D:$L,4,0)&lt;=VLOOKUP(H2046,Dados!$X:$AB,4,0)),0,1)</f>
        <v>0</v>
      </c>
      <c r="U2046" s="4">
        <f>IF(COUNTIFS(F:F,F2046,H:H,H2046)&lt;=VLOOKUP(H2046,Dados!$X:$AB,5,0),0,1)</f>
        <v>0</v>
      </c>
    </row>
    <row r="2047" spans="6:21">
      <c r="F2047" s="4">
        <v>929</v>
      </c>
      <c r="G2047" s="4">
        <v>55</v>
      </c>
      <c r="H2047" s="4">
        <v>1</v>
      </c>
      <c r="I2047" s="4">
        <v>20</v>
      </c>
      <c r="J2047" s="4">
        <v>8</v>
      </c>
      <c r="K2047" s="4">
        <f t="shared" si="317"/>
        <v>0</v>
      </c>
      <c r="L2047" s="4">
        <f t="shared" si="317"/>
        <v>0</v>
      </c>
      <c r="M2047" s="4">
        <f t="shared" si="317"/>
        <v>5</v>
      </c>
      <c r="N2047" s="4">
        <f t="shared" si="317"/>
        <v>0</v>
      </c>
      <c r="O2047" s="4">
        <f t="shared" si="318"/>
        <v>0</v>
      </c>
      <c r="P2047" s="4">
        <f t="shared" si="319"/>
        <v>0</v>
      </c>
      <c r="Q2047" s="4">
        <f t="shared" si="320"/>
        <v>40</v>
      </c>
      <c r="R2047" s="4">
        <f t="shared" si="321"/>
        <v>0</v>
      </c>
      <c r="S2047" s="4">
        <f>IF(AND(VLOOKUP(G2047,Dados!$D:$L,2,0)=VLOOKUP(I2047,Dados!$S:$V,2,0),VLOOKUP(G2047,Dados!$D:$L,3,0)=VLOOKUP(I2047,Dados!$S:$V,3,0)),0,1)</f>
        <v>0</v>
      </c>
      <c r="T2047" s="4">
        <f>IF(AND(VLOOKUP(G2047,Dados!$D:$L,3,0)&lt;=VLOOKUP(H2047,Dados!$X:$AB,2,0),VLOOKUP(G2047,Dados!$D:$L,4,0)&gt;=VLOOKUP(H2047,Dados!$X:$AB,3,0),VLOOKUP(G2047,Dados!$D:$L,4,0)&lt;=VLOOKUP(H2047,Dados!$X:$AB,4,0)),0,1)</f>
        <v>0</v>
      </c>
      <c r="U2047" s="4">
        <f>IF(COUNTIFS(F:F,F2047,H:H,H2047)&lt;=VLOOKUP(H2047,Dados!$X:$AB,5,0),0,1)</f>
        <v>0</v>
      </c>
    </row>
    <row r="2048" spans="6:21">
      <c r="F2048" s="4">
        <v>929</v>
      </c>
      <c r="G2048" s="4">
        <v>56</v>
      </c>
      <c r="H2048" s="4">
        <v>1</v>
      </c>
      <c r="I2048" s="4">
        <v>20</v>
      </c>
      <c r="J2048" s="4">
        <v>1</v>
      </c>
      <c r="K2048" s="4">
        <f t="shared" si="317"/>
        <v>0</v>
      </c>
      <c r="L2048" s="4">
        <f t="shared" si="317"/>
        <v>0</v>
      </c>
      <c r="M2048" s="4">
        <f t="shared" si="317"/>
        <v>5</v>
      </c>
      <c r="N2048" s="4">
        <f t="shared" si="317"/>
        <v>0</v>
      </c>
      <c r="O2048" s="4">
        <f t="shared" si="318"/>
        <v>0</v>
      </c>
      <c r="P2048" s="4">
        <f t="shared" si="319"/>
        <v>0</v>
      </c>
      <c r="Q2048" s="4">
        <f t="shared" si="320"/>
        <v>5</v>
      </c>
      <c r="R2048" s="4">
        <f t="shared" si="321"/>
        <v>0</v>
      </c>
      <c r="S2048" s="4">
        <f>IF(AND(VLOOKUP(G2048,Dados!$D:$L,2,0)=VLOOKUP(I2048,Dados!$S:$V,2,0),VLOOKUP(G2048,Dados!$D:$L,3,0)=VLOOKUP(I2048,Dados!$S:$V,3,0)),0,1)</f>
        <v>0</v>
      </c>
      <c r="T2048" s="4">
        <f>IF(AND(VLOOKUP(G2048,Dados!$D:$L,3,0)&lt;=VLOOKUP(H2048,Dados!$X:$AB,2,0),VLOOKUP(G2048,Dados!$D:$L,4,0)&gt;=VLOOKUP(H2048,Dados!$X:$AB,3,0),VLOOKUP(G2048,Dados!$D:$L,4,0)&lt;=VLOOKUP(H2048,Dados!$X:$AB,4,0)),0,1)</f>
        <v>0</v>
      </c>
      <c r="U2048" s="4">
        <f>IF(COUNTIFS(F:F,F2048,H:H,H2048)&lt;=VLOOKUP(H2048,Dados!$X:$AB,5,0),0,1)</f>
        <v>0</v>
      </c>
    </row>
    <row r="2049" spans="6:21">
      <c r="F2049" s="4">
        <v>930</v>
      </c>
      <c r="G2049" s="4">
        <v>55</v>
      </c>
      <c r="H2049" s="4">
        <v>3</v>
      </c>
      <c r="I2049" s="4">
        <v>20</v>
      </c>
      <c r="J2049" s="4">
        <v>8</v>
      </c>
      <c r="K2049" s="4">
        <f t="shared" si="317"/>
        <v>0</v>
      </c>
      <c r="L2049" s="4">
        <f t="shared" si="317"/>
        <v>0</v>
      </c>
      <c r="M2049" s="4">
        <f t="shared" si="317"/>
        <v>0</v>
      </c>
      <c r="N2049" s="4">
        <f t="shared" si="317"/>
        <v>0</v>
      </c>
      <c r="O2049" s="4">
        <f t="shared" si="318"/>
        <v>0</v>
      </c>
      <c r="P2049" s="4">
        <f t="shared" si="319"/>
        <v>0</v>
      </c>
      <c r="Q2049" s="4">
        <f t="shared" si="320"/>
        <v>0</v>
      </c>
      <c r="R2049" s="4">
        <f t="shared" si="321"/>
        <v>0</v>
      </c>
      <c r="S2049" s="4">
        <f>IF(AND(VLOOKUP(G2049,Dados!$D:$L,2,0)=VLOOKUP(I2049,Dados!$S:$V,2,0),VLOOKUP(G2049,Dados!$D:$L,3,0)=VLOOKUP(I2049,Dados!$S:$V,3,0)),0,1)</f>
        <v>0</v>
      </c>
      <c r="T2049" s="4">
        <f>IF(AND(VLOOKUP(G2049,Dados!$D:$L,3,0)&lt;=VLOOKUP(H2049,Dados!$X:$AB,2,0),VLOOKUP(G2049,Dados!$D:$L,4,0)&gt;=VLOOKUP(H2049,Dados!$X:$AB,3,0),VLOOKUP(G2049,Dados!$D:$L,4,0)&lt;=VLOOKUP(H2049,Dados!$X:$AB,4,0)),0,1)</f>
        <v>0</v>
      </c>
      <c r="U2049" s="4">
        <f>IF(COUNTIFS(F:F,F2049,H:H,H2049)&lt;=VLOOKUP(H2049,Dados!$X:$AB,5,0),0,1)</f>
        <v>0</v>
      </c>
    </row>
    <row r="2050" spans="6:21">
      <c r="F2050" s="4">
        <v>930</v>
      </c>
      <c r="G2050" s="4">
        <v>56</v>
      </c>
      <c r="H2050" s="4">
        <v>3</v>
      </c>
      <c r="I2050" s="4">
        <v>20</v>
      </c>
      <c r="J2050" s="4">
        <v>1</v>
      </c>
      <c r="K2050" s="4">
        <f t="shared" si="317"/>
        <v>0</v>
      </c>
      <c r="L2050" s="4">
        <f t="shared" si="317"/>
        <v>0</v>
      </c>
      <c r="M2050" s="4">
        <f t="shared" si="317"/>
        <v>0</v>
      </c>
      <c r="N2050" s="4">
        <f t="shared" si="317"/>
        <v>0</v>
      </c>
      <c r="O2050" s="4">
        <f t="shared" si="318"/>
        <v>0</v>
      </c>
      <c r="P2050" s="4">
        <f t="shared" si="319"/>
        <v>0</v>
      </c>
      <c r="Q2050" s="4">
        <f t="shared" si="320"/>
        <v>0</v>
      </c>
      <c r="R2050" s="4">
        <f t="shared" si="321"/>
        <v>0</v>
      </c>
      <c r="S2050" s="4">
        <f>IF(AND(VLOOKUP(G2050,Dados!$D:$L,2,0)=VLOOKUP(I2050,Dados!$S:$V,2,0),VLOOKUP(G2050,Dados!$D:$L,3,0)=VLOOKUP(I2050,Dados!$S:$V,3,0)),0,1)</f>
        <v>0</v>
      </c>
      <c r="T2050" s="4">
        <f>IF(AND(VLOOKUP(G2050,Dados!$D:$L,3,0)&lt;=VLOOKUP(H2050,Dados!$X:$AB,2,0),VLOOKUP(G2050,Dados!$D:$L,4,0)&gt;=VLOOKUP(H2050,Dados!$X:$AB,3,0),VLOOKUP(G2050,Dados!$D:$L,4,0)&lt;=VLOOKUP(H2050,Dados!$X:$AB,4,0)),0,1)</f>
        <v>0</v>
      </c>
      <c r="U2050" s="4">
        <f>IF(COUNTIFS(F:F,F2050,H:H,H2050)&lt;=VLOOKUP(H2050,Dados!$X:$AB,5,0),0,1)</f>
        <v>0</v>
      </c>
    </row>
    <row r="2051" spans="6:21">
      <c r="F2051" s="4">
        <v>931</v>
      </c>
      <c r="G2051" s="4">
        <v>59</v>
      </c>
      <c r="H2051" s="4">
        <v>1</v>
      </c>
      <c r="I2051" s="4">
        <v>21</v>
      </c>
      <c r="J2051" s="4">
        <v>7</v>
      </c>
      <c r="K2051" s="4">
        <f t="shared" si="317"/>
        <v>0</v>
      </c>
      <c r="L2051" s="4">
        <f t="shared" si="317"/>
        <v>0</v>
      </c>
      <c r="M2051" s="4">
        <f t="shared" si="317"/>
        <v>0</v>
      </c>
      <c r="N2051" s="4">
        <f t="shared" si="317"/>
        <v>0</v>
      </c>
      <c r="O2051" s="4">
        <f t="shared" si="318"/>
        <v>0</v>
      </c>
      <c r="P2051" s="4">
        <f t="shared" si="319"/>
        <v>0</v>
      </c>
      <c r="Q2051" s="4">
        <f t="shared" si="320"/>
        <v>0</v>
      </c>
      <c r="R2051" s="4">
        <f t="shared" si="321"/>
        <v>0</v>
      </c>
      <c r="S2051" s="4">
        <f>IF(AND(VLOOKUP(G2051,Dados!$D:$L,2,0)=VLOOKUP(I2051,Dados!$S:$V,2,0),VLOOKUP(G2051,Dados!$D:$L,3,0)=VLOOKUP(I2051,Dados!$S:$V,3,0)),0,1)</f>
        <v>0</v>
      </c>
      <c r="T2051" s="4">
        <f>IF(AND(VLOOKUP(G2051,Dados!$D:$L,3,0)&lt;=VLOOKUP(H2051,Dados!$X:$AB,2,0),VLOOKUP(G2051,Dados!$D:$L,4,0)&gt;=VLOOKUP(H2051,Dados!$X:$AB,3,0),VLOOKUP(G2051,Dados!$D:$L,4,0)&lt;=VLOOKUP(H2051,Dados!$X:$AB,4,0)),0,1)</f>
        <v>0</v>
      </c>
      <c r="U2051" s="4">
        <f>IF(COUNTIFS(F:F,F2051,H:H,H2051)&lt;=VLOOKUP(H2051,Dados!$X:$AB,5,0),0,1)</f>
        <v>0</v>
      </c>
    </row>
    <row r="2052" spans="6:21">
      <c r="F2052" s="4">
        <v>931</v>
      </c>
      <c r="G2052" s="4">
        <v>61</v>
      </c>
      <c r="H2052" s="4">
        <v>1</v>
      </c>
      <c r="I2052" s="4">
        <v>21</v>
      </c>
      <c r="J2052" s="4">
        <v>3</v>
      </c>
      <c r="K2052" s="4">
        <f t="shared" si="317"/>
        <v>0</v>
      </c>
      <c r="L2052" s="4">
        <f t="shared" si="317"/>
        <v>0</v>
      </c>
      <c r="M2052" s="4">
        <f t="shared" si="317"/>
        <v>0</v>
      </c>
      <c r="N2052" s="4">
        <f t="shared" si="317"/>
        <v>0</v>
      </c>
      <c r="O2052" s="4">
        <f t="shared" si="318"/>
        <v>0</v>
      </c>
      <c r="P2052" s="4">
        <f t="shared" si="319"/>
        <v>0</v>
      </c>
      <c r="Q2052" s="4">
        <f t="shared" si="320"/>
        <v>0</v>
      </c>
      <c r="R2052" s="4">
        <f t="shared" si="321"/>
        <v>0</v>
      </c>
      <c r="S2052" s="4">
        <f>IF(AND(VLOOKUP(G2052,Dados!$D:$L,2,0)=VLOOKUP(I2052,Dados!$S:$V,2,0),VLOOKUP(G2052,Dados!$D:$L,3,0)=VLOOKUP(I2052,Dados!$S:$V,3,0)),0,1)</f>
        <v>0</v>
      </c>
      <c r="T2052" s="4">
        <f>IF(AND(VLOOKUP(G2052,Dados!$D:$L,3,0)&lt;=VLOOKUP(H2052,Dados!$X:$AB,2,0),VLOOKUP(G2052,Dados!$D:$L,4,0)&gt;=VLOOKUP(H2052,Dados!$X:$AB,3,0),VLOOKUP(G2052,Dados!$D:$L,4,0)&lt;=VLOOKUP(H2052,Dados!$X:$AB,4,0)),0,1)</f>
        <v>0</v>
      </c>
      <c r="U2052" s="4">
        <f>IF(COUNTIFS(F:F,F2052,H:H,H2052)&lt;=VLOOKUP(H2052,Dados!$X:$AB,5,0),0,1)</f>
        <v>0</v>
      </c>
    </row>
    <row r="2053" spans="6:21">
      <c r="F2053" s="4">
        <v>932</v>
      </c>
      <c r="G2053" s="4">
        <v>59</v>
      </c>
      <c r="H2053" s="4">
        <v>2</v>
      </c>
      <c r="I2053" s="4">
        <v>21</v>
      </c>
      <c r="J2053" s="4">
        <v>7</v>
      </c>
      <c r="K2053" s="4">
        <f t="shared" si="317"/>
        <v>0</v>
      </c>
      <c r="L2053" s="4">
        <f t="shared" si="317"/>
        <v>0</v>
      </c>
      <c r="M2053" s="4">
        <f t="shared" si="317"/>
        <v>0</v>
      </c>
      <c r="N2053" s="4">
        <f t="shared" si="317"/>
        <v>0</v>
      </c>
      <c r="O2053" s="4">
        <f t="shared" si="318"/>
        <v>0</v>
      </c>
      <c r="P2053" s="4">
        <f t="shared" si="319"/>
        <v>0</v>
      </c>
      <c r="Q2053" s="4">
        <f t="shared" si="320"/>
        <v>0</v>
      </c>
      <c r="R2053" s="4">
        <f t="shared" si="321"/>
        <v>0</v>
      </c>
      <c r="S2053" s="4">
        <f>IF(AND(VLOOKUP(G2053,Dados!$D:$L,2,0)=VLOOKUP(I2053,Dados!$S:$V,2,0),VLOOKUP(G2053,Dados!$D:$L,3,0)=VLOOKUP(I2053,Dados!$S:$V,3,0)),0,1)</f>
        <v>0</v>
      </c>
      <c r="T2053" s="4">
        <f>IF(AND(VLOOKUP(G2053,Dados!$D:$L,3,0)&lt;=VLOOKUP(H2053,Dados!$X:$AB,2,0),VLOOKUP(G2053,Dados!$D:$L,4,0)&gt;=VLOOKUP(H2053,Dados!$X:$AB,3,0),VLOOKUP(G2053,Dados!$D:$L,4,0)&lt;=VLOOKUP(H2053,Dados!$X:$AB,4,0)),0,1)</f>
        <v>0</v>
      </c>
      <c r="U2053" s="4">
        <f>IF(COUNTIFS(F:F,F2053,H:H,H2053)&lt;=VLOOKUP(H2053,Dados!$X:$AB,5,0),0,1)</f>
        <v>0</v>
      </c>
    </row>
    <row r="2054" spans="6:21">
      <c r="F2054" s="4">
        <v>932</v>
      </c>
      <c r="G2054" s="4">
        <v>61</v>
      </c>
      <c r="H2054" s="4">
        <v>2</v>
      </c>
      <c r="I2054" s="4">
        <v>21</v>
      </c>
      <c r="J2054" s="4">
        <v>3</v>
      </c>
      <c r="K2054" s="4">
        <f t="shared" si="317"/>
        <v>0</v>
      </c>
      <c r="L2054" s="4">
        <f t="shared" si="317"/>
        <v>0</v>
      </c>
      <c r="M2054" s="4">
        <f t="shared" si="317"/>
        <v>0</v>
      </c>
      <c r="N2054" s="4">
        <f t="shared" si="317"/>
        <v>0</v>
      </c>
      <c r="O2054" s="4">
        <f t="shared" si="318"/>
        <v>0</v>
      </c>
      <c r="P2054" s="4">
        <f t="shared" si="319"/>
        <v>0</v>
      </c>
      <c r="Q2054" s="4">
        <f t="shared" si="320"/>
        <v>0</v>
      </c>
      <c r="R2054" s="4">
        <f t="shared" si="321"/>
        <v>0</v>
      </c>
      <c r="S2054" s="4">
        <f>IF(AND(VLOOKUP(G2054,Dados!$D:$L,2,0)=VLOOKUP(I2054,Dados!$S:$V,2,0),VLOOKUP(G2054,Dados!$D:$L,3,0)=VLOOKUP(I2054,Dados!$S:$V,3,0)),0,1)</f>
        <v>0</v>
      </c>
      <c r="T2054" s="4">
        <f>IF(AND(VLOOKUP(G2054,Dados!$D:$L,3,0)&lt;=VLOOKUP(H2054,Dados!$X:$AB,2,0),VLOOKUP(G2054,Dados!$D:$L,4,0)&gt;=VLOOKUP(H2054,Dados!$X:$AB,3,0),VLOOKUP(G2054,Dados!$D:$L,4,0)&lt;=VLOOKUP(H2054,Dados!$X:$AB,4,0)),0,1)</f>
        <v>0</v>
      </c>
      <c r="U2054" s="4">
        <f>IF(COUNTIFS(F:F,F2054,H:H,H2054)&lt;=VLOOKUP(H2054,Dados!$X:$AB,5,0),0,1)</f>
        <v>0</v>
      </c>
    </row>
    <row r="2055" spans="6:21">
      <c r="F2055" s="4">
        <v>933</v>
      </c>
      <c r="G2055" s="4">
        <v>59</v>
      </c>
      <c r="H2055" s="4">
        <v>3</v>
      </c>
      <c r="I2055" s="4">
        <v>21</v>
      </c>
      <c r="J2055" s="4">
        <v>7</v>
      </c>
      <c r="K2055" s="4">
        <f t="shared" si="317"/>
        <v>0</v>
      </c>
      <c r="L2055" s="4">
        <f t="shared" si="317"/>
        <v>0</v>
      </c>
      <c r="M2055" s="4">
        <f t="shared" si="317"/>
        <v>0</v>
      </c>
      <c r="N2055" s="4">
        <f t="shared" si="317"/>
        <v>0</v>
      </c>
      <c r="O2055" s="4">
        <f t="shared" si="318"/>
        <v>0</v>
      </c>
      <c r="P2055" s="4">
        <f t="shared" si="319"/>
        <v>0</v>
      </c>
      <c r="Q2055" s="4">
        <f t="shared" si="320"/>
        <v>0</v>
      </c>
      <c r="R2055" s="4">
        <f t="shared" si="321"/>
        <v>0</v>
      </c>
      <c r="S2055" s="4">
        <f>IF(AND(VLOOKUP(G2055,Dados!$D:$L,2,0)=VLOOKUP(I2055,Dados!$S:$V,2,0),VLOOKUP(G2055,Dados!$D:$L,3,0)=VLOOKUP(I2055,Dados!$S:$V,3,0)),0,1)</f>
        <v>0</v>
      </c>
      <c r="T2055" s="4">
        <f>IF(AND(VLOOKUP(G2055,Dados!$D:$L,3,0)&lt;=VLOOKUP(H2055,Dados!$X:$AB,2,0),VLOOKUP(G2055,Dados!$D:$L,4,0)&gt;=VLOOKUP(H2055,Dados!$X:$AB,3,0),VLOOKUP(G2055,Dados!$D:$L,4,0)&lt;=VLOOKUP(H2055,Dados!$X:$AB,4,0)),0,1)</f>
        <v>0</v>
      </c>
      <c r="U2055" s="4">
        <f>IF(COUNTIFS(F:F,F2055,H:H,H2055)&lt;=VLOOKUP(H2055,Dados!$X:$AB,5,0),0,1)</f>
        <v>0</v>
      </c>
    </row>
    <row r="2056" spans="6:21">
      <c r="F2056" s="4">
        <v>933</v>
      </c>
      <c r="G2056" s="4">
        <v>61</v>
      </c>
      <c r="H2056" s="4">
        <v>3</v>
      </c>
      <c r="I2056" s="4">
        <v>21</v>
      </c>
      <c r="J2056" s="4">
        <v>3</v>
      </c>
      <c r="K2056" s="4">
        <f t="shared" si="317"/>
        <v>0</v>
      </c>
      <c r="L2056" s="4">
        <f t="shared" si="317"/>
        <v>0</v>
      </c>
      <c r="M2056" s="4">
        <f t="shared" si="317"/>
        <v>0</v>
      </c>
      <c r="N2056" s="4">
        <f t="shared" si="317"/>
        <v>0</v>
      </c>
      <c r="O2056" s="4">
        <f t="shared" si="318"/>
        <v>0</v>
      </c>
      <c r="P2056" s="4">
        <f t="shared" si="319"/>
        <v>0</v>
      </c>
      <c r="Q2056" s="4">
        <f t="shared" si="320"/>
        <v>0</v>
      </c>
      <c r="R2056" s="4">
        <f t="shared" si="321"/>
        <v>0</v>
      </c>
      <c r="S2056" s="4">
        <f>IF(AND(VLOOKUP(G2056,Dados!$D:$L,2,0)=VLOOKUP(I2056,Dados!$S:$V,2,0),VLOOKUP(G2056,Dados!$D:$L,3,0)=VLOOKUP(I2056,Dados!$S:$V,3,0)),0,1)</f>
        <v>0</v>
      </c>
      <c r="T2056" s="4">
        <f>IF(AND(VLOOKUP(G2056,Dados!$D:$L,3,0)&lt;=VLOOKUP(H2056,Dados!$X:$AB,2,0),VLOOKUP(G2056,Dados!$D:$L,4,0)&gt;=VLOOKUP(H2056,Dados!$X:$AB,3,0),VLOOKUP(G2056,Dados!$D:$L,4,0)&lt;=VLOOKUP(H2056,Dados!$X:$AB,4,0)),0,1)</f>
        <v>0</v>
      </c>
      <c r="U2056" s="4">
        <f>IF(COUNTIFS(F:F,F2056,H:H,H2056)&lt;=VLOOKUP(H2056,Dados!$X:$AB,5,0),0,1)</f>
        <v>0</v>
      </c>
    </row>
    <row r="2057" spans="6:21">
      <c r="F2057" s="4">
        <v>934</v>
      </c>
      <c r="G2057" s="4">
        <v>59</v>
      </c>
      <c r="H2057" s="4">
        <v>1</v>
      </c>
      <c r="I2057" s="4">
        <v>22</v>
      </c>
      <c r="J2057" s="4">
        <v>4</v>
      </c>
      <c r="K2057" s="4">
        <f t="shared" si="317"/>
        <v>0</v>
      </c>
      <c r="L2057" s="4">
        <f t="shared" si="317"/>
        <v>0</v>
      </c>
      <c r="M2057" s="4">
        <f t="shared" si="317"/>
        <v>0</v>
      </c>
      <c r="N2057" s="4">
        <f t="shared" si="317"/>
        <v>0</v>
      </c>
      <c r="O2057" s="4">
        <f t="shared" si="318"/>
        <v>0</v>
      </c>
      <c r="P2057" s="4">
        <f t="shared" si="319"/>
        <v>0</v>
      </c>
      <c r="Q2057" s="4">
        <f t="shared" si="320"/>
        <v>0</v>
      </c>
      <c r="R2057" s="4">
        <f t="shared" si="321"/>
        <v>0</v>
      </c>
      <c r="S2057" s="4">
        <f>IF(AND(VLOOKUP(G2057,Dados!$D:$L,2,0)=VLOOKUP(I2057,Dados!$S:$V,2,0),VLOOKUP(G2057,Dados!$D:$L,3,0)=VLOOKUP(I2057,Dados!$S:$V,3,0)),0,1)</f>
        <v>0</v>
      </c>
      <c r="T2057" s="4">
        <f>IF(AND(VLOOKUP(G2057,Dados!$D:$L,3,0)&lt;=VLOOKUP(H2057,Dados!$X:$AB,2,0),VLOOKUP(G2057,Dados!$D:$L,4,0)&gt;=VLOOKUP(H2057,Dados!$X:$AB,3,0),VLOOKUP(G2057,Dados!$D:$L,4,0)&lt;=VLOOKUP(H2057,Dados!$X:$AB,4,0)),0,1)</f>
        <v>0</v>
      </c>
      <c r="U2057" s="4">
        <f>IF(COUNTIFS(F:F,F2057,H:H,H2057)&lt;=VLOOKUP(H2057,Dados!$X:$AB,5,0),0,1)</f>
        <v>0</v>
      </c>
    </row>
    <row r="2058" spans="6:21">
      <c r="F2058" s="4">
        <v>934</v>
      </c>
      <c r="G2058" s="4">
        <v>60</v>
      </c>
      <c r="H2058" s="4">
        <v>1</v>
      </c>
      <c r="I2058" s="4">
        <v>22</v>
      </c>
      <c r="J2058" s="4">
        <v>2</v>
      </c>
      <c r="K2058" s="4">
        <f t="shared" si="317"/>
        <v>0</v>
      </c>
      <c r="L2058" s="4">
        <f t="shared" si="317"/>
        <v>0</v>
      </c>
      <c r="M2058" s="4">
        <f t="shared" si="317"/>
        <v>0</v>
      </c>
      <c r="N2058" s="4">
        <f t="shared" si="317"/>
        <v>0</v>
      </c>
      <c r="O2058" s="4">
        <f t="shared" si="318"/>
        <v>0</v>
      </c>
      <c r="P2058" s="4">
        <f t="shared" si="319"/>
        <v>0</v>
      </c>
      <c r="Q2058" s="4">
        <f t="shared" si="320"/>
        <v>0</v>
      </c>
      <c r="R2058" s="4">
        <f t="shared" si="321"/>
        <v>0</v>
      </c>
      <c r="S2058" s="4">
        <f>IF(AND(VLOOKUP(G2058,Dados!$D:$L,2,0)=VLOOKUP(I2058,Dados!$S:$V,2,0),VLOOKUP(G2058,Dados!$D:$L,3,0)=VLOOKUP(I2058,Dados!$S:$V,3,0)),0,1)</f>
        <v>0</v>
      </c>
      <c r="T2058" s="4">
        <f>IF(AND(VLOOKUP(G2058,Dados!$D:$L,3,0)&lt;=VLOOKUP(H2058,Dados!$X:$AB,2,0),VLOOKUP(G2058,Dados!$D:$L,4,0)&gt;=VLOOKUP(H2058,Dados!$X:$AB,3,0),VLOOKUP(G2058,Dados!$D:$L,4,0)&lt;=VLOOKUP(H2058,Dados!$X:$AB,4,0)),0,1)</f>
        <v>0</v>
      </c>
      <c r="U2058" s="4">
        <f>IF(COUNTIFS(F:F,F2058,H:H,H2058)&lt;=VLOOKUP(H2058,Dados!$X:$AB,5,0),0,1)</f>
        <v>0</v>
      </c>
    </row>
    <row r="2059" spans="6:21">
      <c r="F2059" s="4">
        <v>934</v>
      </c>
      <c r="G2059" s="4">
        <v>66</v>
      </c>
      <c r="H2059" s="4">
        <v>1</v>
      </c>
      <c r="I2059" s="4">
        <v>22</v>
      </c>
      <c r="J2059" s="4">
        <v>2</v>
      </c>
      <c r="K2059" s="4">
        <f t="shared" si="317"/>
        <v>0</v>
      </c>
      <c r="L2059" s="4">
        <f t="shared" si="317"/>
        <v>0</v>
      </c>
      <c r="M2059" s="4">
        <f t="shared" si="317"/>
        <v>0</v>
      </c>
      <c r="N2059" s="4">
        <f t="shared" si="317"/>
        <v>0</v>
      </c>
      <c r="O2059" s="4">
        <f t="shared" si="318"/>
        <v>0</v>
      </c>
      <c r="P2059" s="4">
        <f t="shared" si="319"/>
        <v>0</v>
      </c>
      <c r="Q2059" s="4">
        <f t="shared" si="320"/>
        <v>0</v>
      </c>
      <c r="R2059" s="4">
        <f t="shared" si="321"/>
        <v>0</v>
      </c>
      <c r="S2059" s="4">
        <f>IF(AND(VLOOKUP(G2059,Dados!$D:$L,2,0)=VLOOKUP(I2059,Dados!$S:$V,2,0),VLOOKUP(G2059,Dados!$D:$L,3,0)=VLOOKUP(I2059,Dados!$S:$V,3,0)),0,1)</f>
        <v>0</v>
      </c>
      <c r="T2059" s="4">
        <f>IF(AND(VLOOKUP(G2059,Dados!$D:$L,3,0)&lt;=VLOOKUP(H2059,Dados!$X:$AB,2,0),VLOOKUP(G2059,Dados!$D:$L,4,0)&gt;=VLOOKUP(H2059,Dados!$X:$AB,3,0),VLOOKUP(G2059,Dados!$D:$L,4,0)&lt;=VLOOKUP(H2059,Dados!$X:$AB,4,0)),0,1)</f>
        <v>0</v>
      </c>
      <c r="U2059" s="4">
        <f>IF(COUNTIFS(F:F,F2059,H:H,H2059)&lt;=VLOOKUP(H2059,Dados!$X:$AB,5,0),0,1)</f>
        <v>0</v>
      </c>
    </row>
    <row r="2060" spans="6:21">
      <c r="F2060" s="4">
        <v>935</v>
      </c>
      <c r="G2060" s="4">
        <v>59</v>
      </c>
      <c r="H2060" s="4">
        <v>2</v>
      </c>
      <c r="I2060" s="4">
        <v>22</v>
      </c>
      <c r="J2060" s="4">
        <v>4</v>
      </c>
      <c r="K2060" s="4">
        <f t="shared" si="317"/>
        <v>0</v>
      </c>
      <c r="L2060" s="4">
        <f t="shared" si="317"/>
        <v>0</v>
      </c>
      <c r="M2060" s="4">
        <f t="shared" si="317"/>
        <v>0</v>
      </c>
      <c r="N2060" s="4">
        <f t="shared" si="317"/>
        <v>0</v>
      </c>
      <c r="O2060" s="4">
        <f t="shared" si="318"/>
        <v>0</v>
      </c>
      <c r="P2060" s="4">
        <f t="shared" si="319"/>
        <v>0</v>
      </c>
      <c r="Q2060" s="4">
        <f t="shared" si="320"/>
        <v>0</v>
      </c>
      <c r="R2060" s="4">
        <f t="shared" si="321"/>
        <v>0</v>
      </c>
      <c r="S2060" s="4">
        <f>IF(AND(VLOOKUP(G2060,Dados!$D:$L,2,0)=VLOOKUP(I2060,Dados!$S:$V,2,0),VLOOKUP(G2060,Dados!$D:$L,3,0)=VLOOKUP(I2060,Dados!$S:$V,3,0)),0,1)</f>
        <v>0</v>
      </c>
      <c r="T2060" s="4">
        <f>IF(AND(VLOOKUP(G2060,Dados!$D:$L,3,0)&lt;=VLOOKUP(H2060,Dados!$X:$AB,2,0),VLOOKUP(G2060,Dados!$D:$L,4,0)&gt;=VLOOKUP(H2060,Dados!$X:$AB,3,0),VLOOKUP(G2060,Dados!$D:$L,4,0)&lt;=VLOOKUP(H2060,Dados!$X:$AB,4,0)),0,1)</f>
        <v>0</v>
      </c>
      <c r="U2060" s="4">
        <f>IF(COUNTIFS(F:F,F2060,H:H,H2060)&lt;=VLOOKUP(H2060,Dados!$X:$AB,5,0),0,1)</f>
        <v>0</v>
      </c>
    </row>
    <row r="2061" spans="6:21">
      <c r="F2061" s="4">
        <v>935</v>
      </c>
      <c r="G2061" s="4">
        <v>60</v>
      </c>
      <c r="H2061" s="4">
        <v>2</v>
      </c>
      <c r="I2061" s="4">
        <v>22</v>
      </c>
      <c r="J2061" s="4">
        <v>2</v>
      </c>
      <c r="K2061" s="4">
        <f t="shared" si="317"/>
        <v>0</v>
      </c>
      <c r="L2061" s="4">
        <f t="shared" si="317"/>
        <v>0</v>
      </c>
      <c r="M2061" s="4">
        <f t="shared" si="317"/>
        <v>0</v>
      </c>
      <c r="N2061" s="4">
        <f t="shared" si="317"/>
        <v>0</v>
      </c>
      <c r="O2061" s="4">
        <f t="shared" si="318"/>
        <v>0</v>
      </c>
      <c r="P2061" s="4">
        <f t="shared" si="319"/>
        <v>0</v>
      </c>
      <c r="Q2061" s="4">
        <f t="shared" si="320"/>
        <v>0</v>
      </c>
      <c r="R2061" s="4">
        <f t="shared" si="321"/>
        <v>0</v>
      </c>
      <c r="S2061" s="4">
        <f>IF(AND(VLOOKUP(G2061,Dados!$D:$L,2,0)=VLOOKUP(I2061,Dados!$S:$V,2,0),VLOOKUP(G2061,Dados!$D:$L,3,0)=VLOOKUP(I2061,Dados!$S:$V,3,0)),0,1)</f>
        <v>0</v>
      </c>
      <c r="T2061" s="4">
        <f>IF(AND(VLOOKUP(G2061,Dados!$D:$L,3,0)&lt;=VLOOKUP(H2061,Dados!$X:$AB,2,0),VLOOKUP(G2061,Dados!$D:$L,4,0)&gt;=VLOOKUP(H2061,Dados!$X:$AB,3,0),VLOOKUP(G2061,Dados!$D:$L,4,0)&lt;=VLOOKUP(H2061,Dados!$X:$AB,4,0)),0,1)</f>
        <v>0</v>
      </c>
      <c r="U2061" s="4">
        <f>IF(COUNTIFS(F:F,F2061,H:H,H2061)&lt;=VLOOKUP(H2061,Dados!$X:$AB,5,0),0,1)</f>
        <v>0</v>
      </c>
    </row>
    <row r="2062" spans="6:21">
      <c r="F2062" s="4">
        <v>935</v>
      </c>
      <c r="G2062" s="4">
        <v>66</v>
      </c>
      <c r="H2062" s="4">
        <v>2</v>
      </c>
      <c r="I2062" s="4">
        <v>22</v>
      </c>
      <c r="J2062" s="4">
        <v>2</v>
      </c>
      <c r="K2062" s="4">
        <f t="shared" si="317"/>
        <v>0</v>
      </c>
      <c r="L2062" s="4">
        <f t="shared" si="317"/>
        <v>0</v>
      </c>
      <c r="M2062" s="4">
        <f t="shared" si="317"/>
        <v>0</v>
      </c>
      <c r="N2062" s="4">
        <f t="shared" si="317"/>
        <v>0</v>
      </c>
      <c r="O2062" s="4">
        <f t="shared" si="318"/>
        <v>0</v>
      </c>
      <c r="P2062" s="4">
        <f t="shared" si="319"/>
        <v>0</v>
      </c>
      <c r="Q2062" s="4">
        <f t="shared" si="320"/>
        <v>0</v>
      </c>
      <c r="R2062" s="4">
        <f t="shared" si="321"/>
        <v>0</v>
      </c>
      <c r="S2062" s="4">
        <f>IF(AND(VLOOKUP(G2062,Dados!$D:$L,2,0)=VLOOKUP(I2062,Dados!$S:$V,2,0),VLOOKUP(G2062,Dados!$D:$L,3,0)=VLOOKUP(I2062,Dados!$S:$V,3,0)),0,1)</f>
        <v>0</v>
      </c>
      <c r="T2062" s="4">
        <f>IF(AND(VLOOKUP(G2062,Dados!$D:$L,3,0)&lt;=VLOOKUP(H2062,Dados!$X:$AB,2,0),VLOOKUP(G2062,Dados!$D:$L,4,0)&gt;=VLOOKUP(H2062,Dados!$X:$AB,3,0),VLOOKUP(G2062,Dados!$D:$L,4,0)&lt;=VLOOKUP(H2062,Dados!$X:$AB,4,0)),0,1)</f>
        <v>0</v>
      </c>
      <c r="U2062" s="4">
        <f>IF(COUNTIFS(F:F,F2062,H:H,H2062)&lt;=VLOOKUP(H2062,Dados!$X:$AB,5,0),0,1)</f>
        <v>0</v>
      </c>
    </row>
    <row r="2063" spans="6:21">
      <c r="F2063" s="4">
        <v>936</v>
      </c>
      <c r="G2063" s="4">
        <v>59</v>
      </c>
      <c r="H2063" s="4">
        <v>3</v>
      </c>
      <c r="I2063" s="4">
        <v>22</v>
      </c>
      <c r="J2063" s="4">
        <v>4</v>
      </c>
      <c r="K2063" s="4">
        <f t="shared" si="317"/>
        <v>0</v>
      </c>
      <c r="L2063" s="4">
        <f t="shared" si="317"/>
        <v>0</v>
      </c>
      <c r="M2063" s="4">
        <f t="shared" si="317"/>
        <v>0</v>
      </c>
      <c r="N2063" s="4">
        <f t="shared" si="317"/>
        <v>0</v>
      </c>
      <c r="O2063" s="4">
        <f t="shared" si="318"/>
        <v>0</v>
      </c>
      <c r="P2063" s="4">
        <f t="shared" si="319"/>
        <v>0</v>
      </c>
      <c r="Q2063" s="4">
        <f t="shared" si="320"/>
        <v>0</v>
      </c>
      <c r="R2063" s="4">
        <f t="shared" si="321"/>
        <v>0</v>
      </c>
      <c r="S2063" s="4">
        <f>IF(AND(VLOOKUP(G2063,Dados!$D:$L,2,0)=VLOOKUP(I2063,Dados!$S:$V,2,0),VLOOKUP(G2063,Dados!$D:$L,3,0)=VLOOKUP(I2063,Dados!$S:$V,3,0)),0,1)</f>
        <v>0</v>
      </c>
      <c r="T2063" s="4">
        <f>IF(AND(VLOOKUP(G2063,Dados!$D:$L,3,0)&lt;=VLOOKUP(H2063,Dados!$X:$AB,2,0),VLOOKUP(G2063,Dados!$D:$L,4,0)&gt;=VLOOKUP(H2063,Dados!$X:$AB,3,0),VLOOKUP(G2063,Dados!$D:$L,4,0)&lt;=VLOOKUP(H2063,Dados!$X:$AB,4,0)),0,1)</f>
        <v>0</v>
      </c>
      <c r="U2063" s="4">
        <f>IF(COUNTIFS(F:F,F2063,H:H,H2063)&lt;=VLOOKUP(H2063,Dados!$X:$AB,5,0),0,1)</f>
        <v>0</v>
      </c>
    </row>
    <row r="2064" spans="6:21">
      <c r="F2064" s="4">
        <v>936</v>
      </c>
      <c r="G2064" s="4">
        <v>60</v>
      </c>
      <c r="H2064" s="4">
        <v>3</v>
      </c>
      <c r="I2064" s="4">
        <v>22</v>
      </c>
      <c r="J2064" s="4">
        <v>2</v>
      </c>
      <c r="K2064" s="4">
        <f t="shared" si="317"/>
        <v>0</v>
      </c>
      <c r="L2064" s="4">
        <f t="shared" si="317"/>
        <v>0</v>
      </c>
      <c r="M2064" s="4">
        <f t="shared" si="317"/>
        <v>0</v>
      </c>
      <c r="N2064" s="4">
        <f t="shared" si="317"/>
        <v>0</v>
      </c>
      <c r="O2064" s="4">
        <f t="shared" si="318"/>
        <v>0</v>
      </c>
      <c r="P2064" s="4">
        <f t="shared" si="319"/>
        <v>0</v>
      </c>
      <c r="Q2064" s="4">
        <f t="shared" si="320"/>
        <v>0</v>
      </c>
      <c r="R2064" s="4">
        <f t="shared" si="321"/>
        <v>0</v>
      </c>
      <c r="S2064" s="4">
        <f>IF(AND(VLOOKUP(G2064,Dados!$D:$L,2,0)=VLOOKUP(I2064,Dados!$S:$V,2,0),VLOOKUP(G2064,Dados!$D:$L,3,0)=VLOOKUP(I2064,Dados!$S:$V,3,0)),0,1)</f>
        <v>0</v>
      </c>
      <c r="T2064" s="4">
        <f>IF(AND(VLOOKUP(G2064,Dados!$D:$L,3,0)&lt;=VLOOKUP(H2064,Dados!$X:$AB,2,0),VLOOKUP(G2064,Dados!$D:$L,4,0)&gt;=VLOOKUP(H2064,Dados!$X:$AB,3,0),VLOOKUP(G2064,Dados!$D:$L,4,0)&lt;=VLOOKUP(H2064,Dados!$X:$AB,4,0)),0,1)</f>
        <v>0</v>
      </c>
      <c r="U2064" s="4">
        <f>IF(COUNTIFS(F:F,F2064,H:H,H2064)&lt;=VLOOKUP(H2064,Dados!$X:$AB,5,0),0,1)</f>
        <v>0</v>
      </c>
    </row>
    <row r="2065" spans="6:21">
      <c r="F2065" s="4">
        <v>936</v>
      </c>
      <c r="G2065" s="4">
        <v>66</v>
      </c>
      <c r="H2065" s="4">
        <v>3</v>
      </c>
      <c r="I2065" s="4">
        <v>22</v>
      </c>
      <c r="J2065" s="4">
        <v>2</v>
      </c>
      <c r="K2065" s="4">
        <f t="shared" si="317"/>
        <v>0</v>
      </c>
      <c r="L2065" s="4">
        <f t="shared" si="317"/>
        <v>0</v>
      </c>
      <c r="M2065" s="4">
        <f t="shared" si="317"/>
        <v>0</v>
      </c>
      <c r="N2065" s="4">
        <f t="shared" si="317"/>
        <v>0</v>
      </c>
      <c r="O2065" s="4">
        <f t="shared" si="318"/>
        <v>0</v>
      </c>
      <c r="P2065" s="4">
        <f t="shared" si="319"/>
        <v>0</v>
      </c>
      <c r="Q2065" s="4">
        <f t="shared" si="320"/>
        <v>0</v>
      </c>
      <c r="R2065" s="4">
        <f t="shared" si="321"/>
        <v>0</v>
      </c>
      <c r="S2065" s="4">
        <f>IF(AND(VLOOKUP(G2065,Dados!$D:$L,2,0)=VLOOKUP(I2065,Dados!$S:$V,2,0),VLOOKUP(G2065,Dados!$D:$L,3,0)=VLOOKUP(I2065,Dados!$S:$V,3,0)),0,1)</f>
        <v>0</v>
      </c>
      <c r="T2065" s="4">
        <f>IF(AND(VLOOKUP(G2065,Dados!$D:$L,3,0)&lt;=VLOOKUP(H2065,Dados!$X:$AB,2,0),VLOOKUP(G2065,Dados!$D:$L,4,0)&gt;=VLOOKUP(H2065,Dados!$X:$AB,3,0),VLOOKUP(G2065,Dados!$D:$L,4,0)&lt;=VLOOKUP(H2065,Dados!$X:$AB,4,0)),0,1)</f>
        <v>0</v>
      </c>
      <c r="U2065" s="4">
        <f>IF(COUNTIFS(F:F,F2065,H:H,H2065)&lt;=VLOOKUP(H2065,Dados!$X:$AB,5,0),0,1)</f>
        <v>0</v>
      </c>
    </row>
    <row r="2066" spans="6:21">
      <c r="F2066" s="4">
        <v>937</v>
      </c>
      <c r="G2066" s="4">
        <v>59</v>
      </c>
      <c r="H2066" s="4">
        <v>1</v>
      </c>
      <c r="I2066" s="4">
        <v>23</v>
      </c>
      <c r="J2066" s="4">
        <v>4</v>
      </c>
      <c r="K2066" s="4">
        <f t="shared" si="317"/>
        <v>0</v>
      </c>
      <c r="L2066" s="4">
        <f t="shared" si="317"/>
        <v>0</v>
      </c>
      <c r="M2066" s="4">
        <f t="shared" si="317"/>
        <v>0</v>
      </c>
      <c r="N2066" s="4">
        <f t="shared" si="317"/>
        <v>0</v>
      </c>
      <c r="O2066" s="4">
        <f t="shared" si="318"/>
        <v>0</v>
      </c>
      <c r="P2066" s="4">
        <f t="shared" si="319"/>
        <v>0</v>
      </c>
      <c r="Q2066" s="4">
        <f t="shared" si="320"/>
        <v>0</v>
      </c>
      <c r="R2066" s="4">
        <f t="shared" si="321"/>
        <v>0</v>
      </c>
      <c r="S2066" s="4">
        <f>IF(AND(VLOOKUP(G2066,Dados!$D:$L,2,0)=VLOOKUP(I2066,Dados!$S:$V,2,0),VLOOKUP(G2066,Dados!$D:$L,3,0)=VLOOKUP(I2066,Dados!$S:$V,3,0)),0,1)</f>
        <v>0</v>
      </c>
      <c r="T2066" s="4">
        <f>IF(AND(VLOOKUP(G2066,Dados!$D:$L,3,0)&lt;=VLOOKUP(H2066,Dados!$X:$AB,2,0),VLOOKUP(G2066,Dados!$D:$L,4,0)&gt;=VLOOKUP(H2066,Dados!$X:$AB,3,0),VLOOKUP(G2066,Dados!$D:$L,4,0)&lt;=VLOOKUP(H2066,Dados!$X:$AB,4,0)),0,1)</f>
        <v>0</v>
      </c>
      <c r="U2066" s="4">
        <f>IF(COUNTIFS(F:F,F2066,H:H,H2066)&lt;=VLOOKUP(H2066,Dados!$X:$AB,5,0),0,1)</f>
        <v>0</v>
      </c>
    </row>
    <row r="2067" spans="6:21">
      <c r="F2067" s="4">
        <v>937</v>
      </c>
      <c r="G2067" s="4">
        <v>60</v>
      </c>
      <c r="H2067" s="4">
        <v>1</v>
      </c>
      <c r="I2067" s="4">
        <v>23</v>
      </c>
      <c r="J2067" s="4">
        <v>4</v>
      </c>
      <c r="K2067" s="4">
        <f t="shared" si="317"/>
        <v>0</v>
      </c>
      <c r="L2067" s="4">
        <f t="shared" si="317"/>
        <v>0</v>
      </c>
      <c r="M2067" s="4">
        <f t="shared" si="317"/>
        <v>0</v>
      </c>
      <c r="N2067" s="4">
        <f t="shared" si="317"/>
        <v>0</v>
      </c>
      <c r="O2067" s="4">
        <f t="shared" si="318"/>
        <v>0</v>
      </c>
      <c r="P2067" s="4">
        <f t="shared" si="319"/>
        <v>0</v>
      </c>
      <c r="Q2067" s="4">
        <f t="shared" si="320"/>
        <v>0</v>
      </c>
      <c r="R2067" s="4">
        <f t="shared" si="321"/>
        <v>0</v>
      </c>
      <c r="S2067" s="4">
        <f>IF(AND(VLOOKUP(G2067,Dados!$D:$L,2,0)=VLOOKUP(I2067,Dados!$S:$V,2,0),VLOOKUP(G2067,Dados!$D:$L,3,0)=VLOOKUP(I2067,Dados!$S:$V,3,0)),0,1)</f>
        <v>0</v>
      </c>
      <c r="T2067" s="4">
        <f>IF(AND(VLOOKUP(G2067,Dados!$D:$L,3,0)&lt;=VLOOKUP(H2067,Dados!$X:$AB,2,0),VLOOKUP(G2067,Dados!$D:$L,4,0)&gt;=VLOOKUP(H2067,Dados!$X:$AB,3,0),VLOOKUP(G2067,Dados!$D:$L,4,0)&lt;=VLOOKUP(H2067,Dados!$X:$AB,4,0)),0,1)</f>
        <v>0</v>
      </c>
      <c r="U2067" s="4">
        <f>IF(COUNTIFS(F:F,F2067,H:H,H2067)&lt;=VLOOKUP(H2067,Dados!$X:$AB,5,0),0,1)</f>
        <v>0</v>
      </c>
    </row>
    <row r="2068" spans="6:21">
      <c r="F2068" s="4">
        <v>937</v>
      </c>
      <c r="G2068" s="4">
        <v>62</v>
      </c>
      <c r="H2068" s="4">
        <v>1</v>
      </c>
      <c r="I2068" s="4">
        <v>23</v>
      </c>
      <c r="J2068" s="4">
        <v>1</v>
      </c>
      <c r="K2068" s="4">
        <f t="shared" si="317"/>
        <v>0</v>
      </c>
      <c r="L2068" s="4">
        <f t="shared" si="317"/>
        <v>0</v>
      </c>
      <c r="M2068" s="4">
        <f t="shared" si="317"/>
        <v>0</v>
      </c>
      <c r="N2068" s="4">
        <f t="shared" si="317"/>
        <v>0</v>
      </c>
      <c r="O2068" s="4">
        <f t="shared" si="318"/>
        <v>0</v>
      </c>
      <c r="P2068" s="4">
        <f t="shared" si="319"/>
        <v>0</v>
      </c>
      <c r="Q2068" s="4">
        <f t="shared" si="320"/>
        <v>0</v>
      </c>
      <c r="R2068" s="4">
        <f t="shared" si="321"/>
        <v>0</v>
      </c>
      <c r="S2068" s="4">
        <f>IF(AND(VLOOKUP(G2068,Dados!$D:$L,2,0)=VLOOKUP(I2068,Dados!$S:$V,2,0),VLOOKUP(G2068,Dados!$D:$L,3,0)=VLOOKUP(I2068,Dados!$S:$V,3,0)),0,1)</f>
        <v>0</v>
      </c>
      <c r="T2068" s="4">
        <f>IF(AND(VLOOKUP(G2068,Dados!$D:$L,3,0)&lt;=VLOOKUP(H2068,Dados!$X:$AB,2,0),VLOOKUP(G2068,Dados!$D:$L,4,0)&gt;=VLOOKUP(H2068,Dados!$X:$AB,3,0),VLOOKUP(G2068,Dados!$D:$L,4,0)&lt;=VLOOKUP(H2068,Dados!$X:$AB,4,0)),0,1)</f>
        <v>0</v>
      </c>
      <c r="U2068" s="4">
        <f>IF(COUNTIFS(F:F,F2068,H:H,H2068)&lt;=VLOOKUP(H2068,Dados!$X:$AB,5,0),0,1)</f>
        <v>0</v>
      </c>
    </row>
    <row r="2069" spans="6:21">
      <c r="F2069" s="4">
        <v>938</v>
      </c>
      <c r="G2069" s="4">
        <v>59</v>
      </c>
      <c r="H2069" s="4">
        <v>2</v>
      </c>
      <c r="I2069" s="4">
        <v>23</v>
      </c>
      <c r="J2069" s="4">
        <v>4</v>
      </c>
      <c r="K2069" s="4">
        <f t="shared" si="317"/>
        <v>0</v>
      </c>
      <c r="L2069" s="4">
        <f t="shared" si="317"/>
        <v>0</v>
      </c>
      <c r="M2069" s="4">
        <f t="shared" si="317"/>
        <v>0</v>
      </c>
      <c r="N2069" s="4">
        <f t="shared" si="317"/>
        <v>0</v>
      </c>
      <c r="O2069" s="4">
        <f t="shared" si="318"/>
        <v>0</v>
      </c>
      <c r="P2069" s="4">
        <f t="shared" si="319"/>
        <v>0</v>
      </c>
      <c r="Q2069" s="4">
        <f t="shared" si="320"/>
        <v>0</v>
      </c>
      <c r="R2069" s="4">
        <f t="shared" si="321"/>
        <v>0</v>
      </c>
      <c r="S2069" s="4">
        <f>IF(AND(VLOOKUP(G2069,Dados!$D:$L,2,0)=VLOOKUP(I2069,Dados!$S:$V,2,0),VLOOKUP(G2069,Dados!$D:$L,3,0)=VLOOKUP(I2069,Dados!$S:$V,3,0)),0,1)</f>
        <v>0</v>
      </c>
      <c r="T2069" s="4">
        <f>IF(AND(VLOOKUP(G2069,Dados!$D:$L,3,0)&lt;=VLOOKUP(H2069,Dados!$X:$AB,2,0),VLOOKUP(G2069,Dados!$D:$L,4,0)&gt;=VLOOKUP(H2069,Dados!$X:$AB,3,0),VLOOKUP(G2069,Dados!$D:$L,4,0)&lt;=VLOOKUP(H2069,Dados!$X:$AB,4,0)),0,1)</f>
        <v>0</v>
      </c>
      <c r="U2069" s="4">
        <f>IF(COUNTIFS(F:F,F2069,H:H,H2069)&lt;=VLOOKUP(H2069,Dados!$X:$AB,5,0),0,1)</f>
        <v>0</v>
      </c>
    </row>
    <row r="2070" spans="6:21">
      <c r="F2070" s="4">
        <v>938</v>
      </c>
      <c r="G2070" s="4">
        <v>60</v>
      </c>
      <c r="H2070" s="4">
        <v>2</v>
      </c>
      <c r="I2070" s="4">
        <v>23</v>
      </c>
      <c r="J2070" s="4">
        <v>4</v>
      </c>
      <c r="K2070" s="4">
        <f t="shared" si="317"/>
        <v>0</v>
      </c>
      <c r="L2070" s="4">
        <f t="shared" si="317"/>
        <v>0</v>
      </c>
      <c r="M2070" s="4">
        <f t="shared" si="317"/>
        <v>0</v>
      </c>
      <c r="N2070" s="4">
        <f t="shared" si="317"/>
        <v>0</v>
      </c>
      <c r="O2070" s="4">
        <f t="shared" si="318"/>
        <v>0</v>
      </c>
      <c r="P2070" s="4">
        <f t="shared" si="319"/>
        <v>0</v>
      </c>
      <c r="Q2070" s="4">
        <f t="shared" si="320"/>
        <v>0</v>
      </c>
      <c r="R2070" s="4">
        <f t="shared" si="321"/>
        <v>0</v>
      </c>
      <c r="S2070" s="4">
        <f>IF(AND(VLOOKUP(G2070,Dados!$D:$L,2,0)=VLOOKUP(I2070,Dados!$S:$V,2,0),VLOOKUP(G2070,Dados!$D:$L,3,0)=VLOOKUP(I2070,Dados!$S:$V,3,0)),0,1)</f>
        <v>0</v>
      </c>
      <c r="T2070" s="4">
        <f>IF(AND(VLOOKUP(G2070,Dados!$D:$L,3,0)&lt;=VLOOKUP(H2070,Dados!$X:$AB,2,0),VLOOKUP(G2070,Dados!$D:$L,4,0)&gt;=VLOOKUP(H2070,Dados!$X:$AB,3,0),VLOOKUP(G2070,Dados!$D:$L,4,0)&lt;=VLOOKUP(H2070,Dados!$X:$AB,4,0)),0,1)</f>
        <v>0</v>
      </c>
      <c r="U2070" s="4">
        <f>IF(COUNTIFS(F:F,F2070,H:H,H2070)&lt;=VLOOKUP(H2070,Dados!$X:$AB,5,0),0,1)</f>
        <v>0</v>
      </c>
    </row>
    <row r="2071" spans="6:21">
      <c r="F2071" s="4">
        <v>938</v>
      </c>
      <c r="G2071" s="4">
        <v>62</v>
      </c>
      <c r="H2071" s="4">
        <v>2</v>
      </c>
      <c r="I2071" s="4">
        <v>23</v>
      </c>
      <c r="J2071" s="4">
        <v>1</v>
      </c>
      <c r="K2071" s="4">
        <f t="shared" si="317"/>
        <v>0</v>
      </c>
      <c r="L2071" s="4">
        <f t="shared" si="317"/>
        <v>0</v>
      </c>
      <c r="M2071" s="4">
        <f t="shared" si="317"/>
        <v>0</v>
      </c>
      <c r="N2071" s="4">
        <f t="shared" si="317"/>
        <v>0</v>
      </c>
      <c r="O2071" s="4">
        <f t="shared" si="318"/>
        <v>0</v>
      </c>
      <c r="P2071" s="4">
        <f t="shared" si="319"/>
        <v>0</v>
      </c>
      <c r="Q2071" s="4">
        <f t="shared" si="320"/>
        <v>0</v>
      </c>
      <c r="R2071" s="4">
        <f t="shared" si="321"/>
        <v>0</v>
      </c>
      <c r="S2071" s="4">
        <f>IF(AND(VLOOKUP(G2071,Dados!$D:$L,2,0)=VLOOKUP(I2071,Dados!$S:$V,2,0),VLOOKUP(G2071,Dados!$D:$L,3,0)=VLOOKUP(I2071,Dados!$S:$V,3,0)),0,1)</f>
        <v>0</v>
      </c>
      <c r="T2071" s="4">
        <f>IF(AND(VLOOKUP(G2071,Dados!$D:$L,3,0)&lt;=VLOOKUP(H2071,Dados!$X:$AB,2,0),VLOOKUP(G2071,Dados!$D:$L,4,0)&gt;=VLOOKUP(H2071,Dados!$X:$AB,3,0),VLOOKUP(G2071,Dados!$D:$L,4,0)&lt;=VLOOKUP(H2071,Dados!$X:$AB,4,0)),0,1)</f>
        <v>0</v>
      </c>
      <c r="U2071" s="4">
        <f>IF(COUNTIFS(F:F,F2071,H:H,H2071)&lt;=VLOOKUP(H2071,Dados!$X:$AB,5,0),0,1)</f>
        <v>0</v>
      </c>
    </row>
    <row r="2072" spans="6:21">
      <c r="F2072" s="4">
        <v>939</v>
      </c>
      <c r="G2072" s="4">
        <v>59</v>
      </c>
      <c r="H2072" s="4">
        <v>3</v>
      </c>
      <c r="I2072" s="4">
        <v>23</v>
      </c>
      <c r="J2072" s="4">
        <v>4</v>
      </c>
      <c r="K2072" s="4">
        <f t="shared" si="317"/>
        <v>0</v>
      </c>
      <c r="L2072" s="4">
        <f t="shared" si="317"/>
        <v>0</v>
      </c>
      <c r="M2072" s="4">
        <f t="shared" si="317"/>
        <v>0</v>
      </c>
      <c r="N2072" s="4">
        <f t="shared" si="317"/>
        <v>0</v>
      </c>
      <c r="O2072" s="4">
        <f t="shared" si="318"/>
        <v>0</v>
      </c>
      <c r="P2072" s="4">
        <f t="shared" si="319"/>
        <v>0</v>
      </c>
      <c r="Q2072" s="4">
        <f t="shared" si="320"/>
        <v>0</v>
      </c>
      <c r="R2072" s="4">
        <f t="shared" si="321"/>
        <v>0</v>
      </c>
      <c r="S2072" s="4">
        <f>IF(AND(VLOOKUP(G2072,Dados!$D:$L,2,0)=VLOOKUP(I2072,Dados!$S:$V,2,0),VLOOKUP(G2072,Dados!$D:$L,3,0)=VLOOKUP(I2072,Dados!$S:$V,3,0)),0,1)</f>
        <v>0</v>
      </c>
      <c r="T2072" s="4">
        <f>IF(AND(VLOOKUP(G2072,Dados!$D:$L,3,0)&lt;=VLOOKUP(H2072,Dados!$X:$AB,2,0),VLOOKUP(G2072,Dados!$D:$L,4,0)&gt;=VLOOKUP(H2072,Dados!$X:$AB,3,0),VLOOKUP(G2072,Dados!$D:$L,4,0)&lt;=VLOOKUP(H2072,Dados!$X:$AB,4,0)),0,1)</f>
        <v>0</v>
      </c>
      <c r="U2072" s="4">
        <f>IF(COUNTIFS(F:F,F2072,H:H,H2072)&lt;=VLOOKUP(H2072,Dados!$X:$AB,5,0),0,1)</f>
        <v>0</v>
      </c>
    </row>
    <row r="2073" spans="6:21">
      <c r="F2073" s="4">
        <v>939</v>
      </c>
      <c r="G2073" s="4">
        <v>60</v>
      </c>
      <c r="H2073" s="4">
        <v>3</v>
      </c>
      <c r="I2073" s="4">
        <v>23</v>
      </c>
      <c r="J2073" s="4">
        <v>4</v>
      </c>
      <c r="K2073" s="4">
        <f t="shared" si="317"/>
        <v>0</v>
      </c>
      <c r="L2073" s="4">
        <f t="shared" si="317"/>
        <v>0</v>
      </c>
      <c r="M2073" s="4">
        <f t="shared" si="317"/>
        <v>0</v>
      </c>
      <c r="N2073" s="4">
        <f t="shared" si="317"/>
        <v>0</v>
      </c>
      <c r="O2073" s="4">
        <f t="shared" si="318"/>
        <v>0</v>
      </c>
      <c r="P2073" s="4">
        <f t="shared" si="319"/>
        <v>0</v>
      </c>
      <c r="Q2073" s="4">
        <f t="shared" si="320"/>
        <v>0</v>
      </c>
      <c r="R2073" s="4">
        <f t="shared" si="321"/>
        <v>0</v>
      </c>
      <c r="S2073" s="4">
        <f>IF(AND(VLOOKUP(G2073,Dados!$D:$L,2,0)=VLOOKUP(I2073,Dados!$S:$V,2,0),VLOOKUP(G2073,Dados!$D:$L,3,0)=VLOOKUP(I2073,Dados!$S:$V,3,0)),0,1)</f>
        <v>0</v>
      </c>
      <c r="T2073" s="4">
        <f>IF(AND(VLOOKUP(G2073,Dados!$D:$L,3,0)&lt;=VLOOKUP(H2073,Dados!$X:$AB,2,0),VLOOKUP(G2073,Dados!$D:$L,4,0)&gt;=VLOOKUP(H2073,Dados!$X:$AB,3,0),VLOOKUP(G2073,Dados!$D:$L,4,0)&lt;=VLOOKUP(H2073,Dados!$X:$AB,4,0)),0,1)</f>
        <v>0</v>
      </c>
      <c r="U2073" s="4">
        <f>IF(COUNTIFS(F:F,F2073,H:H,H2073)&lt;=VLOOKUP(H2073,Dados!$X:$AB,5,0),0,1)</f>
        <v>0</v>
      </c>
    </row>
    <row r="2074" spans="6:21">
      <c r="F2074" s="4">
        <v>939</v>
      </c>
      <c r="G2074" s="4">
        <v>62</v>
      </c>
      <c r="H2074" s="4">
        <v>3</v>
      </c>
      <c r="I2074" s="4">
        <v>23</v>
      </c>
      <c r="J2074" s="4">
        <v>1</v>
      </c>
      <c r="K2074" s="4">
        <f t="shared" si="317"/>
        <v>0</v>
      </c>
      <c r="L2074" s="4">
        <f t="shared" si="317"/>
        <v>0</v>
      </c>
      <c r="M2074" s="4">
        <f t="shared" si="317"/>
        <v>0</v>
      </c>
      <c r="N2074" s="4">
        <f t="shared" si="317"/>
        <v>0</v>
      </c>
      <c r="O2074" s="4">
        <f t="shared" si="318"/>
        <v>0</v>
      </c>
      <c r="P2074" s="4">
        <f t="shared" si="319"/>
        <v>0</v>
      </c>
      <c r="Q2074" s="4">
        <f t="shared" si="320"/>
        <v>0</v>
      </c>
      <c r="R2074" s="4">
        <f t="shared" si="321"/>
        <v>0</v>
      </c>
      <c r="S2074" s="4">
        <f>IF(AND(VLOOKUP(G2074,Dados!$D:$L,2,0)=VLOOKUP(I2074,Dados!$S:$V,2,0),VLOOKUP(G2074,Dados!$D:$L,3,0)=VLOOKUP(I2074,Dados!$S:$V,3,0)),0,1)</f>
        <v>0</v>
      </c>
      <c r="T2074" s="4">
        <f>IF(AND(VLOOKUP(G2074,Dados!$D:$L,3,0)&lt;=VLOOKUP(H2074,Dados!$X:$AB,2,0),VLOOKUP(G2074,Dados!$D:$L,4,0)&gt;=VLOOKUP(H2074,Dados!$X:$AB,3,0),VLOOKUP(G2074,Dados!$D:$L,4,0)&lt;=VLOOKUP(H2074,Dados!$X:$AB,4,0)),0,1)</f>
        <v>0</v>
      </c>
      <c r="U2074" s="4">
        <f>IF(COUNTIFS(F:F,F2074,H:H,H2074)&lt;=VLOOKUP(H2074,Dados!$X:$AB,5,0),0,1)</f>
        <v>0</v>
      </c>
    </row>
    <row r="2075" spans="6:21">
      <c r="F2075" s="4">
        <v>940</v>
      </c>
      <c r="G2075" s="4">
        <v>59</v>
      </c>
      <c r="H2075" s="4">
        <v>1</v>
      </c>
      <c r="I2075" s="4">
        <v>24</v>
      </c>
      <c r="J2075" s="4">
        <v>3</v>
      </c>
      <c r="K2075" s="4">
        <f t="shared" si="317"/>
        <v>0</v>
      </c>
      <c r="L2075" s="4">
        <f t="shared" si="317"/>
        <v>0</v>
      </c>
      <c r="M2075" s="4">
        <f t="shared" si="317"/>
        <v>0</v>
      </c>
      <c r="N2075" s="4">
        <f t="shared" si="317"/>
        <v>0</v>
      </c>
      <c r="O2075" s="4">
        <f t="shared" si="318"/>
        <v>0</v>
      </c>
      <c r="P2075" s="4">
        <f t="shared" si="319"/>
        <v>0</v>
      </c>
      <c r="Q2075" s="4">
        <f t="shared" si="320"/>
        <v>0</v>
      </c>
      <c r="R2075" s="4">
        <f t="shared" si="321"/>
        <v>0</v>
      </c>
      <c r="S2075" s="4">
        <f>IF(AND(VLOOKUP(G2075,Dados!$D:$L,2,0)=VLOOKUP(I2075,Dados!$S:$V,2,0),VLOOKUP(G2075,Dados!$D:$L,3,0)=VLOOKUP(I2075,Dados!$S:$V,3,0)),0,1)</f>
        <v>0</v>
      </c>
      <c r="T2075" s="4">
        <f>IF(AND(VLOOKUP(G2075,Dados!$D:$L,3,0)&lt;=VLOOKUP(H2075,Dados!$X:$AB,2,0),VLOOKUP(G2075,Dados!$D:$L,4,0)&gt;=VLOOKUP(H2075,Dados!$X:$AB,3,0),VLOOKUP(G2075,Dados!$D:$L,4,0)&lt;=VLOOKUP(H2075,Dados!$X:$AB,4,0)),0,1)</f>
        <v>0</v>
      </c>
      <c r="U2075" s="4">
        <f>IF(COUNTIFS(F:F,F2075,H:H,H2075)&lt;=VLOOKUP(H2075,Dados!$X:$AB,5,0),0,1)</f>
        <v>0</v>
      </c>
    </row>
    <row r="2076" spans="6:21">
      <c r="F2076" s="4">
        <v>940</v>
      </c>
      <c r="G2076" s="4">
        <v>60</v>
      </c>
      <c r="H2076" s="4">
        <v>1</v>
      </c>
      <c r="I2076" s="4">
        <v>24</v>
      </c>
      <c r="J2076" s="4">
        <v>4</v>
      </c>
      <c r="K2076" s="4">
        <f t="shared" si="317"/>
        <v>0</v>
      </c>
      <c r="L2076" s="4">
        <f t="shared" si="317"/>
        <v>0</v>
      </c>
      <c r="M2076" s="4">
        <f t="shared" si="317"/>
        <v>0</v>
      </c>
      <c r="N2076" s="4">
        <f t="shared" si="317"/>
        <v>0</v>
      </c>
      <c r="O2076" s="4">
        <f t="shared" si="318"/>
        <v>0</v>
      </c>
      <c r="P2076" s="4">
        <f t="shared" si="319"/>
        <v>0</v>
      </c>
      <c r="Q2076" s="4">
        <f t="shared" si="320"/>
        <v>0</v>
      </c>
      <c r="R2076" s="4">
        <f t="shared" si="321"/>
        <v>0</v>
      </c>
      <c r="S2076" s="4">
        <f>IF(AND(VLOOKUP(G2076,Dados!$D:$L,2,0)=VLOOKUP(I2076,Dados!$S:$V,2,0),VLOOKUP(G2076,Dados!$D:$L,3,0)=VLOOKUP(I2076,Dados!$S:$V,3,0)),0,1)</f>
        <v>0</v>
      </c>
      <c r="T2076" s="4">
        <f>IF(AND(VLOOKUP(G2076,Dados!$D:$L,3,0)&lt;=VLOOKUP(H2076,Dados!$X:$AB,2,0),VLOOKUP(G2076,Dados!$D:$L,4,0)&gt;=VLOOKUP(H2076,Dados!$X:$AB,3,0),VLOOKUP(G2076,Dados!$D:$L,4,0)&lt;=VLOOKUP(H2076,Dados!$X:$AB,4,0)),0,1)</f>
        <v>0</v>
      </c>
      <c r="U2076" s="4">
        <f>IF(COUNTIFS(F:F,F2076,H:H,H2076)&lt;=VLOOKUP(H2076,Dados!$X:$AB,5,0),0,1)</f>
        <v>0</v>
      </c>
    </row>
    <row r="2077" spans="6:21">
      <c r="F2077" s="4">
        <v>940</v>
      </c>
      <c r="G2077" s="4">
        <v>66</v>
      </c>
      <c r="H2077" s="4">
        <v>1</v>
      </c>
      <c r="I2077" s="4">
        <v>24</v>
      </c>
      <c r="J2077" s="4">
        <v>1</v>
      </c>
      <c r="K2077" s="4">
        <f t="shared" si="317"/>
        <v>0</v>
      </c>
      <c r="L2077" s="4">
        <f t="shared" si="317"/>
        <v>0</v>
      </c>
      <c r="M2077" s="4">
        <f t="shared" si="317"/>
        <v>0</v>
      </c>
      <c r="N2077" s="4">
        <f t="shared" si="317"/>
        <v>0</v>
      </c>
      <c r="O2077" s="4">
        <f t="shared" si="318"/>
        <v>0</v>
      </c>
      <c r="P2077" s="4">
        <f t="shared" si="319"/>
        <v>0</v>
      </c>
      <c r="Q2077" s="4">
        <f t="shared" si="320"/>
        <v>0</v>
      </c>
      <c r="R2077" s="4">
        <f t="shared" si="321"/>
        <v>0</v>
      </c>
      <c r="S2077" s="4">
        <f>IF(AND(VLOOKUP(G2077,Dados!$D:$L,2,0)=VLOOKUP(I2077,Dados!$S:$V,2,0),VLOOKUP(G2077,Dados!$D:$L,3,0)=VLOOKUP(I2077,Dados!$S:$V,3,0)),0,1)</f>
        <v>0</v>
      </c>
      <c r="T2077" s="4">
        <f>IF(AND(VLOOKUP(G2077,Dados!$D:$L,3,0)&lt;=VLOOKUP(H2077,Dados!$X:$AB,2,0),VLOOKUP(G2077,Dados!$D:$L,4,0)&gt;=VLOOKUP(H2077,Dados!$X:$AB,3,0),VLOOKUP(G2077,Dados!$D:$L,4,0)&lt;=VLOOKUP(H2077,Dados!$X:$AB,4,0)),0,1)</f>
        <v>0</v>
      </c>
      <c r="U2077" s="4">
        <f>IF(COUNTIFS(F:F,F2077,H:H,H2077)&lt;=VLOOKUP(H2077,Dados!$X:$AB,5,0),0,1)</f>
        <v>0</v>
      </c>
    </row>
    <row r="2078" spans="6:21">
      <c r="F2078" s="4">
        <v>941</v>
      </c>
      <c r="G2078" s="4">
        <v>59</v>
      </c>
      <c r="H2078" s="4">
        <v>2</v>
      </c>
      <c r="I2078" s="4">
        <v>24</v>
      </c>
      <c r="J2078" s="4">
        <v>3</v>
      </c>
      <c r="K2078" s="4">
        <f t="shared" si="317"/>
        <v>0</v>
      </c>
      <c r="L2078" s="4">
        <f t="shared" si="317"/>
        <v>0</v>
      </c>
      <c r="M2078" s="4">
        <f t="shared" si="317"/>
        <v>0</v>
      </c>
      <c r="N2078" s="4">
        <f t="shared" si="317"/>
        <v>0</v>
      </c>
      <c r="O2078" s="4">
        <f t="shared" si="318"/>
        <v>0</v>
      </c>
      <c r="P2078" s="4">
        <f t="shared" si="319"/>
        <v>0</v>
      </c>
      <c r="Q2078" s="4">
        <f t="shared" si="320"/>
        <v>0</v>
      </c>
      <c r="R2078" s="4">
        <f t="shared" si="321"/>
        <v>0</v>
      </c>
      <c r="S2078" s="4">
        <f>IF(AND(VLOOKUP(G2078,Dados!$D:$L,2,0)=VLOOKUP(I2078,Dados!$S:$V,2,0),VLOOKUP(G2078,Dados!$D:$L,3,0)=VLOOKUP(I2078,Dados!$S:$V,3,0)),0,1)</f>
        <v>0</v>
      </c>
      <c r="T2078" s="4">
        <f>IF(AND(VLOOKUP(G2078,Dados!$D:$L,3,0)&lt;=VLOOKUP(H2078,Dados!$X:$AB,2,0),VLOOKUP(G2078,Dados!$D:$L,4,0)&gt;=VLOOKUP(H2078,Dados!$X:$AB,3,0),VLOOKUP(G2078,Dados!$D:$L,4,0)&lt;=VLOOKUP(H2078,Dados!$X:$AB,4,0)),0,1)</f>
        <v>0</v>
      </c>
      <c r="U2078" s="4">
        <f>IF(COUNTIFS(F:F,F2078,H:H,H2078)&lt;=VLOOKUP(H2078,Dados!$X:$AB,5,0),0,1)</f>
        <v>0</v>
      </c>
    </row>
    <row r="2079" spans="6:21">
      <c r="F2079" s="4">
        <v>941</v>
      </c>
      <c r="G2079" s="4">
        <v>60</v>
      </c>
      <c r="H2079" s="4">
        <v>2</v>
      </c>
      <c r="I2079" s="4">
        <v>24</v>
      </c>
      <c r="J2079" s="4">
        <v>4</v>
      </c>
      <c r="K2079" s="4">
        <f t="shared" si="317"/>
        <v>0</v>
      </c>
      <c r="L2079" s="4">
        <f t="shared" si="317"/>
        <v>0</v>
      </c>
      <c r="M2079" s="4">
        <f t="shared" si="317"/>
        <v>0</v>
      </c>
      <c r="N2079" s="4">
        <f t="shared" ref="K2079:N2142" si="322">SUMIFS($X:$X,$W:$W,$F2079,$Z:$Z,$I2079,$AA:$AA,$H2079,$AB:$AB,N$2)</f>
        <v>0</v>
      </c>
      <c r="O2079" s="4">
        <f t="shared" si="318"/>
        <v>0</v>
      </c>
      <c r="P2079" s="4">
        <f t="shared" si="319"/>
        <v>0</v>
      </c>
      <c r="Q2079" s="4">
        <f t="shared" si="320"/>
        <v>0</v>
      </c>
      <c r="R2079" s="4">
        <f t="shared" si="321"/>
        <v>0</v>
      </c>
      <c r="S2079" s="4">
        <f>IF(AND(VLOOKUP(G2079,Dados!$D:$L,2,0)=VLOOKUP(I2079,Dados!$S:$V,2,0),VLOOKUP(G2079,Dados!$D:$L,3,0)=VLOOKUP(I2079,Dados!$S:$V,3,0)),0,1)</f>
        <v>0</v>
      </c>
      <c r="T2079" s="4">
        <f>IF(AND(VLOOKUP(G2079,Dados!$D:$L,3,0)&lt;=VLOOKUP(H2079,Dados!$X:$AB,2,0),VLOOKUP(G2079,Dados!$D:$L,4,0)&gt;=VLOOKUP(H2079,Dados!$X:$AB,3,0),VLOOKUP(G2079,Dados!$D:$L,4,0)&lt;=VLOOKUP(H2079,Dados!$X:$AB,4,0)),0,1)</f>
        <v>0</v>
      </c>
      <c r="U2079" s="4">
        <f>IF(COUNTIFS(F:F,F2079,H:H,H2079)&lt;=VLOOKUP(H2079,Dados!$X:$AB,5,0),0,1)</f>
        <v>0</v>
      </c>
    </row>
    <row r="2080" spans="6:21">
      <c r="F2080" s="4">
        <v>941</v>
      </c>
      <c r="G2080" s="4">
        <v>66</v>
      </c>
      <c r="H2080" s="4">
        <v>2</v>
      </c>
      <c r="I2080" s="4">
        <v>24</v>
      </c>
      <c r="J2080" s="4">
        <v>1</v>
      </c>
      <c r="K2080" s="4">
        <f t="shared" si="322"/>
        <v>0</v>
      </c>
      <c r="L2080" s="4">
        <f t="shared" si="322"/>
        <v>0</v>
      </c>
      <c r="M2080" s="4">
        <f t="shared" si="322"/>
        <v>0</v>
      </c>
      <c r="N2080" s="4">
        <f t="shared" si="322"/>
        <v>0</v>
      </c>
      <c r="O2080" s="4">
        <f t="shared" si="318"/>
        <v>0</v>
      </c>
      <c r="P2080" s="4">
        <f t="shared" si="319"/>
        <v>0</v>
      </c>
      <c r="Q2080" s="4">
        <f t="shared" si="320"/>
        <v>0</v>
      </c>
      <c r="R2080" s="4">
        <f t="shared" si="321"/>
        <v>0</v>
      </c>
      <c r="S2080" s="4">
        <f>IF(AND(VLOOKUP(G2080,Dados!$D:$L,2,0)=VLOOKUP(I2080,Dados!$S:$V,2,0),VLOOKUP(G2080,Dados!$D:$L,3,0)=VLOOKUP(I2080,Dados!$S:$V,3,0)),0,1)</f>
        <v>0</v>
      </c>
      <c r="T2080" s="4">
        <f>IF(AND(VLOOKUP(G2080,Dados!$D:$L,3,0)&lt;=VLOOKUP(H2080,Dados!$X:$AB,2,0),VLOOKUP(G2080,Dados!$D:$L,4,0)&gt;=VLOOKUP(H2080,Dados!$X:$AB,3,0),VLOOKUP(G2080,Dados!$D:$L,4,0)&lt;=VLOOKUP(H2080,Dados!$X:$AB,4,0)),0,1)</f>
        <v>0</v>
      </c>
      <c r="U2080" s="4">
        <f>IF(COUNTIFS(F:F,F2080,H:H,H2080)&lt;=VLOOKUP(H2080,Dados!$X:$AB,5,0),0,1)</f>
        <v>0</v>
      </c>
    </row>
    <row r="2081" spans="6:21">
      <c r="F2081" s="4">
        <v>942</v>
      </c>
      <c r="G2081" s="4">
        <v>59</v>
      </c>
      <c r="H2081" s="4">
        <v>3</v>
      </c>
      <c r="I2081" s="4">
        <v>24</v>
      </c>
      <c r="J2081" s="4">
        <v>2</v>
      </c>
      <c r="K2081" s="4">
        <f t="shared" si="322"/>
        <v>0</v>
      </c>
      <c r="L2081" s="4">
        <f t="shared" si="322"/>
        <v>0</v>
      </c>
      <c r="M2081" s="4">
        <f t="shared" si="322"/>
        <v>0</v>
      </c>
      <c r="N2081" s="4">
        <f t="shared" si="322"/>
        <v>0</v>
      </c>
      <c r="O2081" s="4">
        <f t="shared" si="318"/>
        <v>0</v>
      </c>
      <c r="P2081" s="4">
        <f t="shared" si="319"/>
        <v>0</v>
      </c>
      <c r="Q2081" s="4">
        <f t="shared" si="320"/>
        <v>0</v>
      </c>
      <c r="R2081" s="4">
        <f t="shared" si="321"/>
        <v>0</v>
      </c>
      <c r="S2081" s="4">
        <f>IF(AND(VLOOKUP(G2081,Dados!$D:$L,2,0)=VLOOKUP(I2081,Dados!$S:$V,2,0),VLOOKUP(G2081,Dados!$D:$L,3,0)=VLOOKUP(I2081,Dados!$S:$V,3,0)),0,1)</f>
        <v>0</v>
      </c>
      <c r="T2081" s="4">
        <f>IF(AND(VLOOKUP(G2081,Dados!$D:$L,3,0)&lt;=VLOOKUP(H2081,Dados!$X:$AB,2,0),VLOOKUP(G2081,Dados!$D:$L,4,0)&gt;=VLOOKUP(H2081,Dados!$X:$AB,3,0),VLOOKUP(G2081,Dados!$D:$L,4,0)&lt;=VLOOKUP(H2081,Dados!$X:$AB,4,0)),0,1)</f>
        <v>0</v>
      </c>
      <c r="U2081" s="4">
        <f>IF(COUNTIFS(F:F,F2081,H:H,H2081)&lt;=VLOOKUP(H2081,Dados!$X:$AB,5,0),0,1)</f>
        <v>0</v>
      </c>
    </row>
    <row r="2082" spans="6:21">
      <c r="F2082" s="4">
        <v>942</v>
      </c>
      <c r="G2082" s="4">
        <v>61</v>
      </c>
      <c r="H2082" s="4">
        <v>3</v>
      </c>
      <c r="I2082" s="4">
        <v>24</v>
      </c>
      <c r="J2082" s="4">
        <v>1</v>
      </c>
      <c r="K2082" s="4">
        <f t="shared" si="322"/>
        <v>0</v>
      </c>
      <c r="L2082" s="4">
        <f t="shared" si="322"/>
        <v>0</v>
      </c>
      <c r="M2082" s="4">
        <f t="shared" si="322"/>
        <v>0</v>
      </c>
      <c r="N2082" s="4">
        <f t="shared" si="322"/>
        <v>0</v>
      </c>
      <c r="O2082" s="4">
        <f t="shared" si="318"/>
        <v>0</v>
      </c>
      <c r="P2082" s="4">
        <f t="shared" si="319"/>
        <v>0</v>
      </c>
      <c r="Q2082" s="4">
        <f t="shared" si="320"/>
        <v>0</v>
      </c>
      <c r="R2082" s="4">
        <f t="shared" si="321"/>
        <v>0</v>
      </c>
      <c r="S2082" s="4">
        <f>IF(AND(VLOOKUP(G2082,Dados!$D:$L,2,0)=VLOOKUP(I2082,Dados!$S:$V,2,0),VLOOKUP(G2082,Dados!$D:$L,3,0)=VLOOKUP(I2082,Dados!$S:$V,3,0)),0,1)</f>
        <v>0</v>
      </c>
      <c r="T2082" s="4">
        <f>IF(AND(VLOOKUP(G2082,Dados!$D:$L,3,0)&lt;=VLOOKUP(H2082,Dados!$X:$AB,2,0),VLOOKUP(G2082,Dados!$D:$L,4,0)&gt;=VLOOKUP(H2082,Dados!$X:$AB,3,0),VLOOKUP(G2082,Dados!$D:$L,4,0)&lt;=VLOOKUP(H2082,Dados!$X:$AB,4,0)),0,1)</f>
        <v>0</v>
      </c>
      <c r="U2082" s="4">
        <f>IF(COUNTIFS(F:F,F2082,H:H,H2082)&lt;=VLOOKUP(H2082,Dados!$X:$AB,5,0),0,1)</f>
        <v>0</v>
      </c>
    </row>
    <row r="2083" spans="6:21">
      <c r="F2083" s="4">
        <v>942</v>
      </c>
      <c r="G2083" s="4">
        <v>62</v>
      </c>
      <c r="H2083" s="4">
        <v>3</v>
      </c>
      <c r="I2083" s="4">
        <v>24</v>
      </c>
      <c r="J2083" s="4">
        <v>1</v>
      </c>
      <c r="K2083" s="4">
        <f t="shared" si="322"/>
        <v>0</v>
      </c>
      <c r="L2083" s="4">
        <f t="shared" si="322"/>
        <v>0</v>
      </c>
      <c r="M2083" s="4">
        <f t="shared" si="322"/>
        <v>0</v>
      </c>
      <c r="N2083" s="4">
        <f t="shared" si="322"/>
        <v>0</v>
      </c>
      <c r="O2083" s="4">
        <f t="shared" si="318"/>
        <v>0</v>
      </c>
      <c r="P2083" s="4">
        <f t="shared" si="319"/>
        <v>0</v>
      </c>
      <c r="Q2083" s="4">
        <f t="shared" si="320"/>
        <v>0</v>
      </c>
      <c r="R2083" s="4">
        <f t="shared" si="321"/>
        <v>0</v>
      </c>
      <c r="S2083" s="4">
        <f>IF(AND(VLOOKUP(G2083,Dados!$D:$L,2,0)=VLOOKUP(I2083,Dados!$S:$V,2,0),VLOOKUP(G2083,Dados!$D:$L,3,0)=VLOOKUP(I2083,Dados!$S:$V,3,0)),0,1)</f>
        <v>0</v>
      </c>
      <c r="T2083" s="4">
        <f>IF(AND(VLOOKUP(G2083,Dados!$D:$L,3,0)&lt;=VLOOKUP(H2083,Dados!$X:$AB,2,0),VLOOKUP(G2083,Dados!$D:$L,4,0)&gt;=VLOOKUP(H2083,Dados!$X:$AB,3,0),VLOOKUP(G2083,Dados!$D:$L,4,0)&lt;=VLOOKUP(H2083,Dados!$X:$AB,4,0)),0,1)</f>
        <v>0</v>
      </c>
      <c r="U2083" s="4">
        <f>IF(COUNTIFS(F:F,F2083,H:H,H2083)&lt;=VLOOKUP(H2083,Dados!$X:$AB,5,0),0,1)</f>
        <v>0</v>
      </c>
    </row>
    <row r="2084" spans="6:21">
      <c r="F2084" s="4">
        <v>942</v>
      </c>
      <c r="G2084" s="4">
        <v>66</v>
      </c>
      <c r="H2084" s="4">
        <v>3</v>
      </c>
      <c r="I2084" s="4">
        <v>24</v>
      </c>
      <c r="J2084" s="4">
        <v>3</v>
      </c>
      <c r="K2084" s="4">
        <f t="shared" si="322"/>
        <v>0</v>
      </c>
      <c r="L2084" s="4">
        <f t="shared" si="322"/>
        <v>0</v>
      </c>
      <c r="M2084" s="4">
        <f t="shared" si="322"/>
        <v>0</v>
      </c>
      <c r="N2084" s="4">
        <f t="shared" si="322"/>
        <v>0</v>
      </c>
      <c r="O2084" s="4">
        <f t="shared" si="318"/>
        <v>0</v>
      </c>
      <c r="P2084" s="4">
        <f t="shared" si="319"/>
        <v>0</v>
      </c>
      <c r="Q2084" s="4">
        <f t="shared" si="320"/>
        <v>0</v>
      </c>
      <c r="R2084" s="4">
        <f t="shared" si="321"/>
        <v>0</v>
      </c>
      <c r="S2084" s="4">
        <f>IF(AND(VLOOKUP(G2084,Dados!$D:$L,2,0)=VLOOKUP(I2084,Dados!$S:$V,2,0),VLOOKUP(G2084,Dados!$D:$L,3,0)=VLOOKUP(I2084,Dados!$S:$V,3,0)),0,1)</f>
        <v>0</v>
      </c>
      <c r="T2084" s="4">
        <f>IF(AND(VLOOKUP(G2084,Dados!$D:$L,3,0)&lt;=VLOOKUP(H2084,Dados!$X:$AB,2,0),VLOOKUP(G2084,Dados!$D:$L,4,0)&gt;=VLOOKUP(H2084,Dados!$X:$AB,3,0),VLOOKUP(G2084,Dados!$D:$L,4,0)&lt;=VLOOKUP(H2084,Dados!$X:$AB,4,0)),0,1)</f>
        <v>0</v>
      </c>
      <c r="U2084" s="4">
        <f>IF(COUNTIFS(F:F,F2084,H:H,H2084)&lt;=VLOOKUP(H2084,Dados!$X:$AB,5,0),0,1)</f>
        <v>0</v>
      </c>
    </row>
    <row r="2085" spans="6:21">
      <c r="F2085" s="4">
        <v>943</v>
      </c>
      <c r="G2085" s="4">
        <v>59</v>
      </c>
      <c r="H2085" s="4">
        <v>1</v>
      </c>
      <c r="I2085" s="4">
        <v>25</v>
      </c>
      <c r="J2085" s="4">
        <v>8</v>
      </c>
      <c r="K2085" s="4">
        <f t="shared" si="322"/>
        <v>0</v>
      </c>
      <c r="L2085" s="4">
        <f t="shared" si="322"/>
        <v>0</v>
      </c>
      <c r="M2085" s="4">
        <f t="shared" si="322"/>
        <v>0</v>
      </c>
      <c r="N2085" s="4">
        <f t="shared" si="322"/>
        <v>0</v>
      </c>
      <c r="O2085" s="4">
        <f t="shared" si="318"/>
        <v>0</v>
      </c>
      <c r="P2085" s="4">
        <f t="shared" si="319"/>
        <v>0</v>
      </c>
      <c r="Q2085" s="4">
        <f t="shared" si="320"/>
        <v>0</v>
      </c>
      <c r="R2085" s="4">
        <f t="shared" si="321"/>
        <v>0</v>
      </c>
      <c r="S2085" s="4">
        <f>IF(AND(VLOOKUP(G2085,Dados!$D:$L,2,0)=VLOOKUP(I2085,Dados!$S:$V,2,0),VLOOKUP(G2085,Dados!$D:$L,3,0)=VLOOKUP(I2085,Dados!$S:$V,3,0)),0,1)</f>
        <v>0</v>
      </c>
      <c r="T2085" s="4">
        <f>IF(AND(VLOOKUP(G2085,Dados!$D:$L,3,0)&lt;=VLOOKUP(H2085,Dados!$X:$AB,2,0),VLOOKUP(G2085,Dados!$D:$L,4,0)&gt;=VLOOKUP(H2085,Dados!$X:$AB,3,0),VLOOKUP(G2085,Dados!$D:$L,4,0)&lt;=VLOOKUP(H2085,Dados!$X:$AB,4,0)),0,1)</f>
        <v>0</v>
      </c>
      <c r="U2085" s="4">
        <f>IF(COUNTIFS(F:F,F2085,H:H,H2085)&lt;=VLOOKUP(H2085,Dados!$X:$AB,5,0),0,1)</f>
        <v>0</v>
      </c>
    </row>
    <row r="2086" spans="6:21">
      <c r="F2086" s="4">
        <v>943</v>
      </c>
      <c r="G2086" s="4">
        <v>61</v>
      </c>
      <c r="H2086" s="4">
        <v>1</v>
      </c>
      <c r="I2086" s="4">
        <v>25</v>
      </c>
      <c r="J2086" s="4">
        <v>1</v>
      </c>
      <c r="K2086" s="4">
        <f t="shared" si="322"/>
        <v>0</v>
      </c>
      <c r="L2086" s="4">
        <f t="shared" si="322"/>
        <v>0</v>
      </c>
      <c r="M2086" s="4">
        <f t="shared" si="322"/>
        <v>0</v>
      </c>
      <c r="N2086" s="4">
        <f t="shared" si="322"/>
        <v>0</v>
      </c>
      <c r="O2086" s="4">
        <f t="shared" si="318"/>
        <v>0</v>
      </c>
      <c r="P2086" s="4">
        <f t="shared" si="319"/>
        <v>0</v>
      </c>
      <c r="Q2086" s="4">
        <f t="shared" si="320"/>
        <v>0</v>
      </c>
      <c r="R2086" s="4">
        <f t="shared" si="321"/>
        <v>0</v>
      </c>
      <c r="S2086" s="4">
        <f>IF(AND(VLOOKUP(G2086,Dados!$D:$L,2,0)=VLOOKUP(I2086,Dados!$S:$V,2,0),VLOOKUP(G2086,Dados!$D:$L,3,0)=VLOOKUP(I2086,Dados!$S:$V,3,0)),0,1)</f>
        <v>0</v>
      </c>
      <c r="T2086" s="4">
        <f>IF(AND(VLOOKUP(G2086,Dados!$D:$L,3,0)&lt;=VLOOKUP(H2086,Dados!$X:$AB,2,0),VLOOKUP(G2086,Dados!$D:$L,4,0)&gt;=VLOOKUP(H2086,Dados!$X:$AB,3,0),VLOOKUP(G2086,Dados!$D:$L,4,0)&lt;=VLOOKUP(H2086,Dados!$X:$AB,4,0)),0,1)</f>
        <v>0</v>
      </c>
      <c r="U2086" s="4">
        <f>IF(COUNTIFS(F:F,F2086,H:H,H2086)&lt;=VLOOKUP(H2086,Dados!$X:$AB,5,0),0,1)</f>
        <v>0</v>
      </c>
    </row>
    <row r="2087" spans="6:21">
      <c r="F2087" s="4">
        <v>943</v>
      </c>
      <c r="G2087" s="4">
        <v>65</v>
      </c>
      <c r="H2087" s="4">
        <v>1</v>
      </c>
      <c r="I2087" s="4">
        <v>25</v>
      </c>
      <c r="J2087" s="4">
        <v>1</v>
      </c>
      <c r="K2087" s="4">
        <f t="shared" si="322"/>
        <v>0</v>
      </c>
      <c r="L2087" s="4">
        <f t="shared" si="322"/>
        <v>0</v>
      </c>
      <c r="M2087" s="4">
        <f t="shared" si="322"/>
        <v>0</v>
      </c>
      <c r="N2087" s="4">
        <f t="shared" si="322"/>
        <v>0</v>
      </c>
      <c r="O2087" s="4">
        <f t="shared" ref="O2087:O2150" si="323">$J2087*K2087</f>
        <v>0</v>
      </c>
      <c r="P2087" s="4">
        <f t="shared" ref="P2087:P2150" si="324">$J2087*L2087</f>
        <v>0</v>
      </c>
      <c r="Q2087" s="4">
        <f t="shared" ref="Q2087:Q2150" si="325">$J2087*M2087</f>
        <v>0</v>
      </c>
      <c r="R2087" s="4">
        <f t="shared" ref="R2087:R2150" si="326">$J2087*N2087</f>
        <v>0</v>
      </c>
      <c r="S2087" s="4">
        <f>IF(AND(VLOOKUP(G2087,Dados!$D:$L,2,0)=VLOOKUP(I2087,Dados!$S:$V,2,0),VLOOKUP(G2087,Dados!$D:$L,3,0)=VLOOKUP(I2087,Dados!$S:$V,3,0)),0,1)</f>
        <v>0</v>
      </c>
      <c r="T2087" s="4">
        <f>IF(AND(VLOOKUP(G2087,Dados!$D:$L,3,0)&lt;=VLOOKUP(H2087,Dados!$X:$AB,2,0),VLOOKUP(G2087,Dados!$D:$L,4,0)&gt;=VLOOKUP(H2087,Dados!$X:$AB,3,0),VLOOKUP(G2087,Dados!$D:$L,4,0)&lt;=VLOOKUP(H2087,Dados!$X:$AB,4,0)),0,1)</f>
        <v>0</v>
      </c>
      <c r="U2087" s="4">
        <f>IF(COUNTIFS(F:F,F2087,H:H,H2087)&lt;=VLOOKUP(H2087,Dados!$X:$AB,5,0),0,1)</f>
        <v>0</v>
      </c>
    </row>
    <row r="2088" spans="6:21">
      <c r="F2088" s="4">
        <v>944</v>
      </c>
      <c r="G2088" s="4">
        <v>59</v>
      </c>
      <c r="H2088" s="4">
        <v>2</v>
      </c>
      <c r="I2088" s="4">
        <v>25</v>
      </c>
      <c r="J2088" s="4">
        <v>8</v>
      </c>
      <c r="K2088" s="4">
        <f t="shared" si="322"/>
        <v>0</v>
      </c>
      <c r="L2088" s="4">
        <f t="shared" si="322"/>
        <v>0</v>
      </c>
      <c r="M2088" s="4">
        <f t="shared" si="322"/>
        <v>0</v>
      </c>
      <c r="N2088" s="4">
        <f t="shared" si="322"/>
        <v>0</v>
      </c>
      <c r="O2088" s="4">
        <f t="shared" si="323"/>
        <v>0</v>
      </c>
      <c r="P2088" s="4">
        <f t="shared" si="324"/>
        <v>0</v>
      </c>
      <c r="Q2088" s="4">
        <f t="shared" si="325"/>
        <v>0</v>
      </c>
      <c r="R2088" s="4">
        <f t="shared" si="326"/>
        <v>0</v>
      </c>
      <c r="S2088" s="4">
        <f>IF(AND(VLOOKUP(G2088,Dados!$D:$L,2,0)=VLOOKUP(I2088,Dados!$S:$V,2,0),VLOOKUP(G2088,Dados!$D:$L,3,0)=VLOOKUP(I2088,Dados!$S:$V,3,0)),0,1)</f>
        <v>0</v>
      </c>
      <c r="T2088" s="4">
        <f>IF(AND(VLOOKUP(G2088,Dados!$D:$L,3,0)&lt;=VLOOKUP(H2088,Dados!$X:$AB,2,0),VLOOKUP(G2088,Dados!$D:$L,4,0)&gt;=VLOOKUP(H2088,Dados!$X:$AB,3,0),VLOOKUP(G2088,Dados!$D:$L,4,0)&lt;=VLOOKUP(H2088,Dados!$X:$AB,4,0)),0,1)</f>
        <v>0</v>
      </c>
      <c r="U2088" s="4">
        <f>IF(COUNTIFS(F:F,F2088,H:H,H2088)&lt;=VLOOKUP(H2088,Dados!$X:$AB,5,0),0,1)</f>
        <v>0</v>
      </c>
    </row>
    <row r="2089" spans="6:21">
      <c r="F2089" s="4">
        <v>944</v>
      </c>
      <c r="G2089" s="4">
        <v>61</v>
      </c>
      <c r="H2089" s="4">
        <v>2</v>
      </c>
      <c r="I2089" s="4">
        <v>25</v>
      </c>
      <c r="J2089" s="4">
        <v>1</v>
      </c>
      <c r="K2089" s="4">
        <f t="shared" si="322"/>
        <v>0</v>
      </c>
      <c r="L2089" s="4">
        <f t="shared" si="322"/>
        <v>0</v>
      </c>
      <c r="M2089" s="4">
        <f t="shared" si="322"/>
        <v>0</v>
      </c>
      <c r="N2089" s="4">
        <f t="shared" si="322"/>
        <v>0</v>
      </c>
      <c r="O2089" s="4">
        <f t="shared" si="323"/>
        <v>0</v>
      </c>
      <c r="P2089" s="4">
        <f t="shared" si="324"/>
        <v>0</v>
      </c>
      <c r="Q2089" s="4">
        <f t="shared" si="325"/>
        <v>0</v>
      </c>
      <c r="R2089" s="4">
        <f t="shared" si="326"/>
        <v>0</v>
      </c>
      <c r="S2089" s="4">
        <f>IF(AND(VLOOKUP(G2089,Dados!$D:$L,2,0)=VLOOKUP(I2089,Dados!$S:$V,2,0),VLOOKUP(G2089,Dados!$D:$L,3,0)=VLOOKUP(I2089,Dados!$S:$V,3,0)),0,1)</f>
        <v>0</v>
      </c>
      <c r="T2089" s="4">
        <f>IF(AND(VLOOKUP(G2089,Dados!$D:$L,3,0)&lt;=VLOOKUP(H2089,Dados!$X:$AB,2,0),VLOOKUP(G2089,Dados!$D:$L,4,0)&gt;=VLOOKUP(H2089,Dados!$X:$AB,3,0),VLOOKUP(G2089,Dados!$D:$L,4,0)&lt;=VLOOKUP(H2089,Dados!$X:$AB,4,0)),0,1)</f>
        <v>0</v>
      </c>
      <c r="U2089" s="4">
        <f>IF(COUNTIFS(F:F,F2089,H:H,H2089)&lt;=VLOOKUP(H2089,Dados!$X:$AB,5,0),0,1)</f>
        <v>0</v>
      </c>
    </row>
    <row r="2090" spans="6:21">
      <c r="F2090" s="4">
        <v>944</v>
      </c>
      <c r="G2090" s="4">
        <v>65</v>
      </c>
      <c r="H2090" s="4">
        <v>2</v>
      </c>
      <c r="I2090" s="4">
        <v>25</v>
      </c>
      <c r="J2090" s="4">
        <v>1</v>
      </c>
      <c r="K2090" s="4">
        <f t="shared" si="322"/>
        <v>0</v>
      </c>
      <c r="L2090" s="4">
        <f t="shared" si="322"/>
        <v>0</v>
      </c>
      <c r="M2090" s="4">
        <f t="shared" si="322"/>
        <v>0</v>
      </c>
      <c r="N2090" s="4">
        <f t="shared" si="322"/>
        <v>0</v>
      </c>
      <c r="O2090" s="4">
        <f t="shared" si="323"/>
        <v>0</v>
      </c>
      <c r="P2090" s="4">
        <f t="shared" si="324"/>
        <v>0</v>
      </c>
      <c r="Q2090" s="4">
        <f t="shared" si="325"/>
        <v>0</v>
      </c>
      <c r="R2090" s="4">
        <f t="shared" si="326"/>
        <v>0</v>
      </c>
      <c r="S2090" s="4">
        <f>IF(AND(VLOOKUP(G2090,Dados!$D:$L,2,0)=VLOOKUP(I2090,Dados!$S:$V,2,0),VLOOKUP(G2090,Dados!$D:$L,3,0)=VLOOKUP(I2090,Dados!$S:$V,3,0)),0,1)</f>
        <v>0</v>
      </c>
      <c r="T2090" s="4">
        <f>IF(AND(VLOOKUP(G2090,Dados!$D:$L,3,0)&lt;=VLOOKUP(H2090,Dados!$X:$AB,2,0),VLOOKUP(G2090,Dados!$D:$L,4,0)&gt;=VLOOKUP(H2090,Dados!$X:$AB,3,0),VLOOKUP(G2090,Dados!$D:$L,4,0)&lt;=VLOOKUP(H2090,Dados!$X:$AB,4,0)),0,1)</f>
        <v>0</v>
      </c>
      <c r="U2090" s="4">
        <f>IF(COUNTIFS(F:F,F2090,H:H,H2090)&lt;=VLOOKUP(H2090,Dados!$X:$AB,5,0),0,1)</f>
        <v>0</v>
      </c>
    </row>
    <row r="2091" spans="6:21">
      <c r="F2091" s="4">
        <v>945</v>
      </c>
      <c r="G2091" s="4">
        <v>59</v>
      </c>
      <c r="H2091" s="4">
        <v>3</v>
      </c>
      <c r="I2091" s="4">
        <v>25</v>
      </c>
      <c r="J2091" s="4">
        <v>2</v>
      </c>
      <c r="K2091" s="4">
        <f t="shared" si="322"/>
        <v>0</v>
      </c>
      <c r="L2091" s="4">
        <f t="shared" si="322"/>
        <v>0</v>
      </c>
      <c r="M2091" s="4">
        <f t="shared" si="322"/>
        <v>0</v>
      </c>
      <c r="N2091" s="4">
        <f t="shared" si="322"/>
        <v>0</v>
      </c>
      <c r="O2091" s="4">
        <f t="shared" si="323"/>
        <v>0</v>
      </c>
      <c r="P2091" s="4">
        <f t="shared" si="324"/>
        <v>0</v>
      </c>
      <c r="Q2091" s="4">
        <f t="shared" si="325"/>
        <v>0</v>
      </c>
      <c r="R2091" s="4">
        <f t="shared" si="326"/>
        <v>0</v>
      </c>
      <c r="S2091" s="4">
        <f>IF(AND(VLOOKUP(G2091,Dados!$D:$L,2,0)=VLOOKUP(I2091,Dados!$S:$V,2,0),VLOOKUP(G2091,Dados!$D:$L,3,0)=VLOOKUP(I2091,Dados!$S:$V,3,0)),0,1)</f>
        <v>0</v>
      </c>
      <c r="T2091" s="4">
        <f>IF(AND(VLOOKUP(G2091,Dados!$D:$L,3,0)&lt;=VLOOKUP(H2091,Dados!$X:$AB,2,0),VLOOKUP(G2091,Dados!$D:$L,4,0)&gt;=VLOOKUP(H2091,Dados!$X:$AB,3,0),VLOOKUP(G2091,Dados!$D:$L,4,0)&lt;=VLOOKUP(H2091,Dados!$X:$AB,4,0)),0,1)</f>
        <v>0</v>
      </c>
      <c r="U2091" s="4">
        <f>IF(COUNTIFS(F:F,F2091,H:H,H2091)&lt;=VLOOKUP(H2091,Dados!$X:$AB,5,0),0,1)</f>
        <v>0</v>
      </c>
    </row>
    <row r="2092" spans="6:21">
      <c r="F2092" s="4">
        <v>945</v>
      </c>
      <c r="G2092" s="4">
        <v>60</v>
      </c>
      <c r="H2092" s="4">
        <v>3</v>
      </c>
      <c r="I2092" s="4">
        <v>25</v>
      </c>
      <c r="J2092" s="4">
        <v>1</v>
      </c>
      <c r="K2092" s="4">
        <f t="shared" si="322"/>
        <v>0</v>
      </c>
      <c r="L2092" s="4">
        <f t="shared" si="322"/>
        <v>0</v>
      </c>
      <c r="M2092" s="4">
        <f t="shared" si="322"/>
        <v>0</v>
      </c>
      <c r="N2092" s="4">
        <f t="shared" si="322"/>
        <v>0</v>
      </c>
      <c r="O2092" s="4">
        <f t="shared" si="323"/>
        <v>0</v>
      </c>
      <c r="P2092" s="4">
        <f t="shared" si="324"/>
        <v>0</v>
      </c>
      <c r="Q2092" s="4">
        <f t="shared" si="325"/>
        <v>0</v>
      </c>
      <c r="R2092" s="4">
        <f t="shared" si="326"/>
        <v>0</v>
      </c>
      <c r="S2092" s="4">
        <f>IF(AND(VLOOKUP(G2092,Dados!$D:$L,2,0)=VLOOKUP(I2092,Dados!$S:$V,2,0),VLOOKUP(G2092,Dados!$D:$L,3,0)=VLOOKUP(I2092,Dados!$S:$V,3,0)),0,1)</f>
        <v>0</v>
      </c>
      <c r="T2092" s="4">
        <f>IF(AND(VLOOKUP(G2092,Dados!$D:$L,3,0)&lt;=VLOOKUP(H2092,Dados!$X:$AB,2,0),VLOOKUP(G2092,Dados!$D:$L,4,0)&gt;=VLOOKUP(H2092,Dados!$X:$AB,3,0),VLOOKUP(G2092,Dados!$D:$L,4,0)&lt;=VLOOKUP(H2092,Dados!$X:$AB,4,0)),0,1)</f>
        <v>0</v>
      </c>
      <c r="U2092" s="4">
        <f>IF(COUNTIFS(F:F,F2092,H:H,H2092)&lt;=VLOOKUP(H2092,Dados!$X:$AB,5,0),0,1)</f>
        <v>0</v>
      </c>
    </row>
    <row r="2093" spans="6:21">
      <c r="F2093" s="4">
        <v>945</v>
      </c>
      <c r="G2093" s="4">
        <v>61</v>
      </c>
      <c r="H2093" s="4">
        <v>3</v>
      </c>
      <c r="I2093" s="4">
        <v>25</v>
      </c>
      <c r="J2093" s="4">
        <v>1</v>
      </c>
      <c r="K2093" s="4">
        <f t="shared" si="322"/>
        <v>0</v>
      </c>
      <c r="L2093" s="4">
        <f t="shared" si="322"/>
        <v>0</v>
      </c>
      <c r="M2093" s="4">
        <f t="shared" si="322"/>
        <v>0</v>
      </c>
      <c r="N2093" s="4">
        <f t="shared" si="322"/>
        <v>0</v>
      </c>
      <c r="O2093" s="4">
        <f t="shared" si="323"/>
        <v>0</v>
      </c>
      <c r="P2093" s="4">
        <f t="shared" si="324"/>
        <v>0</v>
      </c>
      <c r="Q2093" s="4">
        <f t="shared" si="325"/>
        <v>0</v>
      </c>
      <c r="R2093" s="4">
        <f t="shared" si="326"/>
        <v>0</v>
      </c>
      <c r="S2093" s="4">
        <f>IF(AND(VLOOKUP(G2093,Dados!$D:$L,2,0)=VLOOKUP(I2093,Dados!$S:$V,2,0),VLOOKUP(G2093,Dados!$D:$L,3,0)=VLOOKUP(I2093,Dados!$S:$V,3,0)),0,1)</f>
        <v>0</v>
      </c>
      <c r="T2093" s="4">
        <f>IF(AND(VLOOKUP(G2093,Dados!$D:$L,3,0)&lt;=VLOOKUP(H2093,Dados!$X:$AB,2,0),VLOOKUP(G2093,Dados!$D:$L,4,0)&gt;=VLOOKUP(H2093,Dados!$X:$AB,3,0),VLOOKUP(G2093,Dados!$D:$L,4,0)&lt;=VLOOKUP(H2093,Dados!$X:$AB,4,0)),0,1)</f>
        <v>0</v>
      </c>
      <c r="U2093" s="4">
        <f>IF(COUNTIFS(F:F,F2093,H:H,H2093)&lt;=VLOOKUP(H2093,Dados!$X:$AB,5,0),0,1)</f>
        <v>0</v>
      </c>
    </row>
    <row r="2094" spans="6:21">
      <c r="F2094" s="4">
        <v>945</v>
      </c>
      <c r="G2094" s="4">
        <v>66</v>
      </c>
      <c r="H2094" s="4">
        <v>3</v>
      </c>
      <c r="I2094" s="4">
        <v>25</v>
      </c>
      <c r="J2094" s="4">
        <v>4</v>
      </c>
      <c r="K2094" s="4">
        <f t="shared" si="322"/>
        <v>0</v>
      </c>
      <c r="L2094" s="4">
        <f t="shared" si="322"/>
        <v>0</v>
      </c>
      <c r="M2094" s="4">
        <f t="shared" si="322"/>
        <v>0</v>
      </c>
      <c r="N2094" s="4">
        <f t="shared" si="322"/>
        <v>0</v>
      </c>
      <c r="O2094" s="4">
        <f t="shared" si="323"/>
        <v>0</v>
      </c>
      <c r="P2094" s="4">
        <f t="shared" si="324"/>
        <v>0</v>
      </c>
      <c r="Q2094" s="4">
        <f t="shared" si="325"/>
        <v>0</v>
      </c>
      <c r="R2094" s="4">
        <f t="shared" si="326"/>
        <v>0</v>
      </c>
      <c r="S2094" s="4">
        <f>IF(AND(VLOOKUP(G2094,Dados!$D:$L,2,0)=VLOOKUP(I2094,Dados!$S:$V,2,0),VLOOKUP(G2094,Dados!$D:$L,3,0)=VLOOKUP(I2094,Dados!$S:$V,3,0)),0,1)</f>
        <v>0</v>
      </c>
      <c r="T2094" s="4">
        <f>IF(AND(VLOOKUP(G2094,Dados!$D:$L,3,0)&lt;=VLOOKUP(H2094,Dados!$X:$AB,2,0),VLOOKUP(G2094,Dados!$D:$L,4,0)&gt;=VLOOKUP(H2094,Dados!$X:$AB,3,0),VLOOKUP(G2094,Dados!$D:$L,4,0)&lt;=VLOOKUP(H2094,Dados!$X:$AB,4,0)),0,1)</f>
        <v>0</v>
      </c>
      <c r="U2094" s="4">
        <f>IF(COUNTIFS(F:F,F2094,H:H,H2094)&lt;=VLOOKUP(H2094,Dados!$X:$AB,5,0),0,1)</f>
        <v>0</v>
      </c>
    </row>
    <row r="2095" spans="6:21">
      <c r="F2095" s="4">
        <v>946</v>
      </c>
      <c r="G2095" s="4">
        <v>59</v>
      </c>
      <c r="H2095" s="4">
        <v>1</v>
      </c>
      <c r="I2095" s="4">
        <v>26</v>
      </c>
      <c r="J2095" s="4">
        <v>7</v>
      </c>
      <c r="K2095" s="4">
        <f t="shared" si="322"/>
        <v>0</v>
      </c>
      <c r="L2095" s="4">
        <f t="shared" si="322"/>
        <v>0</v>
      </c>
      <c r="M2095" s="4">
        <f t="shared" si="322"/>
        <v>0</v>
      </c>
      <c r="N2095" s="4">
        <f t="shared" si="322"/>
        <v>0</v>
      </c>
      <c r="O2095" s="4">
        <f t="shared" si="323"/>
        <v>0</v>
      </c>
      <c r="P2095" s="4">
        <f t="shared" si="324"/>
        <v>0</v>
      </c>
      <c r="Q2095" s="4">
        <f t="shared" si="325"/>
        <v>0</v>
      </c>
      <c r="R2095" s="4">
        <f t="shared" si="326"/>
        <v>0</v>
      </c>
      <c r="S2095" s="4">
        <f>IF(AND(VLOOKUP(G2095,Dados!$D:$L,2,0)=VLOOKUP(I2095,Dados!$S:$V,2,0),VLOOKUP(G2095,Dados!$D:$L,3,0)=VLOOKUP(I2095,Dados!$S:$V,3,0)),0,1)</f>
        <v>0</v>
      </c>
      <c r="T2095" s="4">
        <f>IF(AND(VLOOKUP(G2095,Dados!$D:$L,3,0)&lt;=VLOOKUP(H2095,Dados!$X:$AB,2,0),VLOOKUP(G2095,Dados!$D:$L,4,0)&gt;=VLOOKUP(H2095,Dados!$X:$AB,3,0),VLOOKUP(G2095,Dados!$D:$L,4,0)&lt;=VLOOKUP(H2095,Dados!$X:$AB,4,0)),0,1)</f>
        <v>0</v>
      </c>
      <c r="U2095" s="4">
        <f>IF(COUNTIFS(F:F,F2095,H:H,H2095)&lt;=VLOOKUP(H2095,Dados!$X:$AB,5,0),0,1)</f>
        <v>0</v>
      </c>
    </row>
    <row r="2096" spans="6:21">
      <c r="F2096" s="4">
        <v>946</v>
      </c>
      <c r="G2096" s="4">
        <v>61</v>
      </c>
      <c r="H2096" s="4">
        <v>1</v>
      </c>
      <c r="I2096" s="4">
        <v>26</v>
      </c>
      <c r="J2096" s="4">
        <v>1</v>
      </c>
      <c r="K2096" s="4">
        <f t="shared" si="322"/>
        <v>0</v>
      </c>
      <c r="L2096" s="4">
        <f t="shared" si="322"/>
        <v>0</v>
      </c>
      <c r="M2096" s="4">
        <f t="shared" si="322"/>
        <v>0</v>
      </c>
      <c r="N2096" s="4">
        <f t="shared" si="322"/>
        <v>0</v>
      </c>
      <c r="O2096" s="4">
        <f t="shared" si="323"/>
        <v>0</v>
      </c>
      <c r="P2096" s="4">
        <f t="shared" si="324"/>
        <v>0</v>
      </c>
      <c r="Q2096" s="4">
        <f t="shared" si="325"/>
        <v>0</v>
      </c>
      <c r="R2096" s="4">
        <f t="shared" si="326"/>
        <v>0</v>
      </c>
      <c r="S2096" s="4">
        <f>IF(AND(VLOOKUP(G2096,Dados!$D:$L,2,0)=VLOOKUP(I2096,Dados!$S:$V,2,0),VLOOKUP(G2096,Dados!$D:$L,3,0)=VLOOKUP(I2096,Dados!$S:$V,3,0)),0,1)</f>
        <v>0</v>
      </c>
      <c r="T2096" s="4">
        <f>IF(AND(VLOOKUP(G2096,Dados!$D:$L,3,0)&lt;=VLOOKUP(H2096,Dados!$X:$AB,2,0),VLOOKUP(G2096,Dados!$D:$L,4,0)&gt;=VLOOKUP(H2096,Dados!$X:$AB,3,0),VLOOKUP(G2096,Dados!$D:$L,4,0)&lt;=VLOOKUP(H2096,Dados!$X:$AB,4,0)),0,1)</f>
        <v>0</v>
      </c>
      <c r="U2096" s="4">
        <f>IF(COUNTIFS(F:F,F2096,H:H,H2096)&lt;=VLOOKUP(H2096,Dados!$X:$AB,5,0),0,1)</f>
        <v>0</v>
      </c>
    </row>
    <row r="2097" spans="6:21">
      <c r="F2097" s="4">
        <v>946</v>
      </c>
      <c r="G2097" s="4">
        <v>65</v>
      </c>
      <c r="H2097" s="4">
        <v>1</v>
      </c>
      <c r="I2097" s="4">
        <v>26</v>
      </c>
      <c r="J2097" s="4">
        <v>1</v>
      </c>
      <c r="K2097" s="4">
        <f t="shared" si="322"/>
        <v>0</v>
      </c>
      <c r="L2097" s="4">
        <f t="shared" si="322"/>
        <v>0</v>
      </c>
      <c r="M2097" s="4">
        <f t="shared" si="322"/>
        <v>0</v>
      </c>
      <c r="N2097" s="4">
        <f t="shared" si="322"/>
        <v>0</v>
      </c>
      <c r="O2097" s="4">
        <f t="shared" si="323"/>
        <v>0</v>
      </c>
      <c r="P2097" s="4">
        <f t="shared" si="324"/>
        <v>0</v>
      </c>
      <c r="Q2097" s="4">
        <f t="shared" si="325"/>
        <v>0</v>
      </c>
      <c r="R2097" s="4">
        <f t="shared" si="326"/>
        <v>0</v>
      </c>
      <c r="S2097" s="4">
        <f>IF(AND(VLOOKUP(G2097,Dados!$D:$L,2,0)=VLOOKUP(I2097,Dados!$S:$V,2,0),VLOOKUP(G2097,Dados!$D:$L,3,0)=VLOOKUP(I2097,Dados!$S:$V,3,0)),0,1)</f>
        <v>0</v>
      </c>
      <c r="T2097" s="4">
        <f>IF(AND(VLOOKUP(G2097,Dados!$D:$L,3,0)&lt;=VLOOKUP(H2097,Dados!$X:$AB,2,0),VLOOKUP(G2097,Dados!$D:$L,4,0)&gt;=VLOOKUP(H2097,Dados!$X:$AB,3,0),VLOOKUP(G2097,Dados!$D:$L,4,0)&lt;=VLOOKUP(H2097,Dados!$X:$AB,4,0)),0,1)</f>
        <v>0</v>
      </c>
      <c r="U2097" s="4">
        <f>IF(COUNTIFS(F:F,F2097,H:H,H2097)&lt;=VLOOKUP(H2097,Dados!$X:$AB,5,0),0,1)</f>
        <v>0</v>
      </c>
    </row>
    <row r="2098" spans="6:21">
      <c r="F2098" s="4">
        <v>947</v>
      </c>
      <c r="G2098" s="4">
        <v>59</v>
      </c>
      <c r="H2098" s="4">
        <v>2</v>
      </c>
      <c r="I2098" s="4">
        <v>26</v>
      </c>
      <c r="J2098" s="4">
        <v>7</v>
      </c>
      <c r="K2098" s="4">
        <f t="shared" si="322"/>
        <v>0</v>
      </c>
      <c r="L2098" s="4">
        <f t="shared" si="322"/>
        <v>0</v>
      </c>
      <c r="M2098" s="4">
        <f t="shared" si="322"/>
        <v>0</v>
      </c>
      <c r="N2098" s="4">
        <f t="shared" si="322"/>
        <v>0</v>
      </c>
      <c r="O2098" s="4">
        <f t="shared" si="323"/>
        <v>0</v>
      </c>
      <c r="P2098" s="4">
        <f t="shared" si="324"/>
        <v>0</v>
      </c>
      <c r="Q2098" s="4">
        <f t="shared" si="325"/>
        <v>0</v>
      </c>
      <c r="R2098" s="4">
        <f t="shared" si="326"/>
        <v>0</v>
      </c>
      <c r="S2098" s="4">
        <f>IF(AND(VLOOKUP(G2098,Dados!$D:$L,2,0)=VLOOKUP(I2098,Dados!$S:$V,2,0),VLOOKUP(G2098,Dados!$D:$L,3,0)=VLOOKUP(I2098,Dados!$S:$V,3,0)),0,1)</f>
        <v>0</v>
      </c>
      <c r="T2098" s="4">
        <f>IF(AND(VLOOKUP(G2098,Dados!$D:$L,3,0)&lt;=VLOOKUP(H2098,Dados!$X:$AB,2,0),VLOOKUP(G2098,Dados!$D:$L,4,0)&gt;=VLOOKUP(H2098,Dados!$X:$AB,3,0),VLOOKUP(G2098,Dados!$D:$L,4,0)&lt;=VLOOKUP(H2098,Dados!$X:$AB,4,0)),0,1)</f>
        <v>0</v>
      </c>
      <c r="U2098" s="4">
        <f>IF(COUNTIFS(F:F,F2098,H:H,H2098)&lt;=VLOOKUP(H2098,Dados!$X:$AB,5,0),0,1)</f>
        <v>0</v>
      </c>
    </row>
    <row r="2099" spans="6:21">
      <c r="F2099" s="4">
        <v>947</v>
      </c>
      <c r="G2099" s="4">
        <v>61</v>
      </c>
      <c r="H2099" s="4">
        <v>2</v>
      </c>
      <c r="I2099" s="4">
        <v>26</v>
      </c>
      <c r="J2099" s="4">
        <v>1</v>
      </c>
      <c r="K2099" s="4">
        <f t="shared" si="322"/>
        <v>0</v>
      </c>
      <c r="L2099" s="4">
        <f t="shared" si="322"/>
        <v>0</v>
      </c>
      <c r="M2099" s="4">
        <f t="shared" si="322"/>
        <v>0</v>
      </c>
      <c r="N2099" s="4">
        <f t="shared" si="322"/>
        <v>0</v>
      </c>
      <c r="O2099" s="4">
        <f t="shared" si="323"/>
        <v>0</v>
      </c>
      <c r="P2099" s="4">
        <f t="shared" si="324"/>
        <v>0</v>
      </c>
      <c r="Q2099" s="4">
        <f t="shared" si="325"/>
        <v>0</v>
      </c>
      <c r="R2099" s="4">
        <f t="shared" si="326"/>
        <v>0</v>
      </c>
      <c r="S2099" s="4">
        <f>IF(AND(VLOOKUP(G2099,Dados!$D:$L,2,0)=VLOOKUP(I2099,Dados!$S:$V,2,0),VLOOKUP(G2099,Dados!$D:$L,3,0)=VLOOKUP(I2099,Dados!$S:$V,3,0)),0,1)</f>
        <v>0</v>
      </c>
      <c r="T2099" s="4">
        <f>IF(AND(VLOOKUP(G2099,Dados!$D:$L,3,0)&lt;=VLOOKUP(H2099,Dados!$X:$AB,2,0),VLOOKUP(G2099,Dados!$D:$L,4,0)&gt;=VLOOKUP(H2099,Dados!$X:$AB,3,0),VLOOKUP(G2099,Dados!$D:$L,4,0)&lt;=VLOOKUP(H2099,Dados!$X:$AB,4,0)),0,1)</f>
        <v>0</v>
      </c>
      <c r="U2099" s="4">
        <f>IF(COUNTIFS(F:F,F2099,H:H,H2099)&lt;=VLOOKUP(H2099,Dados!$X:$AB,5,0),0,1)</f>
        <v>0</v>
      </c>
    </row>
    <row r="2100" spans="6:21">
      <c r="F2100" s="4">
        <v>947</v>
      </c>
      <c r="G2100" s="4">
        <v>65</v>
      </c>
      <c r="H2100" s="4">
        <v>2</v>
      </c>
      <c r="I2100" s="4">
        <v>26</v>
      </c>
      <c r="J2100" s="4">
        <v>1</v>
      </c>
      <c r="K2100" s="4">
        <f t="shared" si="322"/>
        <v>0</v>
      </c>
      <c r="L2100" s="4">
        <f t="shared" si="322"/>
        <v>0</v>
      </c>
      <c r="M2100" s="4">
        <f t="shared" si="322"/>
        <v>0</v>
      </c>
      <c r="N2100" s="4">
        <f t="shared" si="322"/>
        <v>0</v>
      </c>
      <c r="O2100" s="4">
        <f t="shared" si="323"/>
        <v>0</v>
      </c>
      <c r="P2100" s="4">
        <f t="shared" si="324"/>
        <v>0</v>
      </c>
      <c r="Q2100" s="4">
        <f t="shared" si="325"/>
        <v>0</v>
      </c>
      <c r="R2100" s="4">
        <f t="shared" si="326"/>
        <v>0</v>
      </c>
      <c r="S2100" s="4">
        <f>IF(AND(VLOOKUP(G2100,Dados!$D:$L,2,0)=VLOOKUP(I2100,Dados!$S:$V,2,0),VLOOKUP(G2100,Dados!$D:$L,3,0)=VLOOKUP(I2100,Dados!$S:$V,3,0)),0,1)</f>
        <v>0</v>
      </c>
      <c r="T2100" s="4">
        <f>IF(AND(VLOOKUP(G2100,Dados!$D:$L,3,0)&lt;=VLOOKUP(H2100,Dados!$X:$AB,2,0),VLOOKUP(G2100,Dados!$D:$L,4,0)&gt;=VLOOKUP(H2100,Dados!$X:$AB,3,0),VLOOKUP(G2100,Dados!$D:$L,4,0)&lt;=VLOOKUP(H2100,Dados!$X:$AB,4,0)),0,1)</f>
        <v>0</v>
      </c>
      <c r="U2100" s="4">
        <f>IF(COUNTIFS(F:F,F2100,H:H,H2100)&lt;=VLOOKUP(H2100,Dados!$X:$AB,5,0),0,1)</f>
        <v>0</v>
      </c>
    </row>
    <row r="2101" spans="6:21">
      <c r="F2101" s="4">
        <v>948</v>
      </c>
      <c r="G2101" s="4">
        <v>59</v>
      </c>
      <c r="H2101" s="4">
        <v>3</v>
      </c>
      <c r="I2101" s="4">
        <v>26</v>
      </c>
      <c r="J2101" s="4">
        <v>6</v>
      </c>
      <c r="K2101" s="4">
        <f t="shared" si="322"/>
        <v>0</v>
      </c>
      <c r="L2101" s="4">
        <f t="shared" si="322"/>
        <v>0</v>
      </c>
      <c r="M2101" s="4">
        <f t="shared" si="322"/>
        <v>0</v>
      </c>
      <c r="N2101" s="4">
        <f t="shared" si="322"/>
        <v>0</v>
      </c>
      <c r="O2101" s="4">
        <f t="shared" si="323"/>
        <v>0</v>
      </c>
      <c r="P2101" s="4">
        <f t="shared" si="324"/>
        <v>0</v>
      </c>
      <c r="Q2101" s="4">
        <f t="shared" si="325"/>
        <v>0</v>
      </c>
      <c r="R2101" s="4">
        <f t="shared" si="326"/>
        <v>0</v>
      </c>
      <c r="S2101" s="4">
        <f>IF(AND(VLOOKUP(G2101,Dados!$D:$L,2,0)=VLOOKUP(I2101,Dados!$S:$V,2,0),VLOOKUP(G2101,Dados!$D:$L,3,0)=VLOOKUP(I2101,Dados!$S:$V,3,0)),0,1)</f>
        <v>0</v>
      </c>
      <c r="T2101" s="4">
        <f>IF(AND(VLOOKUP(G2101,Dados!$D:$L,3,0)&lt;=VLOOKUP(H2101,Dados!$X:$AB,2,0),VLOOKUP(G2101,Dados!$D:$L,4,0)&gt;=VLOOKUP(H2101,Dados!$X:$AB,3,0),VLOOKUP(G2101,Dados!$D:$L,4,0)&lt;=VLOOKUP(H2101,Dados!$X:$AB,4,0)),0,1)</f>
        <v>0</v>
      </c>
      <c r="U2101" s="4">
        <f>IF(COUNTIFS(F:F,F2101,H:H,H2101)&lt;=VLOOKUP(H2101,Dados!$X:$AB,5,0),0,1)</f>
        <v>0</v>
      </c>
    </row>
    <row r="2102" spans="6:21">
      <c r="F2102" s="4">
        <v>948</v>
      </c>
      <c r="G2102" s="4">
        <v>60</v>
      </c>
      <c r="H2102" s="4">
        <v>3</v>
      </c>
      <c r="I2102" s="4">
        <v>26</v>
      </c>
      <c r="J2102" s="4">
        <v>1</v>
      </c>
      <c r="K2102" s="4">
        <f t="shared" si="322"/>
        <v>0</v>
      </c>
      <c r="L2102" s="4">
        <f t="shared" si="322"/>
        <v>0</v>
      </c>
      <c r="M2102" s="4">
        <f t="shared" si="322"/>
        <v>0</v>
      </c>
      <c r="N2102" s="4">
        <f t="shared" si="322"/>
        <v>0</v>
      </c>
      <c r="O2102" s="4">
        <f t="shared" si="323"/>
        <v>0</v>
      </c>
      <c r="P2102" s="4">
        <f t="shared" si="324"/>
        <v>0</v>
      </c>
      <c r="Q2102" s="4">
        <f t="shared" si="325"/>
        <v>0</v>
      </c>
      <c r="R2102" s="4">
        <f t="shared" si="326"/>
        <v>0</v>
      </c>
      <c r="S2102" s="4">
        <f>IF(AND(VLOOKUP(G2102,Dados!$D:$L,2,0)=VLOOKUP(I2102,Dados!$S:$V,2,0),VLOOKUP(G2102,Dados!$D:$L,3,0)=VLOOKUP(I2102,Dados!$S:$V,3,0)),0,1)</f>
        <v>0</v>
      </c>
      <c r="T2102" s="4">
        <f>IF(AND(VLOOKUP(G2102,Dados!$D:$L,3,0)&lt;=VLOOKUP(H2102,Dados!$X:$AB,2,0),VLOOKUP(G2102,Dados!$D:$L,4,0)&gt;=VLOOKUP(H2102,Dados!$X:$AB,3,0),VLOOKUP(G2102,Dados!$D:$L,4,0)&lt;=VLOOKUP(H2102,Dados!$X:$AB,4,0)),0,1)</f>
        <v>0</v>
      </c>
      <c r="U2102" s="4">
        <f>IF(COUNTIFS(F:F,F2102,H:H,H2102)&lt;=VLOOKUP(H2102,Dados!$X:$AB,5,0),0,1)</f>
        <v>0</v>
      </c>
    </row>
    <row r="2103" spans="6:21">
      <c r="F2103" s="4">
        <v>948</v>
      </c>
      <c r="G2103" s="4">
        <v>66</v>
      </c>
      <c r="H2103" s="4">
        <v>3</v>
      </c>
      <c r="I2103" s="4">
        <v>26</v>
      </c>
      <c r="J2103" s="4">
        <v>1</v>
      </c>
      <c r="K2103" s="4">
        <f t="shared" si="322"/>
        <v>0</v>
      </c>
      <c r="L2103" s="4">
        <f t="shared" si="322"/>
        <v>0</v>
      </c>
      <c r="M2103" s="4">
        <f t="shared" si="322"/>
        <v>0</v>
      </c>
      <c r="N2103" s="4">
        <f t="shared" si="322"/>
        <v>0</v>
      </c>
      <c r="O2103" s="4">
        <f t="shared" si="323"/>
        <v>0</v>
      </c>
      <c r="P2103" s="4">
        <f t="shared" si="324"/>
        <v>0</v>
      </c>
      <c r="Q2103" s="4">
        <f t="shared" si="325"/>
        <v>0</v>
      </c>
      <c r="R2103" s="4">
        <f t="shared" si="326"/>
        <v>0</v>
      </c>
      <c r="S2103" s="4">
        <f>IF(AND(VLOOKUP(G2103,Dados!$D:$L,2,0)=VLOOKUP(I2103,Dados!$S:$V,2,0),VLOOKUP(G2103,Dados!$D:$L,3,0)=VLOOKUP(I2103,Dados!$S:$V,3,0)),0,1)</f>
        <v>0</v>
      </c>
      <c r="T2103" s="4">
        <f>IF(AND(VLOOKUP(G2103,Dados!$D:$L,3,0)&lt;=VLOOKUP(H2103,Dados!$X:$AB,2,0),VLOOKUP(G2103,Dados!$D:$L,4,0)&gt;=VLOOKUP(H2103,Dados!$X:$AB,3,0),VLOOKUP(G2103,Dados!$D:$L,4,0)&lt;=VLOOKUP(H2103,Dados!$X:$AB,4,0)),0,1)</f>
        <v>0</v>
      </c>
      <c r="U2103" s="4">
        <f>IF(COUNTIFS(F:F,F2103,H:H,H2103)&lt;=VLOOKUP(H2103,Dados!$X:$AB,5,0),0,1)</f>
        <v>0</v>
      </c>
    </row>
    <row r="2104" spans="6:21">
      <c r="F2104" s="4">
        <v>948</v>
      </c>
      <c r="G2104" s="4">
        <v>67</v>
      </c>
      <c r="H2104" s="4">
        <v>3</v>
      </c>
      <c r="I2104" s="4">
        <v>26</v>
      </c>
      <c r="J2104" s="4">
        <v>1</v>
      </c>
      <c r="K2104" s="4">
        <f t="shared" si="322"/>
        <v>0</v>
      </c>
      <c r="L2104" s="4">
        <f t="shared" si="322"/>
        <v>0</v>
      </c>
      <c r="M2104" s="4">
        <f t="shared" si="322"/>
        <v>0</v>
      </c>
      <c r="N2104" s="4">
        <f t="shared" si="322"/>
        <v>0</v>
      </c>
      <c r="O2104" s="4">
        <f t="shared" si="323"/>
        <v>0</v>
      </c>
      <c r="P2104" s="4">
        <f t="shared" si="324"/>
        <v>0</v>
      </c>
      <c r="Q2104" s="4">
        <f t="shared" si="325"/>
        <v>0</v>
      </c>
      <c r="R2104" s="4">
        <f t="shared" si="326"/>
        <v>0</v>
      </c>
      <c r="S2104" s="4">
        <f>IF(AND(VLOOKUP(G2104,Dados!$D:$L,2,0)=VLOOKUP(I2104,Dados!$S:$V,2,0),VLOOKUP(G2104,Dados!$D:$L,3,0)=VLOOKUP(I2104,Dados!$S:$V,3,0)),0,1)</f>
        <v>0</v>
      </c>
      <c r="T2104" s="4">
        <f>IF(AND(VLOOKUP(G2104,Dados!$D:$L,3,0)&lt;=VLOOKUP(H2104,Dados!$X:$AB,2,0),VLOOKUP(G2104,Dados!$D:$L,4,0)&gt;=VLOOKUP(H2104,Dados!$X:$AB,3,0),VLOOKUP(G2104,Dados!$D:$L,4,0)&lt;=VLOOKUP(H2104,Dados!$X:$AB,4,0)),0,1)</f>
        <v>0</v>
      </c>
      <c r="U2104" s="4">
        <f>IF(COUNTIFS(F:F,F2104,H:H,H2104)&lt;=VLOOKUP(H2104,Dados!$X:$AB,5,0),0,1)</f>
        <v>0</v>
      </c>
    </row>
    <row r="2105" spans="6:21">
      <c r="F2105" s="4">
        <v>949</v>
      </c>
      <c r="G2105" s="4">
        <v>59</v>
      </c>
      <c r="H2105" s="4">
        <v>1</v>
      </c>
      <c r="I2105" s="4">
        <v>27</v>
      </c>
      <c r="J2105" s="4">
        <v>7</v>
      </c>
      <c r="K2105" s="4">
        <f t="shared" si="322"/>
        <v>0</v>
      </c>
      <c r="L2105" s="4">
        <f t="shared" si="322"/>
        <v>0</v>
      </c>
      <c r="M2105" s="4">
        <f t="shared" si="322"/>
        <v>0</v>
      </c>
      <c r="N2105" s="4">
        <f t="shared" si="322"/>
        <v>0</v>
      </c>
      <c r="O2105" s="4">
        <f t="shared" si="323"/>
        <v>0</v>
      </c>
      <c r="P2105" s="4">
        <f t="shared" si="324"/>
        <v>0</v>
      </c>
      <c r="Q2105" s="4">
        <f t="shared" si="325"/>
        <v>0</v>
      </c>
      <c r="R2105" s="4">
        <f t="shared" si="326"/>
        <v>0</v>
      </c>
      <c r="S2105" s="4">
        <f>IF(AND(VLOOKUP(G2105,Dados!$D:$L,2,0)=VLOOKUP(I2105,Dados!$S:$V,2,0),VLOOKUP(G2105,Dados!$D:$L,3,0)=VLOOKUP(I2105,Dados!$S:$V,3,0)),0,1)</f>
        <v>0</v>
      </c>
      <c r="T2105" s="4">
        <f>IF(AND(VLOOKUP(G2105,Dados!$D:$L,3,0)&lt;=VLOOKUP(H2105,Dados!$X:$AB,2,0),VLOOKUP(G2105,Dados!$D:$L,4,0)&gt;=VLOOKUP(H2105,Dados!$X:$AB,3,0),VLOOKUP(G2105,Dados!$D:$L,4,0)&lt;=VLOOKUP(H2105,Dados!$X:$AB,4,0)),0,1)</f>
        <v>0</v>
      </c>
      <c r="U2105" s="4">
        <f>IF(COUNTIFS(F:F,F2105,H:H,H2105)&lt;=VLOOKUP(H2105,Dados!$X:$AB,5,0),0,1)</f>
        <v>0</v>
      </c>
    </row>
    <row r="2106" spans="6:21">
      <c r="F2106" s="4">
        <v>949</v>
      </c>
      <c r="G2106" s="4">
        <v>60</v>
      </c>
      <c r="H2106" s="4">
        <v>1</v>
      </c>
      <c r="I2106" s="4">
        <v>27</v>
      </c>
      <c r="J2106" s="4">
        <v>4</v>
      </c>
      <c r="K2106" s="4">
        <f t="shared" si="322"/>
        <v>0</v>
      </c>
      <c r="L2106" s="4">
        <f t="shared" si="322"/>
        <v>0</v>
      </c>
      <c r="M2106" s="4">
        <f t="shared" si="322"/>
        <v>0</v>
      </c>
      <c r="N2106" s="4">
        <f t="shared" si="322"/>
        <v>0</v>
      </c>
      <c r="O2106" s="4">
        <f t="shared" si="323"/>
        <v>0</v>
      </c>
      <c r="P2106" s="4">
        <f t="shared" si="324"/>
        <v>0</v>
      </c>
      <c r="Q2106" s="4">
        <f t="shared" si="325"/>
        <v>0</v>
      </c>
      <c r="R2106" s="4">
        <f t="shared" si="326"/>
        <v>0</v>
      </c>
      <c r="S2106" s="4">
        <f>IF(AND(VLOOKUP(G2106,Dados!$D:$L,2,0)=VLOOKUP(I2106,Dados!$S:$V,2,0),VLOOKUP(G2106,Dados!$D:$L,3,0)=VLOOKUP(I2106,Dados!$S:$V,3,0)),0,1)</f>
        <v>0</v>
      </c>
      <c r="T2106" s="4">
        <f>IF(AND(VLOOKUP(G2106,Dados!$D:$L,3,0)&lt;=VLOOKUP(H2106,Dados!$X:$AB,2,0),VLOOKUP(G2106,Dados!$D:$L,4,0)&gt;=VLOOKUP(H2106,Dados!$X:$AB,3,0),VLOOKUP(G2106,Dados!$D:$L,4,0)&lt;=VLOOKUP(H2106,Dados!$X:$AB,4,0)),0,1)</f>
        <v>0</v>
      </c>
      <c r="U2106" s="4">
        <f>IF(COUNTIFS(F:F,F2106,H:H,H2106)&lt;=VLOOKUP(H2106,Dados!$X:$AB,5,0),0,1)</f>
        <v>0</v>
      </c>
    </row>
    <row r="2107" spans="6:21">
      <c r="F2107" s="4">
        <v>950</v>
      </c>
      <c r="G2107" s="4">
        <v>59</v>
      </c>
      <c r="H2107" s="4">
        <v>2</v>
      </c>
      <c r="I2107" s="4">
        <v>27</v>
      </c>
      <c r="J2107" s="4">
        <v>7</v>
      </c>
      <c r="K2107" s="4">
        <f t="shared" si="322"/>
        <v>0</v>
      </c>
      <c r="L2107" s="4">
        <f t="shared" si="322"/>
        <v>0</v>
      </c>
      <c r="M2107" s="4">
        <f t="shared" si="322"/>
        <v>0</v>
      </c>
      <c r="N2107" s="4">
        <f t="shared" si="322"/>
        <v>0</v>
      </c>
      <c r="O2107" s="4">
        <f t="shared" si="323"/>
        <v>0</v>
      </c>
      <c r="P2107" s="4">
        <f t="shared" si="324"/>
        <v>0</v>
      </c>
      <c r="Q2107" s="4">
        <f t="shared" si="325"/>
        <v>0</v>
      </c>
      <c r="R2107" s="4">
        <f t="shared" si="326"/>
        <v>0</v>
      </c>
      <c r="S2107" s="4">
        <f>IF(AND(VLOOKUP(G2107,Dados!$D:$L,2,0)=VLOOKUP(I2107,Dados!$S:$V,2,0),VLOOKUP(G2107,Dados!$D:$L,3,0)=VLOOKUP(I2107,Dados!$S:$V,3,0)),0,1)</f>
        <v>0</v>
      </c>
      <c r="T2107" s="4">
        <f>IF(AND(VLOOKUP(G2107,Dados!$D:$L,3,0)&lt;=VLOOKUP(H2107,Dados!$X:$AB,2,0),VLOOKUP(G2107,Dados!$D:$L,4,0)&gt;=VLOOKUP(H2107,Dados!$X:$AB,3,0),VLOOKUP(G2107,Dados!$D:$L,4,0)&lt;=VLOOKUP(H2107,Dados!$X:$AB,4,0)),0,1)</f>
        <v>0</v>
      </c>
      <c r="U2107" s="4">
        <f>IF(COUNTIFS(F:F,F2107,H:H,H2107)&lt;=VLOOKUP(H2107,Dados!$X:$AB,5,0),0,1)</f>
        <v>0</v>
      </c>
    </row>
    <row r="2108" spans="6:21">
      <c r="F2108" s="4">
        <v>950</v>
      </c>
      <c r="G2108" s="4">
        <v>60</v>
      </c>
      <c r="H2108" s="4">
        <v>2</v>
      </c>
      <c r="I2108" s="4">
        <v>27</v>
      </c>
      <c r="J2108" s="4">
        <v>4</v>
      </c>
      <c r="K2108" s="4">
        <f t="shared" si="322"/>
        <v>0</v>
      </c>
      <c r="L2108" s="4">
        <f t="shared" si="322"/>
        <v>0</v>
      </c>
      <c r="M2108" s="4">
        <f t="shared" si="322"/>
        <v>0</v>
      </c>
      <c r="N2108" s="4">
        <f t="shared" si="322"/>
        <v>0</v>
      </c>
      <c r="O2108" s="4">
        <f t="shared" si="323"/>
        <v>0</v>
      </c>
      <c r="P2108" s="4">
        <f t="shared" si="324"/>
        <v>0</v>
      </c>
      <c r="Q2108" s="4">
        <f t="shared" si="325"/>
        <v>0</v>
      </c>
      <c r="R2108" s="4">
        <f t="shared" si="326"/>
        <v>0</v>
      </c>
      <c r="S2108" s="4">
        <f>IF(AND(VLOOKUP(G2108,Dados!$D:$L,2,0)=VLOOKUP(I2108,Dados!$S:$V,2,0),VLOOKUP(G2108,Dados!$D:$L,3,0)=VLOOKUP(I2108,Dados!$S:$V,3,0)),0,1)</f>
        <v>0</v>
      </c>
      <c r="T2108" s="4">
        <f>IF(AND(VLOOKUP(G2108,Dados!$D:$L,3,0)&lt;=VLOOKUP(H2108,Dados!$X:$AB,2,0),VLOOKUP(G2108,Dados!$D:$L,4,0)&gt;=VLOOKUP(H2108,Dados!$X:$AB,3,0),VLOOKUP(G2108,Dados!$D:$L,4,0)&lt;=VLOOKUP(H2108,Dados!$X:$AB,4,0)),0,1)</f>
        <v>0</v>
      </c>
      <c r="U2108" s="4">
        <f>IF(COUNTIFS(F:F,F2108,H:H,H2108)&lt;=VLOOKUP(H2108,Dados!$X:$AB,5,0),0,1)</f>
        <v>0</v>
      </c>
    </row>
    <row r="2109" spans="6:21">
      <c r="F2109" s="4">
        <v>951</v>
      </c>
      <c r="G2109" s="4">
        <v>59</v>
      </c>
      <c r="H2109" s="4">
        <v>3</v>
      </c>
      <c r="I2109" s="4">
        <v>27</v>
      </c>
      <c r="J2109" s="4">
        <v>8</v>
      </c>
      <c r="K2109" s="4">
        <f t="shared" si="322"/>
        <v>0</v>
      </c>
      <c r="L2109" s="4">
        <f t="shared" si="322"/>
        <v>0</v>
      </c>
      <c r="M2109" s="4">
        <f t="shared" si="322"/>
        <v>0</v>
      </c>
      <c r="N2109" s="4">
        <f t="shared" si="322"/>
        <v>0</v>
      </c>
      <c r="O2109" s="4">
        <f t="shared" si="323"/>
        <v>0</v>
      </c>
      <c r="P2109" s="4">
        <f t="shared" si="324"/>
        <v>0</v>
      </c>
      <c r="Q2109" s="4">
        <f t="shared" si="325"/>
        <v>0</v>
      </c>
      <c r="R2109" s="4">
        <f t="shared" si="326"/>
        <v>0</v>
      </c>
      <c r="S2109" s="4">
        <f>IF(AND(VLOOKUP(G2109,Dados!$D:$L,2,0)=VLOOKUP(I2109,Dados!$S:$V,2,0),VLOOKUP(G2109,Dados!$D:$L,3,0)=VLOOKUP(I2109,Dados!$S:$V,3,0)),0,1)</f>
        <v>0</v>
      </c>
      <c r="T2109" s="4">
        <f>IF(AND(VLOOKUP(G2109,Dados!$D:$L,3,0)&lt;=VLOOKUP(H2109,Dados!$X:$AB,2,0),VLOOKUP(G2109,Dados!$D:$L,4,0)&gt;=VLOOKUP(H2109,Dados!$X:$AB,3,0),VLOOKUP(G2109,Dados!$D:$L,4,0)&lt;=VLOOKUP(H2109,Dados!$X:$AB,4,0)),0,1)</f>
        <v>0</v>
      </c>
      <c r="U2109" s="4">
        <f>IF(COUNTIFS(F:F,F2109,H:H,H2109)&lt;=VLOOKUP(H2109,Dados!$X:$AB,5,0),0,1)</f>
        <v>0</v>
      </c>
    </row>
    <row r="2110" spans="6:21">
      <c r="F2110" s="4">
        <v>951</v>
      </c>
      <c r="G2110" s="4">
        <v>60</v>
      </c>
      <c r="H2110" s="4">
        <v>3</v>
      </c>
      <c r="I2110" s="4">
        <v>27</v>
      </c>
      <c r="J2110" s="4">
        <v>1</v>
      </c>
      <c r="K2110" s="4">
        <f t="shared" si="322"/>
        <v>0</v>
      </c>
      <c r="L2110" s="4">
        <f t="shared" si="322"/>
        <v>0</v>
      </c>
      <c r="M2110" s="4">
        <f t="shared" si="322"/>
        <v>0</v>
      </c>
      <c r="N2110" s="4">
        <f t="shared" si="322"/>
        <v>0</v>
      </c>
      <c r="O2110" s="4">
        <f t="shared" si="323"/>
        <v>0</v>
      </c>
      <c r="P2110" s="4">
        <f t="shared" si="324"/>
        <v>0</v>
      </c>
      <c r="Q2110" s="4">
        <f t="shared" si="325"/>
        <v>0</v>
      </c>
      <c r="R2110" s="4">
        <f t="shared" si="326"/>
        <v>0</v>
      </c>
      <c r="S2110" s="4">
        <f>IF(AND(VLOOKUP(G2110,Dados!$D:$L,2,0)=VLOOKUP(I2110,Dados!$S:$V,2,0),VLOOKUP(G2110,Dados!$D:$L,3,0)=VLOOKUP(I2110,Dados!$S:$V,3,0)),0,1)</f>
        <v>0</v>
      </c>
      <c r="T2110" s="4">
        <f>IF(AND(VLOOKUP(G2110,Dados!$D:$L,3,0)&lt;=VLOOKUP(H2110,Dados!$X:$AB,2,0),VLOOKUP(G2110,Dados!$D:$L,4,0)&gt;=VLOOKUP(H2110,Dados!$X:$AB,3,0),VLOOKUP(G2110,Dados!$D:$L,4,0)&lt;=VLOOKUP(H2110,Dados!$X:$AB,4,0)),0,1)</f>
        <v>0</v>
      </c>
      <c r="U2110" s="4">
        <f>IF(COUNTIFS(F:F,F2110,H:H,H2110)&lt;=VLOOKUP(H2110,Dados!$X:$AB,5,0),0,1)</f>
        <v>0</v>
      </c>
    </row>
    <row r="2111" spans="6:21">
      <c r="F2111" s="4">
        <v>951</v>
      </c>
      <c r="G2111" s="4">
        <v>62</v>
      </c>
      <c r="H2111" s="4">
        <v>3</v>
      </c>
      <c r="I2111" s="4">
        <v>27</v>
      </c>
      <c r="J2111" s="4">
        <v>1</v>
      </c>
      <c r="K2111" s="4">
        <f t="shared" si="322"/>
        <v>0</v>
      </c>
      <c r="L2111" s="4">
        <f t="shared" si="322"/>
        <v>0</v>
      </c>
      <c r="M2111" s="4">
        <f t="shared" si="322"/>
        <v>0</v>
      </c>
      <c r="N2111" s="4">
        <f t="shared" si="322"/>
        <v>0</v>
      </c>
      <c r="O2111" s="4">
        <f t="shared" si="323"/>
        <v>0</v>
      </c>
      <c r="P2111" s="4">
        <f t="shared" si="324"/>
        <v>0</v>
      </c>
      <c r="Q2111" s="4">
        <f t="shared" si="325"/>
        <v>0</v>
      </c>
      <c r="R2111" s="4">
        <f t="shared" si="326"/>
        <v>0</v>
      </c>
      <c r="S2111" s="4">
        <f>IF(AND(VLOOKUP(G2111,Dados!$D:$L,2,0)=VLOOKUP(I2111,Dados!$S:$V,2,0),VLOOKUP(G2111,Dados!$D:$L,3,0)=VLOOKUP(I2111,Dados!$S:$V,3,0)),0,1)</f>
        <v>0</v>
      </c>
      <c r="T2111" s="4">
        <f>IF(AND(VLOOKUP(G2111,Dados!$D:$L,3,0)&lt;=VLOOKUP(H2111,Dados!$X:$AB,2,0),VLOOKUP(G2111,Dados!$D:$L,4,0)&gt;=VLOOKUP(H2111,Dados!$X:$AB,3,0),VLOOKUP(G2111,Dados!$D:$L,4,0)&lt;=VLOOKUP(H2111,Dados!$X:$AB,4,0)),0,1)</f>
        <v>0</v>
      </c>
      <c r="U2111" s="4">
        <f>IF(COUNTIFS(F:F,F2111,H:H,H2111)&lt;=VLOOKUP(H2111,Dados!$X:$AB,5,0),0,1)</f>
        <v>0</v>
      </c>
    </row>
    <row r="2112" spans="6:21">
      <c r="F2112" s="4">
        <v>951</v>
      </c>
      <c r="G2112" s="4">
        <v>66</v>
      </c>
      <c r="H2112" s="4">
        <v>3</v>
      </c>
      <c r="I2112" s="4">
        <v>27</v>
      </c>
      <c r="J2112" s="4">
        <v>1</v>
      </c>
      <c r="K2112" s="4">
        <f t="shared" si="322"/>
        <v>0</v>
      </c>
      <c r="L2112" s="4">
        <f t="shared" si="322"/>
        <v>0</v>
      </c>
      <c r="M2112" s="4">
        <f t="shared" si="322"/>
        <v>0</v>
      </c>
      <c r="N2112" s="4">
        <f t="shared" si="322"/>
        <v>0</v>
      </c>
      <c r="O2112" s="4">
        <f t="shared" si="323"/>
        <v>0</v>
      </c>
      <c r="P2112" s="4">
        <f t="shared" si="324"/>
        <v>0</v>
      </c>
      <c r="Q2112" s="4">
        <f t="shared" si="325"/>
        <v>0</v>
      </c>
      <c r="R2112" s="4">
        <f t="shared" si="326"/>
        <v>0</v>
      </c>
      <c r="S2112" s="4">
        <f>IF(AND(VLOOKUP(G2112,Dados!$D:$L,2,0)=VLOOKUP(I2112,Dados!$S:$V,2,0),VLOOKUP(G2112,Dados!$D:$L,3,0)=VLOOKUP(I2112,Dados!$S:$V,3,0)),0,1)</f>
        <v>0</v>
      </c>
      <c r="T2112" s="4">
        <f>IF(AND(VLOOKUP(G2112,Dados!$D:$L,3,0)&lt;=VLOOKUP(H2112,Dados!$X:$AB,2,0),VLOOKUP(G2112,Dados!$D:$L,4,0)&gt;=VLOOKUP(H2112,Dados!$X:$AB,3,0),VLOOKUP(G2112,Dados!$D:$L,4,0)&lt;=VLOOKUP(H2112,Dados!$X:$AB,4,0)),0,1)</f>
        <v>0</v>
      </c>
      <c r="U2112" s="4">
        <f>IF(COUNTIFS(F:F,F2112,H:H,H2112)&lt;=VLOOKUP(H2112,Dados!$X:$AB,5,0),0,1)</f>
        <v>0</v>
      </c>
    </row>
    <row r="2113" spans="6:21">
      <c r="F2113" s="4">
        <v>952</v>
      </c>
      <c r="G2113" s="4">
        <v>59</v>
      </c>
      <c r="H2113" s="4">
        <v>1</v>
      </c>
      <c r="I2113" s="4">
        <v>28</v>
      </c>
      <c r="J2113" s="4">
        <v>5</v>
      </c>
      <c r="K2113" s="4">
        <f t="shared" si="322"/>
        <v>0</v>
      </c>
      <c r="L2113" s="4">
        <f t="shared" si="322"/>
        <v>0</v>
      </c>
      <c r="M2113" s="4">
        <f t="shared" si="322"/>
        <v>0</v>
      </c>
      <c r="N2113" s="4">
        <f t="shared" si="322"/>
        <v>0</v>
      </c>
      <c r="O2113" s="4">
        <f t="shared" si="323"/>
        <v>0</v>
      </c>
      <c r="P2113" s="4">
        <f t="shared" si="324"/>
        <v>0</v>
      </c>
      <c r="Q2113" s="4">
        <f t="shared" si="325"/>
        <v>0</v>
      </c>
      <c r="R2113" s="4">
        <f t="shared" si="326"/>
        <v>0</v>
      </c>
      <c r="S2113" s="4">
        <f>IF(AND(VLOOKUP(G2113,Dados!$D:$L,2,0)=VLOOKUP(I2113,Dados!$S:$V,2,0),VLOOKUP(G2113,Dados!$D:$L,3,0)=VLOOKUP(I2113,Dados!$S:$V,3,0)),0,1)</f>
        <v>0</v>
      </c>
      <c r="T2113" s="4">
        <f>IF(AND(VLOOKUP(G2113,Dados!$D:$L,3,0)&lt;=VLOOKUP(H2113,Dados!$X:$AB,2,0),VLOOKUP(G2113,Dados!$D:$L,4,0)&gt;=VLOOKUP(H2113,Dados!$X:$AB,3,0),VLOOKUP(G2113,Dados!$D:$L,4,0)&lt;=VLOOKUP(H2113,Dados!$X:$AB,4,0)),0,1)</f>
        <v>0</v>
      </c>
      <c r="U2113" s="4">
        <f>IF(COUNTIFS(F:F,F2113,H:H,H2113)&lt;=VLOOKUP(H2113,Dados!$X:$AB,5,0),0,1)</f>
        <v>0</v>
      </c>
    </row>
    <row r="2114" spans="6:21">
      <c r="F2114" s="4">
        <v>952</v>
      </c>
      <c r="G2114" s="4">
        <v>61</v>
      </c>
      <c r="H2114" s="4">
        <v>1</v>
      </c>
      <c r="I2114" s="4">
        <v>28</v>
      </c>
      <c r="J2114" s="4">
        <v>4</v>
      </c>
      <c r="K2114" s="4">
        <f t="shared" si="322"/>
        <v>0</v>
      </c>
      <c r="L2114" s="4">
        <f t="shared" si="322"/>
        <v>0</v>
      </c>
      <c r="M2114" s="4">
        <f t="shared" si="322"/>
        <v>0</v>
      </c>
      <c r="N2114" s="4">
        <f t="shared" si="322"/>
        <v>0</v>
      </c>
      <c r="O2114" s="4">
        <f t="shared" si="323"/>
        <v>0</v>
      </c>
      <c r="P2114" s="4">
        <f t="shared" si="324"/>
        <v>0</v>
      </c>
      <c r="Q2114" s="4">
        <f t="shared" si="325"/>
        <v>0</v>
      </c>
      <c r="R2114" s="4">
        <f t="shared" si="326"/>
        <v>0</v>
      </c>
      <c r="S2114" s="4">
        <f>IF(AND(VLOOKUP(G2114,Dados!$D:$L,2,0)=VLOOKUP(I2114,Dados!$S:$V,2,0),VLOOKUP(G2114,Dados!$D:$L,3,0)=VLOOKUP(I2114,Dados!$S:$V,3,0)),0,1)</f>
        <v>0</v>
      </c>
      <c r="T2114" s="4">
        <f>IF(AND(VLOOKUP(G2114,Dados!$D:$L,3,0)&lt;=VLOOKUP(H2114,Dados!$X:$AB,2,0),VLOOKUP(G2114,Dados!$D:$L,4,0)&gt;=VLOOKUP(H2114,Dados!$X:$AB,3,0),VLOOKUP(G2114,Dados!$D:$L,4,0)&lt;=VLOOKUP(H2114,Dados!$X:$AB,4,0)),0,1)</f>
        <v>0</v>
      </c>
      <c r="U2114" s="4">
        <f>IF(COUNTIFS(F:F,F2114,H:H,H2114)&lt;=VLOOKUP(H2114,Dados!$X:$AB,5,0),0,1)</f>
        <v>0</v>
      </c>
    </row>
    <row r="2115" spans="6:21">
      <c r="F2115" s="4">
        <v>953</v>
      </c>
      <c r="G2115" s="4">
        <v>59</v>
      </c>
      <c r="H2115" s="4">
        <v>2</v>
      </c>
      <c r="I2115" s="4">
        <v>28</v>
      </c>
      <c r="J2115" s="4">
        <v>5</v>
      </c>
      <c r="K2115" s="4">
        <f t="shared" si="322"/>
        <v>0</v>
      </c>
      <c r="L2115" s="4">
        <f t="shared" si="322"/>
        <v>0</v>
      </c>
      <c r="M2115" s="4">
        <f t="shared" si="322"/>
        <v>0</v>
      </c>
      <c r="N2115" s="4">
        <f t="shared" si="322"/>
        <v>0</v>
      </c>
      <c r="O2115" s="4">
        <f t="shared" si="323"/>
        <v>0</v>
      </c>
      <c r="P2115" s="4">
        <f t="shared" si="324"/>
        <v>0</v>
      </c>
      <c r="Q2115" s="4">
        <f t="shared" si="325"/>
        <v>0</v>
      </c>
      <c r="R2115" s="4">
        <f t="shared" si="326"/>
        <v>0</v>
      </c>
      <c r="S2115" s="4">
        <f>IF(AND(VLOOKUP(G2115,Dados!$D:$L,2,0)=VLOOKUP(I2115,Dados!$S:$V,2,0),VLOOKUP(G2115,Dados!$D:$L,3,0)=VLOOKUP(I2115,Dados!$S:$V,3,0)),0,1)</f>
        <v>0</v>
      </c>
      <c r="T2115" s="4">
        <f>IF(AND(VLOOKUP(G2115,Dados!$D:$L,3,0)&lt;=VLOOKUP(H2115,Dados!$X:$AB,2,0),VLOOKUP(G2115,Dados!$D:$L,4,0)&gt;=VLOOKUP(H2115,Dados!$X:$AB,3,0),VLOOKUP(G2115,Dados!$D:$L,4,0)&lt;=VLOOKUP(H2115,Dados!$X:$AB,4,0)),0,1)</f>
        <v>0</v>
      </c>
      <c r="U2115" s="4">
        <f>IF(COUNTIFS(F:F,F2115,H:H,H2115)&lt;=VLOOKUP(H2115,Dados!$X:$AB,5,0),0,1)</f>
        <v>0</v>
      </c>
    </row>
    <row r="2116" spans="6:21">
      <c r="F2116" s="4">
        <v>953</v>
      </c>
      <c r="G2116" s="4">
        <v>61</v>
      </c>
      <c r="H2116" s="4">
        <v>2</v>
      </c>
      <c r="I2116" s="4">
        <v>28</v>
      </c>
      <c r="J2116" s="4">
        <v>4</v>
      </c>
      <c r="K2116" s="4">
        <f t="shared" si="322"/>
        <v>0</v>
      </c>
      <c r="L2116" s="4">
        <f t="shared" si="322"/>
        <v>0</v>
      </c>
      <c r="M2116" s="4">
        <f t="shared" si="322"/>
        <v>0</v>
      </c>
      <c r="N2116" s="4">
        <f t="shared" si="322"/>
        <v>0</v>
      </c>
      <c r="O2116" s="4">
        <f t="shared" si="323"/>
        <v>0</v>
      </c>
      <c r="P2116" s="4">
        <f t="shared" si="324"/>
        <v>0</v>
      </c>
      <c r="Q2116" s="4">
        <f t="shared" si="325"/>
        <v>0</v>
      </c>
      <c r="R2116" s="4">
        <f t="shared" si="326"/>
        <v>0</v>
      </c>
      <c r="S2116" s="4">
        <f>IF(AND(VLOOKUP(G2116,Dados!$D:$L,2,0)=VLOOKUP(I2116,Dados!$S:$V,2,0),VLOOKUP(G2116,Dados!$D:$L,3,0)=VLOOKUP(I2116,Dados!$S:$V,3,0)),0,1)</f>
        <v>0</v>
      </c>
      <c r="T2116" s="4">
        <f>IF(AND(VLOOKUP(G2116,Dados!$D:$L,3,0)&lt;=VLOOKUP(H2116,Dados!$X:$AB,2,0),VLOOKUP(G2116,Dados!$D:$L,4,0)&gt;=VLOOKUP(H2116,Dados!$X:$AB,3,0),VLOOKUP(G2116,Dados!$D:$L,4,0)&lt;=VLOOKUP(H2116,Dados!$X:$AB,4,0)),0,1)</f>
        <v>0</v>
      </c>
      <c r="U2116" s="4">
        <f>IF(COUNTIFS(F:F,F2116,H:H,H2116)&lt;=VLOOKUP(H2116,Dados!$X:$AB,5,0),0,1)</f>
        <v>0</v>
      </c>
    </row>
    <row r="2117" spans="6:21">
      <c r="F2117" s="4">
        <v>954</v>
      </c>
      <c r="G2117" s="4">
        <v>59</v>
      </c>
      <c r="H2117" s="4">
        <v>3</v>
      </c>
      <c r="I2117" s="4">
        <v>28</v>
      </c>
      <c r="J2117" s="4">
        <v>5</v>
      </c>
      <c r="K2117" s="4">
        <f t="shared" si="322"/>
        <v>0</v>
      </c>
      <c r="L2117" s="4">
        <f t="shared" si="322"/>
        <v>0</v>
      </c>
      <c r="M2117" s="4">
        <f t="shared" si="322"/>
        <v>0</v>
      </c>
      <c r="N2117" s="4">
        <f t="shared" si="322"/>
        <v>0</v>
      </c>
      <c r="O2117" s="4">
        <f t="shared" si="323"/>
        <v>0</v>
      </c>
      <c r="P2117" s="4">
        <f t="shared" si="324"/>
        <v>0</v>
      </c>
      <c r="Q2117" s="4">
        <f t="shared" si="325"/>
        <v>0</v>
      </c>
      <c r="R2117" s="4">
        <f t="shared" si="326"/>
        <v>0</v>
      </c>
      <c r="S2117" s="4">
        <f>IF(AND(VLOOKUP(G2117,Dados!$D:$L,2,0)=VLOOKUP(I2117,Dados!$S:$V,2,0),VLOOKUP(G2117,Dados!$D:$L,3,0)=VLOOKUP(I2117,Dados!$S:$V,3,0)),0,1)</f>
        <v>0</v>
      </c>
      <c r="T2117" s="4">
        <f>IF(AND(VLOOKUP(G2117,Dados!$D:$L,3,0)&lt;=VLOOKUP(H2117,Dados!$X:$AB,2,0),VLOOKUP(G2117,Dados!$D:$L,4,0)&gt;=VLOOKUP(H2117,Dados!$X:$AB,3,0),VLOOKUP(G2117,Dados!$D:$L,4,0)&lt;=VLOOKUP(H2117,Dados!$X:$AB,4,0)),0,1)</f>
        <v>0</v>
      </c>
      <c r="U2117" s="4">
        <f>IF(COUNTIFS(F:F,F2117,H:H,H2117)&lt;=VLOOKUP(H2117,Dados!$X:$AB,5,0),0,1)</f>
        <v>0</v>
      </c>
    </row>
    <row r="2118" spans="6:21">
      <c r="F2118" s="4">
        <v>954</v>
      </c>
      <c r="G2118" s="4">
        <v>61</v>
      </c>
      <c r="H2118" s="4">
        <v>3</v>
      </c>
      <c r="I2118" s="4">
        <v>28</v>
      </c>
      <c r="J2118" s="4">
        <v>4</v>
      </c>
      <c r="K2118" s="4">
        <f t="shared" si="322"/>
        <v>0</v>
      </c>
      <c r="L2118" s="4">
        <f t="shared" si="322"/>
        <v>0</v>
      </c>
      <c r="M2118" s="4">
        <f t="shared" si="322"/>
        <v>0</v>
      </c>
      <c r="N2118" s="4">
        <f t="shared" si="322"/>
        <v>0</v>
      </c>
      <c r="O2118" s="4">
        <f t="shared" si="323"/>
        <v>0</v>
      </c>
      <c r="P2118" s="4">
        <f t="shared" si="324"/>
        <v>0</v>
      </c>
      <c r="Q2118" s="4">
        <f t="shared" si="325"/>
        <v>0</v>
      </c>
      <c r="R2118" s="4">
        <f t="shared" si="326"/>
        <v>0</v>
      </c>
      <c r="S2118" s="4">
        <f>IF(AND(VLOOKUP(G2118,Dados!$D:$L,2,0)=VLOOKUP(I2118,Dados!$S:$V,2,0),VLOOKUP(G2118,Dados!$D:$L,3,0)=VLOOKUP(I2118,Dados!$S:$V,3,0)),0,1)</f>
        <v>0</v>
      </c>
      <c r="T2118" s="4">
        <f>IF(AND(VLOOKUP(G2118,Dados!$D:$L,3,0)&lt;=VLOOKUP(H2118,Dados!$X:$AB,2,0),VLOOKUP(G2118,Dados!$D:$L,4,0)&gt;=VLOOKUP(H2118,Dados!$X:$AB,3,0),VLOOKUP(G2118,Dados!$D:$L,4,0)&lt;=VLOOKUP(H2118,Dados!$X:$AB,4,0)),0,1)</f>
        <v>0</v>
      </c>
      <c r="U2118" s="4">
        <f>IF(COUNTIFS(F:F,F2118,H:H,H2118)&lt;=VLOOKUP(H2118,Dados!$X:$AB,5,0),0,1)</f>
        <v>0</v>
      </c>
    </row>
    <row r="2119" spans="6:21">
      <c r="F2119" s="4">
        <v>955</v>
      </c>
      <c r="G2119" s="4">
        <v>59</v>
      </c>
      <c r="H2119" s="4">
        <v>1</v>
      </c>
      <c r="I2119" s="4">
        <v>29</v>
      </c>
      <c r="J2119" s="4">
        <v>7</v>
      </c>
      <c r="K2119" s="4">
        <f t="shared" si="322"/>
        <v>0</v>
      </c>
      <c r="L2119" s="4">
        <f t="shared" si="322"/>
        <v>0</v>
      </c>
      <c r="M2119" s="4">
        <f t="shared" si="322"/>
        <v>0</v>
      </c>
      <c r="N2119" s="4">
        <f t="shared" si="322"/>
        <v>0</v>
      </c>
      <c r="O2119" s="4">
        <f t="shared" si="323"/>
        <v>0</v>
      </c>
      <c r="P2119" s="4">
        <f t="shared" si="324"/>
        <v>0</v>
      </c>
      <c r="Q2119" s="4">
        <f t="shared" si="325"/>
        <v>0</v>
      </c>
      <c r="R2119" s="4">
        <f t="shared" si="326"/>
        <v>0</v>
      </c>
      <c r="S2119" s="4">
        <f>IF(AND(VLOOKUP(G2119,Dados!$D:$L,2,0)=VLOOKUP(I2119,Dados!$S:$V,2,0),VLOOKUP(G2119,Dados!$D:$L,3,0)=VLOOKUP(I2119,Dados!$S:$V,3,0)),0,1)</f>
        <v>0</v>
      </c>
      <c r="T2119" s="4">
        <f>IF(AND(VLOOKUP(G2119,Dados!$D:$L,3,0)&lt;=VLOOKUP(H2119,Dados!$X:$AB,2,0),VLOOKUP(G2119,Dados!$D:$L,4,0)&gt;=VLOOKUP(H2119,Dados!$X:$AB,3,0),VLOOKUP(G2119,Dados!$D:$L,4,0)&lt;=VLOOKUP(H2119,Dados!$X:$AB,4,0)),0,1)</f>
        <v>0</v>
      </c>
      <c r="U2119" s="4">
        <f>IF(COUNTIFS(F:F,F2119,H:H,H2119)&lt;=VLOOKUP(H2119,Dados!$X:$AB,5,0),0,1)</f>
        <v>0</v>
      </c>
    </row>
    <row r="2120" spans="6:21">
      <c r="F2120" s="4">
        <v>955</v>
      </c>
      <c r="G2120" s="4">
        <v>61</v>
      </c>
      <c r="H2120" s="4">
        <v>1</v>
      </c>
      <c r="I2120" s="4">
        <v>29</v>
      </c>
      <c r="J2120" s="4">
        <v>2</v>
      </c>
      <c r="K2120" s="4">
        <f t="shared" si="322"/>
        <v>0</v>
      </c>
      <c r="L2120" s="4">
        <f t="shared" si="322"/>
        <v>0</v>
      </c>
      <c r="M2120" s="4">
        <f t="shared" si="322"/>
        <v>0</v>
      </c>
      <c r="N2120" s="4">
        <f t="shared" si="322"/>
        <v>0</v>
      </c>
      <c r="O2120" s="4">
        <f t="shared" si="323"/>
        <v>0</v>
      </c>
      <c r="P2120" s="4">
        <f t="shared" si="324"/>
        <v>0</v>
      </c>
      <c r="Q2120" s="4">
        <f t="shared" si="325"/>
        <v>0</v>
      </c>
      <c r="R2120" s="4">
        <f t="shared" si="326"/>
        <v>0</v>
      </c>
      <c r="S2120" s="4">
        <f>IF(AND(VLOOKUP(G2120,Dados!$D:$L,2,0)=VLOOKUP(I2120,Dados!$S:$V,2,0),VLOOKUP(G2120,Dados!$D:$L,3,0)=VLOOKUP(I2120,Dados!$S:$V,3,0)),0,1)</f>
        <v>0</v>
      </c>
      <c r="T2120" s="4">
        <f>IF(AND(VLOOKUP(G2120,Dados!$D:$L,3,0)&lt;=VLOOKUP(H2120,Dados!$X:$AB,2,0),VLOOKUP(G2120,Dados!$D:$L,4,0)&gt;=VLOOKUP(H2120,Dados!$X:$AB,3,0),VLOOKUP(G2120,Dados!$D:$L,4,0)&lt;=VLOOKUP(H2120,Dados!$X:$AB,4,0)),0,1)</f>
        <v>0</v>
      </c>
      <c r="U2120" s="4">
        <f>IF(COUNTIFS(F:F,F2120,H:H,H2120)&lt;=VLOOKUP(H2120,Dados!$X:$AB,5,0),0,1)</f>
        <v>0</v>
      </c>
    </row>
    <row r="2121" spans="6:21">
      <c r="F2121" s="4">
        <v>955</v>
      </c>
      <c r="G2121" s="4">
        <v>67</v>
      </c>
      <c r="H2121" s="4">
        <v>1</v>
      </c>
      <c r="I2121" s="4">
        <v>29</v>
      </c>
      <c r="J2121" s="4">
        <v>1</v>
      </c>
      <c r="K2121" s="4">
        <f t="shared" si="322"/>
        <v>0</v>
      </c>
      <c r="L2121" s="4">
        <f t="shared" si="322"/>
        <v>0</v>
      </c>
      <c r="M2121" s="4">
        <f t="shared" si="322"/>
        <v>0</v>
      </c>
      <c r="N2121" s="4">
        <f t="shared" si="322"/>
        <v>0</v>
      </c>
      <c r="O2121" s="4">
        <f t="shared" si="323"/>
        <v>0</v>
      </c>
      <c r="P2121" s="4">
        <f t="shared" si="324"/>
        <v>0</v>
      </c>
      <c r="Q2121" s="4">
        <f t="shared" si="325"/>
        <v>0</v>
      </c>
      <c r="R2121" s="4">
        <f t="shared" si="326"/>
        <v>0</v>
      </c>
      <c r="S2121" s="4">
        <f>IF(AND(VLOOKUP(G2121,Dados!$D:$L,2,0)=VLOOKUP(I2121,Dados!$S:$V,2,0),VLOOKUP(G2121,Dados!$D:$L,3,0)=VLOOKUP(I2121,Dados!$S:$V,3,0)),0,1)</f>
        <v>0</v>
      </c>
      <c r="T2121" s="4">
        <f>IF(AND(VLOOKUP(G2121,Dados!$D:$L,3,0)&lt;=VLOOKUP(H2121,Dados!$X:$AB,2,0),VLOOKUP(G2121,Dados!$D:$L,4,0)&gt;=VLOOKUP(H2121,Dados!$X:$AB,3,0),VLOOKUP(G2121,Dados!$D:$L,4,0)&lt;=VLOOKUP(H2121,Dados!$X:$AB,4,0)),0,1)</f>
        <v>0</v>
      </c>
      <c r="U2121" s="4">
        <f>IF(COUNTIFS(F:F,F2121,H:H,H2121)&lt;=VLOOKUP(H2121,Dados!$X:$AB,5,0),0,1)</f>
        <v>0</v>
      </c>
    </row>
    <row r="2122" spans="6:21">
      <c r="F2122" s="4">
        <v>956</v>
      </c>
      <c r="G2122" s="4">
        <v>59</v>
      </c>
      <c r="H2122" s="4">
        <v>2</v>
      </c>
      <c r="I2122" s="4">
        <v>29</v>
      </c>
      <c r="J2122" s="4">
        <v>7</v>
      </c>
      <c r="K2122" s="4">
        <f t="shared" si="322"/>
        <v>0</v>
      </c>
      <c r="L2122" s="4">
        <f t="shared" si="322"/>
        <v>0</v>
      </c>
      <c r="M2122" s="4">
        <f t="shared" si="322"/>
        <v>0</v>
      </c>
      <c r="N2122" s="4">
        <f t="shared" si="322"/>
        <v>0</v>
      </c>
      <c r="O2122" s="4">
        <f t="shared" si="323"/>
        <v>0</v>
      </c>
      <c r="P2122" s="4">
        <f t="shared" si="324"/>
        <v>0</v>
      </c>
      <c r="Q2122" s="4">
        <f t="shared" si="325"/>
        <v>0</v>
      </c>
      <c r="R2122" s="4">
        <f t="shared" si="326"/>
        <v>0</v>
      </c>
      <c r="S2122" s="4">
        <f>IF(AND(VLOOKUP(G2122,Dados!$D:$L,2,0)=VLOOKUP(I2122,Dados!$S:$V,2,0),VLOOKUP(G2122,Dados!$D:$L,3,0)=VLOOKUP(I2122,Dados!$S:$V,3,0)),0,1)</f>
        <v>0</v>
      </c>
      <c r="T2122" s="4">
        <f>IF(AND(VLOOKUP(G2122,Dados!$D:$L,3,0)&lt;=VLOOKUP(H2122,Dados!$X:$AB,2,0),VLOOKUP(G2122,Dados!$D:$L,4,0)&gt;=VLOOKUP(H2122,Dados!$X:$AB,3,0),VLOOKUP(G2122,Dados!$D:$L,4,0)&lt;=VLOOKUP(H2122,Dados!$X:$AB,4,0)),0,1)</f>
        <v>0</v>
      </c>
      <c r="U2122" s="4">
        <f>IF(COUNTIFS(F:F,F2122,H:H,H2122)&lt;=VLOOKUP(H2122,Dados!$X:$AB,5,0),0,1)</f>
        <v>0</v>
      </c>
    </row>
    <row r="2123" spans="6:21">
      <c r="F2123" s="4">
        <v>956</v>
      </c>
      <c r="G2123" s="4">
        <v>61</v>
      </c>
      <c r="H2123" s="4">
        <v>2</v>
      </c>
      <c r="I2123" s="4">
        <v>29</v>
      </c>
      <c r="J2123" s="4">
        <v>2</v>
      </c>
      <c r="K2123" s="4">
        <f t="shared" si="322"/>
        <v>0</v>
      </c>
      <c r="L2123" s="4">
        <f t="shared" si="322"/>
        <v>0</v>
      </c>
      <c r="M2123" s="4">
        <f t="shared" si="322"/>
        <v>0</v>
      </c>
      <c r="N2123" s="4">
        <f t="shared" si="322"/>
        <v>0</v>
      </c>
      <c r="O2123" s="4">
        <f t="shared" si="323"/>
        <v>0</v>
      </c>
      <c r="P2123" s="4">
        <f t="shared" si="324"/>
        <v>0</v>
      </c>
      <c r="Q2123" s="4">
        <f t="shared" si="325"/>
        <v>0</v>
      </c>
      <c r="R2123" s="4">
        <f t="shared" si="326"/>
        <v>0</v>
      </c>
      <c r="S2123" s="4">
        <f>IF(AND(VLOOKUP(G2123,Dados!$D:$L,2,0)=VLOOKUP(I2123,Dados!$S:$V,2,0),VLOOKUP(G2123,Dados!$D:$L,3,0)=VLOOKUP(I2123,Dados!$S:$V,3,0)),0,1)</f>
        <v>0</v>
      </c>
      <c r="T2123" s="4">
        <f>IF(AND(VLOOKUP(G2123,Dados!$D:$L,3,0)&lt;=VLOOKUP(H2123,Dados!$X:$AB,2,0),VLOOKUP(G2123,Dados!$D:$L,4,0)&gt;=VLOOKUP(H2123,Dados!$X:$AB,3,0),VLOOKUP(G2123,Dados!$D:$L,4,0)&lt;=VLOOKUP(H2123,Dados!$X:$AB,4,0)),0,1)</f>
        <v>0</v>
      </c>
      <c r="U2123" s="4">
        <f>IF(COUNTIFS(F:F,F2123,H:H,H2123)&lt;=VLOOKUP(H2123,Dados!$X:$AB,5,0),0,1)</f>
        <v>0</v>
      </c>
    </row>
    <row r="2124" spans="6:21">
      <c r="F2124" s="4">
        <v>956</v>
      </c>
      <c r="G2124" s="4">
        <v>67</v>
      </c>
      <c r="H2124" s="4">
        <v>2</v>
      </c>
      <c r="I2124" s="4">
        <v>29</v>
      </c>
      <c r="J2124" s="4">
        <v>1</v>
      </c>
      <c r="K2124" s="4">
        <f t="shared" si="322"/>
        <v>0</v>
      </c>
      <c r="L2124" s="4">
        <f t="shared" si="322"/>
        <v>0</v>
      </c>
      <c r="M2124" s="4">
        <f t="shared" si="322"/>
        <v>0</v>
      </c>
      <c r="N2124" s="4">
        <f t="shared" si="322"/>
        <v>0</v>
      </c>
      <c r="O2124" s="4">
        <f t="shared" si="323"/>
        <v>0</v>
      </c>
      <c r="P2124" s="4">
        <f t="shared" si="324"/>
        <v>0</v>
      </c>
      <c r="Q2124" s="4">
        <f t="shared" si="325"/>
        <v>0</v>
      </c>
      <c r="R2124" s="4">
        <f t="shared" si="326"/>
        <v>0</v>
      </c>
      <c r="S2124" s="4">
        <f>IF(AND(VLOOKUP(G2124,Dados!$D:$L,2,0)=VLOOKUP(I2124,Dados!$S:$V,2,0),VLOOKUP(G2124,Dados!$D:$L,3,0)=VLOOKUP(I2124,Dados!$S:$V,3,0)),0,1)</f>
        <v>0</v>
      </c>
      <c r="T2124" s="4">
        <f>IF(AND(VLOOKUP(G2124,Dados!$D:$L,3,0)&lt;=VLOOKUP(H2124,Dados!$X:$AB,2,0),VLOOKUP(G2124,Dados!$D:$L,4,0)&gt;=VLOOKUP(H2124,Dados!$X:$AB,3,0),VLOOKUP(G2124,Dados!$D:$L,4,0)&lt;=VLOOKUP(H2124,Dados!$X:$AB,4,0)),0,1)</f>
        <v>0</v>
      </c>
      <c r="U2124" s="4">
        <f>IF(COUNTIFS(F:F,F2124,H:H,H2124)&lt;=VLOOKUP(H2124,Dados!$X:$AB,5,0),0,1)</f>
        <v>0</v>
      </c>
    </row>
    <row r="2125" spans="6:21">
      <c r="F2125" s="4">
        <v>957</v>
      </c>
      <c r="G2125" s="4">
        <v>59</v>
      </c>
      <c r="H2125" s="4">
        <v>3</v>
      </c>
      <c r="I2125" s="4">
        <v>29</v>
      </c>
      <c r="J2125" s="4">
        <v>7</v>
      </c>
      <c r="K2125" s="4">
        <f t="shared" si="322"/>
        <v>0</v>
      </c>
      <c r="L2125" s="4">
        <f t="shared" si="322"/>
        <v>0</v>
      </c>
      <c r="M2125" s="4">
        <f t="shared" si="322"/>
        <v>0</v>
      </c>
      <c r="N2125" s="4">
        <f t="shared" si="322"/>
        <v>0</v>
      </c>
      <c r="O2125" s="4">
        <f t="shared" si="323"/>
        <v>0</v>
      </c>
      <c r="P2125" s="4">
        <f t="shared" si="324"/>
        <v>0</v>
      </c>
      <c r="Q2125" s="4">
        <f t="shared" si="325"/>
        <v>0</v>
      </c>
      <c r="R2125" s="4">
        <f t="shared" si="326"/>
        <v>0</v>
      </c>
      <c r="S2125" s="4">
        <f>IF(AND(VLOOKUP(G2125,Dados!$D:$L,2,0)=VLOOKUP(I2125,Dados!$S:$V,2,0),VLOOKUP(G2125,Dados!$D:$L,3,0)=VLOOKUP(I2125,Dados!$S:$V,3,0)),0,1)</f>
        <v>0</v>
      </c>
      <c r="T2125" s="4">
        <f>IF(AND(VLOOKUP(G2125,Dados!$D:$L,3,0)&lt;=VLOOKUP(H2125,Dados!$X:$AB,2,0),VLOOKUP(G2125,Dados!$D:$L,4,0)&gt;=VLOOKUP(H2125,Dados!$X:$AB,3,0),VLOOKUP(G2125,Dados!$D:$L,4,0)&lt;=VLOOKUP(H2125,Dados!$X:$AB,4,0)),0,1)</f>
        <v>0</v>
      </c>
      <c r="U2125" s="4">
        <f>IF(COUNTIFS(F:F,F2125,H:H,H2125)&lt;=VLOOKUP(H2125,Dados!$X:$AB,5,0),0,1)</f>
        <v>0</v>
      </c>
    </row>
    <row r="2126" spans="6:21">
      <c r="F2126" s="4">
        <v>957</v>
      </c>
      <c r="G2126" s="4">
        <v>61</v>
      </c>
      <c r="H2126" s="4">
        <v>3</v>
      </c>
      <c r="I2126" s="4">
        <v>29</v>
      </c>
      <c r="J2126" s="4">
        <v>2</v>
      </c>
      <c r="K2126" s="4">
        <f t="shared" si="322"/>
        <v>0</v>
      </c>
      <c r="L2126" s="4">
        <f t="shared" si="322"/>
        <v>0</v>
      </c>
      <c r="M2126" s="4">
        <f t="shared" si="322"/>
        <v>0</v>
      </c>
      <c r="N2126" s="4">
        <f t="shared" si="322"/>
        <v>0</v>
      </c>
      <c r="O2126" s="4">
        <f t="shared" si="323"/>
        <v>0</v>
      </c>
      <c r="P2126" s="4">
        <f t="shared" si="324"/>
        <v>0</v>
      </c>
      <c r="Q2126" s="4">
        <f t="shared" si="325"/>
        <v>0</v>
      </c>
      <c r="R2126" s="4">
        <f t="shared" si="326"/>
        <v>0</v>
      </c>
      <c r="S2126" s="4">
        <f>IF(AND(VLOOKUP(G2126,Dados!$D:$L,2,0)=VLOOKUP(I2126,Dados!$S:$V,2,0),VLOOKUP(G2126,Dados!$D:$L,3,0)=VLOOKUP(I2126,Dados!$S:$V,3,0)),0,1)</f>
        <v>0</v>
      </c>
      <c r="T2126" s="4">
        <f>IF(AND(VLOOKUP(G2126,Dados!$D:$L,3,0)&lt;=VLOOKUP(H2126,Dados!$X:$AB,2,0),VLOOKUP(G2126,Dados!$D:$L,4,0)&gt;=VLOOKUP(H2126,Dados!$X:$AB,3,0),VLOOKUP(G2126,Dados!$D:$L,4,0)&lt;=VLOOKUP(H2126,Dados!$X:$AB,4,0)),0,1)</f>
        <v>0</v>
      </c>
      <c r="U2126" s="4">
        <f>IF(COUNTIFS(F:F,F2126,H:H,H2126)&lt;=VLOOKUP(H2126,Dados!$X:$AB,5,0),0,1)</f>
        <v>0</v>
      </c>
    </row>
    <row r="2127" spans="6:21">
      <c r="F2127" s="4">
        <v>957</v>
      </c>
      <c r="G2127" s="4">
        <v>67</v>
      </c>
      <c r="H2127" s="4">
        <v>3</v>
      </c>
      <c r="I2127" s="4">
        <v>29</v>
      </c>
      <c r="J2127" s="4">
        <v>1</v>
      </c>
      <c r="K2127" s="4">
        <f t="shared" si="322"/>
        <v>0</v>
      </c>
      <c r="L2127" s="4">
        <f t="shared" si="322"/>
        <v>0</v>
      </c>
      <c r="M2127" s="4">
        <f t="shared" si="322"/>
        <v>0</v>
      </c>
      <c r="N2127" s="4">
        <f t="shared" si="322"/>
        <v>0</v>
      </c>
      <c r="O2127" s="4">
        <f t="shared" si="323"/>
        <v>0</v>
      </c>
      <c r="P2127" s="4">
        <f t="shared" si="324"/>
        <v>0</v>
      </c>
      <c r="Q2127" s="4">
        <f t="shared" si="325"/>
        <v>0</v>
      </c>
      <c r="R2127" s="4">
        <f t="shared" si="326"/>
        <v>0</v>
      </c>
      <c r="S2127" s="4">
        <f>IF(AND(VLOOKUP(G2127,Dados!$D:$L,2,0)=VLOOKUP(I2127,Dados!$S:$V,2,0),VLOOKUP(G2127,Dados!$D:$L,3,0)=VLOOKUP(I2127,Dados!$S:$V,3,0)),0,1)</f>
        <v>0</v>
      </c>
      <c r="T2127" s="4">
        <f>IF(AND(VLOOKUP(G2127,Dados!$D:$L,3,0)&lt;=VLOOKUP(H2127,Dados!$X:$AB,2,0),VLOOKUP(G2127,Dados!$D:$L,4,0)&gt;=VLOOKUP(H2127,Dados!$X:$AB,3,0),VLOOKUP(G2127,Dados!$D:$L,4,0)&lt;=VLOOKUP(H2127,Dados!$X:$AB,4,0)),0,1)</f>
        <v>0</v>
      </c>
      <c r="U2127" s="4">
        <f>IF(COUNTIFS(F:F,F2127,H:H,H2127)&lt;=VLOOKUP(H2127,Dados!$X:$AB,5,0),0,1)</f>
        <v>0</v>
      </c>
    </row>
    <row r="2128" spans="6:21">
      <c r="F2128" s="4">
        <v>958</v>
      </c>
      <c r="G2128" s="4">
        <v>30</v>
      </c>
      <c r="H2128" s="4">
        <v>1</v>
      </c>
      <c r="I2128" s="4">
        <v>16</v>
      </c>
      <c r="J2128" s="4">
        <v>2</v>
      </c>
      <c r="K2128" s="4">
        <f t="shared" si="322"/>
        <v>0</v>
      </c>
      <c r="L2128" s="4">
        <f t="shared" si="322"/>
        <v>0</v>
      </c>
      <c r="M2128" s="4">
        <f t="shared" si="322"/>
        <v>0</v>
      </c>
      <c r="N2128" s="4">
        <f t="shared" si="322"/>
        <v>0</v>
      </c>
      <c r="O2128" s="4">
        <f t="shared" si="323"/>
        <v>0</v>
      </c>
      <c r="P2128" s="4">
        <f t="shared" si="324"/>
        <v>0</v>
      </c>
      <c r="Q2128" s="4">
        <f t="shared" si="325"/>
        <v>0</v>
      </c>
      <c r="R2128" s="4">
        <f t="shared" si="326"/>
        <v>0</v>
      </c>
      <c r="S2128" s="4">
        <f>IF(AND(VLOOKUP(G2128,Dados!$D:$L,2,0)=VLOOKUP(I2128,Dados!$S:$V,2,0),VLOOKUP(G2128,Dados!$D:$L,3,0)=VLOOKUP(I2128,Dados!$S:$V,3,0)),0,1)</f>
        <v>0</v>
      </c>
      <c r="T2128" s="4">
        <f>IF(AND(VLOOKUP(G2128,Dados!$D:$L,3,0)&lt;=VLOOKUP(H2128,Dados!$X:$AB,2,0),VLOOKUP(G2128,Dados!$D:$L,4,0)&gt;=VLOOKUP(H2128,Dados!$X:$AB,3,0),VLOOKUP(G2128,Dados!$D:$L,4,0)&lt;=VLOOKUP(H2128,Dados!$X:$AB,4,0)),0,1)</f>
        <v>0</v>
      </c>
      <c r="U2128" s="4">
        <f>IF(COUNTIFS(F:F,F2128,H:H,H2128)&lt;=VLOOKUP(H2128,Dados!$X:$AB,5,0),0,1)</f>
        <v>0</v>
      </c>
    </row>
    <row r="2129" spans="6:21">
      <c r="F2129" s="4">
        <v>958</v>
      </c>
      <c r="G2129" s="4">
        <v>35</v>
      </c>
      <c r="H2129" s="4">
        <v>1</v>
      </c>
      <c r="I2129" s="4">
        <v>16</v>
      </c>
      <c r="J2129" s="4">
        <v>2</v>
      </c>
      <c r="K2129" s="4">
        <f t="shared" si="322"/>
        <v>0</v>
      </c>
      <c r="L2129" s="4">
        <f t="shared" si="322"/>
        <v>0</v>
      </c>
      <c r="M2129" s="4">
        <f t="shared" si="322"/>
        <v>0</v>
      </c>
      <c r="N2129" s="4">
        <f t="shared" si="322"/>
        <v>0</v>
      </c>
      <c r="O2129" s="4">
        <f t="shared" si="323"/>
        <v>0</v>
      </c>
      <c r="P2129" s="4">
        <f t="shared" si="324"/>
        <v>0</v>
      </c>
      <c r="Q2129" s="4">
        <f t="shared" si="325"/>
        <v>0</v>
      </c>
      <c r="R2129" s="4">
        <f t="shared" si="326"/>
        <v>0</v>
      </c>
      <c r="S2129" s="4">
        <f>IF(AND(VLOOKUP(G2129,Dados!$D:$L,2,0)=VLOOKUP(I2129,Dados!$S:$V,2,0),VLOOKUP(G2129,Dados!$D:$L,3,0)=VLOOKUP(I2129,Dados!$S:$V,3,0)),0,1)</f>
        <v>0</v>
      </c>
      <c r="T2129" s="4">
        <f>IF(AND(VLOOKUP(G2129,Dados!$D:$L,3,0)&lt;=VLOOKUP(H2129,Dados!$X:$AB,2,0),VLOOKUP(G2129,Dados!$D:$L,4,0)&gt;=VLOOKUP(H2129,Dados!$X:$AB,3,0),VLOOKUP(G2129,Dados!$D:$L,4,0)&lt;=VLOOKUP(H2129,Dados!$X:$AB,4,0)),0,1)</f>
        <v>0</v>
      </c>
      <c r="U2129" s="4">
        <f>IF(COUNTIFS(F:F,F2129,H:H,H2129)&lt;=VLOOKUP(H2129,Dados!$X:$AB,5,0),0,1)</f>
        <v>0</v>
      </c>
    </row>
    <row r="2130" spans="6:21">
      <c r="F2130" s="4">
        <v>958</v>
      </c>
      <c r="G2130" s="4">
        <v>37</v>
      </c>
      <c r="H2130" s="4">
        <v>1</v>
      </c>
      <c r="I2130" s="4">
        <v>16</v>
      </c>
      <c r="J2130" s="4">
        <v>2</v>
      </c>
      <c r="K2130" s="4">
        <f t="shared" si="322"/>
        <v>0</v>
      </c>
      <c r="L2130" s="4">
        <f t="shared" si="322"/>
        <v>0</v>
      </c>
      <c r="M2130" s="4">
        <f t="shared" si="322"/>
        <v>0</v>
      </c>
      <c r="N2130" s="4">
        <f t="shared" si="322"/>
        <v>0</v>
      </c>
      <c r="O2130" s="4">
        <f t="shared" si="323"/>
        <v>0</v>
      </c>
      <c r="P2130" s="4">
        <f t="shared" si="324"/>
        <v>0</v>
      </c>
      <c r="Q2130" s="4">
        <f t="shared" si="325"/>
        <v>0</v>
      </c>
      <c r="R2130" s="4">
        <f t="shared" si="326"/>
        <v>0</v>
      </c>
      <c r="S2130" s="4">
        <f>IF(AND(VLOOKUP(G2130,Dados!$D:$L,2,0)=VLOOKUP(I2130,Dados!$S:$V,2,0),VLOOKUP(G2130,Dados!$D:$L,3,0)=VLOOKUP(I2130,Dados!$S:$V,3,0)),0,1)</f>
        <v>0</v>
      </c>
      <c r="T2130" s="4">
        <f>IF(AND(VLOOKUP(G2130,Dados!$D:$L,3,0)&lt;=VLOOKUP(H2130,Dados!$X:$AB,2,0),VLOOKUP(G2130,Dados!$D:$L,4,0)&gt;=VLOOKUP(H2130,Dados!$X:$AB,3,0),VLOOKUP(G2130,Dados!$D:$L,4,0)&lt;=VLOOKUP(H2130,Dados!$X:$AB,4,0)),0,1)</f>
        <v>0</v>
      </c>
      <c r="U2130" s="4">
        <f>IF(COUNTIFS(F:F,F2130,H:H,H2130)&lt;=VLOOKUP(H2130,Dados!$X:$AB,5,0),0,1)</f>
        <v>0</v>
      </c>
    </row>
    <row r="2131" spans="6:21">
      <c r="F2131" s="4">
        <v>959</v>
      </c>
      <c r="G2131" s="4">
        <v>30</v>
      </c>
      <c r="H2131" s="4">
        <v>2</v>
      </c>
      <c r="I2131" s="4">
        <v>16</v>
      </c>
      <c r="J2131" s="4">
        <v>2</v>
      </c>
      <c r="K2131" s="4">
        <f t="shared" si="322"/>
        <v>0</v>
      </c>
      <c r="L2131" s="4">
        <f t="shared" si="322"/>
        <v>0</v>
      </c>
      <c r="M2131" s="4">
        <f t="shared" si="322"/>
        <v>0</v>
      </c>
      <c r="N2131" s="4">
        <f t="shared" si="322"/>
        <v>15</v>
      </c>
      <c r="O2131" s="4">
        <f t="shared" si="323"/>
        <v>0</v>
      </c>
      <c r="P2131" s="4">
        <f t="shared" si="324"/>
        <v>0</v>
      </c>
      <c r="Q2131" s="4">
        <f t="shared" si="325"/>
        <v>0</v>
      </c>
      <c r="R2131" s="4">
        <f t="shared" si="326"/>
        <v>30</v>
      </c>
      <c r="S2131" s="4">
        <f>IF(AND(VLOOKUP(G2131,Dados!$D:$L,2,0)=VLOOKUP(I2131,Dados!$S:$V,2,0),VLOOKUP(G2131,Dados!$D:$L,3,0)=VLOOKUP(I2131,Dados!$S:$V,3,0)),0,1)</f>
        <v>0</v>
      </c>
      <c r="T2131" s="4">
        <f>IF(AND(VLOOKUP(G2131,Dados!$D:$L,3,0)&lt;=VLOOKUP(H2131,Dados!$X:$AB,2,0),VLOOKUP(G2131,Dados!$D:$L,4,0)&gt;=VLOOKUP(H2131,Dados!$X:$AB,3,0),VLOOKUP(G2131,Dados!$D:$L,4,0)&lt;=VLOOKUP(H2131,Dados!$X:$AB,4,0)),0,1)</f>
        <v>0</v>
      </c>
      <c r="U2131" s="4">
        <f>IF(COUNTIFS(F:F,F2131,H:H,H2131)&lt;=VLOOKUP(H2131,Dados!$X:$AB,5,0),0,1)</f>
        <v>0</v>
      </c>
    </row>
    <row r="2132" spans="6:21">
      <c r="F2132" s="4">
        <v>959</v>
      </c>
      <c r="G2132" s="4">
        <v>35</v>
      </c>
      <c r="H2132" s="4">
        <v>2</v>
      </c>
      <c r="I2132" s="4">
        <v>16</v>
      </c>
      <c r="J2132" s="4">
        <v>2</v>
      </c>
      <c r="K2132" s="4">
        <f t="shared" si="322"/>
        <v>0</v>
      </c>
      <c r="L2132" s="4">
        <f t="shared" si="322"/>
        <v>0</v>
      </c>
      <c r="M2132" s="4">
        <f t="shared" si="322"/>
        <v>0</v>
      </c>
      <c r="N2132" s="4">
        <f t="shared" si="322"/>
        <v>15</v>
      </c>
      <c r="O2132" s="4">
        <f t="shared" si="323"/>
        <v>0</v>
      </c>
      <c r="P2132" s="4">
        <f t="shared" si="324"/>
        <v>0</v>
      </c>
      <c r="Q2132" s="4">
        <f t="shared" si="325"/>
        <v>0</v>
      </c>
      <c r="R2132" s="4">
        <f t="shared" si="326"/>
        <v>30</v>
      </c>
      <c r="S2132" s="4">
        <f>IF(AND(VLOOKUP(G2132,Dados!$D:$L,2,0)=VLOOKUP(I2132,Dados!$S:$V,2,0),VLOOKUP(G2132,Dados!$D:$L,3,0)=VLOOKUP(I2132,Dados!$S:$V,3,0)),0,1)</f>
        <v>0</v>
      </c>
      <c r="T2132" s="4">
        <f>IF(AND(VLOOKUP(G2132,Dados!$D:$L,3,0)&lt;=VLOOKUP(H2132,Dados!$X:$AB,2,0),VLOOKUP(G2132,Dados!$D:$L,4,0)&gt;=VLOOKUP(H2132,Dados!$X:$AB,3,0),VLOOKUP(G2132,Dados!$D:$L,4,0)&lt;=VLOOKUP(H2132,Dados!$X:$AB,4,0)),0,1)</f>
        <v>0</v>
      </c>
      <c r="U2132" s="4">
        <f>IF(COUNTIFS(F:F,F2132,H:H,H2132)&lt;=VLOOKUP(H2132,Dados!$X:$AB,5,0),0,1)</f>
        <v>0</v>
      </c>
    </row>
    <row r="2133" spans="6:21">
      <c r="F2133" s="4">
        <v>959</v>
      </c>
      <c r="G2133" s="4">
        <v>37</v>
      </c>
      <c r="H2133" s="4">
        <v>2</v>
      </c>
      <c r="I2133" s="4">
        <v>16</v>
      </c>
      <c r="J2133" s="4">
        <v>2</v>
      </c>
      <c r="K2133" s="4">
        <f t="shared" si="322"/>
        <v>0</v>
      </c>
      <c r="L2133" s="4">
        <f t="shared" si="322"/>
        <v>0</v>
      </c>
      <c r="M2133" s="4">
        <f t="shared" si="322"/>
        <v>0</v>
      </c>
      <c r="N2133" s="4">
        <f t="shared" si="322"/>
        <v>15</v>
      </c>
      <c r="O2133" s="4">
        <f t="shared" si="323"/>
        <v>0</v>
      </c>
      <c r="P2133" s="4">
        <f t="shared" si="324"/>
        <v>0</v>
      </c>
      <c r="Q2133" s="4">
        <f t="shared" si="325"/>
        <v>0</v>
      </c>
      <c r="R2133" s="4">
        <f t="shared" si="326"/>
        <v>30</v>
      </c>
      <c r="S2133" s="4">
        <f>IF(AND(VLOOKUP(G2133,Dados!$D:$L,2,0)=VLOOKUP(I2133,Dados!$S:$V,2,0),VLOOKUP(G2133,Dados!$D:$L,3,0)=VLOOKUP(I2133,Dados!$S:$V,3,0)),0,1)</f>
        <v>0</v>
      </c>
      <c r="T2133" s="4">
        <f>IF(AND(VLOOKUP(G2133,Dados!$D:$L,3,0)&lt;=VLOOKUP(H2133,Dados!$X:$AB,2,0),VLOOKUP(G2133,Dados!$D:$L,4,0)&gt;=VLOOKUP(H2133,Dados!$X:$AB,3,0),VLOOKUP(G2133,Dados!$D:$L,4,0)&lt;=VLOOKUP(H2133,Dados!$X:$AB,4,0)),0,1)</f>
        <v>0</v>
      </c>
      <c r="U2133" s="4">
        <f>IF(COUNTIFS(F:F,F2133,H:H,H2133)&lt;=VLOOKUP(H2133,Dados!$X:$AB,5,0),0,1)</f>
        <v>0</v>
      </c>
    </row>
    <row r="2134" spans="6:21">
      <c r="F2134" s="4">
        <v>960</v>
      </c>
      <c r="G2134" s="4">
        <v>30</v>
      </c>
      <c r="H2134" s="4">
        <v>3</v>
      </c>
      <c r="I2134" s="4">
        <v>16</v>
      </c>
      <c r="J2134" s="4">
        <v>2</v>
      </c>
      <c r="K2134" s="4">
        <f t="shared" si="322"/>
        <v>0</v>
      </c>
      <c r="L2134" s="4">
        <f t="shared" si="322"/>
        <v>0</v>
      </c>
      <c r="M2134" s="4">
        <f t="shared" si="322"/>
        <v>0</v>
      </c>
      <c r="N2134" s="4">
        <f t="shared" si="322"/>
        <v>0</v>
      </c>
      <c r="O2134" s="4">
        <f t="shared" si="323"/>
        <v>0</v>
      </c>
      <c r="P2134" s="4">
        <f t="shared" si="324"/>
        <v>0</v>
      </c>
      <c r="Q2134" s="4">
        <f t="shared" si="325"/>
        <v>0</v>
      </c>
      <c r="R2134" s="4">
        <f t="shared" si="326"/>
        <v>0</v>
      </c>
      <c r="S2134" s="4">
        <f>IF(AND(VLOOKUP(G2134,Dados!$D:$L,2,0)=VLOOKUP(I2134,Dados!$S:$V,2,0),VLOOKUP(G2134,Dados!$D:$L,3,0)=VLOOKUP(I2134,Dados!$S:$V,3,0)),0,1)</f>
        <v>0</v>
      </c>
      <c r="T2134" s="4">
        <f>IF(AND(VLOOKUP(G2134,Dados!$D:$L,3,0)&lt;=VLOOKUP(H2134,Dados!$X:$AB,2,0),VLOOKUP(G2134,Dados!$D:$L,4,0)&gt;=VLOOKUP(H2134,Dados!$X:$AB,3,0),VLOOKUP(G2134,Dados!$D:$L,4,0)&lt;=VLOOKUP(H2134,Dados!$X:$AB,4,0)),0,1)</f>
        <v>0</v>
      </c>
      <c r="U2134" s="4">
        <f>IF(COUNTIFS(F:F,F2134,H:H,H2134)&lt;=VLOOKUP(H2134,Dados!$X:$AB,5,0),0,1)</f>
        <v>0</v>
      </c>
    </row>
    <row r="2135" spans="6:21">
      <c r="F2135" s="4">
        <v>960</v>
      </c>
      <c r="G2135" s="4">
        <v>35</v>
      </c>
      <c r="H2135" s="4">
        <v>3</v>
      </c>
      <c r="I2135" s="4">
        <v>16</v>
      </c>
      <c r="J2135" s="4">
        <v>2</v>
      </c>
      <c r="K2135" s="4">
        <f t="shared" si="322"/>
        <v>0</v>
      </c>
      <c r="L2135" s="4">
        <f t="shared" si="322"/>
        <v>0</v>
      </c>
      <c r="M2135" s="4">
        <f t="shared" si="322"/>
        <v>0</v>
      </c>
      <c r="N2135" s="4">
        <f t="shared" si="322"/>
        <v>0</v>
      </c>
      <c r="O2135" s="4">
        <f t="shared" si="323"/>
        <v>0</v>
      </c>
      <c r="P2135" s="4">
        <f t="shared" si="324"/>
        <v>0</v>
      </c>
      <c r="Q2135" s="4">
        <f t="shared" si="325"/>
        <v>0</v>
      </c>
      <c r="R2135" s="4">
        <f t="shared" si="326"/>
        <v>0</v>
      </c>
      <c r="S2135" s="4">
        <f>IF(AND(VLOOKUP(G2135,Dados!$D:$L,2,0)=VLOOKUP(I2135,Dados!$S:$V,2,0),VLOOKUP(G2135,Dados!$D:$L,3,0)=VLOOKUP(I2135,Dados!$S:$V,3,0)),0,1)</f>
        <v>0</v>
      </c>
      <c r="T2135" s="4">
        <f>IF(AND(VLOOKUP(G2135,Dados!$D:$L,3,0)&lt;=VLOOKUP(H2135,Dados!$X:$AB,2,0),VLOOKUP(G2135,Dados!$D:$L,4,0)&gt;=VLOOKUP(H2135,Dados!$X:$AB,3,0),VLOOKUP(G2135,Dados!$D:$L,4,0)&lt;=VLOOKUP(H2135,Dados!$X:$AB,4,0)),0,1)</f>
        <v>0</v>
      </c>
      <c r="U2135" s="4">
        <f>IF(COUNTIFS(F:F,F2135,H:H,H2135)&lt;=VLOOKUP(H2135,Dados!$X:$AB,5,0),0,1)</f>
        <v>0</v>
      </c>
    </row>
    <row r="2136" spans="6:21">
      <c r="F2136" s="4">
        <v>960</v>
      </c>
      <c r="G2136" s="4">
        <v>37</v>
      </c>
      <c r="H2136" s="4">
        <v>3</v>
      </c>
      <c r="I2136" s="4">
        <v>16</v>
      </c>
      <c r="J2136" s="4">
        <v>2</v>
      </c>
      <c r="K2136" s="4">
        <f t="shared" si="322"/>
        <v>0</v>
      </c>
      <c r="L2136" s="4">
        <f t="shared" si="322"/>
        <v>0</v>
      </c>
      <c r="M2136" s="4">
        <f t="shared" si="322"/>
        <v>0</v>
      </c>
      <c r="N2136" s="4">
        <f t="shared" si="322"/>
        <v>0</v>
      </c>
      <c r="O2136" s="4">
        <f t="shared" si="323"/>
        <v>0</v>
      </c>
      <c r="P2136" s="4">
        <f t="shared" si="324"/>
        <v>0</v>
      </c>
      <c r="Q2136" s="4">
        <f t="shared" si="325"/>
        <v>0</v>
      </c>
      <c r="R2136" s="4">
        <f t="shared" si="326"/>
        <v>0</v>
      </c>
      <c r="S2136" s="4">
        <f>IF(AND(VLOOKUP(G2136,Dados!$D:$L,2,0)=VLOOKUP(I2136,Dados!$S:$V,2,0),VLOOKUP(G2136,Dados!$D:$L,3,0)=VLOOKUP(I2136,Dados!$S:$V,3,0)),0,1)</f>
        <v>0</v>
      </c>
      <c r="T2136" s="4">
        <f>IF(AND(VLOOKUP(G2136,Dados!$D:$L,3,0)&lt;=VLOOKUP(H2136,Dados!$X:$AB,2,0),VLOOKUP(G2136,Dados!$D:$L,4,0)&gt;=VLOOKUP(H2136,Dados!$X:$AB,3,0),VLOOKUP(G2136,Dados!$D:$L,4,0)&lt;=VLOOKUP(H2136,Dados!$X:$AB,4,0)),0,1)</f>
        <v>0</v>
      </c>
      <c r="U2136" s="4">
        <f>IF(COUNTIFS(F:F,F2136,H:H,H2136)&lt;=VLOOKUP(H2136,Dados!$X:$AB,5,0),0,1)</f>
        <v>0</v>
      </c>
    </row>
    <row r="2137" spans="6:21">
      <c r="F2137" s="4">
        <v>961</v>
      </c>
      <c r="G2137" s="4">
        <v>47</v>
      </c>
      <c r="H2137" s="4">
        <v>1</v>
      </c>
      <c r="I2137" s="4">
        <v>18</v>
      </c>
      <c r="J2137" s="4">
        <v>1</v>
      </c>
      <c r="K2137" s="4">
        <f t="shared" si="322"/>
        <v>0</v>
      </c>
      <c r="L2137" s="4">
        <f t="shared" si="322"/>
        <v>0</v>
      </c>
      <c r="M2137" s="4">
        <f t="shared" si="322"/>
        <v>0</v>
      </c>
      <c r="N2137" s="4">
        <f t="shared" si="322"/>
        <v>2</v>
      </c>
      <c r="O2137" s="4">
        <f t="shared" si="323"/>
        <v>0</v>
      </c>
      <c r="P2137" s="4">
        <f t="shared" si="324"/>
        <v>0</v>
      </c>
      <c r="Q2137" s="4">
        <f t="shared" si="325"/>
        <v>0</v>
      </c>
      <c r="R2137" s="4">
        <f t="shared" si="326"/>
        <v>2</v>
      </c>
      <c r="S2137" s="4">
        <f>IF(AND(VLOOKUP(G2137,Dados!$D:$L,2,0)=VLOOKUP(I2137,Dados!$S:$V,2,0),VLOOKUP(G2137,Dados!$D:$L,3,0)=VLOOKUP(I2137,Dados!$S:$V,3,0)),0,1)</f>
        <v>0</v>
      </c>
      <c r="T2137" s="4">
        <f>IF(AND(VLOOKUP(G2137,Dados!$D:$L,3,0)&lt;=VLOOKUP(H2137,Dados!$X:$AB,2,0),VLOOKUP(G2137,Dados!$D:$L,4,0)&gt;=VLOOKUP(H2137,Dados!$X:$AB,3,0),VLOOKUP(G2137,Dados!$D:$L,4,0)&lt;=VLOOKUP(H2137,Dados!$X:$AB,4,0)),0,1)</f>
        <v>0</v>
      </c>
      <c r="U2137" s="4">
        <f>IF(COUNTIFS(F:F,F2137,H:H,H2137)&lt;=VLOOKUP(H2137,Dados!$X:$AB,5,0),0,1)</f>
        <v>0</v>
      </c>
    </row>
    <row r="2138" spans="6:21">
      <c r="F2138" s="4">
        <v>961</v>
      </c>
      <c r="G2138" s="4">
        <v>48</v>
      </c>
      <c r="H2138" s="4">
        <v>1</v>
      </c>
      <c r="I2138" s="4">
        <v>18</v>
      </c>
      <c r="J2138" s="4">
        <v>4</v>
      </c>
      <c r="K2138" s="4">
        <f t="shared" si="322"/>
        <v>0</v>
      </c>
      <c r="L2138" s="4">
        <f t="shared" si="322"/>
        <v>0</v>
      </c>
      <c r="M2138" s="4">
        <f t="shared" si="322"/>
        <v>0</v>
      </c>
      <c r="N2138" s="4">
        <f t="shared" si="322"/>
        <v>2</v>
      </c>
      <c r="O2138" s="4">
        <f t="shared" si="323"/>
        <v>0</v>
      </c>
      <c r="P2138" s="4">
        <f t="shared" si="324"/>
        <v>0</v>
      </c>
      <c r="Q2138" s="4">
        <f t="shared" si="325"/>
        <v>0</v>
      </c>
      <c r="R2138" s="4">
        <f t="shared" si="326"/>
        <v>8</v>
      </c>
      <c r="S2138" s="4">
        <f>IF(AND(VLOOKUP(G2138,Dados!$D:$L,2,0)=VLOOKUP(I2138,Dados!$S:$V,2,0),VLOOKUP(G2138,Dados!$D:$L,3,0)=VLOOKUP(I2138,Dados!$S:$V,3,0)),0,1)</f>
        <v>0</v>
      </c>
      <c r="T2138" s="4">
        <f>IF(AND(VLOOKUP(G2138,Dados!$D:$L,3,0)&lt;=VLOOKUP(H2138,Dados!$X:$AB,2,0),VLOOKUP(G2138,Dados!$D:$L,4,0)&gt;=VLOOKUP(H2138,Dados!$X:$AB,3,0),VLOOKUP(G2138,Dados!$D:$L,4,0)&lt;=VLOOKUP(H2138,Dados!$X:$AB,4,0)),0,1)</f>
        <v>0</v>
      </c>
      <c r="U2138" s="4">
        <f>IF(COUNTIFS(F:F,F2138,H:H,H2138)&lt;=VLOOKUP(H2138,Dados!$X:$AB,5,0),0,1)</f>
        <v>0</v>
      </c>
    </row>
    <row r="2139" spans="6:21">
      <c r="F2139" s="4">
        <v>961</v>
      </c>
      <c r="G2139" s="4">
        <v>51</v>
      </c>
      <c r="H2139" s="4">
        <v>1</v>
      </c>
      <c r="I2139" s="4">
        <v>18</v>
      </c>
      <c r="J2139" s="4">
        <v>2</v>
      </c>
      <c r="K2139" s="4">
        <f t="shared" si="322"/>
        <v>0</v>
      </c>
      <c r="L2139" s="4">
        <f t="shared" si="322"/>
        <v>0</v>
      </c>
      <c r="M2139" s="4">
        <f t="shared" si="322"/>
        <v>0</v>
      </c>
      <c r="N2139" s="4">
        <f t="shared" si="322"/>
        <v>2</v>
      </c>
      <c r="O2139" s="4">
        <f t="shared" si="323"/>
        <v>0</v>
      </c>
      <c r="P2139" s="4">
        <f t="shared" si="324"/>
        <v>0</v>
      </c>
      <c r="Q2139" s="4">
        <f t="shared" si="325"/>
        <v>0</v>
      </c>
      <c r="R2139" s="4">
        <f t="shared" si="326"/>
        <v>4</v>
      </c>
      <c r="S2139" s="4">
        <f>IF(AND(VLOOKUP(G2139,Dados!$D:$L,2,0)=VLOOKUP(I2139,Dados!$S:$V,2,0),VLOOKUP(G2139,Dados!$D:$L,3,0)=VLOOKUP(I2139,Dados!$S:$V,3,0)),0,1)</f>
        <v>0</v>
      </c>
      <c r="T2139" s="4">
        <f>IF(AND(VLOOKUP(G2139,Dados!$D:$L,3,0)&lt;=VLOOKUP(H2139,Dados!$X:$AB,2,0),VLOOKUP(G2139,Dados!$D:$L,4,0)&gt;=VLOOKUP(H2139,Dados!$X:$AB,3,0),VLOOKUP(G2139,Dados!$D:$L,4,0)&lt;=VLOOKUP(H2139,Dados!$X:$AB,4,0)),0,1)</f>
        <v>0</v>
      </c>
      <c r="U2139" s="4">
        <f>IF(COUNTIFS(F:F,F2139,H:H,H2139)&lt;=VLOOKUP(H2139,Dados!$X:$AB,5,0),0,1)</f>
        <v>0</v>
      </c>
    </row>
    <row r="2140" spans="6:21">
      <c r="F2140" s="4">
        <v>962</v>
      </c>
      <c r="G2140" s="4">
        <v>47</v>
      </c>
      <c r="H2140" s="4">
        <v>3</v>
      </c>
      <c r="I2140" s="4">
        <v>18</v>
      </c>
      <c r="J2140" s="4">
        <v>1</v>
      </c>
      <c r="K2140" s="4">
        <f t="shared" si="322"/>
        <v>0</v>
      </c>
      <c r="L2140" s="4">
        <f t="shared" si="322"/>
        <v>0</v>
      </c>
      <c r="M2140" s="4">
        <f t="shared" si="322"/>
        <v>0</v>
      </c>
      <c r="N2140" s="4">
        <f t="shared" si="322"/>
        <v>38</v>
      </c>
      <c r="O2140" s="4">
        <f t="shared" si="323"/>
        <v>0</v>
      </c>
      <c r="P2140" s="4">
        <f t="shared" si="324"/>
        <v>0</v>
      </c>
      <c r="Q2140" s="4">
        <f t="shared" si="325"/>
        <v>0</v>
      </c>
      <c r="R2140" s="4">
        <f t="shared" si="326"/>
        <v>38</v>
      </c>
      <c r="S2140" s="4">
        <f>IF(AND(VLOOKUP(G2140,Dados!$D:$L,2,0)=VLOOKUP(I2140,Dados!$S:$V,2,0),VLOOKUP(G2140,Dados!$D:$L,3,0)=VLOOKUP(I2140,Dados!$S:$V,3,0)),0,1)</f>
        <v>0</v>
      </c>
      <c r="T2140" s="4">
        <f>IF(AND(VLOOKUP(G2140,Dados!$D:$L,3,0)&lt;=VLOOKUP(H2140,Dados!$X:$AB,2,0),VLOOKUP(G2140,Dados!$D:$L,4,0)&gt;=VLOOKUP(H2140,Dados!$X:$AB,3,0),VLOOKUP(G2140,Dados!$D:$L,4,0)&lt;=VLOOKUP(H2140,Dados!$X:$AB,4,0)),0,1)</f>
        <v>0</v>
      </c>
      <c r="U2140" s="4">
        <f>IF(COUNTIFS(F:F,F2140,H:H,H2140)&lt;=VLOOKUP(H2140,Dados!$X:$AB,5,0),0,1)</f>
        <v>0</v>
      </c>
    </row>
    <row r="2141" spans="6:21">
      <c r="F2141" s="4">
        <v>962</v>
      </c>
      <c r="G2141" s="4">
        <v>48</v>
      </c>
      <c r="H2141" s="4">
        <v>3</v>
      </c>
      <c r="I2141" s="4">
        <v>18</v>
      </c>
      <c r="J2141" s="4">
        <v>2</v>
      </c>
      <c r="K2141" s="4">
        <f t="shared" si="322"/>
        <v>0</v>
      </c>
      <c r="L2141" s="4">
        <f t="shared" si="322"/>
        <v>0</v>
      </c>
      <c r="M2141" s="4">
        <f t="shared" si="322"/>
        <v>0</v>
      </c>
      <c r="N2141" s="4">
        <f t="shared" si="322"/>
        <v>38</v>
      </c>
      <c r="O2141" s="4">
        <f t="shared" si="323"/>
        <v>0</v>
      </c>
      <c r="P2141" s="4">
        <f t="shared" si="324"/>
        <v>0</v>
      </c>
      <c r="Q2141" s="4">
        <f t="shared" si="325"/>
        <v>0</v>
      </c>
      <c r="R2141" s="4">
        <f t="shared" si="326"/>
        <v>76</v>
      </c>
      <c r="S2141" s="4">
        <f>IF(AND(VLOOKUP(G2141,Dados!$D:$L,2,0)=VLOOKUP(I2141,Dados!$S:$V,2,0),VLOOKUP(G2141,Dados!$D:$L,3,0)=VLOOKUP(I2141,Dados!$S:$V,3,0)),0,1)</f>
        <v>0</v>
      </c>
      <c r="T2141" s="4">
        <f>IF(AND(VLOOKUP(G2141,Dados!$D:$L,3,0)&lt;=VLOOKUP(H2141,Dados!$X:$AB,2,0),VLOOKUP(G2141,Dados!$D:$L,4,0)&gt;=VLOOKUP(H2141,Dados!$X:$AB,3,0),VLOOKUP(G2141,Dados!$D:$L,4,0)&lt;=VLOOKUP(H2141,Dados!$X:$AB,4,0)),0,1)</f>
        <v>0</v>
      </c>
      <c r="U2141" s="4">
        <f>IF(COUNTIFS(F:F,F2141,H:H,H2141)&lt;=VLOOKUP(H2141,Dados!$X:$AB,5,0),0,1)</f>
        <v>0</v>
      </c>
    </row>
    <row r="2142" spans="6:21">
      <c r="F2142" s="4">
        <v>962</v>
      </c>
      <c r="G2142" s="4">
        <v>50</v>
      </c>
      <c r="H2142" s="4">
        <v>3</v>
      </c>
      <c r="I2142" s="4">
        <v>18</v>
      </c>
      <c r="J2142" s="4">
        <v>1</v>
      </c>
      <c r="K2142" s="4">
        <f t="shared" si="322"/>
        <v>0</v>
      </c>
      <c r="L2142" s="4">
        <f t="shared" si="322"/>
        <v>0</v>
      </c>
      <c r="M2142" s="4">
        <f t="shared" si="322"/>
        <v>0</v>
      </c>
      <c r="N2142" s="4">
        <f t="shared" si="322"/>
        <v>38</v>
      </c>
      <c r="O2142" s="4">
        <f t="shared" si="323"/>
        <v>0</v>
      </c>
      <c r="P2142" s="4">
        <f t="shared" si="324"/>
        <v>0</v>
      </c>
      <c r="Q2142" s="4">
        <f t="shared" si="325"/>
        <v>0</v>
      </c>
      <c r="R2142" s="4">
        <f t="shared" si="326"/>
        <v>38</v>
      </c>
      <c r="S2142" s="4">
        <f>IF(AND(VLOOKUP(G2142,Dados!$D:$L,2,0)=VLOOKUP(I2142,Dados!$S:$V,2,0),VLOOKUP(G2142,Dados!$D:$L,3,0)=VLOOKUP(I2142,Dados!$S:$V,3,0)),0,1)</f>
        <v>0</v>
      </c>
      <c r="T2142" s="4">
        <f>IF(AND(VLOOKUP(G2142,Dados!$D:$L,3,0)&lt;=VLOOKUP(H2142,Dados!$X:$AB,2,0),VLOOKUP(G2142,Dados!$D:$L,4,0)&gt;=VLOOKUP(H2142,Dados!$X:$AB,3,0),VLOOKUP(G2142,Dados!$D:$L,4,0)&lt;=VLOOKUP(H2142,Dados!$X:$AB,4,0)),0,1)</f>
        <v>0</v>
      </c>
      <c r="U2142" s="4">
        <f>IF(COUNTIFS(F:F,F2142,H:H,H2142)&lt;=VLOOKUP(H2142,Dados!$X:$AB,5,0),0,1)</f>
        <v>0</v>
      </c>
    </row>
    <row r="2143" spans="6:21">
      <c r="F2143" s="4">
        <v>962</v>
      </c>
      <c r="G2143" s="4">
        <v>51</v>
      </c>
      <c r="H2143" s="4">
        <v>3</v>
      </c>
      <c r="I2143" s="4">
        <v>18</v>
      </c>
      <c r="J2143" s="4">
        <v>3</v>
      </c>
      <c r="K2143" s="4">
        <f t="shared" ref="K2143:N2206" si="327">SUMIFS($X:$X,$W:$W,$F2143,$Z:$Z,$I2143,$AA:$AA,$H2143,$AB:$AB,K$2)</f>
        <v>0</v>
      </c>
      <c r="L2143" s="4">
        <f t="shared" si="327"/>
        <v>0</v>
      </c>
      <c r="M2143" s="4">
        <f t="shared" si="327"/>
        <v>0</v>
      </c>
      <c r="N2143" s="4">
        <f t="shared" si="327"/>
        <v>38</v>
      </c>
      <c r="O2143" s="4">
        <f t="shared" si="323"/>
        <v>0</v>
      </c>
      <c r="P2143" s="4">
        <f t="shared" si="324"/>
        <v>0</v>
      </c>
      <c r="Q2143" s="4">
        <f t="shared" si="325"/>
        <v>0</v>
      </c>
      <c r="R2143" s="4">
        <f t="shared" si="326"/>
        <v>114</v>
      </c>
      <c r="S2143" s="4">
        <f>IF(AND(VLOOKUP(G2143,Dados!$D:$L,2,0)=VLOOKUP(I2143,Dados!$S:$V,2,0),VLOOKUP(G2143,Dados!$D:$L,3,0)=VLOOKUP(I2143,Dados!$S:$V,3,0)),0,1)</f>
        <v>0</v>
      </c>
      <c r="T2143" s="4">
        <f>IF(AND(VLOOKUP(G2143,Dados!$D:$L,3,0)&lt;=VLOOKUP(H2143,Dados!$X:$AB,2,0),VLOOKUP(G2143,Dados!$D:$L,4,0)&gt;=VLOOKUP(H2143,Dados!$X:$AB,3,0),VLOOKUP(G2143,Dados!$D:$L,4,0)&lt;=VLOOKUP(H2143,Dados!$X:$AB,4,0)),0,1)</f>
        <v>0</v>
      </c>
      <c r="U2143" s="4">
        <f>IF(COUNTIFS(F:F,F2143,H:H,H2143)&lt;=VLOOKUP(H2143,Dados!$X:$AB,5,0),0,1)</f>
        <v>0</v>
      </c>
    </row>
    <row r="2144" spans="6:21">
      <c r="F2144" s="4">
        <v>963</v>
      </c>
      <c r="G2144" s="4">
        <v>47</v>
      </c>
      <c r="H2144" s="4">
        <v>1</v>
      </c>
      <c r="I2144" s="4">
        <v>19</v>
      </c>
      <c r="J2144" s="4">
        <v>1</v>
      </c>
      <c r="K2144" s="4">
        <f t="shared" si="327"/>
        <v>0</v>
      </c>
      <c r="L2144" s="4">
        <f t="shared" si="327"/>
        <v>0</v>
      </c>
      <c r="M2144" s="4">
        <f t="shared" si="327"/>
        <v>0</v>
      </c>
      <c r="N2144" s="4">
        <f t="shared" si="327"/>
        <v>7</v>
      </c>
      <c r="O2144" s="4">
        <f t="shared" si="323"/>
        <v>0</v>
      </c>
      <c r="P2144" s="4">
        <f t="shared" si="324"/>
        <v>0</v>
      </c>
      <c r="Q2144" s="4">
        <f t="shared" si="325"/>
        <v>0</v>
      </c>
      <c r="R2144" s="4">
        <f t="shared" si="326"/>
        <v>7</v>
      </c>
      <c r="S2144" s="4">
        <f>IF(AND(VLOOKUP(G2144,Dados!$D:$L,2,0)=VLOOKUP(I2144,Dados!$S:$V,2,0),VLOOKUP(G2144,Dados!$D:$L,3,0)=VLOOKUP(I2144,Dados!$S:$V,3,0)),0,1)</f>
        <v>0</v>
      </c>
      <c r="T2144" s="4">
        <f>IF(AND(VLOOKUP(G2144,Dados!$D:$L,3,0)&lt;=VLOOKUP(H2144,Dados!$X:$AB,2,0),VLOOKUP(G2144,Dados!$D:$L,4,0)&gt;=VLOOKUP(H2144,Dados!$X:$AB,3,0),VLOOKUP(G2144,Dados!$D:$L,4,0)&lt;=VLOOKUP(H2144,Dados!$X:$AB,4,0)),0,1)</f>
        <v>0</v>
      </c>
      <c r="U2144" s="4">
        <f>IF(COUNTIFS(F:F,F2144,H:H,H2144)&lt;=VLOOKUP(H2144,Dados!$X:$AB,5,0),0,1)</f>
        <v>0</v>
      </c>
    </row>
    <row r="2145" spans="6:21">
      <c r="F2145" s="4">
        <v>963</v>
      </c>
      <c r="G2145" s="4">
        <v>48</v>
      </c>
      <c r="H2145" s="4">
        <v>1</v>
      </c>
      <c r="I2145" s="4">
        <v>19</v>
      </c>
      <c r="J2145" s="4">
        <v>5</v>
      </c>
      <c r="K2145" s="4">
        <f t="shared" si="327"/>
        <v>0</v>
      </c>
      <c r="L2145" s="4">
        <f t="shared" si="327"/>
        <v>0</v>
      </c>
      <c r="M2145" s="4">
        <f t="shared" si="327"/>
        <v>0</v>
      </c>
      <c r="N2145" s="4">
        <f t="shared" si="327"/>
        <v>7</v>
      </c>
      <c r="O2145" s="4">
        <f t="shared" si="323"/>
        <v>0</v>
      </c>
      <c r="P2145" s="4">
        <f t="shared" si="324"/>
        <v>0</v>
      </c>
      <c r="Q2145" s="4">
        <f t="shared" si="325"/>
        <v>0</v>
      </c>
      <c r="R2145" s="4">
        <f t="shared" si="326"/>
        <v>35</v>
      </c>
      <c r="S2145" s="4">
        <f>IF(AND(VLOOKUP(G2145,Dados!$D:$L,2,0)=VLOOKUP(I2145,Dados!$S:$V,2,0),VLOOKUP(G2145,Dados!$D:$L,3,0)=VLOOKUP(I2145,Dados!$S:$V,3,0)),0,1)</f>
        <v>0</v>
      </c>
      <c r="T2145" s="4">
        <f>IF(AND(VLOOKUP(G2145,Dados!$D:$L,3,0)&lt;=VLOOKUP(H2145,Dados!$X:$AB,2,0),VLOOKUP(G2145,Dados!$D:$L,4,0)&gt;=VLOOKUP(H2145,Dados!$X:$AB,3,0),VLOOKUP(G2145,Dados!$D:$L,4,0)&lt;=VLOOKUP(H2145,Dados!$X:$AB,4,0)),0,1)</f>
        <v>0</v>
      </c>
      <c r="U2145" s="4">
        <f>IF(COUNTIFS(F:F,F2145,H:H,H2145)&lt;=VLOOKUP(H2145,Dados!$X:$AB,5,0),0,1)</f>
        <v>0</v>
      </c>
    </row>
    <row r="2146" spans="6:21">
      <c r="F2146" s="4">
        <v>963</v>
      </c>
      <c r="G2146" s="4">
        <v>51</v>
      </c>
      <c r="H2146" s="4">
        <v>1</v>
      </c>
      <c r="I2146" s="4">
        <v>19</v>
      </c>
      <c r="J2146" s="4">
        <v>2</v>
      </c>
      <c r="K2146" s="4">
        <f t="shared" si="327"/>
        <v>0</v>
      </c>
      <c r="L2146" s="4">
        <f t="shared" si="327"/>
        <v>0</v>
      </c>
      <c r="M2146" s="4">
        <f t="shared" si="327"/>
        <v>0</v>
      </c>
      <c r="N2146" s="4">
        <f t="shared" si="327"/>
        <v>7</v>
      </c>
      <c r="O2146" s="4">
        <f t="shared" si="323"/>
        <v>0</v>
      </c>
      <c r="P2146" s="4">
        <f t="shared" si="324"/>
        <v>0</v>
      </c>
      <c r="Q2146" s="4">
        <f t="shared" si="325"/>
        <v>0</v>
      </c>
      <c r="R2146" s="4">
        <f t="shared" si="326"/>
        <v>14</v>
      </c>
      <c r="S2146" s="4">
        <f>IF(AND(VLOOKUP(G2146,Dados!$D:$L,2,0)=VLOOKUP(I2146,Dados!$S:$V,2,0),VLOOKUP(G2146,Dados!$D:$L,3,0)=VLOOKUP(I2146,Dados!$S:$V,3,0)),0,1)</f>
        <v>0</v>
      </c>
      <c r="T2146" s="4">
        <f>IF(AND(VLOOKUP(G2146,Dados!$D:$L,3,0)&lt;=VLOOKUP(H2146,Dados!$X:$AB,2,0),VLOOKUP(G2146,Dados!$D:$L,4,0)&gt;=VLOOKUP(H2146,Dados!$X:$AB,3,0),VLOOKUP(G2146,Dados!$D:$L,4,0)&lt;=VLOOKUP(H2146,Dados!$X:$AB,4,0)),0,1)</f>
        <v>0</v>
      </c>
      <c r="U2146" s="4">
        <f>IF(COUNTIFS(F:F,F2146,H:H,H2146)&lt;=VLOOKUP(H2146,Dados!$X:$AB,5,0),0,1)</f>
        <v>0</v>
      </c>
    </row>
    <row r="2147" spans="6:21">
      <c r="F2147" s="4">
        <v>964</v>
      </c>
      <c r="G2147" s="4">
        <v>47</v>
      </c>
      <c r="H2147" s="4">
        <v>3</v>
      </c>
      <c r="I2147" s="4">
        <v>19</v>
      </c>
      <c r="J2147" s="4">
        <v>1</v>
      </c>
      <c r="K2147" s="4">
        <f t="shared" si="327"/>
        <v>0</v>
      </c>
      <c r="L2147" s="4">
        <f t="shared" si="327"/>
        <v>0</v>
      </c>
      <c r="M2147" s="4">
        <f t="shared" si="327"/>
        <v>0</v>
      </c>
      <c r="N2147" s="4">
        <f t="shared" si="327"/>
        <v>0</v>
      </c>
      <c r="O2147" s="4">
        <f t="shared" si="323"/>
        <v>0</v>
      </c>
      <c r="P2147" s="4">
        <f t="shared" si="324"/>
        <v>0</v>
      </c>
      <c r="Q2147" s="4">
        <f t="shared" si="325"/>
        <v>0</v>
      </c>
      <c r="R2147" s="4">
        <f t="shared" si="326"/>
        <v>0</v>
      </c>
      <c r="S2147" s="4">
        <f>IF(AND(VLOOKUP(G2147,Dados!$D:$L,2,0)=VLOOKUP(I2147,Dados!$S:$V,2,0),VLOOKUP(G2147,Dados!$D:$L,3,0)=VLOOKUP(I2147,Dados!$S:$V,3,0)),0,1)</f>
        <v>0</v>
      </c>
      <c r="T2147" s="4">
        <f>IF(AND(VLOOKUP(G2147,Dados!$D:$L,3,0)&lt;=VLOOKUP(H2147,Dados!$X:$AB,2,0),VLOOKUP(G2147,Dados!$D:$L,4,0)&gt;=VLOOKUP(H2147,Dados!$X:$AB,3,0),VLOOKUP(G2147,Dados!$D:$L,4,0)&lt;=VLOOKUP(H2147,Dados!$X:$AB,4,0)),0,1)</f>
        <v>0</v>
      </c>
      <c r="U2147" s="4">
        <f>IF(COUNTIFS(F:F,F2147,H:H,H2147)&lt;=VLOOKUP(H2147,Dados!$X:$AB,5,0),0,1)</f>
        <v>0</v>
      </c>
    </row>
    <row r="2148" spans="6:21">
      <c r="F2148" s="4">
        <v>964</v>
      </c>
      <c r="G2148" s="4">
        <v>48</v>
      </c>
      <c r="H2148" s="4">
        <v>3</v>
      </c>
      <c r="I2148" s="4">
        <v>19</v>
      </c>
      <c r="J2148" s="4">
        <v>5</v>
      </c>
      <c r="K2148" s="4">
        <f t="shared" si="327"/>
        <v>0</v>
      </c>
      <c r="L2148" s="4">
        <f t="shared" si="327"/>
        <v>0</v>
      </c>
      <c r="M2148" s="4">
        <f t="shared" si="327"/>
        <v>0</v>
      </c>
      <c r="N2148" s="4">
        <f t="shared" si="327"/>
        <v>0</v>
      </c>
      <c r="O2148" s="4">
        <f t="shared" si="323"/>
        <v>0</v>
      </c>
      <c r="P2148" s="4">
        <f t="shared" si="324"/>
        <v>0</v>
      </c>
      <c r="Q2148" s="4">
        <f t="shared" si="325"/>
        <v>0</v>
      </c>
      <c r="R2148" s="4">
        <f t="shared" si="326"/>
        <v>0</v>
      </c>
      <c r="S2148" s="4">
        <f>IF(AND(VLOOKUP(G2148,Dados!$D:$L,2,0)=VLOOKUP(I2148,Dados!$S:$V,2,0),VLOOKUP(G2148,Dados!$D:$L,3,0)=VLOOKUP(I2148,Dados!$S:$V,3,0)),0,1)</f>
        <v>0</v>
      </c>
      <c r="T2148" s="4">
        <f>IF(AND(VLOOKUP(G2148,Dados!$D:$L,3,0)&lt;=VLOOKUP(H2148,Dados!$X:$AB,2,0),VLOOKUP(G2148,Dados!$D:$L,4,0)&gt;=VLOOKUP(H2148,Dados!$X:$AB,3,0),VLOOKUP(G2148,Dados!$D:$L,4,0)&lt;=VLOOKUP(H2148,Dados!$X:$AB,4,0)),0,1)</f>
        <v>0</v>
      </c>
      <c r="U2148" s="4">
        <f>IF(COUNTIFS(F:F,F2148,H:H,H2148)&lt;=VLOOKUP(H2148,Dados!$X:$AB,5,0),0,1)</f>
        <v>0</v>
      </c>
    </row>
    <row r="2149" spans="6:21">
      <c r="F2149" s="4">
        <v>964</v>
      </c>
      <c r="G2149" s="4">
        <v>51</v>
      </c>
      <c r="H2149" s="4">
        <v>3</v>
      </c>
      <c r="I2149" s="4">
        <v>19</v>
      </c>
      <c r="J2149" s="4">
        <v>2</v>
      </c>
      <c r="K2149" s="4">
        <f t="shared" si="327"/>
        <v>0</v>
      </c>
      <c r="L2149" s="4">
        <f t="shared" si="327"/>
        <v>0</v>
      </c>
      <c r="M2149" s="4">
        <f t="shared" si="327"/>
        <v>0</v>
      </c>
      <c r="N2149" s="4">
        <f t="shared" si="327"/>
        <v>0</v>
      </c>
      <c r="O2149" s="4">
        <f t="shared" si="323"/>
        <v>0</v>
      </c>
      <c r="P2149" s="4">
        <f t="shared" si="324"/>
        <v>0</v>
      </c>
      <c r="Q2149" s="4">
        <f t="shared" si="325"/>
        <v>0</v>
      </c>
      <c r="R2149" s="4">
        <f t="shared" si="326"/>
        <v>0</v>
      </c>
      <c r="S2149" s="4">
        <f>IF(AND(VLOOKUP(G2149,Dados!$D:$L,2,0)=VLOOKUP(I2149,Dados!$S:$V,2,0),VLOOKUP(G2149,Dados!$D:$L,3,0)=VLOOKUP(I2149,Dados!$S:$V,3,0)),0,1)</f>
        <v>0</v>
      </c>
      <c r="T2149" s="4">
        <f>IF(AND(VLOOKUP(G2149,Dados!$D:$L,3,0)&lt;=VLOOKUP(H2149,Dados!$X:$AB,2,0),VLOOKUP(G2149,Dados!$D:$L,4,0)&gt;=VLOOKUP(H2149,Dados!$X:$AB,3,0),VLOOKUP(G2149,Dados!$D:$L,4,0)&lt;=VLOOKUP(H2149,Dados!$X:$AB,4,0)),0,1)</f>
        <v>0</v>
      </c>
      <c r="U2149" s="4">
        <f>IF(COUNTIFS(F:F,F2149,H:H,H2149)&lt;=VLOOKUP(H2149,Dados!$X:$AB,5,0),0,1)</f>
        <v>0</v>
      </c>
    </row>
    <row r="2150" spans="6:21">
      <c r="F2150" s="4">
        <v>965</v>
      </c>
      <c r="G2150" s="4">
        <v>30</v>
      </c>
      <c r="H2150" s="4">
        <v>1</v>
      </c>
      <c r="I2150" s="4">
        <v>16</v>
      </c>
      <c r="J2150" s="4">
        <v>1</v>
      </c>
      <c r="K2150" s="4">
        <f t="shared" si="327"/>
        <v>0</v>
      </c>
      <c r="L2150" s="4">
        <f t="shared" si="327"/>
        <v>0</v>
      </c>
      <c r="M2150" s="4">
        <f t="shared" si="327"/>
        <v>0</v>
      </c>
      <c r="N2150" s="4">
        <f t="shared" si="327"/>
        <v>0</v>
      </c>
      <c r="O2150" s="4">
        <f t="shared" si="323"/>
        <v>0</v>
      </c>
      <c r="P2150" s="4">
        <f t="shared" si="324"/>
        <v>0</v>
      </c>
      <c r="Q2150" s="4">
        <f t="shared" si="325"/>
        <v>0</v>
      </c>
      <c r="R2150" s="4">
        <f t="shared" si="326"/>
        <v>0</v>
      </c>
      <c r="S2150" s="4">
        <f>IF(AND(VLOOKUP(G2150,Dados!$D:$L,2,0)=VLOOKUP(I2150,Dados!$S:$V,2,0),VLOOKUP(G2150,Dados!$D:$L,3,0)=VLOOKUP(I2150,Dados!$S:$V,3,0)),0,1)</f>
        <v>0</v>
      </c>
      <c r="T2150" s="4">
        <f>IF(AND(VLOOKUP(G2150,Dados!$D:$L,3,0)&lt;=VLOOKUP(H2150,Dados!$X:$AB,2,0),VLOOKUP(G2150,Dados!$D:$L,4,0)&gt;=VLOOKUP(H2150,Dados!$X:$AB,3,0),VLOOKUP(G2150,Dados!$D:$L,4,0)&lt;=VLOOKUP(H2150,Dados!$X:$AB,4,0)),0,1)</f>
        <v>0</v>
      </c>
      <c r="U2150" s="4">
        <f>IF(COUNTIFS(F:F,F2150,H:H,H2150)&lt;=VLOOKUP(H2150,Dados!$X:$AB,5,0),0,1)</f>
        <v>0</v>
      </c>
    </row>
    <row r="2151" spans="6:21">
      <c r="F2151" s="4">
        <v>965</v>
      </c>
      <c r="G2151" s="4">
        <v>31</v>
      </c>
      <c r="H2151" s="4">
        <v>1</v>
      </c>
      <c r="I2151" s="4">
        <v>16</v>
      </c>
      <c r="J2151" s="4">
        <v>7</v>
      </c>
      <c r="K2151" s="4">
        <f t="shared" si="327"/>
        <v>0</v>
      </c>
      <c r="L2151" s="4">
        <f t="shared" si="327"/>
        <v>0</v>
      </c>
      <c r="M2151" s="4">
        <f t="shared" si="327"/>
        <v>0</v>
      </c>
      <c r="N2151" s="4">
        <f t="shared" si="327"/>
        <v>0</v>
      </c>
      <c r="O2151" s="4">
        <f t="shared" ref="O2151:O2214" si="328">$J2151*K2151</f>
        <v>0</v>
      </c>
      <c r="P2151" s="4">
        <f t="shared" ref="P2151:P2214" si="329">$J2151*L2151</f>
        <v>0</v>
      </c>
      <c r="Q2151" s="4">
        <f t="shared" ref="Q2151:Q2214" si="330">$J2151*M2151</f>
        <v>0</v>
      </c>
      <c r="R2151" s="4">
        <f t="shared" ref="R2151:R2214" si="331">$J2151*N2151</f>
        <v>0</v>
      </c>
      <c r="S2151" s="4">
        <f>IF(AND(VLOOKUP(G2151,Dados!$D:$L,2,0)=VLOOKUP(I2151,Dados!$S:$V,2,0),VLOOKUP(G2151,Dados!$D:$L,3,0)=VLOOKUP(I2151,Dados!$S:$V,3,0)),0,1)</f>
        <v>0</v>
      </c>
      <c r="T2151" s="4">
        <f>IF(AND(VLOOKUP(G2151,Dados!$D:$L,3,0)&lt;=VLOOKUP(H2151,Dados!$X:$AB,2,0),VLOOKUP(G2151,Dados!$D:$L,4,0)&gt;=VLOOKUP(H2151,Dados!$X:$AB,3,0),VLOOKUP(G2151,Dados!$D:$L,4,0)&lt;=VLOOKUP(H2151,Dados!$X:$AB,4,0)),0,1)</f>
        <v>0</v>
      </c>
      <c r="U2151" s="4">
        <f>IF(COUNTIFS(F:F,F2151,H:H,H2151)&lt;=VLOOKUP(H2151,Dados!$X:$AB,5,0),0,1)</f>
        <v>0</v>
      </c>
    </row>
    <row r="2152" spans="6:21">
      <c r="F2152" s="4">
        <v>965</v>
      </c>
      <c r="G2152" s="4">
        <v>34</v>
      </c>
      <c r="H2152" s="4">
        <v>1</v>
      </c>
      <c r="I2152" s="4">
        <v>16</v>
      </c>
      <c r="J2152" s="4">
        <v>1</v>
      </c>
      <c r="K2152" s="4">
        <f t="shared" si="327"/>
        <v>0</v>
      </c>
      <c r="L2152" s="4">
        <f t="shared" si="327"/>
        <v>0</v>
      </c>
      <c r="M2152" s="4">
        <f t="shared" si="327"/>
        <v>0</v>
      </c>
      <c r="N2152" s="4">
        <f t="shared" si="327"/>
        <v>0</v>
      </c>
      <c r="O2152" s="4">
        <f t="shared" si="328"/>
        <v>0</v>
      </c>
      <c r="P2152" s="4">
        <f t="shared" si="329"/>
        <v>0</v>
      </c>
      <c r="Q2152" s="4">
        <f t="shared" si="330"/>
        <v>0</v>
      </c>
      <c r="R2152" s="4">
        <f t="shared" si="331"/>
        <v>0</v>
      </c>
      <c r="S2152" s="4">
        <f>IF(AND(VLOOKUP(G2152,Dados!$D:$L,2,0)=VLOOKUP(I2152,Dados!$S:$V,2,0),VLOOKUP(G2152,Dados!$D:$L,3,0)=VLOOKUP(I2152,Dados!$S:$V,3,0)),0,1)</f>
        <v>0</v>
      </c>
      <c r="T2152" s="4">
        <f>IF(AND(VLOOKUP(G2152,Dados!$D:$L,3,0)&lt;=VLOOKUP(H2152,Dados!$X:$AB,2,0),VLOOKUP(G2152,Dados!$D:$L,4,0)&gt;=VLOOKUP(H2152,Dados!$X:$AB,3,0),VLOOKUP(G2152,Dados!$D:$L,4,0)&lt;=VLOOKUP(H2152,Dados!$X:$AB,4,0)),0,1)</f>
        <v>0</v>
      </c>
      <c r="U2152" s="4">
        <f>IF(COUNTIFS(F:F,F2152,H:H,H2152)&lt;=VLOOKUP(H2152,Dados!$X:$AB,5,0),0,1)</f>
        <v>0</v>
      </c>
    </row>
    <row r="2153" spans="6:21">
      <c r="F2153" s="4">
        <v>966</v>
      </c>
      <c r="G2153" s="4">
        <v>30</v>
      </c>
      <c r="H2153" s="4">
        <v>2</v>
      </c>
      <c r="I2153" s="4">
        <v>16</v>
      </c>
      <c r="J2153" s="4">
        <v>1</v>
      </c>
      <c r="K2153" s="4">
        <f t="shared" si="327"/>
        <v>0</v>
      </c>
      <c r="L2153" s="4">
        <f t="shared" si="327"/>
        <v>0</v>
      </c>
      <c r="M2153" s="4">
        <f t="shared" si="327"/>
        <v>0</v>
      </c>
      <c r="N2153" s="4">
        <f t="shared" si="327"/>
        <v>0</v>
      </c>
      <c r="O2153" s="4">
        <f t="shared" si="328"/>
        <v>0</v>
      </c>
      <c r="P2153" s="4">
        <f t="shared" si="329"/>
        <v>0</v>
      </c>
      <c r="Q2153" s="4">
        <f t="shared" si="330"/>
        <v>0</v>
      </c>
      <c r="R2153" s="4">
        <f t="shared" si="331"/>
        <v>0</v>
      </c>
      <c r="S2153" s="4">
        <f>IF(AND(VLOOKUP(G2153,Dados!$D:$L,2,0)=VLOOKUP(I2153,Dados!$S:$V,2,0),VLOOKUP(G2153,Dados!$D:$L,3,0)=VLOOKUP(I2153,Dados!$S:$V,3,0)),0,1)</f>
        <v>0</v>
      </c>
      <c r="T2153" s="4">
        <f>IF(AND(VLOOKUP(G2153,Dados!$D:$L,3,0)&lt;=VLOOKUP(H2153,Dados!$X:$AB,2,0),VLOOKUP(G2153,Dados!$D:$L,4,0)&gt;=VLOOKUP(H2153,Dados!$X:$AB,3,0),VLOOKUP(G2153,Dados!$D:$L,4,0)&lt;=VLOOKUP(H2153,Dados!$X:$AB,4,0)),0,1)</f>
        <v>0</v>
      </c>
      <c r="U2153" s="4">
        <f>IF(COUNTIFS(F:F,F2153,H:H,H2153)&lt;=VLOOKUP(H2153,Dados!$X:$AB,5,0),0,1)</f>
        <v>0</v>
      </c>
    </row>
    <row r="2154" spans="6:21">
      <c r="F2154" s="4">
        <v>966</v>
      </c>
      <c r="G2154" s="4">
        <v>31</v>
      </c>
      <c r="H2154" s="4">
        <v>2</v>
      </c>
      <c r="I2154" s="4">
        <v>16</v>
      </c>
      <c r="J2154" s="4">
        <v>7</v>
      </c>
      <c r="K2154" s="4">
        <f t="shared" si="327"/>
        <v>0</v>
      </c>
      <c r="L2154" s="4">
        <f t="shared" si="327"/>
        <v>0</v>
      </c>
      <c r="M2154" s="4">
        <f t="shared" si="327"/>
        <v>0</v>
      </c>
      <c r="N2154" s="4">
        <f t="shared" si="327"/>
        <v>0</v>
      </c>
      <c r="O2154" s="4">
        <f t="shared" si="328"/>
        <v>0</v>
      </c>
      <c r="P2154" s="4">
        <f t="shared" si="329"/>
        <v>0</v>
      </c>
      <c r="Q2154" s="4">
        <f t="shared" si="330"/>
        <v>0</v>
      </c>
      <c r="R2154" s="4">
        <f t="shared" si="331"/>
        <v>0</v>
      </c>
      <c r="S2154" s="4">
        <f>IF(AND(VLOOKUP(G2154,Dados!$D:$L,2,0)=VLOOKUP(I2154,Dados!$S:$V,2,0),VLOOKUP(G2154,Dados!$D:$L,3,0)=VLOOKUP(I2154,Dados!$S:$V,3,0)),0,1)</f>
        <v>0</v>
      </c>
      <c r="T2154" s="4">
        <f>IF(AND(VLOOKUP(G2154,Dados!$D:$L,3,0)&lt;=VLOOKUP(H2154,Dados!$X:$AB,2,0),VLOOKUP(G2154,Dados!$D:$L,4,0)&gt;=VLOOKUP(H2154,Dados!$X:$AB,3,0),VLOOKUP(G2154,Dados!$D:$L,4,0)&lt;=VLOOKUP(H2154,Dados!$X:$AB,4,0)),0,1)</f>
        <v>0</v>
      </c>
      <c r="U2154" s="4">
        <f>IF(COUNTIFS(F:F,F2154,H:H,H2154)&lt;=VLOOKUP(H2154,Dados!$X:$AB,5,0),0,1)</f>
        <v>0</v>
      </c>
    </row>
    <row r="2155" spans="6:21">
      <c r="F2155" s="4">
        <v>966</v>
      </c>
      <c r="G2155" s="4">
        <v>34</v>
      </c>
      <c r="H2155" s="4">
        <v>2</v>
      </c>
      <c r="I2155" s="4">
        <v>16</v>
      </c>
      <c r="J2155" s="4">
        <v>1</v>
      </c>
      <c r="K2155" s="4">
        <f t="shared" si="327"/>
        <v>0</v>
      </c>
      <c r="L2155" s="4">
        <f t="shared" si="327"/>
        <v>0</v>
      </c>
      <c r="M2155" s="4">
        <f t="shared" si="327"/>
        <v>0</v>
      </c>
      <c r="N2155" s="4">
        <f t="shared" si="327"/>
        <v>0</v>
      </c>
      <c r="O2155" s="4">
        <f t="shared" si="328"/>
        <v>0</v>
      </c>
      <c r="P2155" s="4">
        <f t="shared" si="329"/>
        <v>0</v>
      </c>
      <c r="Q2155" s="4">
        <f t="shared" si="330"/>
        <v>0</v>
      </c>
      <c r="R2155" s="4">
        <f t="shared" si="331"/>
        <v>0</v>
      </c>
      <c r="S2155" s="4">
        <f>IF(AND(VLOOKUP(G2155,Dados!$D:$L,2,0)=VLOOKUP(I2155,Dados!$S:$V,2,0),VLOOKUP(G2155,Dados!$D:$L,3,0)=VLOOKUP(I2155,Dados!$S:$V,3,0)),0,1)</f>
        <v>0</v>
      </c>
      <c r="T2155" s="4">
        <f>IF(AND(VLOOKUP(G2155,Dados!$D:$L,3,0)&lt;=VLOOKUP(H2155,Dados!$X:$AB,2,0),VLOOKUP(G2155,Dados!$D:$L,4,0)&gt;=VLOOKUP(H2155,Dados!$X:$AB,3,0),VLOOKUP(G2155,Dados!$D:$L,4,0)&lt;=VLOOKUP(H2155,Dados!$X:$AB,4,0)),0,1)</f>
        <v>0</v>
      </c>
      <c r="U2155" s="4">
        <f>IF(COUNTIFS(F:F,F2155,H:H,H2155)&lt;=VLOOKUP(H2155,Dados!$X:$AB,5,0),0,1)</f>
        <v>0</v>
      </c>
    </row>
    <row r="2156" spans="6:21">
      <c r="F2156" s="4">
        <v>967</v>
      </c>
      <c r="G2156" s="4">
        <v>30</v>
      </c>
      <c r="H2156" s="4">
        <v>3</v>
      </c>
      <c r="I2156" s="4">
        <v>16</v>
      </c>
      <c r="J2156" s="4">
        <v>1</v>
      </c>
      <c r="K2156" s="4">
        <f t="shared" si="327"/>
        <v>0</v>
      </c>
      <c r="L2156" s="4">
        <f t="shared" si="327"/>
        <v>0</v>
      </c>
      <c r="M2156" s="4">
        <f t="shared" si="327"/>
        <v>0</v>
      </c>
      <c r="N2156" s="4">
        <f t="shared" si="327"/>
        <v>0</v>
      </c>
      <c r="O2156" s="4">
        <f t="shared" si="328"/>
        <v>0</v>
      </c>
      <c r="P2156" s="4">
        <f t="shared" si="329"/>
        <v>0</v>
      </c>
      <c r="Q2156" s="4">
        <f t="shared" si="330"/>
        <v>0</v>
      </c>
      <c r="R2156" s="4">
        <f t="shared" si="331"/>
        <v>0</v>
      </c>
      <c r="S2156" s="4">
        <f>IF(AND(VLOOKUP(G2156,Dados!$D:$L,2,0)=VLOOKUP(I2156,Dados!$S:$V,2,0),VLOOKUP(G2156,Dados!$D:$L,3,0)=VLOOKUP(I2156,Dados!$S:$V,3,0)),0,1)</f>
        <v>0</v>
      </c>
      <c r="T2156" s="4">
        <f>IF(AND(VLOOKUP(G2156,Dados!$D:$L,3,0)&lt;=VLOOKUP(H2156,Dados!$X:$AB,2,0),VLOOKUP(G2156,Dados!$D:$L,4,0)&gt;=VLOOKUP(H2156,Dados!$X:$AB,3,0),VLOOKUP(G2156,Dados!$D:$L,4,0)&lt;=VLOOKUP(H2156,Dados!$X:$AB,4,0)),0,1)</f>
        <v>0</v>
      </c>
      <c r="U2156" s="4">
        <f>IF(COUNTIFS(F:F,F2156,H:H,H2156)&lt;=VLOOKUP(H2156,Dados!$X:$AB,5,0),0,1)</f>
        <v>0</v>
      </c>
    </row>
    <row r="2157" spans="6:21">
      <c r="F2157" s="4">
        <v>967</v>
      </c>
      <c r="G2157" s="4">
        <v>31</v>
      </c>
      <c r="H2157" s="4">
        <v>3</v>
      </c>
      <c r="I2157" s="4">
        <v>16</v>
      </c>
      <c r="J2157" s="4">
        <v>7</v>
      </c>
      <c r="K2157" s="4">
        <f t="shared" si="327"/>
        <v>0</v>
      </c>
      <c r="L2157" s="4">
        <f t="shared" si="327"/>
        <v>0</v>
      </c>
      <c r="M2157" s="4">
        <f t="shared" si="327"/>
        <v>0</v>
      </c>
      <c r="N2157" s="4">
        <f t="shared" si="327"/>
        <v>0</v>
      </c>
      <c r="O2157" s="4">
        <f t="shared" si="328"/>
        <v>0</v>
      </c>
      <c r="P2157" s="4">
        <f t="shared" si="329"/>
        <v>0</v>
      </c>
      <c r="Q2157" s="4">
        <f t="shared" si="330"/>
        <v>0</v>
      </c>
      <c r="R2157" s="4">
        <f t="shared" si="331"/>
        <v>0</v>
      </c>
      <c r="S2157" s="4">
        <f>IF(AND(VLOOKUP(G2157,Dados!$D:$L,2,0)=VLOOKUP(I2157,Dados!$S:$V,2,0),VLOOKUP(G2157,Dados!$D:$L,3,0)=VLOOKUP(I2157,Dados!$S:$V,3,0)),0,1)</f>
        <v>0</v>
      </c>
      <c r="T2157" s="4">
        <f>IF(AND(VLOOKUP(G2157,Dados!$D:$L,3,0)&lt;=VLOOKUP(H2157,Dados!$X:$AB,2,0),VLOOKUP(G2157,Dados!$D:$L,4,0)&gt;=VLOOKUP(H2157,Dados!$X:$AB,3,0),VLOOKUP(G2157,Dados!$D:$L,4,0)&lt;=VLOOKUP(H2157,Dados!$X:$AB,4,0)),0,1)</f>
        <v>0</v>
      </c>
      <c r="U2157" s="4">
        <f>IF(COUNTIFS(F:F,F2157,H:H,H2157)&lt;=VLOOKUP(H2157,Dados!$X:$AB,5,0),0,1)</f>
        <v>0</v>
      </c>
    </row>
    <row r="2158" spans="6:21">
      <c r="F2158" s="4">
        <v>967</v>
      </c>
      <c r="G2158" s="4">
        <v>34</v>
      </c>
      <c r="H2158" s="4">
        <v>3</v>
      </c>
      <c r="I2158" s="4">
        <v>16</v>
      </c>
      <c r="J2158" s="4">
        <v>1</v>
      </c>
      <c r="K2158" s="4">
        <f t="shared" si="327"/>
        <v>0</v>
      </c>
      <c r="L2158" s="4">
        <f t="shared" si="327"/>
        <v>0</v>
      </c>
      <c r="M2158" s="4">
        <f t="shared" si="327"/>
        <v>0</v>
      </c>
      <c r="N2158" s="4">
        <f t="shared" si="327"/>
        <v>0</v>
      </c>
      <c r="O2158" s="4">
        <f t="shared" si="328"/>
        <v>0</v>
      </c>
      <c r="P2158" s="4">
        <f t="shared" si="329"/>
        <v>0</v>
      </c>
      <c r="Q2158" s="4">
        <f t="shared" si="330"/>
        <v>0</v>
      </c>
      <c r="R2158" s="4">
        <f t="shared" si="331"/>
        <v>0</v>
      </c>
      <c r="S2158" s="4">
        <f>IF(AND(VLOOKUP(G2158,Dados!$D:$L,2,0)=VLOOKUP(I2158,Dados!$S:$V,2,0),VLOOKUP(G2158,Dados!$D:$L,3,0)=VLOOKUP(I2158,Dados!$S:$V,3,0)),0,1)</f>
        <v>0</v>
      </c>
      <c r="T2158" s="4">
        <f>IF(AND(VLOOKUP(G2158,Dados!$D:$L,3,0)&lt;=VLOOKUP(H2158,Dados!$X:$AB,2,0),VLOOKUP(G2158,Dados!$D:$L,4,0)&gt;=VLOOKUP(H2158,Dados!$X:$AB,3,0),VLOOKUP(G2158,Dados!$D:$L,4,0)&lt;=VLOOKUP(H2158,Dados!$X:$AB,4,0)),0,1)</f>
        <v>0</v>
      </c>
      <c r="U2158" s="4">
        <f>IF(COUNTIFS(F:F,F2158,H:H,H2158)&lt;=VLOOKUP(H2158,Dados!$X:$AB,5,0),0,1)</f>
        <v>0</v>
      </c>
    </row>
    <row r="2159" spans="6:21">
      <c r="F2159" s="4">
        <v>968</v>
      </c>
      <c r="G2159" s="4">
        <v>46</v>
      </c>
      <c r="H2159" s="4">
        <v>1</v>
      </c>
      <c r="I2159" s="4">
        <v>19</v>
      </c>
      <c r="J2159" s="4">
        <v>5</v>
      </c>
      <c r="K2159" s="4">
        <f t="shared" si="327"/>
        <v>7</v>
      </c>
      <c r="L2159" s="4">
        <f t="shared" si="327"/>
        <v>0</v>
      </c>
      <c r="M2159" s="4">
        <f t="shared" si="327"/>
        <v>0</v>
      </c>
      <c r="N2159" s="4">
        <f t="shared" si="327"/>
        <v>0</v>
      </c>
      <c r="O2159" s="4">
        <f t="shared" si="328"/>
        <v>35</v>
      </c>
      <c r="P2159" s="4">
        <f t="shared" si="329"/>
        <v>0</v>
      </c>
      <c r="Q2159" s="4">
        <f t="shared" si="330"/>
        <v>0</v>
      </c>
      <c r="R2159" s="4">
        <f t="shared" si="331"/>
        <v>0</v>
      </c>
      <c r="S2159" s="4">
        <f>IF(AND(VLOOKUP(G2159,Dados!$D:$L,2,0)=VLOOKUP(I2159,Dados!$S:$V,2,0),VLOOKUP(G2159,Dados!$D:$L,3,0)=VLOOKUP(I2159,Dados!$S:$V,3,0)),0,1)</f>
        <v>0</v>
      </c>
      <c r="T2159" s="4">
        <f>IF(AND(VLOOKUP(G2159,Dados!$D:$L,3,0)&lt;=VLOOKUP(H2159,Dados!$X:$AB,2,0),VLOOKUP(G2159,Dados!$D:$L,4,0)&gt;=VLOOKUP(H2159,Dados!$X:$AB,3,0),VLOOKUP(G2159,Dados!$D:$L,4,0)&lt;=VLOOKUP(H2159,Dados!$X:$AB,4,0)),0,1)</f>
        <v>0</v>
      </c>
      <c r="U2159" s="4">
        <f>IF(COUNTIFS(F:F,F2159,H:H,H2159)&lt;=VLOOKUP(H2159,Dados!$X:$AB,5,0),0,1)</f>
        <v>0</v>
      </c>
    </row>
    <row r="2160" spans="6:21">
      <c r="F2160" s="4">
        <v>968</v>
      </c>
      <c r="G2160" s="4">
        <v>49</v>
      </c>
      <c r="H2160" s="4">
        <v>1</v>
      </c>
      <c r="I2160" s="4">
        <v>19</v>
      </c>
      <c r="J2160" s="4">
        <v>1</v>
      </c>
      <c r="K2160" s="4">
        <f t="shared" si="327"/>
        <v>7</v>
      </c>
      <c r="L2160" s="4">
        <f t="shared" si="327"/>
        <v>0</v>
      </c>
      <c r="M2160" s="4">
        <f t="shared" si="327"/>
        <v>0</v>
      </c>
      <c r="N2160" s="4">
        <f t="shared" si="327"/>
        <v>0</v>
      </c>
      <c r="O2160" s="4">
        <f t="shared" si="328"/>
        <v>7</v>
      </c>
      <c r="P2160" s="4">
        <f t="shared" si="329"/>
        <v>0</v>
      </c>
      <c r="Q2160" s="4">
        <f t="shared" si="330"/>
        <v>0</v>
      </c>
      <c r="R2160" s="4">
        <f t="shared" si="331"/>
        <v>0</v>
      </c>
      <c r="S2160" s="4">
        <f>IF(AND(VLOOKUP(G2160,Dados!$D:$L,2,0)=VLOOKUP(I2160,Dados!$S:$V,2,0),VLOOKUP(G2160,Dados!$D:$L,3,0)=VLOOKUP(I2160,Dados!$S:$V,3,0)),0,1)</f>
        <v>0</v>
      </c>
      <c r="T2160" s="4">
        <f>IF(AND(VLOOKUP(G2160,Dados!$D:$L,3,0)&lt;=VLOOKUP(H2160,Dados!$X:$AB,2,0),VLOOKUP(G2160,Dados!$D:$L,4,0)&gt;=VLOOKUP(H2160,Dados!$X:$AB,3,0),VLOOKUP(G2160,Dados!$D:$L,4,0)&lt;=VLOOKUP(H2160,Dados!$X:$AB,4,0)),0,1)</f>
        <v>0</v>
      </c>
      <c r="U2160" s="4">
        <f>IF(COUNTIFS(F:F,F2160,H:H,H2160)&lt;=VLOOKUP(H2160,Dados!$X:$AB,5,0),0,1)</f>
        <v>0</v>
      </c>
    </row>
    <row r="2161" spans="6:21">
      <c r="F2161" s="4">
        <v>968</v>
      </c>
      <c r="G2161" s="4">
        <v>51</v>
      </c>
      <c r="H2161" s="4">
        <v>1</v>
      </c>
      <c r="I2161" s="4">
        <v>19</v>
      </c>
      <c r="J2161" s="4">
        <v>1</v>
      </c>
      <c r="K2161" s="4">
        <f t="shared" si="327"/>
        <v>7</v>
      </c>
      <c r="L2161" s="4">
        <f t="shared" si="327"/>
        <v>0</v>
      </c>
      <c r="M2161" s="4">
        <f t="shared" si="327"/>
        <v>0</v>
      </c>
      <c r="N2161" s="4">
        <f t="shared" si="327"/>
        <v>0</v>
      </c>
      <c r="O2161" s="4">
        <f t="shared" si="328"/>
        <v>7</v>
      </c>
      <c r="P2161" s="4">
        <f t="shared" si="329"/>
        <v>0</v>
      </c>
      <c r="Q2161" s="4">
        <f t="shared" si="330"/>
        <v>0</v>
      </c>
      <c r="R2161" s="4">
        <f t="shared" si="331"/>
        <v>0</v>
      </c>
      <c r="S2161" s="4">
        <f>IF(AND(VLOOKUP(G2161,Dados!$D:$L,2,0)=VLOOKUP(I2161,Dados!$S:$V,2,0),VLOOKUP(G2161,Dados!$D:$L,3,0)=VLOOKUP(I2161,Dados!$S:$V,3,0)),0,1)</f>
        <v>0</v>
      </c>
      <c r="T2161" s="4">
        <f>IF(AND(VLOOKUP(G2161,Dados!$D:$L,3,0)&lt;=VLOOKUP(H2161,Dados!$X:$AB,2,0),VLOOKUP(G2161,Dados!$D:$L,4,0)&gt;=VLOOKUP(H2161,Dados!$X:$AB,3,0),VLOOKUP(G2161,Dados!$D:$L,4,0)&lt;=VLOOKUP(H2161,Dados!$X:$AB,4,0)),0,1)</f>
        <v>0</v>
      </c>
      <c r="U2161" s="4">
        <f>IF(COUNTIFS(F:F,F2161,H:H,H2161)&lt;=VLOOKUP(H2161,Dados!$X:$AB,5,0),0,1)</f>
        <v>0</v>
      </c>
    </row>
    <row r="2162" spans="6:21">
      <c r="F2162" s="4">
        <v>969</v>
      </c>
      <c r="G2162" s="4">
        <v>46</v>
      </c>
      <c r="H2162" s="4">
        <v>3</v>
      </c>
      <c r="I2162" s="4">
        <v>19</v>
      </c>
      <c r="J2162" s="4">
        <v>5</v>
      </c>
      <c r="K2162" s="4">
        <f t="shared" si="327"/>
        <v>0</v>
      </c>
      <c r="L2162" s="4">
        <f t="shared" si="327"/>
        <v>0</v>
      </c>
      <c r="M2162" s="4">
        <f t="shared" si="327"/>
        <v>0</v>
      </c>
      <c r="N2162" s="4">
        <f t="shared" si="327"/>
        <v>0</v>
      </c>
      <c r="O2162" s="4">
        <f t="shared" si="328"/>
        <v>0</v>
      </c>
      <c r="P2162" s="4">
        <f t="shared" si="329"/>
        <v>0</v>
      </c>
      <c r="Q2162" s="4">
        <f t="shared" si="330"/>
        <v>0</v>
      </c>
      <c r="R2162" s="4">
        <f t="shared" si="331"/>
        <v>0</v>
      </c>
      <c r="S2162" s="4">
        <f>IF(AND(VLOOKUP(G2162,Dados!$D:$L,2,0)=VLOOKUP(I2162,Dados!$S:$V,2,0),VLOOKUP(G2162,Dados!$D:$L,3,0)=VLOOKUP(I2162,Dados!$S:$V,3,0)),0,1)</f>
        <v>0</v>
      </c>
      <c r="T2162" s="4">
        <f>IF(AND(VLOOKUP(G2162,Dados!$D:$L,3,0)&lt;=VLOOKUP(H2162,Dados!$X:$AB,2,0),VLOOKUP(G2162,Dados!$D:$L,4,0)&gt;=VLOOKUP(H2162,Dados!$X:$AB,3,0),VLOOKUP(G2162,Dados!$D:$L,4,0)&lt;=VLOOKUP(H2162,Dados!$X:$AB,4,0)),0,1)</f>
        <v>0</v>
      </c>
      <c r="U2162" s="4">
        <f>IF(COUNTIFS(F:F,F2162,H:H,H2162)&lt;=VLOOKUP(H2162,Dados!$X:$AB,5,0),0,1)</f>
        <v>0</v>
      </c>
    </row>
    <row r="2163" spans="6:21">
      <c r="F2163" s="4">
        <v>969</v>
      </c>
      <c r="G2163" s="4">
        <v>49</v>
      </c>
      <c r="H2163" s="4">
        <v>3</v>
      </c>
      <c r="I2163" s="4">
        <v>19</v>
      </c>
      <c r="J2163" s="4">
        <v>1</v>
      </c>
      <c r="K2163" s="4">
        <f t="shared" si="327"/>
        <v>0</v>
      </c>
      <c r="L2163" s="4">
        <f t="shared" si="327"/>
        <v>0</v>
      </c>
      <c r="M2163" s="4">
        <f t="shared" si="327"/>
        <v>0</v>
      </c>
      <c r="N2163" s="4">
        <f t="shared" si="327"/>
        <v>0</v>
      </c>
      <c r="O2163" s="4">
        <f t="shared" si="328"/>
        <v>0</v>
      </c>
      <c r="P2163" s="4">
        <f t="shared" si="329"/>
        <v>0</v>
      </c>
      <c r="Q2163" s="4">
        <f t="shared" si="330"/>
        <v>0</v>
      </c>
      <c r="R2163" s="4">
        <f t="shared" si="331"/>
        <v>0</v>
      </c>
      <c r="S2163" s="4">
        <f>IF(AND(VLOOKUP(G2163,Dados!$D:$L,2,0)=VLOOKUP(I2163,Dados!$S:$V,2,0),VLOOKUP(G2163,Dados!$D:$L,3,0)=VLOOKUP(I2163,Dados!$S:$V,3,0)),0,1)</f>
        <v>0</v>
      </c>
      <c r="T2163" s="4">
        <f>IF(AND(VLOOKUP(G2163,Dados!$D:$L,3,0)&lt;=VLOOKUP(H2163,Dados!$X:$AB,2,0),VLOOKUP(G2163,Dados!$D:$L,4,0)&gt;=VLOOKUP(H2163,Dados!$X:$AB,3,0),VLOOKUP(G2163,Dados!$D:$L,4,0)&lt;=VLOOKUP(H2163,Dados!$X:$AB,4,0)),0,1)</f>
        <v>0</v>
      </c>
      <c r="U2163" s="4">
        <f>IF(COUNTIFS(F:F,F2163,H:H,H2163)&lt;=VLOOKUP(H2163,Dados!$X:$AB,5,0),0,1)</f>
        <v>0</v>
      </c>
    </row>
    <row r="2164" spans="6:21">
      <c r="F2164" s="4">
        <v>969</v>
      </c>
      <c r="G2164" s="4">
        <v>51</v>
      </c>
      <c r="H2164" s="4">
        <v>3</v>
      </c>
      <c r="I2164" s="4">
        <v>19</v>
      </c>
      <c r="J2164" s="4">
        <v>1</v>
      </c>
      <c r="K2164" s="4">
        <f t="shared" si="327"/>
        <v>0</v>
      </c>
      <c r="L2164" s="4">
        <f t="shared" si="327"/>
        <v>0</v>
      </c>
      <c r="M2164" s="4">
        <f t="shared" si="327"/>
        <v>0</v>
      </c>
      <c r="N2164" s="4">
        <f t="shared" si="327"/>
        <v>0</v>
      </c>
      <c r="O2164" s="4">
        <f t="shared" si="328"/>
        <v>0</v>
      </c>
      <c r="P2164" s="4">
        <f t="shared" si="329"/>
        <v>0</v>
      </c>
      <c r="Q2164" s="4">
        <f t="shared" si="330"/>
        <v>0</v>
      </c>
      <c r="R2164" s="4">
        <f t="shared" si="331"/>
        <v>0</v>
      </c>
      <c r="S2164" s="4">
        <f>IF(AND(VLOOKUP(G2164,Dados!$D:$L,2,0)=VLOOKUP(I2164,Dados!$S:$V,2,0),VLOOKUP(G2164,Dados!$D:$L,3,0)=VLOOKUP(I2164,Dados!$S:$V,3,0)),0,1)</f>
        <v>0</v>
      </c>
      <c r="T2164" s="4">
        <f>IF(AND(VLOOKUP(G2164,Dados!$D:$L,3,0)&lt;=VLOOKUP(H2164,Dados!$X:$AB,2,0),VLOOKUP(G2164,Dados!$D:$L,4,0)&gt;=VLOOKUP(H2164,Dados!$X:$AB,3,0),VLOOKUP(G2164,Dados!$D:$L,4,0)&lt;=VLOOKUP(H2164,Dados!$X:$AB,4,0)),0,1)</f>
        <v>0</v>
      </c>
      <c r="U2164" s="4">
        <f>IF(COUNTIFS(F:F,F2164,H:H,H2164)&lt;=VLOOKUP(H2164,Dados!$X:$AB,5,0),0,1)</f>
        <v>0</v>
      </c>
    </row>
    <row r="2165" spans="6:21">
      <c r="F2165" s="4">
        <v>970</v>
      </c>
      <c r="G2165" s="4">
        <v>61</v>
      </c>
      <c r="H2165" s="4">
        <v>1</v>
      </c>
      <c r="I2165" s="4">
        <v>21</v>
      </c>
      <c r="J2165" s="4">
        <v>4</v>
      </c>
      <c r="K2165" s="4">
        <f t="shared" si="327"/>
        <v>0</v>
      </c>
      <c r="L2165" s="4">
        <f t="shared" si="327"/>
        <v>0</v>
      </c>
      <c r="M2165" s="4">
        <f t="shared" si="327"/>
        <v>0</v>
      </c>
      <c r="N2165" s="4">
        <f t="shared" si="327"/>
        <v>0</v>
      </c>
      <c r="O2165" s="4">
        <f t="shared" si="328"/>
        <v>0</v>
      </c>
      <c r="P2165" s="4">
        <f t="shared" si="329"/>
        <v>0</v>
      </c>
      <c r="Q2165" s="4">
        <f t="shared" si="330"/>
        <v>0</v>
      </c>
      <c r="R2165" s="4">
        <f t="shared" si="331"/>
        <v>0</v>
      </c>
      <c r="S2165" s="4">
        <f>IF(AND(VLOOKUP(G2165,Dados!$D:$L,2,0)=VLOOKUP(I2165,Dados!$S:$V,2,0),VLOOKUP(G2165,Dados!$D:$L,3,0)=VLOOKUP(I2165,Dados!$S:$V,3,0)),0,1)</f>
        <v>0</v>
      </c>
      <c r="T2165" s="4">
        <f>IF(AND(VLOOKUP(G2165,Dados!$D:$L,3,0)&lt;=VLOOKUP(H2165,Dados!$X:$AB,2,0),VLOOKUP(G2165,Dados!$D:$L,4,0)&gt;=VLOOKUP(H2165,Dados!$X:$AB,3,0),VLOOKUP(G2165,Dados!$D:$L,4,0)&lt;=VLOOKUP(H2165,Dados!$X:$AB,4,0)),0,1)</f>
        <v>0</v>
      </c>
      <c r="U2165" s="4">
        <f>IF(COUNTIFS(F:F,F2165,H:H,H2165)&lt;=VLOOKUP(H2165,Dados!$X:$AB,5,0),0,1)</f>
        <v>0</v>
      </c>
    </row>
    <row r="2166" spans="6:21">
      <c r="F2166" s="4">
        <v>970</v>
      </c>
      <c r="G2166" s="4">
        <v>63</v>
      </c>
      <c r="H2166" s="4">
        <v>1</v>
      </c>
      <c r="I2166" s="4">
        <v>21</v>
      </c>
      <c r="J2166" s="4">
        <v>4</v>
      </c>
      <c r="K2166" s="4">
        <f t="shared" si="327"/>
        <v>0</v>
      </c>
      <c r="L2166" s="4">
        <f t="shared" si="327"/>
        <v>0</v>
      </c>
      <c r="M2166" s="4">
        <f t="shared" si="327"/>
        <v>0</v>
      </c>
      <c r="N2166" s="4">
        <f t="shared" si="327"/>
        <v>0</v>
      </c>
      <c r="O2166" s="4">
        <f t="shared" si="328"/>
        <v>0</v>
      </c>
      <c r="P2166" s="4">
        <f t="shared" si="329"/>
        <v>0</v>
      </c>
      <c r="Q2166" s="4">
        <f t="shared" si="330"/>
        <v>0</v>
      </c>
      <c r="R2166" s="4">
        <f t="shared" si="331"/>
        <v>0</v>
      </c>
      <c r="S2166" s="4">
        <f>IF(AND(VLOOKUP(G2166,Dados!$D:$L,2,0)=VLOOKUP(I2166,Dados!$S:$V,2,0),VLOOKUP(G2166,Dados!$D:$L,3,0)=VLOOKUP(I2166,Dados!$S:$V,3,0)),0,1)</f>
        <v>0</v>
      </c>
      <c r="T2166" s="4">
        <f>IF(AND(VLOOKUP(G2166,Dados!$D:$L,3,0)&lt;=VLOOKUP(H2166,Dados!$X:$AB,2,0),VLOOKUP(G2166,Dados!$D:$L,4,0)&gt;=VLOOKUP(H2166,Dados!$X:$AB,3,0),VLOOKUP(G2166,Dados!$D:$L,4,0)&lt;=VLOOKUP(H2166,Dados!$X:$AB,4,0)),0,1)</f>
        <v>0</v>
      </c>
      <c r="U2166" s="4">
        <f>IF(COUNTIFS(F:F,F2166,H:H,H2166)&lt;=VLOOKUP(H2166,Dados!$X:$AB,5,0),0,1)</f>
        <v>0</v>
      </c>
    </row>
    <row r="2167" spans="6:21">
      <c r="F2167" s="4">
        <v>970</v>
      </c>
      <c r="G2167" s="4">
        <v>66</v>
      </c>
      <c r="H2167" s="4">
        <v>1</v>
      </c>
      <c r="I2167" s="4">
        <v>21</v>
      </c>
      <c r="J2167" s="4">
        <v>1</v>
      </c>
      <c r="K2167" s="4">
        <f t="shared" si="327"/>
        <v>0</v>
      </c>
      <c r="L2167" s="4">
        <f t="shared" si="327"/>
        <v>0</v>
      </c>
      <c r="M2167" s="4">
        <f t="shared" si="327"/>
        <v>0</v>
      </c>
      <c r="N2167" s="4">
        <f t="shared" si="327"/>
        <v>0</v>
      </c>
      <c r="O2167" s="4">
        <f t="shared" si="328"/>
        <v>0</v>
      </c>
      <c r="P2167" s="4">
        <f t="shared" si="329"/>
        <v>0</v>
      </c>
      <c r="Q2167" s="4">
        <f t="shared" si="330"/>
        <v>0</v>
      </c>
      <c r="R2167" s="4">
        <f t="shared" si="331"/>
        <v>0</v>
      </c>
      <c r="S2167" s="4">
        <f>IF(AND(VLOOKUP(G2167,Dados!$D:$L,2,0)=VLOOKUP(I2167,Dados!$S:$V,2,0),VLOOKUP(G2167,Dados!$D:$L,3,0)=VLOOKUP(I2167,Dados!$S:$V,3,0)),0,1)</f>
        <v>0</v>
      </c>
      <c r="T2167" s="4">
        <f>IF(AND(VLOOKUP(G2167,Dados!$D:$L,3,0)&lt;=VLOOKUP(H2167,Dados!$X:$AB,2,0),VLOOKUP(G2167,Dados!$D:$L,4,0)&gt;=VLOOKUP(H2167,Dados!$X:$AB,3,0),VLOOKUP(G2167,Dados!$D:$L,4,0)&lt;=VLOOKUP(H2167,Dados!$X:$AB,4,0)),0,1)</f>
        <v>0</v>
      </c>
      <c r="U2167" s="4">
        <f>IF(COUNTIFS(F:F,F2167,H:H,H2167)&lt;=VLOOKUP(H2167,Dados!$X:$AB,5,0),0,1)</f>
        <v>0</v>
      </c>
    </row>
    <row r="2168" spans="6:21">
      <c r="F2168" s="4">
        <v>971</v>
      </c>
      <c r="G2168" s="4">
        <v>61</v>
      </c>
      <c r="H2168" s="4">
        <v>2</v>
      </c>
      <c r="I2168" s="4">
        <v>21</v>
      </c>
      <c r="J2168" s="4">
        <v>4</v>
      </c>
      <c r="K2168" s="4">
        <f t="shared" si="327"/>
        <v>0</v>
      </c>
      <c r="L2168" s="4">
        <f t="shared" si="327"/>
        <v>0</v>
      </c>
      <c r="M2168" s="4">
        <f t="shared" si="327"/>
        <v>0</v>
      </c>
      <c r="N2168" s="4">
        <f t="shared" si="327"/>
        <v>0</v>
      </c>
      <c r="O2168" s="4">
        <f t="shared" si="328"/>
        <v>0</v>
      </c>
      <c r="P2168" s="4">
        <f t="shared" si="329"/>
        <v>0</v>
      </c>
      <c r="Q2168" s="4">
        <f t="shared" si="330"/>
        <v>0</v>
      </c>
      <c r="R2168" s="4">
        <f t="shared" si="331"/>
        <v>0</v>
      </c>
      <c r="S2168" s="4">
        <f>IF(AND(VLOOKUP(G2168,Dados!$D:$L,2,0)=VLOOKUP(I2168,Dados!$S:$V,2,0),VLOOKUP(G2168,Dados!$D:$L,3,0)=VLOOKUP(I2168,Dados!$S:$V,3,0)),0,1)</f>
        <v>0</v>
      </c>
      <c r="T2168" s="4">
        <f>IF(AND(VLOOKUP(G2168,Dados!$D:$L,3,0)&lt;=VLOOKUP(H2168,Dados!$X:$AB,2,0),VLOOKUP(G2168,Dados!$D:$L,4,0)&gt;=VLOOKUP(H2168,Dados!$X:$AB,3,0),VLOOKUP(G2168,Dados!$D:$L,4,0)&lt;=VLOOKUP(H2168,Dados!$X:$AB,4,0)),0,1)</f>
        <v>0</v>
      </c>
      <c r="U2168" s="4">
        <f>IF(COUNTIFS(F:F,F2168,H:H,H2168)&lt;=VLOOKUP(H2168,Dados!$X:$AB,5,0),0,1)</f>
        <v>0</v>
      </c>
    </row>
    <row r="2169" spans="6:21">
      <c r="F2169" s="4">
        <v>971</v>
      </c>
      <c r="G2169" s="4">
        <v>63</v>
      </c>
      <c r="H2169" s="4">
        <v>2</v>
      </c>
      <c r="I2169" s="4">
        <v>21</v>
      </c>
      <c r="J2169" s="4">
        <v>4</v>
      </c>
      <c r="K2169" s="4">
        <f t="shared" si="327"/>
        <v>0</v>
      </c>
      <c r="L2169" s="4">
        <f t="shared" si="327"/>
        <v>0</v>
      </c>
      <c r="M2169" s="4">
        <f t="shared" si="327"/>
        <v>0</v>
      </c>
      <c r="N2169" s="4">
        <f t="shared" si="327"/>
        <v>0</v>
      </c>
      <c r="O2169" s="4">
        <f t="shared" si="328"/>
        <v>0</v>
      </c>
      <c r="P2169" s="4">
        <f t="shared" si="329"/>
        <v>0</v>
      </c>
      <c r="Q2169" s="4">
        <f t="shared" si="330"/>
        <v>0</v>
      </c>
      <c r="R2169" s="4">
        <f t="shared" si="331"/>
        <v>0</v>
      </c>
      <c r="S2169" s="4">
        <f>IF(AND(VLOOKUP(G2169,Dados!$D:$L,2,0)=VLOOKUP(I2169,Dados!$S:$V,2,0),VLOOKUP(G2169,Dados!$D:$L,3,0)=VLOOKUP(I2169,Dados!$S:$V,3,0)),0,1)</f>
        <v>0</v>
      </c>
      <c r="T2169" s="4">
        <f>IF(AND(VLOOKUP(G2169,Dados!$D:$L,3,0)&lt;=VLOOKUP(H2169,Dados!$X:$AB,2,0),VLOOKUP(G2169,Dados!$D:$L,4,0)&gt;=VLOOKUP(H2169,Dados!$X:$AB,3,0),VLOOKUP(G2169,Dados!$D:$L,4,0)&lt;=VLOOKUP(H2169,Dados!$X:$AB,4,0)),0,1)</f>
        <v>0</v>
      </c>
      <c r="U2169" s="4">
        <f>IF(COUNTIFS(F:F,F2169,H:H,H2169)&lt;=VLOOKUP(H2169,Dados!$X:$AB,5,0),0,1)</f>
        <v>0</v>
      </c>
    </row>
    <row r="2170" spans="6:21">
      <c r="F2170" s="4">
        <v>971</v>
      </c>
      <c r="G2170" s="4">
        <v>66</v>
      </c>
      <c r="H2170" s="4">
        <v>2</v>
      </c>
      <c r="I2170" s="4">
        <v>21</v>
      </c>
      <c r="J2170" s="4">
        <v>1</v>
      </c>
      <c r="K2170" s="4">
        <f t="shared" si="327"/>
        <v>0</v>
      </c>
      <c r="L2170" s="4">
        <f t="shared" si="327"/>
        <v>0</v>
      </c>
      <c r="M2170" s="4">
        <f t="shared" si="327"/>
        <v>0</v>
      </c>
      <c r="N2170" s="4">
        <f t="shared" si="327"/>
        <v>0</v>
      </c>
      <c r="O2170" s="4">
        <f t="shared" si="328"/>
        <v>0</v>
      </c>
      <c r="P2170" s="4">
        <f t="shared" si="329"/>
        <v>0</v>
      </c>
      <c r="Q2170" s="4">
        <f t="shared" si="330"/>
        <v>0</v>
      </c>
      <c r="R2170" s="4">
        <f t="shared" si="331"/>
        <v>0</v>
      </c>
      <c r="S2170" s="4">
        <f>IF(AND(VLOOKUP(G2170,Dados!$D:$L,2,0)=VLOOKUP(I2170,Dados!$S:$V,2,0),VLOOKUP(G2170,Dados!$D:$L,3,0)=VLOOKUP(I2170,Dados!$S:$V,3,0)),0,1)</f>
        <v>0</v>
      </c>
      <c r="T2170" s="4">
        <f>IF(AND(VLOOKUP(G2170,Dados!$D:$L,3,0)&lt;=VLOOKUP(H2170,Dados!$X:$AB,2,0),VLOOKUP(G2170,Dados!$D:$L,4,0)&gt;=VLOOKUP(H2170,Dados!$X:$AB,3,0),VLOOKUP(G2170,Dados!$D:$L,4,0)&lt;=VLOOKUP(H2170,Dados!$X:$AB,4,0)),0,1)</f>
        <v>0</v>
      </c>
      <c r="U2170" s="4">
        <f>IF(COUNTIFS(F:F,F2170,H:H,H2170)&lt;=VLOOKUP(H2170,Dados!$X:$AB,5,0),0,1)</f>
        <v>0</v>
      </c>
    </row>
    <row r="2171" spans="6:21">
      <c r="F2171" s="4">
        <v>972</v>
      </c>
      <c r="G2171" s="4">
        <v>61</v>
      </c>
      <c r="H2171" s="4">
        <v>3</v>
      </c>
      <c r="I2171" s="4">
        <v>21</v>
      </c>
      <c r="J2171" s="4">
        <v>4</v>
      </c>
      <c r="K2171" s="4">
        <f t="shared" si="327"/>
        <v>0</v>
      </c>
      <c r="L2171" s="4">
        <f t="shared" si="327"/>
        <v>0</v>
      </c>
      <c r="M2171" s="4">
        <f t="shared" si="327"/>
        <v>0</v>
      </c>
      <c r="N2171" s="4">
        <f t="shared" si="327"/>
        <v>0</v>
      </c>
      <c r="O2171" s="4">
        <f t="shared" si="328"/>
        <v>0</v>
      </c>
      <c r="P2171" s="4">
        <f t="shared" si="329"/>
        <v>0</v>
      </c>
      <c r="Q2171" s="4">
        <f t="shared" si="330"/>
        <v>0</v>
      </c>
      <c r="R2171" s="4">
        <f t="shared" si="331"/>
        <v>0</v>
      </c>
      <c r="S2171" s="4">
        <f>IF(AND(VLOOKUP(G2171,Dados!$D:$L,2,0)=VLOOKUP(I2171,Dados!$S:$V,2,0),VLOOKUP(G2171,Dados!$D:$L,3,0)=VLOOKUP(I2171,Dados!$S:$V,3,0)),0,1)</f>
        <v>0</v>
      </c>
      <c r="T2171" s="4">
        <f>IF(AND(VLOOKUP(G2171,Dados!$D:$L,3,0)&lt;=VLOOKUP(H2171,Dados!$X:$AB,2,0),VLOOKUP(G2171,Dados!$D:$L,4,0)&gt;=VLOOKUP(H2171,Dados!$X:$AB,3,0),VLOOKUP(G2171,Dados!$D:$L,4,0)&lt;=VLOOKUP(H2171,Dados!$X:$AB,4,0)),0,1)</f>
        <v>0</v>
      </c>
      <c r="U2171" s="4">
        <f>IF(COUNTIFS(F:F,F2171,H:H,H2171)&lt;=VLOOKUP(H2171,Dados!$X:$AB,5,0),0,1)</f>
        <v>0</v>
      </c>
    </row>
    <row r="2172" spans="6:21">
      <c r="F2172" s="4">
        <v>972</v>
      </c>
      <c r="G2172" s="4">
        <v>63</v>
      </c>
      <c r="H2172" s="4">
        <v>3</v>
      </c>
      <c r="I2172" s="4">
        <v>21</v>
      </c>
      <c r="J2172" s="4">
        <v>4</v>
      </c>
      <c r="K2172" s="4">
        <f t="shared" si="327"/>
        <v>0</v>
      </c>
      <c r="L2172" s="4">
        <f t="shared" si="327"/>
        <v>0</v>
      </c>
      <c r="M2172" s="4">
        <f t="shared" si="327"/>
        <v>0</v>
      </c>
      <c r="N2172" s="4">
        <f t="shared" si="327"/>
        <v>0</v>
      </c>
      <c r="O2172" s="4">
        <f t="shared" si="328"/>
        <v>0</v>
      </c>
      <c r="P2172" s="4">
        <f t="shared" si="329"/>
        <v>0</v>
      </c>
      <c r="Q2172" s="4">
        <f t="shared" si="330"/>
        <v>0</v>
      </c>
      <c r="R2172" s="4">
        <f t="shared" si="331"/>
        <v>0</v>
      </c>
      <c r="S2172" s="4">
        <f>IF(AND(VLOOKUP(G2172,Dados!$D:$L,2,0)=VLOOKUP(I2172,Dados!$S:$V,2,0),VLOOKUP(G2172,Dados!$D:$L,3,0)=VLOOKUP(I2172,Dados!$S:$V,3,0)),0,1)</f>
        <v>0</v>
      </c>
      <c r="T2172" s="4">
        <f>IF(AND(VLOOKUP(G2172,Dados!$D:$L,3,0)&lt;=VLOOKUP(H2172,Dados!$X:$AB,2,0),VLOOKUP(G2172,Dados!$D:$L,4,0)&gt;=VLOOKUP(H2172,Dados!$X:$AB,3,0),VLOOKUP(G2172,Dados!$D:$L,4,0)&lt;=VLOOKUP(H2172,Dados!$X:$AB,4,0)),0,1)</f>
        <v>0</v>
      </c>
      <c r="U2172" s="4">
        <f>IF(COUNTIFS(F:F,F2172,H:H,H2172)&lt;=VLOOKUP(H2172,Dados!$X:$AB,5,0),0,1)</f>
        <v>0</v>
      </c>
    </row>
    <row r="2173" spans="6:21">
      <c r="F2173" s="4">
        <v>972</v>
      </c>
      <c r="G2173" s="4">
        <v>66</v>
      </c>
      <c r="H2173" s="4">
        <v>3</v>
      </c>
      <c r="I2173" s="4">
        <v>21</v>
      </c>
      <c r="J2173" s="4">
        <v>1</v>
      </c>
      <c r="K2173" s="4">
        <f t="shared" si="327"/>
        <v>0</v>
      </c>
      <c r="L2173" s="4">
        <f t="shared" si="327"/>
        <v>0</v>
      </c>
      <c r="M2173" s="4">
        <f t="shared" si="327"/>
        <v>0</v>
      </c>
      <c r="N2173" s="4">
        <f t="shared" si="327"/>
        <v>0</v>
      </c>
      <c r="O2173" s="4">
        <f t="shared" si="328"/>
        <v>0</v>
      </c>
      <c r="P2173" s="4">
        <f t="shared" si="329"/>
        <v>0</v>
      </c>
      <c r="Q2173" s="4">
        <f t="shared" si="330"/>
        <v>0</v>
      </c>
      <c r="R2173" s="4">
        <f t="shared" si="331"/>
        <v>0</v>
      </c>
      <c r="S2173" s="4">
        <f>IF(AND(VLOOKUP(G2173,Dados!$D:$L,2,0)=VLOOKUP(I2173,Dados!$S:$V,2,0),VLOOKUP(G2173,Dados!$D:$L,3,0)=VLOOKUP(I2173,Dados!$S:$V,3,0)),0,1)</f>
        <v>0</v>
      </c>
      <c r="T2173" s="4">
        <f>IF(AND(VLOOKUP(G2173,Dados!$D:$L,3,0)&lt;=VLOOKUP(H2173,Dados!$X:$AB,2,0),VLOOKUP(G2173,Dados!$D:$L,4,0)&gt;=VLOOKUP(H2173,Dados!$X:$AB,3,0),VLOOKUP(G2173,Dados!$D:$L,4,0)&lt;=VLOOKUP(H2173,Dados!$X:$AB,4,0)),0,1)</f>
        <v>0</v>
      </c>
      <c r="U2173" s="4">
        <f>IF(COUNTIFS(F:F,F2173,H:H,H2173)&lt;=VLOOKUP(H2173,Dados!$X:$AB,5,0),0,1)</f>
        <v>0</v>
      </c>
    </row>
    <row r="2174" spans="6:21">
      <c r="F2174" s="4">
        <v>973</v>
      </c>
      <c r="G2174" s="4">
        <v>31</v>
      </c>
      <c r="H2174" s="4">
        <v>1</v>
      </c>
      <c r="I2174" s="4">
        <v>16</v>
      </c>
      <c r="J2174" s="4">
        <v>1</v>
      </c>
      <c r="K2174" s="4">
        <f t="shared" si="327"/>
        <v>0</v>
      </c>
      <c r="L2174" s="4">
        <f t="shared" si="327"/>
        <v>0</v>
      </c>
      <c r="M2174" s="4">
        <f t="shared" si="327"/>
        <v>0</v>
      </c>
      <c r="N2174" s="4">
        <f t="shared" si="327"/>
        <v>0</v>
      </c>
      <c r="O2174" s="4">
        <f t="shared" si="328"/>
        <v>0</v>
      </c>
      <c r="P2174" s="4">
        <f t="shared" si="329"/>
        <v>0</v>
      </c>
      <c r="Q2174" s="4">
        <f t="shared" si="330"/>
        <v>0</v>
      </c>
      <c r="R2174" s="4">
        <f t="shared" si="331"/>
        <v>0</v>
      </c>
      <c r="S2174" s="4">
        <f>IF(AND(VLOOKUP(G2174,Dados!$D:$L,2,0)=VLOOKUP(I2174,Dados!$S:$V,2,0),VLOOKUP(G2174,Dados!$D:$L,3,0)=VLOOKUP(I2174,Dados!$S:$V,3,0)),0,1)</f>
        <v>0</v>
      </c>
      <c r="T2174" s="4">
        <f>IF(AND(VLOOKUP(G2174,Dados!$D:$L,3,0)&lt;=VLOOKUP(H2174,Dados!$X:$AB,2,0),VLOOKUP(G2174,Dados!$D:$L,4,0)&gt;=VLOOKUP(H2174,Dados!$X:$AB,3,0),VLOOKUP(G2174,Dados!$D:$L,4,0)&lt;=VLOOKUP(H2174,Dados!$X:$AB,4,0)),0,1)</f>
        <v>0</v>
      </c>
      <c r="U2174" s="4">
        <f>IF(COUNTIFS(F:F,F2174,H:H,H2174)&lt;=VLOOKUP(H2174,Dados!$X:$AB,5,0),0,1)</f>
        <v>0</v>
      </c>
    </row>
    <row r="2175" spans="6:21">
      <c r="F2175" s="4">
        <v>973</v>
      </c>
      <c r="G2175" s="4">
        <v>32</v>
      </c>
      <c r="H2175" s="4">
        <v>1</v>
      </c>
      <c r="I2175" s="4">
        <v>16</v>
      </c>
      <c r="J2175" s="4">
        <v>5</v>
      </c>
      <c r="K2175" s="4">
        <f t="shared" si="327"/>
        <v>0</v>
      </c>
      <c r="L2175" s="4">
        <f t="shared" si="327"/>
        <v>0</v>
      </c>
      <c r="M2175" s="4">
        <f t="shared" si="327"/>
        <v>0</v>
      </c>
      <c r="N2175" s="4">
        <f t="shared" si="327"/>
        <v>0</v>
      </c>
      <c r="O2175" s="4">
        <f t="shared" si="328"/>
        <v>0</v>
      </c>
      <c r="P2175" s="4">
        <f t="shared" si="329"/>
        <v>0</v>
      </c>
      <c r="Q2175" s="4">
        <f t="shared" si="330"/>
        <v>0</v>
      </c>
      <c r="R2175" s="4">
        <f t="shared" si="331"/>
        <v>0</v>
      </c>
      <c r="S2175" s="4">
        <f>IF(AND(VLOOKUP(G2175,Dados!$D:$L,2,0)=VLOOKUP(I2175,Dados!$S:$V,2,0),VLOOKUP(G2175,Dados!$D:$L,3,0)=VLOOKUP(I2175,Dados!$S:$V,3,0)),0,1)</f>
        <v>0</v>
      </c>
      <c r="T2175" s="4">
        <f>IF(AND(VLOOKUP(G2175,Dados!$D:$L,3,0)&lt;=VLOOKUP(H2175,Dados!$X:$AB,2,0),VLOOKUP(G2175,Dados!$D:$L,4,0)&gt;=VLOOKUP(H2175,Dados!$X:$AB,3,0),VLOOKUP(G2175,Dados!$D:$L,4,0)&lt;=VLOOKUP(H2175,Dados!$X:$AB,4,0)),0,1)</f>
        <v>0</v>
      </c>
      <c r="U2175" s="4">
        <f>IF(COUNTIFS(F:F,F2175,H:H,H2175)&lt;=VLOOKUP(H2175,Dados!$X:$AB,5,0),0,1)</f>
        <v>0</v>
      </c>
    </row>
    <row r="2176" spans="6:21">
      <c r="F2176" s="4">
        <v>974</v>
      </c>
      <c r="G2176" s="4">
        <v>31</v>
      </c>
      <c r="H2176" s="4">
        <v>2</v>
      </c>
      <c r="I2176" s="4">
        <v>16</v>
      </c>
      <c r="J2176" s="4">
        <v>1</v>
      </c>
      <c r="K2176" s="4">
        <f t="shared" si="327"/>
        <v>0</v>
      </c>
      <c r="L2176" s="4">
        <f t="shared" si="327"/>
        <v>0</v>
      </c>
      <c r="M2176" s="4">
        <f t="shared" si="327"/>
        <v>0</v>
      </c>
      <c r="N2176" s="4">
        <f t="shared" si="327"/>
        <v>0</v>
      </c>
      <c r="O2176" s="4">
        <f t="shared" si="328"/>
        <v>0</v>
      </c>
      <c r="P2176" s="4">
        <f t="shared" si="329"/>
        <v>0</v>
      </c>
      <c r="Q2176" s="4">
        <f t="shared" si="330"/>
        <v>0</v>
      </c>
      <c r="R2176" s="4">
        <f t="shared" si="331"/>
        <v>0</v>
      </c>
      <c r="S2176" s="4">
        <f>IF(AND(VLOOKUP(G2176,Dados!$D:$L,2,0)=VLOOKUP(I2176,Dados!$S:$V,2,0),VLOOKUP(G2176,Dados!$D:$L,3,0)=VLOOKUP(I2176,Dados!$S:$V,3,0)),0,1)</f>
        <v>0</v>
      </c>
      <c r="T2176" s="4">
        <f>IF(AND(VLOOKUP(G2176,Dados!$D:$L,3,0)&lt;=VLOOKUP(H2176,Dados!$X:$AB,2,0),VLOOKUP(G2176,Dados!$D:$L,4,0)&gt;=VLOOKUP(H2176,Dados!$X:$AB,3,0),VLOOKUP(G2176,Dados!$D:$L,4,0)&lt;=VLOOKUP(H2176,Dados!$X:$AB,4,0)),0,1)</f>
        <v>0</v>
      </c>
      <c r="U2176" s="4">
        <f>IF(COUNTIFS(F:F,F2176,H:H,H2176)&lt;=VLOOKUP(H2176,Dados!$X:$AB,5,0),0,1)</f>
        <v>0</v>
      </c>
    </row>
    <row r="2177" spans="6:21">
      <c r="F2177" s="4">
        <v>974</v>
      </c>
      <c r="G2177" s="4">
        <v>32</v>
      </c>
      <c r="H2177" s="4">
        <v>2</v>
      </c>
      <c r="I2177" s="4">
        <v>16</v>
      </c>
      <c r="J2177" s="4">
        <v>5</v>
      </c>
      <c r="K2177" s="4">
        <f t="shared" si="327"/>
        <v>0</v>
      </c>
      <c r="L2177" s="4">
        <f t="shared" si="327"/>
        <v>0</v>
      </c>
      <c r="M2177" s="4">
        <f t="shared" si="327"/>
        <v>0</v>
      </c>
      <c r="N2177" s="4">
        <f t="shared" si="327"/>
        <v>0</v>
      </c>
      <c r="O2177" s="4">
        <f t="shared" si="328"/>
        <v>0</v>
      </c>
      <c r="P2177" s="4">
        <f t="shared" si="329"/>
        <v>0</v>
      </c>
      <c r="Q2177" s="4">
        <f t="shared" si="330"/>
        <v>0</v>
      </c>
      <c r="R2177" s="4">
        <f t="shared" si="331"/>
        <v>0</v>
      </c>
      <c r="S2177" s="4">
        <f>IF(AND(VLOOKUP(G2177,Dados!$D:$L,2,0)=VLOOKUP(I2177,Dados!$S:$V,2,0),VLOOKUP(G2177,Dados!$D:$L,3,0)=VLOOKUP(I2177,Dados!$S:$V,3,0)),0,1)</f>
        <v>0</v>
      </c>
      <c r="T2177" s="4">
        <f>IF(AND(VLOOKUP(G2177,Dados!$D:$L,3,0)&lt;=VLOOKUP(H2177,Dados!$X:$AB,2,0),VLOOKUP(G2177,Dados!$D:$L,4,0)&gt;=VLOOKUP(H2177,Dados!$X:$AB,3,0),VLOOKUP(G2177,Dados!$D:$L,4,0)&lt;=VLOOKUP(H2177,Dados!$X:$AB,4,0)),0,1)</f>
        <v>0</v>
      </c>
      <c r="U2177" s="4">
        <f>IF(COUNTIFS(F:F,F2177,H:H,H2177)&lt;=VLOOKUP(H2177,Dados!$X:$AB,5,0),0,1)</f>
        <v>0</v>
      </c>
    </row>
    <row r="2178" spans="6:21">
      <c r="F2178" s="4">
        <v>975</v>
      </c>
      <c r="G2178" s="4">
        <v>31</v>
      </c>
      <c r="H2178" s="4">
        <v>3</v>
      </c>
      <c r="I2178" s="4">
        <v>16</v>
      </c>
      <c r="J2178" s="4">
        <v>1</v>
      </c>
      <c r="K2178" s="4">
        <f t="shared" si="327"/>
        <v>0</v>
      </c>
      <c r="L2178" s="4">
        <f t="shared" si="327"/>
        <v>0</v>
      </c>
      <c r="M2178" s="4">
        <f t="shared" si="327"/>
        <v>0</v>
      </c>
      <c r="N2178" s="4">
        <f t="shared" si="327"/>
        <v>0</v>
      </c>
      <c r="O2178" s="4">
        <f t="shared" si="328"/>
        <v>0</v>
      </c>
      <c r="P2178" s="4">
        <f t="shared" si="329"/>
        <v>0</v>
      </c>
      <c r="Q2178" s="4">
        <f t="shared" si="330"/>
        <v>0</v>
      </c>
      <c r="R2178" s="4">
        <f t="shared" si="331"/>
        <v>0</v>
      </c>
      <c r="S2178" s="4">
        <f>IF(AND(VLOOKUP(G2178,Dados!$D:$L,2,0)=VLOOKUP(I2178,Dados!$S:$V,2,0),VLOOKUP(G2178,Dados!$D:$L,3,0)=VLOOKUP(I2178,Dados!$S:$V,3,0)),0,1)</f>
        <v>0</v>
      </c>
      <c r="T2178" s="4">
        <f>IF(AND(VLOOKUP(G2178,Dados!$D:$L,3,0)&lt;=VLOOKUP(H2178,Dados!$X:$AB,2,0),VLOOKUP(G2178,Dados!$D:$L,4,0)&gt;=VLOOKUP(H2178,Dados!$X:$AB,3,0),VLOOKUP(G2178,Dados!$D:$L,4,0)&lt;=VLOOKUP(H2178,Dados!$X:$AB,4,0)),0,1)</f>
        <v>0</v>
      </c>
      <c r="U2178" s="4">
        <f>IF(COUNTIFS(F:F,F2178,H:H,H2178)&lt;=VLOOKUP(H2178,Dados!$X:$AB,5,0),0,1)</f>
        <v>0</v>
      </c>
    </row>
    <row r="2179" spans="6:21">
      <c r="F2179" s="4">
        <v>975</v>
      </c>
      <c r="G2179" s="4">
        <v>32</v>
      </c>
      <c r="H2179" s="4">
        <v>3</v>
      </c>
      <c r="I2179" s="4">
        <v>16</v>
      </c>
      <c r="J2179" s="4">
        <v>5</v>
      </c>
      <c r="K2179" s="4">
        <f t="shared" si="327"/>
        <v>0</v>
      </c>
      <c r="L2179" s="4">
        <f t="shared" si="327"/>
        <v>0</v>
      </c>
      <c r="M2179" s="4">
        <f t="shared" si="327"/>
        <v>0</v>
      </c>
      <c r="N2179" s="4">
        <f t="shared" si="327"/>
        <v>0</v>
      </c>
      <c r="O2179" s="4">
        <f t="shared" si="328"/>
        <v>0</v>
      </c>
      <c r="P2179" s="4">
        <f t="shared" si="329"/>
        <v>0</v>
      </c>
      <c r="Q2179" s="4">
        <f t="shared" si="330"/>
        <v>0</v>
      </c>
      <c r="R2179" s="4">
        <f t="shared" si="331"/>
        <v>0</v>
      </c>
      <c r="S2179" s="4">
        <f>IF(AND(VLOOKUP(G2179,Dados!$D:$L,2,0)=VLOOKUP(I2179,Dados!$S:$V,2,0),VLOOKUP(G2179,Dados!$D:$L,3,0)=VLOOKUP(I2179,Dados!$S:$V,3,0)),0,1)</f>
        <v>0</v>
      </c>
      <c r="T2179" s="4">
        <f>IF(AND(VLOOKUP(G2179,Dados!$D:$L,3,0)&lt;=VLOOKUP(H2179,Dados!$X:$AB,2,0),VLOOKUP(G2179,Dados!$D:$L,4,0)&gt;=VLOOKUP(H2179,Dados!$X:$AB,3,0),VLOOKUP(G2179,Dados!$D:$L,4,0)&lt;=VLOOKUP(H2179,Dados!$X:$AB,4,0)),0,1)</f>
        <v>0</v>
      </c>
      <c r="U2179" s="4">
        <f>IF(COUNTIFS(F:F,F2179,H:H,H2179)&lt;=VLOOKUP(H2179,Dados!$X:$AB,5,0),0,1)</f>
        <v>0</v>
      </c>
    </row>
    <row r="2180" spans="6:21">
      <c r="F2180" s="4">
        <v>976</v>
      </c>
      <c r="G2180" s="4">
        <v>60</v>
      </c>
      <c r="H2180" s="4">
        <v>1</v>
      </c>
      <c r="I2180" s="4">
        <v>21</v>
      </c>
      <c r="J2180" s="4">
        <v>3</v>
      </c>
      <c r="K2180" s="4">
        <f t="shared" si="327"/>
        <v>0</v>
      </c>
      <c r="L2180" s="4">
        <f t="shared" si="327"/>
        <v>0</v>
      </c>
      <c r="M2180" s="4">
        <f t="shared" si="327"/>
        <v>0</v>
      </c>
      <c r="N2180" s="4">
        <f t="shared" si="327"/>
        <v>0</v>
      </c>
      <c r="O2180" s="4">
        <f t="shared" si="328"/>
        <v>0</v>
      </c>
      <c r="P2180" s="4">
        <f t="shared" si="329"/>
        <v>0</v>
      </c>
      <c r="Q2180" s="4">
        <f t="shared" si="330"/>
        <v>0</v>
      </c>
      <c r="R2180" s="4">
        <f t="shared" si="331"/>
        <v>0</v>
      </c>
      <c r="S2180" s="4">
        <f>IF(AND(VLOOKUP(G2180,Dados!$D:$L,2,0)=VLOOKUP(I2180,Dados!$S:$V,2,0),VLOOKUP(G2180,Dados!$D:$L,3,0)=VLOOKUP(I2180,Dados!$S:$V,3,0)),0,1)</f>
        <v>0</v>
      </c>
      <c r="T2180" s="4">
        <f>IF(AND(VLOOKUP(G2180,Dados!$D:$L,3,0)&lt;=VLOOKUP(H2180,Dados!$X:$AB,2,0),VLOOKUP(G2180,Dados!$D:$L,4,0)&gt;=VLOOKUP(H2180,Dados!$X:$AB,3,0),VLOOKUP(G2180,Dados!$D:$L,4,0)&lt;=VLOOKUP(H2180,Dados!$X:$AB,4,0)),0,1)</f>
        <v>0</v>
      </c>
      <c r="U2180" s="4">
        <f>IF(COUNTIFS(F:F,F2180,H:H,H2180)&lt;=VLOOKUP(H2180,Dados!$X:$AB,5,0),0,1)</f>
        <v>0</v>
      </c>
    </row>
    <row r="2181" spans="6:21">
      <c r="F2181" s="4">
        <v>976</v>
      </c>
      <c r="G2181" s="4">
        <v>65</v>
      </c>
      <c r="H2181" s="4">
        <v>1</v>
      </c>
      <c r="I2181" s="4">
        <v>21</v>
      </c>
      <c r="J2181" s="4">
        <v>1</v>
      </c>
      <c r="K2181" s="4">
        <f t="shared" si="327"/>
        <v>0</v>
      </c>
      <c r="L2181" s="4">
        <f t="shared" si="327"/>
        <v>0</v>
      </c>
      <c r="M2181" s="4">
        <f t="shared" si="327"/>
        <v>0</v>
      </c>
      <c r="N2181" s="4">
        <f t="shared" si="327"/>
        <v>0</v>
      </c>
      <c r="O2181" s="4">
        <f t="shared" si="328"/>
        <v>0</v>
      </c>
      <c r="P2181" s="4">
        <f t="shared" si="329"/>
        <v>0</v>
      </c>
      <c r="Q2181" s="4">
        <f t="shared" si="330"/>
        <v>0</v>
      </c>
      <c r="R2181" s="4">
        <f t="shared" si="331"/>
        <v>0</v>
      </c>
      <c r="S2181" s="4">
        <f>IF(AND(VLOOKUP(G2181,Dados!$D:$L,2,0)=VLOOKUP(I2181,Dados!$S:$V,2,0),VLOOKUP(G2181,Dados!$D:$L,3,0)=VLOOKUP(I2181,Dados!$S:$V,3,0)),0,1)</f>
        <v>0</v>
      </c>
      <c r="T2181" s="4">
        <f>IF(AND(VLOOKUP(G2181,Dados!$D:$L,3,0)&lt;=VLOOKUP(H2181,Dados!$X:$AB,2,0),VLOOKUP(G2181,Dados!$D:$L,4,0)&gt;=VLOOKUP(H2181,Dados!$X:$AB,3,0),VLOOKUP(G2181,Dados!$D:$L,4,0)&lt;=VLOOKUP(H2181,Dados!$X:$AB,4,0)),0,1)</f>
        <v>0</v>
      </c>
      <c r="U2181" s="4">
        <f>IF(COUNTIFS(F:F,F2181,H:H,H2181)&lt;=VLOOKUP(H2181,Dados!$X:$AB,5,0),0,1)</f>
        <v>0</v>
      </c>
    </row>
    <row r="2182" spans="6:21">
      <c r="F2182" s="4">
        <v>976</v>
      </c>
      <c r="G2182" s="4">
        <v>66</v>
      </c>
      <c r="H2182" s="4">
        <v>1</v>
      </c>
      <c r="I2182" s="4">
        <v>21</v>
      </c>
      <c r="J2182" s="4">
        <v>4</v>
      </c>
      <c r="K2182" s="4">
        <f t="shared" si="327"/>
        <v>0</v>
      </c>
      <c r="L2182" s="4">
        <f t="shared" si="327"/>
        <v>0</v>
      </c>
      <c r="M2182" s="4">
        <f t="shared" si="327"/>
        <v>0</v>
      </c>
      <c r="N2182" s="4">
        <f t="shared" si="327"/>
        <v>0</v>
      </c>
      <c r="O2182" s="4">
        <f t="shared" si="328"/>
        <v>0</v>
      </c>
      <c r="P2182" s="4">
        <f t="shared" si="329"/>
        <v>0</v>
      </c>
      <c r="Q2182" s="4">
        <f t="shared" si="330"/>
        <v>0</v>
      </c>
      <c r="R2182" s="4">
        <f t="shared" si="331"/>
        <v>0</v>
      </c>
      <c r="S2182" s="4">
        <f>IF(AND(VLOOKUP(G2182,Dados!$D:$L,2,0)=VLOOKUP(I2182,Dados!$S:$V,2,0),VLOOKUP(G2182,Dados!$D:$L,3,0)=VLOOKUP(I2182,Dados!$S:$V,3,0)),0,1)</f>
        <v>0</v>
      </c>
      <c r="T2182" s="4">
        <f>IF(AND(VLOOKUP(G2182,Dados!$D:$L,3,0)&lt;=VLOOKUP(H2182,Dados!$X:$AB,2,0),VLOOKUP(G2182,Dados!$D:$L,4,0)&gt;=VLOOKUP(H2182,Dados!$X:$AB,3,0),VLOOKUP(G2182,Dados!$D:$L,4,0)&lt;=VLOOKUP(H2182,Dados!$X:$AB,4,0)),0,1)</f>
        <v>0</v>
      </c>
      <c r="U2182" s="4">
        <f>IF(COUNTIFS(F:F,F2182,H:H,H2182)&lt;=VLOOKUP(H2182,Dados!$X:$AB,5,0),0,1)</f>
        <v>0</v>
      </c>
    </row>
    <row r="2183" spans="6:21">
      <c r="F2183" s="4">
        <v>977</v>
      </c>
      <c r="G2183" s="4">
        <v>60</v>
      </c>
      <c r="H2183" s="4">
        <v>2</v>
      </c>
      <c r="I2183" s="4">
        <v>21</v>
      </c>
      <c r="J2183" s="4">
        <v>3</v>
      </c>
      <c r="K2183" s="4">
        <f t="shared" si="327"/>
        <v>0</v>
      </c>
      <c r="L2183" s="4">
        <f t="shared" si="327"/>
        <v>0</v>
      </c>
      <c r="M2183" s="4">
        <f t="shared" si="327"/>
        <v>0</v>
      </c>
      <c r="N2183" s="4">
        <f t="shared" si="327"/>
        <v>0</v>
      </c>
      <c r="O2183" s="4">
        <f t="shared" si="328"/>
        <v>0</v>
      </c>
      <c r="P2183" s="4">
        <f t="shared" si="329"/>
        <v>0</v>
      </c>
      <c r="Q2183" s="4">
        <f t="shared" si="330"/>
        <v>0</v>
      </c>
      <c r="R2183" s="4">
        <f t="shared" si="331"/>
        <v>0</v>
      </c>
      <c r="S2183" s="4">
        <f>IF(AND(VLOOKUP(G2183,Dados!$D:$L,2,0)=VLOOKUP(I2183,Dados!$S:$V,2,0),VLOOKUP(G2183,Dados!$D:$L,3,0)=VLOOKUP(I2183,Dados!$S:$V,3,0)),0,1)</f>
        <v>0</v>
      </c>
      <c r="T2183" s="4">
        <f>IF(AND(VLOOKUP(G2183,Dados!$D:$L,3,0)&lt;=VLOOKUP(H2183,Dados!$X:$AB,2,0),VLOOKUP(G2183,Dados!$D:$L,4,0)&gt;=VLOOKUP(H2183,Dados!$X:$AB,3,0),VLOOKUP(G2183,Dados!$D:$L,4,0)&lt;=VLOOKUP(H2183,Dados!$X:$AB,4,0)),0,1)</f>
        <v>0</v>
      </c>
      <c r="U2183" s="4">
        <f>IF(COUNTIFS(F:F,F2183,H:H,H2183)&lt;=VLOOKUP(H2183,Dados!$X:$AB,5,0),0,1)</f>
        <v>0</v>
      </c>
    </row>
    <row r="2184" spans="6:21">
      <c r="F2184" s="4">
        <v>977</v>
      </c>
      <c r="G2184" s="4">
        <v>65</v>
      </c>
      <c r="H2184" s="4">
        <v>2</v>
      </c>
      <c r="I2184" s="4">
        <v>21</v>
      </c>
      <c r="J2184" s="4">
        <v>1</v>
      </c>
      <c r="K2184" s="4">
        <f t="shared" si="327"/>
        <v>0</v>
      </c>
      <c r="L2184" s="4">
        <f t="shared" si="327"/>
        <v>0</v>
      </c>
      <c r="M2184" s="4">
        <f t="shared" si="327"/>
        <v>0</v>
      </c>
      <c r="N2184" s="4">
        <f t="shared" si="327"/>
        <v>0</v>
      </c>
      <c r="O2184" s="4">
        <f t="shared" si="328"/>
        <v>0</v>
      </c>
      <c r="P2184" s="4">
        <f t="shared" si="329"/>
        <v>0</v>
      </c>
      <c r="Q2184" s="4">
        <f t="shared" si="330"/>
        <v>0</v>
      </c>
      <c r="R2184" s="4">
        <f t="shared" si="331"/>
        <v>0</v>
      </c>
      <c r="S2184" s="4">
        <f>IF(AND(VLOOKUP(G2184,Dados!$D:$L,2,0)=VLOOKUP(I2184,Dados!$S:$V,2,0),VLOOKUP(G2184,Dados!$D:$L,3,0)=VLOOKUP(I2184,Dados!$S:$V,3,0)),0,1)</f>
        <v>0</v>
      </c>
      <c r="T2184" s="4">
        <f>IF(AND(VLOOKUP(G2184,Dados!$D:$L,3,0)&lt;=VLOOKUP(H2184,Dados!$X:$AB,2,0),VLOOKUP(G2184,Dados!$D:$L,4,0)&gt;=VLOOKUP(H2184,Dados!$X:$AB,3,0),VLOOKUP(G2184,Dados!$D:$L,4,0)&lt;=VLOOKUP(H2184,Dados!$X:$AB,4,0)),0,1)</f>
        <v>0</v>
      </c>
      <c r="U2184" s="4">
        <f>IF(COUNTIFS(F:F,F2184,H:H,H2184)&lt;=VLOOKUP(H2184,Dados!$X:$AB,5,0),0,1)</f>
        <v>0</v>
      </c>
    </row>
    <row r="2185" spans="6:21">
      <c r="F2185" s="4">
        <v>977</v>
      </c>
      <c r="G2185" s="4">
        <v>66</v>
      </c>
      <c r="H2185" s="4">
        <v>2</v>
      </c>
      <c r="I2185" s="4">
        <v>21</v>
      </c>
      <c r="J2185" s="4">
        <v>4</v>
      </c>
      <c r="K2185" s="4">
        <f t="shared" si="327"/>
        <v>0</v>
      </c>
      <c r="L2185" s="4">
        <f t="shared" si="327"/>
        <v>0</v>
      </c>
      <c r="M2185" s="4">
        <f t="shared" si="327"/>
        <v>0</v>
      </c>
      <c r="N2185" s="4">
        <f t="shared" si="327"/>
        <v>0</v>
      </c>
      <c r="O2185" s="4">
        <f t="shared" si="328"/>
        <v>0</v>
      </c>
      <c r="P2185" s="4">
        <f t="shared" si="329"/>
        <v>0</v>
      </c>
      <c r="Q2185" s="4">
        <f t="shared" si="330"/>
        <v>0</v>
      </c>
      <c r="R2185" s="4">
        <f t="shared" si="331"/>
        <v>0</v>
      </c>
      <c r="S2185" s="4">
        <f>IF(AND(VLOOKUP(G2185,Dados!$D:$L,2,0)=VLOOKUP(I2185,Dados!$S:$V,2,0),VLOOKUP(G2185,Dados!$D:$L,3,0)=VLOOKUP(I2185,Dados!$S:$V,3,0)),0,1)</f>
        <v>0</v>
      </c>
      <c r="T2185" s="4">
        <f>IF(AND(VLOOKUP(G2185,Dados!$D:$L,3,0)&lt;=VLOOKUP(H2185,Dados!$X:$AB,2,0),VLOOKUP(G2185,Dados!$D:$L,4,0)&gt;=VLOOKUP(H2185,Dados!$X:$AB,3,0),VLOOKUP(G2185,Dados!$D:$L,4,0)&lt;=VLOOKUP(H2185,Dados!$X:$AB,4,0)),0,1)</f>
        <v>0</v>
      </c>
      <c r="U2185" s="4">
        <f>IF(COUNTIFS(F:F,F2185,H:H,H2185)&lt;=VLOOKUP(H2185,Dados!$X:$AB,5,0),0,1)</f>
        <v>0</v>
      </c>
    </row>
    <row r="2186" spans="6:21">
      <c r="F2186" s="4">
        <v>978</v>
      </c>
      <c r="G2186" s="4">
        <v>60</v>
      </c>
      <c r="H2186" s="4">
        <v>3</v>
      </c>
      <c r="I2186" s="4">
        <v>21</v>
      </c>
      <c r="J2186" s="4">
        <v>2</v>
      </c>
      <c r="K2186" s="4">
        <f t="shared" si="327"/>
        <v>0</v>
      </c>
      <c r="L2186" s="4">
        <f t="shared" si="327"/>
        <v>0</v>
      </c>
      <c r="M2186" s="4">
        <f t="shared" si="327"/>
        <v>0</v>
      </c>
      <c r="N2186" s="4">
        <f t="shared" si="327"/>
        <v>0</v>
      </c>
      <c r="O2186" s="4">
        <f t="shared" si="328"/>
        <v>0</v>
      </c>
      <c r="P2186" s="4">
        <f t="shared" si="329"/>
        <v>0</v>
      </c>
      <c r="Q2186" s="4">
        <f t="shared" si="330"/>
        <v>0</v>
      </c>
      <c r="R2186" s="4">
        <f t="shared" si="331"/>
        <v>0</v>
      </c>
      <c r="S2186" s="4">
        <f>IF(AND(VLOOKUP(G2186,Dados!$D:$L,2,0)=VLOOKUP(I2186,Dados!$S:$V,2,0),VLOOKUP(G2186,Dados!$D:$L,3,0)=VLOOKUP(I2186,Dados!$S:$V,3,0)),0,1)</f>
        <v>0</v>
      </c>
      <c r="T2186" s="4">
        <f>IF(AND(VLOOKUP(G2186,Dados!$D:$L,3,0)&lt;=VLOOKUP(H2186,Dados!$X:$AB,2,0),VLOOKUP(G2186,Dados!$D:$L,4,0)&gt;=VLOOKUP(H2186,Dados!$X:$AB,3,0),VLOOKUP(G2186,Dados!$D:$L,4,0)&lt;=VLOOKUP(H2186,Dados!$X:$AB,4,0)),0,1)</f>
        <v>0</v>
      </c>
      <c r="U2186" s="4">
        <f>IF(COUNTIFS(F:F,F2186,H:H,H2186)&lt;=VLOOKUP(H2186,Dados!$X:$AB,5,0),0,1)</f>
        <v>0</v>
      </c>
    </row>
    <row r="2187" spans="6:21">
      <c r="F2187" s="4">
        <v>978</v>
      </c>
      <c r="G2187" s="4">
        <v>66</v>
      </c>
      <c r="H2187" s="4">
        <v>3</v>
      </c>
      <c r="I2187" s="4">
        <v>21</v>
      </c>
      <c r="J2187" s="4">
        <v>4</v>
      </c>
      <c r="K2187" s="4">
        <f t="shared" si="327"/>
        <v>0</v>
      </c>
      <c r="L2187" s="4">
        <f t="shared" si="327"/>
        <v>0</v>
      </c>
      <c r="M2187" s="4">
        <f t="shared" si="327"/>
        <v>0</v>
      </c>
      <c r="N2187" s="4">
        <f t="shared" si="327"/>
        <v>0</v>
      </c>
      <c r="O2187" s="4">
        <f t="shared" si="328"/>
        <v>0</v>
      </c>
      <c r="P2187" s="4">
        <f t="shared" si="329"/>
        <v>0</v>
      </c>
      <c r="Q2187" s="4">
        <f t="shared" si="330"/>
        <v>0</v>
      </c>
      <c r="R2187" s="4">
        <f t="shared" si="331"/>
        <v>0</v>
      </c>
      <c r="S2187" s="4">
        <f>IF(AND(VLOOKUP(G2187,Dados!$D:$L,2,0)=VLOOKUP(I2187,Dados!$S:$V,2,0),VLOOKUP(G2187,Dados!$D:$L,3,0)=VLOOKUP(I2187,Dados!$S:$V,3,0)),0,1)</f>
        <v>0</v>
      </c>
      <c r="T2187" s="4">
        <f>IF(AND(VLOOKUP(G2187,Dados!$D:$L,3,0)&lt;=VLOOKUP(H2187,Dados!$X:$AB,2,0),VLOOKUP(G2187,Dados!$D:$L,4,0)&gt;=VLOOKUP(H2187,Dados!$X:$AB,3,0),VLOOKUP(G2187,Dados!$D:$L,4,0)&lt;=VLOOKUP(H2187,Dados!$X:$AB,4,0)),0,1)</f>
        <v>0</v>
      </c>
      <c r="U2187" s="4">
        <f>IF(COUNTIFS(F:F,F2187,H:H,H2187)&lt;=VLOOKUP(H2187,Dados!$X:$AB,5,0),0,1)</f>
        <v>0</v>
      </c>
    </row>
    <row r="2188" spans="6:21">
      <c r="F2188" s="4">
        <v>978</v>
      </c>
      <c r="G2188" s="4">
        <v>67</v>
      </c>
      <c r="H2188" s="4">
        <v>3</v>
      </c>
      <c r="I2188" s="4">
        <v>21</v>
      </c>
      <c r="J2188" s="4">
        <v>2</v>
      </c>
      <c r="K2188" s="4">
        <f t="shared" si="327"/>
        <v>0</v>
      </c>
      <c r="L2188" s="4">
        <f t="shared" si="327"/>
        <v>0</v>
      </c>
      <c r="M2188" s="4">
        <f t="shared" si="327"/>
        <v>0</v>
      </c>
      <c r="N2188" s="4">
        <f t="shared" si="327"/>
        <v>0</v>
      </c>
      <c r="O2188" s="4">
        <f t="shared" si="328"/>
        <v>0</v>
      </c>
      <c r="P2188" s="4">
        <f t="shared" si="329"/>
        <v>0</v>
      </c>
      <c r="Q2188" s="4">
        <f t="shared" si="330"/>
        <v>0</v>
      </c>
      <c r="R2188" s="4">
        <f t="shared" si="331"/>
        <v>0</v>
      </c>
      <c r="S2188" s="4">
        <f>IF(AND(VLOOKUP(G2188,Dados!$D:$L,2,0)=VLOOKUP(I2188,Dados!$S:$V,2,0),VLOOKUP(G2188,Dados!$D:$L,3,0)=VLOOKUP(I2188,Dados!$S:$V,3,0)),0,1)</f>
        <v>0</v>
      </c>
      <c r="T2188" s="4">
        <f>IF(AND(VLOOKUP(G2188,Dados!$D:$L,3,0)&lt;=VLOOKUP(H2188,Dados!$X:$AB,2,0),VLOOKUP(G2188,Dados!$D:$L,4,0)&gt;=VLOOKUP(H2188,Dados!$X:$AB,3,0),VLOOKUP(G2188,Dados!$D:$L,4,0)&lt;=VLOOKUP(H2188,Dados!$X:$AB,4,0)),0,1)</f>
        <v>0</v>
      </c>
      <c r="U2188" s="4">
        <f>IF(COUNTIFS(F:F,F2188,H:H,H2188)&lt;=VLOOKUP(H2188,Dados!$X:$AB,5,0),0,1)</f>
        <v>0</v>
      </c>
    </row>
    <row r="2189" spans="6:21">
      <c r="F2189" s="4">
        <v>979</v>
      </c>
      <c r="G2189" s="4">
        <v>60</v>
      </c>
      <c r="H2189" s="4">
        <v>1</v>
      </c>
      <c r="I2189" s="4">
        <v>23</v>
      </c>
      <c r="J2189" s="4">
        <v>1</v>
      </c>
      <c r="K2189" s="4">
        <f t="shared" si="327"/>
        <v>0</v>
      </c>
      <c r="L2189" s="4">
        <f t="shared" si="327"/>
        <v>0</v>
      </c>
      <c r="M2189" s="4">
        <f t="shared" si="327"/>
        <v>0</v>
      </c>
      <c r="N2189" s="4">
        <f t="shared" si="327"/>
        <v>0</v>
      </c>
      <c r="O2189" s="4">
        <f t="shared" si="328"/>
        <v>0</v>
      </c>
      <c r="P2189" s="4">
        <f t="shared" si="329"/>
        <v>0</v>
      </c>
      <c r="Q2189" s="4">
        <f t="shared" si="330"/>
        <v>0</v>
      </c>
      <c r="R2189" s="4">
        <f t="shared" si="331"/>
        <v>0</v>
      </c>
      <c r="S2189" s="4">
        <f>IF(AND(VLOOKUP(G2189,Dados!$D:$L,2,0)=VLOOKUP(I2189,Dados!$S:$V,2,0),VLOOKUP(G2189,Dados!$D:$L,3,0)=VLOOKUP(I2189,Dados!$S:$V,3,0)),0,1)</f>
        <v>0</v>
      </c>
      <c r="T2189" s="4">
        <f>IF(AND(VLOOKUP(G2189,Dados!$D:$L,3,0)&lt;=VLOOKUP(H2189,Dados!$X:$AB,2,0),VLOOKUP(G2189,Dados!$D:$L,4,0)&gt;=VLOOKUP(H2189,Dados!$X:$AB,3,0),VLOOKUP(G2189,Dados!$D:$L,4,0)&lt;=VLOOKUP(H2189,Dados!$X:$AB,4,0)),0,1)</f>
        <v>0</v>
      </c>
      <c r="U2189" s="4">
        <f>IF(COUNTIFS(F:F,F2189,H:H,H2189)&lt;=VLOOKUP(H2189,Dados!$X:$AB,5,0),0,1)</f>
        <v>0</v>
      </c>
    </row>
    <row r="2190" spans="6:21">
      <c r="F2190" s="4">
        <v>979</v>
      </c>
      <c r="G2190" s="4">
        <v>66</v>
      </c>
      <c r="H2190" s="4">
        <v>1</v>
      </c>
      <c r="I2190" s="4">
        <v>23</v>
      </c>
      <c r="J2190" s="4">
        <v>1</v>
      </c>
      <c r="K2190" s="4">
        <f t="shared" si="327"/>
        <v>0</v>
      </c>
      <c r="L2190" s="4">
        <f t="shared" si="327"/>
        <v>0</v>
      </c>
      <c r="M2190" s="4">
        <f t="shared" si="327"/>
        <v>0</v>
      </c>
      <c r="N2190" s="4">
        <f t="shared" si="327"/>
        <v>0</v>
      </c>
      <c r="O2190" s="4">
        <f t="shared" si="328"/>
        <v>0</v>
      </c>
      <c r="P2190" s="4">
        <f t="shared" si="329"/>
        <v>0</v>
      </c>
      <c r="Q2190" s="4">
        <f t="shared" si="330"/>
        <v>0</v>
      </c>
      <c r="R2190" s="4">
        <f t="shared" si="331"/>
        <v>0</v>
      </c>
      <c r="S2190" s="4">
        <f>IF(AND(VLOOKUP(G2190,Dados!$D:$L,2,0)=VLOOKUP(I2190,Dados!$S:$V,2,0),VLOOKUP(G2190,Dados!$D:$L,3,0)=VLOOKUP(I2190,Dados!$S:$V,3,0)),0,1)</f>
        <v>0</v>
      </c>
      <c r="T2190" s="4">
        <f>IF(AND(VLOOKUP(G2190,Dados!$D:$L,3,0)&lt;=VLOOKUP(H2190,Dados!$X:$AB,2,0),VLOOKUP(G2190,Dados!$D:$L,4,0)&gt;=VLOOKUP(H2190,Dados!$X:$AB,3,0),VLOOKUP(G2190,Dados!$D:$L,4,0)&lt;=VLOOKUP(H2190,Dados!$X:$AB,4,0)),0,1)</f>
        <v>0</v>
      </c>
      <c r="U2190" s="4">
        <f>IF(COUNTIFS(F:F,F2190,H:H,H2190)&lt;=VLOOKUP(H2190,Dados!$X:$AB,5,0),0,1)</f>
        <v>0</v>
      </c>
    </row>
    <row r="2191" spans="6:21">
      <c r="F2191" s="4">
        <v>979</v>
      </c>
      <c r="G2191" s="4">
        <v>67</v>
      </c>
      <c r="H2191" s="4">
        <v>1</v>
      </c>
      <c r="I2191" s="4">
        <v>23</v>
      </c>
      <c r="J2191" s="4">
        <v>5</v>
      </c>
      <c r="K2191" s="4">
        <f t="shared" si="327"/>
        <v>0</v>
      </c>
      <c r="L2191" s="4">
        <f t="shared" si="327"/>
        <v>0</v>
      </c>
      <c r="M2191" s="4">
        <f t="shared" si="327"/>
        <v>0</v>
      </c>
      <c r="N2191" s="4">
        <f t="shared" si="327"/>
        <v>0</v>
      </c>
      <c r="O2191" s="4">
        <f t="shared" si="328"/>
        <v>0</v>
      </c>
      <c r="P2191" s="4">
        <f t="shared" si="329"/>
        <v>0</v>
      </c>
      <c r="Q2191" s="4">
        <f t="shared" si="330"/>
        <v>0</v>
      </c>
      <c r="R2191" s="4">
        <f t="shared" si="331"/>
        <v>0</v>
      </c>
      <c r="S2191" s="4">
        <f>IF(AND(VLOOKUP(G2191,Dados!$D:$L,2,0)=VLOOKUP(I2191,Dados!$S:$V,2,0),VLOOKUP(G2191,Dados!$D:$L,3,0)=VLOOKUP(I2191,Dados!$S:$V,3,0)),0,1)</f>
        <v>0</v>
      </c>
      <c r="T2191" s="4">
        <f>IF(AND(VLOOKUP(G2191,Dados!$D:$L,3,0)&lt;=VLOOKUP(H2191,Dados!$X:$AB,2,0),VLOOKUP(G2191,Dados!$D:$L,4,0)&gt;=VLOOKUP(H2191,Dados!$X:$AB,3,0),VLOOKUP(G2191,Dados!$D:$L,4,0)&lt;=VLOOKUP(H2191,Dados!$X:$AB,4,0)),0,1)</f>
        <v>0</v>
      </c>
      <c r="U2191" s="4">
        <f>IF(COUNTIFS(F:F,F2191,H:H,H2191)&lt;=VLOOKUP(H2191,Dados!$X:$AB,5,0),0,1)</f>
        <v>0</v>
      </c>
    </row>
    <row r="2192" spans="6:21">
      <c r="F2192" s="4">
        <v>980</v>
      </c>
      <c r="G2192" s="4">
        <v>60</v>
      </c>
      <c r="H2192" s="4">
        <v>2</v>
      </c>
      <c r="I2192" s="4">
        <v>23</v>
      </c>
      <c r="J2192" s="4">
        <v>1</v>
      </c>
      <c r="K2192" s="4">
        <f t="shared" si="327"/>
        <v>0</v>
      </c>
      <c r="L2192" s="4">
        <f t="shared" si="327"/>
        <v>0</v>
      </c>
      <c r="M2192" s="4">
        <f t="shared" si="327"/>
        <v>0</v>
      </c>
      <c r="N2192" s="4">
        <f t="shared" si="327"/>
        <v>0</v>
      </c>
      <c r="O2192" s="4">
        <f t="shared" si="328"/>
        <v>0</v>
      </c>
      <c r="P2192" s="4">
        <f t="shared" si="329"/>
        <v>0</v>
      </c>
      <c r="Q2192" s="4">
        <f t="shared" si="330"/>
        <v>0</v>
      </c>
      <c r="R2192" s="4">
        <f t="shared" si="331"/>
        <v>0</v>
      </c>
      <c r="S2192" s="4">
        <f>IF(AND(VLOOKUP(G2192,Dados!$D:$L,2,0)=VLOOKUP(I2192,Dados!$S:$V,2,0),VLOOKUP(G2192,Dados!$D:$L,3,0)=VLOOKUP(I2192,Dados!$S:$V,3,0)),0,1)</f>
        <v>0</v>
      </c>
      <c r="T2192" s="4">
        <f>IF(AND(VLOOKUP(G2192,Dados!$D:$L,3,0)&lt;=VLOOKUP(H2192,Dados!$X:$AB,2,0),VLOOKUP(G2192,Dados!$D:$L,4,0)&gt;=VLOOKUP(H2192,Dados!$X:$AB,3,0),VLOOKUP(G2192,Dados!$D:$L,4,0)&lt;=VLOOKUP(H2192,Dados!$X:$AB,4,0)),0,1)</f>
        <v>0</v>
      </c>
      <c r="U2192" s="4">
        <f>IF(COUNTIFS(F:F,F2192,H:H,H2192)&lt;=VLOOKUP(H2192,Dados!$X:$AB,5,0),0,1)</f>
        <v>0</v>
      </c>
    </row>
    <row r="2193" spans="6:21">
      <c r="F2193" s="4">
        <v>980</v>
      </c>
      <c r="G2193" s="4">
        <v>66</v>
      </c>
      <c r="H2193" s="4">
        <v>2</v>
      </c>
      <c r="I2193" s="4">
        <v>23</v>
      </c>
      <c r="J2193" s="4">
        <v>1</v>
      </c>
      <c r="K2193" s="4">
        <f t="shared" si="327"/>
        <v>0</v>
      </c>
      <c r="L2193" s="4">
        <f t="shared" si="327"/>
        <v>0</v>
      </c>
      <c r="M2193" s="4">
        <f t="shared" si="327"/>
        <v>0</v>
      </c>
      <c r="N2193" s="4">
        <f t="shared" si="327"/>
        <v>0</v>
      </c>
      <c r="O2193" s="4">
        <f t="shared" si="328"/>
        <v>0</v>
      </c>
      <c r="P2193" s="4">
        <f t="shared" si="329"/>
        <v>0</v>
      </c>
      <c r="Q2193" s="4">
        <f t="shared" si="330"/>
        <v>0</v>
      </c>
      <c r="R2193" s="4">
        <f t="shared" si="331"/>
        <v>0</v>
      </c>
      <c r="S2193" s="4">
        <f>IF(AND(VLOOKUP(G2193,Dados!$D:$L,2,0)=VLOOKUP(I2193,Dados!$S:$V,2,0),VLOOKUP(G2193,Dados!$D:$L,3,0)=VLOOKUP(I2193,Dados!$S:$V,3,0)),0,1)</f>
        <v>0</v>
      </c>
      <c r="T2193" s="4">
        <f>IF(AND(VLOOKUP(G2193,Dados!$D:$L,3,0)&lt;=VLOOKUP(H2193,Dados!$X:$AB,2,0),VLOOKUP(G2193,Dados!$D:$L,4,0)&gt;=VLOOKUP(H2193,Dados!$X:$AB,3,0),VLOOKUP(G2193,Dados!$D:$L,4,0)&lt;=VLOOKUP(H2193,Dados!$X:$AB,4,0)),0,1)</f>
        <v>0</v>
      </c>
      <c r="U2193" s="4">
        <f>IF(COUNTIFS(F:F,F2193,H:H,H2193)&lt;=VLOOKUP(H2193,Dados!$X:$AB,5,0),0,1)</f>
        <v>0</v>
      </c>
    </row>
    <row r="2194" spans="6:21">
      <c r="F2194" s="4">
        <v>980</v>
      </c>
      <c r="G2194" s="4">
        <v>67</v>
      </c>
      <c r="H2194" s="4">
        <v>2</v>
      </c>
      <c r="I2194" s="4">
        <v>23</v>
      </c>
      <c r="J2194" s="4">
        <v>5</v>
      </c>
      <c r="K2194" s="4">
        <f t="shared" si="327"/>
        <v>0</v>
      </c>
      <c r="L2194" s="4">
        <f t="shared" si="327"/>
        <v>0</v>
      </c>
      <c r="M2194" s="4">
        <f t="shared" si="327"/>
        <v>0</v>
      </c>
      <c r="N2194" s="4">
        <f t="shared" si="327"/>
        <v>0</v>
      </c>
      <c r="O2194" s="4">
        <f t="shared" si="328"/>
        <v>0</v>
      </c>
      <c r="P2194" s="4">
        <f t="shared" si="329"/>
        <v>0</v>
      </c>
      <c r="Q2194" s="4">
        <f t="shared" si="330"/>
        <v>0</v>
      </c>
      <c r="R2194" s="4">
        <f t="shared" si="331"/>
        <v>0</v>
      </c>
      <c r="S2194" s="4">
        <f>IF(AND(VLOOKUP(G2194,Dados!$D:$L,2,0)=VLOOKUP(I2194,Dados!$S:$V,2,0),VLOOKUP(G2194,Dados!$D:$L,3,0)=VLOOKUP(I2194,Dados!$S:$V,3,0)),0,1)</f>
        <v>0</v>
      </c>
      <c r="T2194" s="4">
        <f>IF(AND(VLOOKUP(G2194,Dados!$D:$L,3,0)&lt;=VLOOKUP(H2194,Dados!$X:$AB,2,0),VLOOKUP(G2194,Dados!$D:$L,4,0)&gt;=VLOOKUP(H2194,Dados!$X:$AB,3,0),VLOOKUP(G2194,Dados!$D:$L,4,0)&lt;=VLOOKUP(H2194,Dados!$X:$AB,4,0)),0,1)</f>
        <v>0</v>
      </c>
      <c r="U2194" s="4">
        <f>IF(COUNTIFS(F:F,F2194,H:H,H2194)&lt;=VLOOKUP(H2194,Dados!$X:$AB,5,0),0,1)</f>
        <v>0</v>
      </c>
    </row>
    <row r="2195" spans="6:21">
      <c r="F2195" s="4">
        <v>981</v>
      </c>
      <c r="G2195" s="4">
        <v>60</v>
      </c>
      <c r="H2195" s="4">
        <v>3</v>
      </c>
      <c r="I2195" s="4">
        <v>23</v>
      </c>
      <c r="J2195" s="4">
        <v>1</v>
      </c>
      <c r="K2195" s="4">
        <f t="shared" si="327"/>
        <v>0</v>
      </c>
      <c r="L2195" s="4">
        <f t="shared" si="327"/>
        <v>0</v>
      </c>
      <c r="M2195" s="4">
        <f t="shared" si="327"/>
        <v>0</v>
      </c>
      <c r="N2195" s="4">
        <f t="shared" si="327"/>
        <v>0</v>
      </c>
      <c r="O2195" s="4">
        <f t="shared" si="328"/>
        <v>0</v>
      </c>
      <c r="P2195" s="4">
        <f t="shared" si="329"/>
        <v>0</v>
      </c>
      <c r="Q2195" s="4">
        <f t="shared" si="330"/>
        <v>0</v>
      </c>
      <c r="R2195" s="4">
        <f t="shared" si="331"/>
        <v>0</v>
      </c>
      <c r="S2195" s="4">
        <f>IF(AND(VLOOKUP(G2195,Dados!$D:$L,2,0)=VLOOKUP(I2195,Dados!$S:$V,2,0),VLOOKUP(G2195,Dados!$D:$L,3,0)=VLOOKUP(I2195,Dados!$S:$V,3,0)),0,1)</f>
        <v>0</v>
      </c>
      <c r="T2195" s="4">
        <f>IF(AND(VLOOKUP(G2195,Dados!$D:$L,3,0)&lt;=VLOOKUP(H2195,Dados!$X:$AB,2,0),VLOOKUP(G2195,Dados!$D:$L,4,0)&gt;=VLOOKUP(H2195,Dados!$X:$AB,3,0),VLOOKUP(G2195,Dados!$D:$L,4,0)&lt;=VLOOKUP(H2195,Dados!$X:$AB,4,0)),0,1)</f>
        <v>0</v>
      </c>
      <c r="U2195" s="4">
        <f>IF(COUNTIFS(F:F,F2195,H:H,H2195)&lt;=VLOOKUP(H2195,Dados!$X:$AB,5,0),0,1)</f>
        <v>0</v>
      </c>
    </row>
    <row r="2196" spans="6:21">
      <c r="F2196" s="4">
        <v>981</v>
      </c>
      <c r="G2196" s="4">
        <v>66</v>
      </c>
      <c r="H2196" s="4">
        <v>3</v>
      </c>
      <c r="I2196" s="4">
        <v>23</v>
      </c>
      <c r="J2196" s="4">
        <v>1</v>
      </c>
      <c r="K2196" s="4">
        <f t="shared" si="327"/>
        <v>0</v>
      </c>
      <c r="L2196" s="4">
        <f t="shared" si="327"/>
        <v>0</v>
      </c>
      <c r="M2196" s="4">
        <f t="shared" si="327"/>
        <v>0</v>
      </c>
      <c r="N2196" s="4">
        <f t="shared" si="327"/>
        <v>0</v>
      </c>
      <c r="O2196" s="4">
        <f t="shared" si="328"/>
        <v>0</v>
      </c>
      <c r="P2196" s="4">
        <f t="shared" si="329"/>
        <v>0</v>
      </c>
      <c r="Q2196" s="4">
        <f t="shared" si="330"/>
        <v>0</v>
      </c>
      <c r="R2196" s="4">
        <f t="shared" si="331"/>
        <v>0</v>
      </c>
      <c r="S2196" s="4">
        <f>IF(AND(VLOOKUP(G2196,Dados!$D:$L,2,0)=VLOOKUP(I2196,Dados!$S:$V,2,0),VLOOKUP(G2196,Dados!$D:$L,3,0)=VLOOKUP(I2196,Dados!$S:$V,3,0)),0,1)</f>
        <v>0</v>
      </c>
      <c r="T2196" s="4">
        <f>IF(AND(VLOOKUP(G2196,Dados!$D:$L,3,0)&lt;=VLOOKUP(H2196,Dados!$X:$AB,2,0),VLOOKUP(G2196,Dados!$D:$L,4,0)&gt;=VLOOKUP(H2196,Dados!$X:$AB,3,0),VLOOKUP(G2196,Dados!$D:$L,4,0)&lt;=VLOOKUP(H2196,Dados!$X:$AB,4,0)),0,1)</f>
        <v>0</v>
      </c>
      <c r="U2196" s="4">
        <f>IF(COUNTIFS(F:F,F2196,H:H,H2196)&lt;=VLOOKUP(H2196,Dados!$X:$AB,5,0),0,1)</f>
        <v>0</v>
      </c>
    </row>
    <row r="2197" spans="6:21">
      <c r="F2197" s="4">
        <v>981</v>
      </c>
      <c r="G2197" s="4">
        <v>67</v>
      </c>
      <c r="H2197" s="4">
        <v>3</v>
      </c>
      <c r="I2197" s="4">
        <v>23</v>
      </c>
      <c r="J2197" s="4">
        <v>5</v>
      </c>
      <c r="K2197" s="4">
        <f t="shared" si="327"/>
        <v>0</v>
      </c>
      <c r="L2197" s="4">
        <f t="shared" si="327"/>
        <v>0</v>
      </c>
      <c r="M2197" s="4">
        <f t="shared" si="327"/>
        <v>0</v>
      </c>
      <c r="N2197" s="4">
        <f t="shared" si="327"/>
        <v>0</v>
      </c>
      <c r="O2197" s="4">
        <f t="shared" si="328"/>
        <v>0</v>
      </c>
      <c r="P2197" s="4">
        <f t="shared" si="329"/>
        <v>0</v>
      </c>
      <c r="Q2197" s="4">
        <f t="shared" si="330"/>
        <v>0</v>
      </c>
      <c r="R2197" s="4">
        <f t="shared" si="331"/>
        <v>0</v>
      </c>
      <c r="S2197" s="4">
        <f>IF(AND(VLOOKUP(G2197,Dados!$D:$L,2,0)=VLOOKUP(I2197,Dados!$S:$V,2,0),VLOOKUP(G2197,Dados!$D:$L,3,0)=VLOOKUP(I2197,Dados!$S:$V,3,0)),0,1)</f>
        <v>0</v>
      </c>
      <c r="T2197" s="4">
        <f>IF(AND(VLOOKUP(G2197,Dados!$D:$L,3,0)&lt;=VLOOKUP(H2197,Dados!$X:$AB,2,0),VLOOKUP(G2197,Dados!$D:$L,4,0)&gt;=VLOOKUP(H2197,Dados!$X:$AB,3,0),VLOOKUP(G2197,Dados!$D:$L,4,0)&lt;=VLOOKUP(H2197,Dados!$X:$AB,4,0)),0,1)</f>
        <v>0</v>
      </c>
      <c r="U2197" s="4">
        <f>IF(COUNTIFS(F:F,F2197,H:H,H2197)&lt;=VLOOKUP(H2197,Dados!$X:$AB,5,0),0,1)</f>
        <v>0</v>
      </c>
    </row>
    <row r="2198" spans="6:21">
      <c r="F2198" s="4">
        <v>982</v>
      </c>
      <c r="G2198" s="4">
        <v>60</v>
      </c>
      <c r="H2198" s="4">
        <v>1</v>
      </c>
      <c r="I2198" s="4">
        <v>24</v>
      </c>
      <c r="J2198" s="4">
        <v>4</v>
      </c>
      <c r="K2198" s="4">
        <f t="shared" si="327"/>
        <v>0</v>
      </c>
      <c r="L2198" s="4">
        <f t="shared" si="327"/>
        <v>0</v>
      </c>
      <c r="M2198" s="4">
        <f t="shared" si="327"/>
        <v>0</v>
      </c>
      <c r="N2198" s="4">
        <f t="shared" si="327"/>
        <v>0</v>
      </c>
      <c r="O2198" s="4">
        <f t="shared" si="328"/>
        <v>0</v>
      </c>
      <c r="P2198" s="4">
        <f t="shared" si="329"/>
        <v>0</v>
      </c>
      <c r="Q2198" s="4">
        <f t="shared" si="330"/>
        <v>0</v>
      </c>
      <c r="R2198" s="4">
        <f t="shared" si="331"/>
        <v>0</v>
      </c>
      <c r="S2198" s="4">
        <f>IF(AND(VLOOKUP(G2198,Dados!$D:$L,2,0)=VLOOKUP(I2198,Dados!$S:$V,2,0),VLOOKUP(G2198,Dados!$D:$L,3,0)=VLOOKUP(I2198,Dados!$S:$V,3,0)),0,1)</f>
        <v>0</v>
      </c>
      <c r="T2198" s="4">
        <f>IF(AND(VLOOKUP(G2198,Dados!$D:$L,3,0)&lt;=VLOOKUP(H2198,Dados!$X:$AB,2,0),VLOOKUP(G2198,Dados!$D:$L,4,0)&gt;=VLOOKUP(H2198,Dados!$X:$AB,3,0),VLOOKUP(G2198,Dados!$D:$L,4,0)&lt;=VLOOKUP(H2198,Dados!$X:$AB,4,0)),0,1)</f>
        <v>0</v>
      </c>
      <c r="U2198" s="4">
        <f>IF(COUNTIFS(F:F,F2198,H:H,H2198)&lt;=VLOOKUP(H2198,Dados!$X:$AB,5,0),0,1)</f>
        <v>0</v>
      </c>
    </row>
    <row r="2199" spans="6:21">
      <c r="F2199" s="4">
        <v>982</v>
      </c>
      <c r="G2199" s="4">
        <v>66</v>
      </c>
      <c r="H2199" s="4">
        <v>1</v>
      </c>
      <c r="I2199" s="4">
        <v>24</v>
      </c>
      <c r="J2199" s="4">
        <v>1</v>
      </c>
      <c r="K2199" s="4">
        <f t="shared" si="327"/>
        <v>0</v>
      </c>
      <c r="L2199" s="4">
        <f t="shared" si="327"/>
        <v>0</v>
      </c>
      <c r="M2199" s="4">
        <f t="shared" si="327"/>
        <v>0</v>
      </c>
      <c r="N2199" s="4">
        <f t="shared" si="327"/>
        <v>0</v>
      </c>
      <c r="O2199" s="4">
        <f t="shared" si="328"/>
        <v>0</v>
      </c>
      <c r="P2199" s="4">
        <f t="shared" si="329"/>
        <v>0</v>
      </c>
      <c r="Q2199" s="4">
        <f t="shared" si="330"/>
        <v>0</v>
      </c>
      <c r="R2199" s="4">
        <f t="shared" si="331"/>
        <v>0</v>
      </c>
      <c r="S2199" s="4">
        <f>IF(AND(VLOOKUP(G2199,Dados!$D:$L,2,0)=VLOOKUP(I2199,Dados!$S:$V,2,0),VLOOKUP(G2199,Dados!$D:$L,3,0)=VLOOKUP(I2199,Dados!$S:$V,3,0)),0,1)</f>
        <v>0</v>
      </c>
      <c r="T2199" s="4">
        <f>IF(AND(VLOOKUP(G2199,Dados!$D:$L,3,0)&lt;=VLOOKUP(H2199,Dados!$X:$AB,2,0),VLOOKUP(G2199,Dados!$D:$L,4,0)&gt;=VLOOKUP(H2199,Dados!$X:$AB,3,0),VLOOKUP(G2199,Dados!$D:$L,4,0)&lt;=VLOOKUP(H2199,Dados!$X:$AB,4,0)),0,1)</f>
        <v>0</v>
      </c>
      <c r="U2199" s="4">
        <f>IF(COUNTIFS(F:F,F2199,H:H,H2199)&lt;=VLOOKUP(H2199,Dados!$X:$AB,5,0),0,1)</f>
        <v>0</v>
      </c>
    </row>
    <row r="2200" spans="6:21">
      <c r="F2200" s="4">
        <v>982</v>
      </c>
      <c r="G2200" s="4">
        <v>67</v>
      </c>
      <c r="H2200" s="4">
        <v>1</v>
      </c>
      <c r="I2200" s="4">
        <v>24</v>
      </c>
      <c r="J2200" s="4">
        <v>2</v>
      </c>
      <c r="K2200" s="4">
        <f t="shared" si="327"/>
        <v>0</v>
      </c>
      <c r="L2200" s="4">
        <f t="shared" si="327"/>
        <v>0</v>
      </c>
      <c r="M2200" s="4">
        <f t="shared" si="327"/>
        <v>0</v>
      </c>
      <c r="N2200" s="4">
        <f t="shared" si="327"/>
        <v>0</v>
      </c>
      <c r="O2200" s="4">
        <f t="shared" si="328"/>
        <v>0</v>
      </c>
      <c r="P2200" s="4">
        <f t="shared" si="329"/>
        <v>0</v>
      </c>
      <c r="Q2200" s="4">
        <f t="shared" si="330"/>
        <v>0</v>
      </c>
      <c r="R2200" s="4">
        <f t="shared" si="331"/>
        <v>0</v>
      </c>
      <c r="S2200" s="4">
        <f>IF(AND(VLOOKUP(G2200,Dados!$D:$L,2,0)=VLOOKUP(I2200,Dados!$S:$V,2,0),VLOOKUP(G2200,Dados!$D:$L,3,0)=VLOOKUP(I2200,Dados!$S:$V,3,0)),0,1)</f>
        <v>0</v>
      </c>
      <c r="T2200" s="4">
        <f>IF(AND(VLOOKUP(G2200,Dados!$D:$L,3,0)&lt;=VLOOKUP(H2200,Dados!$X:$AB,2,0),VLOOKUP(G2200,Dados!$D:$L,4,0)&gt;=VLOOKUP(H2200,Dados!$X:$AB,3,0),VLOOKUP(G2200,Dados!$D:$L,4,0)&lt;=VLOOKUP(H2200,Dados!$X:$AB,4,0)),0,1)</f>
        <v>0</v>
      </c>
      <c r="U2200" s="4">
        <f>IF(COUNTIFS(F:F,F2200,H:H,H2200)&lt;=VLOOKUP(H2200,Dados!$X:$AB,5,0),0,1)</f>
        <v>0</v>
      </c>
    </row>
    <row r="2201" spans="6:21">
      <c r="F2201" s="4">
        <v>983</v>
      </c>
      <c r="G2201" s="4">
        <v>60</v>
      </c>
      <c r="H2201" s="4">
        <v>2</v>
      </c>
      <c r="I2201" s="4">
        <v>24</v>
      </c>
      <c r="J2201" s="4">
        <v>4</v>
      </c>
      <c r="K2201" s="4">
        <f t="shared" si="327"/>
        <v>0</v>
      </c>
      <c r="L2201" s="4">
        <f t="shared" si="327"/>
        <v>0</v>
      </c>
      <c r="M2201" s="4">
        <f t="shared" si="327"/>
        <v>0</v>
      </c>
      <c r="N2201" s="4">
        <f t="shared" si="327"/>
        <v>0</v>
      </c>
      <c r="O2201" s="4">
        <f t="shared" si="328"/>
        <v>0</v>
      </c>
      <c r="P2201" s="4">
        <f t="shared" si="329"/>
        <v>0</v>
      </c>
      <c r="Q2201" s="4">
        <f t="shared" si="330"/>
        <v>0</v>
      </c>
      <c r="R2201" s="4">
        <f t="shared" si="331"/>
        <v>0</v>
      </c>
      <c r="S2201" s="4">
        <f>IF(AND(VLOOKUP(G2201,Dados!$D:$L,2,0)=VLOOKUP(I2201,Dados!$S:$V,2,0),VLOOKUP(G2201,Dados!$D:$L,3,0)=VLOOKUP(I2201,Dados!$S:$V,3,0)),0,1)</f>
        <v>0</v>
      </c>
      <c r="T2201" s="4">
        <f>IF(AND(VLOOKUP(G2201,Dados!$D:$L,3,0)&lt;=VLOOKUP(H2201,Dados!$X:$AB,2,0),VLOOKUP(G2201,Dados!$D:$L,4,0)&gt;=VLOOKUP(H2201,Dados!$X:$AB,3,0),VLOOKUP(G2201,Dados!$D:$L,4,0)&lt;=VLOOKUP(H2201,Dados!$X:$AB,4,0)),0,1)</f>
        <v>0</v>
      </c>
      <c r="U2201" s="4">
        <f>IF(COUNTIFS(F:F,F2201,H:H,H2201)&lt;=VLOOKUP(H2201,Dados!$X:$AB,5,0),0,1)</f>
        <v>0</v>
      </c>
    </row>
    <row r="2202" spans="6:21">
      <c r="F2202" s="4">
        <v>983</v>
      </c>
      <c r="G2202" s="4">
        <v>66</v>
      </c>
      <c r="H2202" s="4">
        <v>2</v>
      </c>
      <c r="I2202" s="4">
        <v>24</v>
      </c>
      <c r="J2202" s="4">
        <v>1</v>
      </c>
      <c r="K2202" s="4">
        <f t="shared" si="327"/>
        <v>0</v>
      </c>
      <c r="L2202" s="4">
        <f t="shared" si="327"/>
        <v>0</v>
      </c>
      <c r="M2202" s="4">
        <f t="shared" si="327"/>
        <v>0</v>
      </c>
      <c r="N2202" s="4">
        <f t="shared" si="327"/>
        <v>0</v>
      </c>
      <c r="O2202" s="4">
        <f t="shared" si="328"/>
        <v>0</v>
      </c>
      <c r="P2202" s="4">
        <f t="shared" si="329"/>
        <v>0</v>
      </c>
      <c r="Q2202" s="4">
        <f t="shared" si="330"/>
        <v>0</v>
      </c>
      <c r="R2202" s="4">
        <f t="shared" si="331"/>
        <v>0</v>
      </c>
      <c r="S2202" s="4">
        <f>IF(AND(VLOOKUP(G2202,Dados!$D:$L,2,0)=VLOOKUP(I2202,Dados!$S:$V,2,0),VLOOKUP(G2202,Dados!$D:$L,3,0)=VLOOKUP(I2202,Dados!$S:$V,3,0)),0,1)</f>
        <v>0</v>
      </c>
      <c r="T2202" s="4">
        <f>IF(AND(VLOOKUP(G2202,Dados!$D:$L,3,0)&lt;=VLOOKUP(H2202,Dados!$X:$AB,2,0),VLOOKUP(G2202,Dados!$D:$L,4,0)&gt;=VLOOKUP(H2202,Dados!$X:$AB,3,0),VLOOKUP(G2202,Dados!$D:$L,4,0)&lt;=VLOOKUP(H2202,Dados!$X:$AB,4,0)),0,1)</f>
        <v>0</v>
      </c>
      <c r="U2202" s="4">
        <f>IF(COUNTIFS(F:F,F2202,H:H,H2202)&lt;=VLOOKUP(H2202,Dados!$X:$AB,5,0),0,1)</f>
        <v>0</v>
      </c>
    </row>
    <row r="2203" spans="6:21">
      <c r="F2203" s="4">
        <v>983</v>
      </c>
      <c r="G2203" s="4">
        <v>67</v>
      </c>
      <c r="H2203" s="4">
        <v>2</v>
      </c>
      <c r="I2203" s="4">
        <v>24</v>
      </c>
      <c r="J2203" s="4">
        <v>2</v>
      </c>
      <c r="K2203" s="4">
        <f t="shared" si="327"/>
        <v>0</v>
      </c>
      <c r="L2203" s="4">
        <f t="shared" si="327"/>
        <v>0</v>
      </c>
      <c r="M2203" s="4">
        <f t="shared" si="327"/>
        <v>0</v>
      </c>
      <c r="N2203" s="4">
        <f t="shared" si="327"/>
        <v>0</v>
      </c>
      <c r="O2203" s="4">
        <f t="shared" si="328"/>
        <v>0</v>
      </c>
      <c r="P2203" s="4">
        <f t="shared" si="329"/>
        <v>0</v>
      </c>
      <c r="Q2203" s="4">
        <f t="shared" si="330"/>
        <v>0</v>
      </c>
      <c r="R2203" s="4">
        <f t="shared" si="331"/>
        <v>0</v>
      </c>
      <c r="S2203" s="4">
        <f>IF(AND(VLOOKUP(G2203,Dados!$D:$L,2,0)=VLOOKUP(I2203,Dados!$S:$V,2,0),VLOOKUP(G2203,Dados!$D:$L,3,0)=VLOOKUP(I2203,Dados!$S:$V,3,0)),0,1)</f>
        <v>0</v>
      </c>
      <c r="T2203" s="4">
        <f>IF(AND(VLOOKUP(G2203,Dados!$D:$L,3,0)&lt;=VLOOKUP(H2203,Dados!$X:$AB,2,0),VLOOKUP(G2203,Dados!$D:$L,4,0)&gt;=VLOOKUP(H2203,Dados!$X:$AB,3,0),VLOOKUP(G2203,Dados!$D:$L,4,0)&lt;=VLOOKUP(H2203,Dados!$X:$AB,4,0)),0,1)</f>
        <v>0</v>
      </c>
      <c r="U2203" s="4">
        <f>IF(COUNTIFS(F:F,F2203,H:H,H2203)&lt;=VLOOKUP(H2203,Dados!$X:$AB,5,0),0,1)</f>
        <v>0</v>
      </c>
    </row>
    <row r="2204" spans="6:21">
      <c r="F2204" s="4">
        <v>984</v>
      </c>
      <c r="G2204" s="4">
        <v>60</v>
      </c>
      <c r="H2204" s="4">
        <v>3</v>
      </c>
      <c r="I2204" s="4">
        <v>24</v>
      </c>
      <c r="J2204" s="4">
        <v>5</v>
      </c>
      <c r="K2204" s="4">
        <f t="shared" si="327"/>
        <v>0</v>
      </c>
      <c r="L2204" s="4">
        <f t="shared" si="327"/>
        <v>0</v>
      </c>
      <c r="M2204" s="4">
        <f t="shared" si="327"/>
        <v>0</v>
      </c>
      <c r="N2204" s="4">
        <f t="shared" si="327"/>
        <v>0</v>
      </c>
      <c r="O2204" s="4">
        <f t="shared" si="328"/>
        <v>0</v>
      </c>
      <c r="P2204" s="4">
        <f t="shared" si="329"/>
        <v>0</v>
      </c>
      <c r="Q2204" s="4">
        <f t="shared" si="330"/>
        <v>0</v>
      </c>
      <c r="R2204" s="4">
        <f t="shared" si="331"/>
        <v>0</v>
      </c>
      <c r="S2204" s="4">
        <f>IF(AND(VLOOKUP(G2204,Dados!$D:$L,2,0)=VLOOKUP(I2204,Dados!$S:$V,2,0),VLOOKUP(G2204,Dados!$D:$L,3,0)=VLOOKUP(I2204,Dados!$S:$V,3,0)),0,1)</f>
        <v>0</v>
      </c>
      <c r="T2204" s="4">
        <f>IF(AND(VLOOKUP(G2204,Dados!$D:$L,3,0)&lt;=VLOOKUP(H2204,Dados!$X:$AB,2,0),VLOOKUP(G2204,Dados!$D:$L,4,0)&gt;=VLOOKUP(H2204,Dados!$X:$AB,3,0),VLOOKUP(G2204,Dados!$D:$L,4,0)&lt;=VLOOKUP(H2204,Dados!$X:$AB,4,0)),0,1)</f>
        <v>0</v>
      </c>
      <c r="U2204" s="4">
        <f>IF(COUNTIFS(F:F,F2204,H:H,H2204)&lt;=VLOOKUP(H2204,Dados!$X:$AB,5,0),0,1)</f>
        <v>0</v>
      </c>
    </row>
    <row r="2205" spans="6:21">
      <c r="F2205" s="4">
        <v>984</v>
      </c>
      <c r="G2205" s="4">
        <v>65</v>
      </c>
      <c r="H2205" s="4">
        <v>3</v>
      </c>
      <c r="I2205" s="4">
        <v>24</v>
      </c>
      <c r="J2205" s="4">
        <v>1</v>
      </c>
      <c r="K2205" s="4">
        <f t="shared" si="327"/>
        <v>0</v>
      </c>
      <c r="L2205" s="4">
        <f t="shared" si="327"/>
        <v>0</v>
      </c>
      <c r="M2205" s="4">
        <f t="shared" si="327"/>
        <v>0</v>
      </c>
      <c r="N2205" s="4">
        <f t="shared" si="327"/>
        <v>0</v>
      </c>
      <c r="O2205" s="4">
        <f t="shared" si="328"/>
        <v>0</v>
      </c>
      <c r="P2205" s="4">
        <f t="shared" si="329"/>
        <v>0</v>
      </c>
      <c r="Q2205" s="4">
        <f t="shared" si="330"/>
        <v>0</v>
      </c>
      <c r="R2205" s="4">
        <f t="shared" si="331"/>
        <v>0</v>
      </c>
      <c r="S2205" s="4">
        <f>IF(AND(VLOOKUP(G2205,Dados!$D:$L,2,0)=VLOOKUP(I2205,Dados!$S:$V,2,0),VLOOKUP(G2205,Dados!$D:$L,3,0)=VLOOKUP(I2205,Dados!$S:$V,3,0)),0,1)</f>
        <v>0</v>
      </c>
      <c r="T2205" s="4">
        <f>IF(AND(VLOOKUP(G2205,Dados!$D:$L,3,0)&lt;=VLOOKUP(H2205,Dados!$X:$AB,2,0),VLOOKUP(G2205,Dados!$D:$L,4,0)&gt;=VLOOKUP(H2205,Dados!$X:$AB,3,0),VLOOKUP(G2205,Dados!$D:$L,4,0)&lt;=VLOOKUP(H2205,Dados!$X:$AB,4,0)),0,1)</f>
        <v>0</v>
      </c>
      <c r="U2205" s="4">
        <f>IF(COUNTIFS(F:F,F2205,H:H,H2205)&lt;=VLOOKUP(H2205,Dados!$X:$AB,5,0),0,1)</f>
        <v>0</v>
      </c>
    </row>
    <row r="2206" spans="6:21">
      <c r="F2206" s="4">
        <v>984</v>
      </c>
      <c r="G2206" s="4">
        <v>66</v>
      </c>
      <c r="H2206" s="4">
        <v>3</v>
      </c>
      <c r="I2206" s="4">
        <v>24</v>
      </c>
      <c r="J2206" s="4">
        <v>1</v>
      </c>
      <c r="K2206" s="4">
        <f t="shared" si="327"/>
        <v>0</v>
      </c>
      <c r="L2206" s="4">
        <f t="shared" si="327"/>
        <v>0</v>
      </c>
      <c r="M2206" s="4">
        <f t="shared" si="327"/>
        <v>0</v>
      </c>
      <c r="N2206" s="4">
        <f t="shared" ref="K2206:N2269" si="332">SUMIFS($X:$X,$W:$W,$F2206,$Z:$Z,$I2206,$AA:$AA,$H2206,$AB:$AB,N$2)</f>
        <v>0</v>
      </c>
      <c r="O2206" s="4">
        <f t="shared" si="328"/>
        <v>0</v>
      </c>
      <c r="P2206" s="4">
        <f t="shared" si="329"/>
        <v>0</v>
      </c>
      <c r="Q2206" s="4">
        <f t="shared" si="330"/>
        <v>0</v>
      </c>
      <c r="R2206" s="4">
        <f t="shared" si="331"/>
        <v>0</v>
      </c>
      <c r="S2206" s="4">
        <f>IF(AND(VLOOKUP(G2206,Dados!$D:$L,2,0)=VLOOKUP(I2206,Dados!$S:$V,2,0),VLOOKUP(G2206,Dados!$D:$L,3,0)=VLOOKUP(I2206,Dados!$S:$V,3,0)),0,1)</f>
        <v>0</v>
      </c>
      <c r="T2206" s="4">
        <f>IF(AND(VLOOKUP(G2206,Dados!$D:$L,3,0)&lt;=VLOOKUP(H2206,Dados!$X:$AB,2,0),VLOOKUP(G2206,Dados!$D:$L,4,0)&gt;=VLOOKUP(H2206,Dados!$X:$AB,3,0),VLOOKUP(G2206,Dados!$D:$L,4,0)&lt;=VLOOKUP(H2206,Dados!$X:$AB,4,0)),0,1)</f>
        <v>0</v>
      </c>
      <c r="U2206" s="4">
        <f>IF(COUNTIFS(F:F,F2206,H:H,H2206)&lt;=VLOOKUP(H2206,Dados!$X:$AB,5,0),0,1)</f>
        <v>0</v>
      </c>
    </row>
    <row r="2207" spans="6:21">
      <c r="F2207" s="4">
        <v>985</v>
      </c>
      <c r="G2207" s="4">
        <v>60</v>
      </c>
      <c r="H2207" s="4">
        <v>3</v>
      </c>
      <c r="I2207" s="4">
        <v>25</v>
      </c>
      <c r="J2207" s="4">
        <v>4</v>
      </c>
      <c r="K2207" s="4">
        <f t="shared" si="332"/>
        <v>0</v>
      </c>
      <c r="L2207" s="4">
        <f t="shared" si="332"/>
        <v>0</v>
      </c>
      <c r="M2207" s="4">
        <f t="shared" si="332"/>
        <v>0</v>
      </c>
      <c r="N2207" s="4">
        <f t="shared" si="332"/>
        <v>0</v>
      </c>
      <c r="O2207" s="4">
        <f t="shared" si="328"/>
        <v>0</v>
      </c>
      <c r="P2207" s="4">
        <f t="shared" si="329"/>
        <v>0</v>
      </c>
      <c r="Q2207" s="4">
        <f t="shared" si="330"/>
        <v>0</v>
      </c>
      <c r="R2207" s="4">
        <f t="shared" si="331"/>
        <v>0</v>
      </c>
      <c r="S2207" s="4">
        <f>IF(AND(VLOOKUP(G2207,Dados!$D:$L,2,0)=VLOOKUP(I2207,Dados!$S:$V,2,0),VLOOKUP(G2207,Dados!$D:$L,3,0)=VLOOKUP(I2207,Dados!$S:$V,3,0)),0,1)</f>
        <v>0</v>
      </c>
      <c r="T2207" s="4">
        <f>IF(AND(VLOOKUP(G2207,Dados!$D:$L,3,0)&lt;=VLOOKUP(H2207,Dados!$X:$AB,2,0),VLOOKUP(G2207,Dados!$D:$L,4,0)&gt;=VLOOKUP(H2207,Dados!$X:$AB,3,0),VLOOKUP(G2207,Dados!$D:$L,4,0)&lt;=VLOOKUP(H2207,Dados!$X:$AB,4,0)),0,1)</f>
        <v>0</v>
      </c>
      <c r="U2207" s="4">
        <f>IF(COUNTIFS(F:F,F2207,H:H,H2207)&lt;=VLOOKUP(H2207,Dados!$X:$AB,5,0),0,1)</f>
        <v>0</v>
      </c>
    </row>
    <row r="2208" spans="6:21">
      <c r="F2208" s="4">
        <v>985</v>
      </c>
      <c r="G2208" s="4">
        <v>61</v>
      </c>
      <c r="H2208" s="4">
        <v>3</v>
      </c>
      <c r="I2208" s="4">
        <v>25</v>
      </c>
      <c r="J2208" s="4">
        <v>1</v>
      </c>
      <c r="K2208" s="4">
        <f t="shared" si="332"/>
        <v>0</v>
      </c>
      <c r="L2208" s="4">
        <f t="shared" si="332"/>
        <v>0</v>
      </c>
      <c r="M2208" s="4">
        <f t="shared" si="332"/>
        <v>0</v>
      </c>
      <c r="N2208" s="4">
        <f t="shared" si="332"/>
        <v>0</v>
      </c>
      <c r="O2208" s="4">
        <f t="shared" si="328"/>
        <v>0</v>
      </c>
      <c r="P2208" s="4">
        <f t="shared" si="329"/>
        <v>0</v>
      </c>
      <c r="Q2208" s="4">
        <f t="shared" si="330"/>
        <v>0</v>
      </c>
      <c r="R2208" s="4">
        <f t="shared" si="331"/>
        <v>0</v>
      </c>
      <c r="S2208" s="4">
        <f>IF(AND(VLOOKUP(G2208,Dados!$D:$L,2,0)=VLOOKUP(I2208,Dados!$S:$V,2,0),VLOOKUP(G2208,Dados!$D:$L,3,0)=VLOOKUP(I2208,Dados!$S:$V,3,0)),0,1)</f>
        <v>0</v>
      </c>
      <c r="T2208" s="4">
        <f>IF(AND(VLOOKUP(G2208,Dados!$D:$L,3,0)&lt;=VLOOKUP(H2208,Dados!$X:$AB,2,0),VLOOKUP(G2208,Dados!$D:$L,4,0)&gt;=VLOOKUP(H2208,Dados!$X:$AB,3,0),VLOOKUP(G2208,Dados!$D:$L,4,0)&lt;=VLOOKUP(H2208,Dados!$X:$AB,4,0)),0,1)</f>
        <v>0</v>
      </c>
      <c r="U2208" s="4">
        <f>IF(COUNTIFS(F:F,F2208,H:H,H2208)&lt;=VLOOKUP(H2208,Dados!$X:$AB,5,0),0,1)</f>
        <v>0</v>
      </c>
    </row>
    <row r="2209" spans="6:21">
      <c r="F2209" s="4">
        <v>985</v>
      </c>
      <c r="G2209" s="4">
        <v>66</v>
      </c>
      <c r="H2209" s="4">
        <v>3</v>
      </c>
      <c r="I2209" s="4">
        <v>25</v>
      </c>
      <c r="J2209" s="4">
        <v>1</v>
      </c>
      <c r="K2209" s="4">
        <f t="shared" si="332"/>
        <v>0</v>
      </c>
      <c r="L2209" s="4">
        <f t="shared" si="332"/>
        <v>0</v>
      </c>
      <c r="M2209" s="4">
        <f t="shared" si="332"/>
        <v>0</v>
      </c>
      <c r="N2209" s="4">
        <f t="shared" si="332"/>
        <v>0</v>
      </c>
      <c r="O2209" s="4">
        <f t="shared" si="328"/>
        <v>0</v>
      </c>
      <c r="P2209" s="4">
        <f t="shared" si="329"/>
        <v>0</v>
      </c>
      <c r="Q2209" s="4">
        <f t="shared" si="330"/>
        <v>0</v>
      </c>
      <c r="R2209" s="4">
        <f t="shared" si="331"/>
        <v>0</v>
      </c>
      <c r="S2209" s="4">
        <f>IF(AND(VLOOKUP(G2209,Dados!$D:$L,2,0)=VLOOKUP(I2209,Dados!$S:$V,2,0),VLOOKUP(G2209,Dados!$D:$L,3,0)=VLOOKUP(I2209,Dados!$S:$V,3,0)),0,1)</f>
        <v>0</v>
      </c>
      <c r="T2209" s="4">
        <f>IF(AND(VLOOKUP(G2209,Dados!$D:$L,3,0)&lt;=VLOOKUP(H2209,Dados!$X:$AB,2,0),VLOOKUP(G2209,Dados!$D:$L,4,0)&gt;=VLOOKUP(H2209,Dados!$X:$AB,3,0),VLOOKUP(G2209,Dados!$D:$L,4,0)&lt;=VLOOKUP(H2209,Dados!$X:$AB,4,0)),0,1)</f>
        <v>0</v>
      </c>
      <c r="U2209" s="4">
        <f>IF(COUNTIFS(F:F,F2209,H:H,H2209)&lt;=VLOOKUP(H2209,Dados!$X:$AB,5,0),0,1)</f>
        <v>0</v>
      </c>
    </row>
    <row r="2210" spans="6:21">
      <c r="F2210" s="4">
        <v>985</v>
      </c>
      <c r="G2210" s="4">
        <v>67</v>
      </c>
      <c r="H2210" s="4">
        <v>3</v>
      </c>
      <c r="I2210" s="4">
        <v>25</v>
      </c>
      <c r="J2210" s="4">
        <v>2</v>
      </c>
      <c r="K2210" s="4">
        <f t="shared" si="332"/>
        <v>0</v>
      </c>
      <c r="L2210" s="4">
        <f t="shared" si="332"/>
        <v>0</v>
      </c>
      <c r="M2210" s="4">
        <f t="shared" si="332"/>
        <v>0</v>
      </c>
      <c r="N2210" s="4">
        <f t="shared" si="332"/>
        <v>0</v>
      </c>
      <c r="O2210" s="4">
        <f t="shared" si="328"/>
        <v>0</v>
      </c>
      <c r="P2210" s="4">
        <f t="shared" si="329"/>
        <v>0</v>
      </c>
      <c r="Q2210" s="4">
        <f t="shared" si="330"/>
        <v>0</v>
      </c>
      <c r="R2210" s="4">
        <f t="shared" si="331"/>
        <v>0</v>
      </c>
      <c r="S2210" s="4">
        <f>IF(AND(VLOOKUP(G2210,Dados!$D:$L,2,0)=VLOOKUP(I2210,Dados!$S:$V,2,0),VLOOKUP(G2210,Dados!$D:$L,3,0)=VLOOKUP(I2210,Dados!$S:$V,3,0)),0,1)</f>
        <v>0</v>
      </c>
      <c r="T2210" s="4">
        <f>IF(AND(VLOOKUP(G2210,Dados!$D:$L,3,0)&lt;=VLOOKUP(H2210,Dados!$X:$AB,2,0),VLOOKUP(G2210,Dados!$D:$L,4,0)&gt;=VLOOKUP(H2210,Dados!$X:$AB,3,0),VLOOKUP(G2210,Dados!$D:$L,4,0)&lt;=VLOOKUP(H2210,Dados!$X:$AB,4,0)),0,1)</f>
        <v>0</v>
      </c>
      <c r="U2210" s="4">
        <f>IF(COUNTIFS(F:F,F2210,H:H,H2210)&lt;=VLOOKUP(H2210,Dados!$X:$AB,5,0),0,1)</f>
        <v>0</v>
      </c>
    </row>
    <row r="2211" spans="6:21">
      <c r="F2211" s="4">
        <v>986</v>
      </c>
      <c r="G2211" s="4">
        <v>60</v>
      </c>
      <c r="H2211" s="4">
        <v>1</v>
      </c>
      <c r="I2211" s="4">
        <v>26</v>
      </c>
      <c r="J2211" s="4">
        <v>2</v>
      </c>
      <c r="K2211" s="4">
        <f t="shared" si="332"/>
        <v>0</v>
      </c>
      <c r="L2211" s="4">
        <f t="shared" si="332"/>
        <v>0</v>
      </c>
      <c r="M2211" s="4">
        <f t="shared" si="332"/>
        <v>0</v>
      </c>
      <c r="N2211" s="4">
        <f t="shared" si="332"/>
        <v>0</v>
      </c>
      <c r="O2211" s="4">
        <f t="shared" si="328"/>
        <v>0</v>
      </c>
      <c r="P2211" s="4">
        <f t="shared" si="329"/>
        <v>0</v>
      </c>
      <c r="Q2211" s="4">
        <f t="shared" si="330"/>
        <v>0</v>
      </c>
      <c r="R2211" s="4">
        <f t="shared" si="331"/>
        <v>0</v>
      </c>
      <c r="S2211" s="4">
        <f>IF(AND(VLOOKUP(G2211,Dados!$D:$L,2,0)=VLOOKUP(I2211,Dados!$S:$V,2,0),VLOOKUP(G2211,Dados!$D:$L,3,0)=VLOOKUP(I2211,Dados!$S:$V,3,0)),0,1)</f>
        <v>0</v>
      </c>
      <c r="T2211" s="4">
        <f>IF(AND(VLOOKUP(G2211,Dados!$D:$L,3,0)&lt;=VLOOKUP(H2211,Dados!$X:$AB,2,0),VLOOKUP(G2211,Dados!$D:$L,4,0)&gt;=VLOOKUP(H2211,Dados!$X:$AB,3,0),VLOOKUP(G2211,Dados!$D:$L,4,0)&lt;=VLOOKUP(H2211,Dados!$X:$AB,4,0)),0,1)</f>
        <v>0</v>
      </c>
      <c r="U2211" s="4">
        <f>IF(COUNTIFS(F:F,F2211,H:H,H2211)&lt;=VLOOKUP(H2211,Dados!$X:$AB,5,0),0,1)</f>
        <v>0</v>
      </c>
    </row>
    <row r="2212" spans="6:21">
      <c r="F2212" s="4">
        <v>986</v>
      </c>
      <c r="G2212" s="4">
        <v>66</v>
      </c>
      <c r="H2212" s="4">
        <v>1</v>
      </c>
      <c r="I2212" s="4">
        <v>26</v>
      </c>
      <c r="J2212" s="4">
        <v>3</v>
      </c>
      <c r="K2212" s="4">
        <f t="shared" si="332"/>
        <v>0</v>
      </c>
      <c r="L2212" s="4">
        <f t="shared" si="332"/>
        <v>0</v>
      </c>
      <c r="M2212" s="4">
        <f t="shared" si="332"/>
        <v>0</v>
      </c>
      <c r="N2212" s="4">
        <f t="shared" si="332"/>
        <v>0</v>
      </c>
      <c r="O2212" s="4">
        <f t="shared" si="328"/>
        <v>0</v>
      </c>
      <c r="P2212" s="4">
        <f t="shared" si="329"/>
        <v>0</v>
      </c>
      <c r="Q2212" s="4">
        <f t="shared" si="330"/>
        <v>0</v>
      </c>
      <c r="R2212" s="4">
        <f t="shared" si="331"/>
        <v>0</v>
      </c>
      <c r="S2212" s="4">
        <f>IF(AND(VLOOKUP(G2212,Dados!$D:$L,2,0)=VLOOKUP(I2212,Dados!$S:$V,2,0),VLOOKUP(G2212,Dados!$D:$L,3,0)=VLOOKUP(I2212,Dados!$S:$V,3,0)),0,1)</f>
        <v>0</v>
      </c>
      <c r="T2212" s="4">
        <f>IF(AND(VLOOKUP(G2212,Dados!$D:$L,3,0)&lt;=VLOOKUP(H2212,Dados!$X:$AB,2,0),VLOOKUP(G2212,Dados!$D:$L,4,0)&gt;=VLOOKUP(H2212,Dados!$X:$AB,3,0),VLOOKUP(G2212,Dados!$D:$L,4,0)&lt;=VLOOKUP(H2212,Dados!$X:$AB,4,0)),0,1)</f>
        <v>0</v>
      </c>
      <c r="U2212" s="4">
        <f>IF(COUNTIFS(F:F,F2212,H:H,H2212)&lt;=VLOOKUP(H2212,Dados!$X:$AB,5,0),0,1)</f>
        <v>0</v>
      </c>
    </row>
    <row r="2213" spans="6:21">
      <c r="F2213" s="4">
        <v>986</v>
      </c>
      <c r="G2213" s="4">
        <v>67</v>
      </c>
      <c r="H2213" s="4">
        <v>1</v>
      </c>
      <c r="I2213" s="4">
        <v>26</v>
      </c>
      <c r="J2213" s="4">
        <v>2</v>
      </c>
      <c r="K2213" s="4">
        <f t="shared" si="332"/>
        <v>0</v>
      </c>
      <c r="L2213" s="4">
        <f t="shared" si="332"/>
        <v>0</v>
      </c>
      <c r="M2213" s="4">
        <f t="shared" si="332"/>
        <v>0</v>
      </c>
      <c r="N2213" s="4">
        <f t="shared" si="332"/>
        <v>0</v>
      </c>
      <c r="O2213" s="4">
        <f t="shared" si="328"/>
        <v>0</v>
      </c>
      <c r="P2213" s="4">
        <f t="shared" si="329"/>
        <v>0</v>
      </c>
      <c r="Q2213" s="4">
        <f t="shared" si="330"/>
        <v>0</v>
      </c>
      <c r="R2213" s="4">
        <f t="shared" si="331"/>
        <v>0</v>
      </c>
      <c r="S2213" s="4">
        <f>IF(AND(VLOOKUP(G2213,Dados!$D:$L,2,0)=VLOOKUP(I2213,Dados!$S:$V,2,0),VLOOKUP(G2213,Dados!$D:$L,3,0)=VLOOKUP(I2213,Dados!$S:$V,3,0)),0,1)</f>
        <v>0</v>
      </c>
      <c r="T2213" s="4">
        <f>IF(AND(VLOOKUP(G2213,Dados!$D:$L,3,0)&lt;=VLOOKUP(H2213,Dados!$X:$AB,2,0),VLOOKUP(G2213,Dados!$D:$L,4,0)&gt;=VLOOKUP(H2213,Dados!$X:$AB,3,0),VLOOKUP(G2213,Dados!$D:$L,4,0)&lt;=VLOOKUP(H2213,Dados!$X:$AB,4,0)),0,1)</f>
        <v>0</v>
      </c>
      <c r="U2213" s="4">
        <f>IF(COUNTIFS(F:F,F2213,H:H,H2213)&lt;=VLOOKUP(H2213,Dados!$X:$AB,5,0),0,1)</f>
        <v>0</v>
      </c>
    </row>
    <row r="2214" spans="6:21">
      <c r="F2214" s="4">
        <v>987</v>
      </c>
      <c r="G2214" s="4">
        <v>60</v>
      </c>
      <c r="H2214" s="4">
        <v>2</v>
      </c>
      <c r="I2214" s="4">
        <v>26</v>
      </c>
      <c r="J2214" s="4">
        <v>2</v>
      </c>
      <c r="K2214" s="4">
        <f t="shared" si="332"/>
        <v>0</v>
      </c>
      <c r="L2214" s="4">
        <f t="shared" si="332"/>
        <v>0</v>
      </c>
      <c r="M2214" s="4">
        <f t="shared" si="332"/>
        <v>0</v>
      </c>
      <c r="N2214" s="4">
        <f t="shared" si="332"/>
        <v>0</v>
      </c>
      <c r="O2214" s="4">
        <f t="shared" si="328"/>
        <v>0</v>
      </c>
      <c r="P2214" s="4">
        <f t="shared" si="329"/>
        <v>0</v>
      </c>
      <c r="Q2214" s="4">
        <f t="shared" si="330"/>
        <v>0</v>
      </c>
      <c r="R2214" s="4">
        <f t="shared" si="331"/>
        <v>0</v>
      </c>
      <c r="S2214" s="4">
        <f>IF(AND(VLOOKUP(G2214,Dados!$D:$L,2,0)=VLOOKUP(I2214,Dados!$S:$V,2,0),VLOOKUP(G2214,Dados!$D:$L,3,0)=VLOOKUP(I2214,Dados!$S:$V,3,0)),0,1)</f>
        <v>0</v>
      </c>
      <c r="T2214" s="4">
        <f>IF(AND(VLOOKUP(G2214,Dados!$D:$L,3,0)&lt;=VLOOKUP(H2214,Dados!$X:$AB,2,0),VLOOKUP(G2214,Dados!$D:$L,4,0)&gt;=VLOOKUP(H2214,Dados!$X:$AB,3,0),VLOOKUP(G2214,Dados!$D:$L,4,0)&lt;=VLOOKUP(H2214,Dados!$X:$AB,4,0)),0,1)</f>
        <v>0</v>
      </c>
      <c r="U2214" s="4">
        <f>IF(COUNTIFS(F:F,F2214,H:H,H2214)&lt;=VLOOKUP(H2214,Dados!$X:$AB,5,0),0,1)</f>
        <v>0</v>
      </c>
    </row>
    <row r="2215" spans="6:21">
      <c r="F2215" s="4">
        <v>987</v>
      </c>
      <c r="G2215" s="4">
        <v>66</v>
      </c>
      <c r="H2215" s="4">
        <v>2</v>
      </c>
      <c r="I2215" s="4">
        <v>26</v>
      </c>
      <c r="J2215" s="4">
        <v>3</v>
      </c>
      <c r="K2215" s="4">
        <f t="shared" si="332"/>
        <v>0</v>
      </c>
      <c r="L2215" s="4">
        <f t="shared" si="332"/>
        <v>0</v>
      </c>
      <c r="M2215" s="4">
        <f t="shared" si="332"/>
        <v>0</v>
      </c>
      <c r="N2215" s="4">
        <f t="shared" si="332"/>
        <v>0</v>
      </c>
      <c r="O2215" s="4">
        <f t="shared" ref="O2215:O2278" si="333">$J2215*K2215</f>
        <v>0</v>
      </c>
      <c r="P2215" s="4">
        <f t="shared" ref="P2215:P2278" si="334">$J2215*L2215</f>
        <v>0</v>
      </c>
      <c r="Q2215" s="4">
        <f t="shared" ref="Q2215:Q2278" si="335">$J2215*M2215</f>
        <v>0</v>
      </c>
      <c r="R2215" s="4">
        <f t="shared" ref="R2215:R2278" si="336">$J2215*N2215</f>
        <v>0</v>
      </c>
      <c r="S2215" s="4">
        <f>IF(AND(VLOOKUP(G2215,Dados!$D:$L,2,0)=VLOOKUP(I2215,Dados!$S:$V,2,0),VLOOKUP(G2215,Dados!$D:$L,3,0)=VLOOKUP(I2215,Dados!$S:$V,3,0)),0,1)</f>
        <v>0</v>
      </c>
      <c r="T2215" s="4">
        <f>IF(AND(VLOOKUP(G2215,Dados!$D:$L,3,0)&lt;=VLOOKUP(H2215,Dados!$X:$AB,2,0),VLOOKUP(G2215,Dados!$D:$L,4,0)&gt;=VLOOKUP(H2215,Dados!$X:$AB,3,0),VLOOKUP(G2215,Dados!$D:$L,4,0)&lt;=VLOOKUP(H2215,Dados!$X:$AB,4,0)),0,1)</f>
        <v>0</v>
      </c>
      <c r="U2215" s="4">
        <f>IF(COUNTIFS(F:F,F2215,H:H,H2215)&lt;=VLOOKUP(H2215,Dados!$X:$AB,5,0),0,1)</f>
        <v>0</v>
      </c>
    </row>
    <row r="2216" spans="6:21">
      <c r="F2216" s="4">
        <v>987</v>
      </c>
      <c r="G2216" s="4">
        <v>67</v>
      </c>
      <c r="H2216" s="4">
        <v>2</v>
      </c>
      <c r="I2216" s="4">
        <v>26</v>
      </c>
      <c r="J2216" s="4">
        <v>2</v>
      </c>
      <c r="K2216" s="4">
        <f t="shared" si="332"/>
        <v>0</v>
      </c>
      <c r="L2216" s="4">
        <f t="shared" si="332"/>
        <v>0</v>
      </c>
      <c r="M2216" s="4">
        <f t="shared" si="332"/>
        <v>0</v>
      </c>
      <c r="N2216" s="4">
        <f t="shared" si="332"/>
        <v>0</v>
      </c>
      <c r="O2216" s="4">
        <f t="shared" si="333"/>
        <v>0</v>
      </c>
      <c r="P2216" s="4">
        <f t="shared" si="334"/>
        <v>0</v>
      </c>
      <c r="Q2216" s="4">
        <f t="shared" si="335"/>
        <v>0</v>
      </c>
      <c r="R2216" s="4">
        <f t="shared" si="336"/>
        <v>0</v>
      </c>
      <c r="S2216" s="4">
        <f>IF(AND(VLOOKUP(G2216,Dados!$D:$L,2,0)=VLOOKUP(I2216,Dados!$S:$V,2,0),VLOOKUP(G2216,Dados!$D:$L,3,0)=VLOOKUP(I2216,Dados!$S:$V,3,0)),0,1)</f>
        <v>0</v>
      </c>
      <c r="T2216" s="4">
        <f>IF(AND(VLOOKUP(G2216,Dados!$D:$L,3,0)&lt;=VLOOKUP(H2216,Dados!$X:$AB,2,0),VLOOKUP(G2216,Dados!$D:$L,4,0)&gt;=VLOOKUP(H2216,Dados!$X:$AB,3,0),VLOOKUP(G2216,Dados!$D:$L,4,0)&lt;=VLOOKUP(H2216,Dados!$X:$AB,4,0)),0,1)</f>
        <v>0</v>
      </c>
      <c r="U2216" s="4">
        <f>IF(COUNTIFS(F:F,F2216,H:H,H2216)&lt;=VLOOKUP(H2216,Dados!$X:$AB,5,0),0,1)</f>
        <v>0</v>
      </c>
    </row>
    <row r="2217" spans="6:21">
      <c r="F2217" s="4">
        <v>988</v>
      </c>
      <c r="G2217" s="4">
        <v>60</v>
      </c>
      <c r="H2217" s="4">
        <v>3</v>
      </c>
      <c r="I2217" s="4">
        <v>26</v>
      </c>
      <c r="J2217" s="4">
        <v>2</v>
      </c>
      <c r="K2217" s="4">
        <f t="shared" si="332"/>
        <v>0</v>
      </c>
      <c r="L2217" s="4">
        <f t="shared" si="332"/>
        <v>0</v>
      </c>
      <c r="M2217" s="4">
        <f t="shared" si="332"/>
        <v>0</v>
      </c>
      <c r="N2217" s="4">
        <f t="shared" si="332"/>
        <v>0</v>
      </c>
      <c r="O2217" s="4">
        <f t="shared" si="333"/>
        <v>0</v>
      </c>
      <c r="P2217" s="4">
        <f t="shared" si="334"/>
        <v>0</v>
      </c>
      <c r="Q2217" s="4">
        <f t="shared" si="335"/>
        <v>0</v>
      </c>
      <c r="R2217" s="4">
        <f t="shared" si="336"/>
        <v>0</v>
      </c>
      <c r="S2217" s="4">
        <f>IF(AND(VLOOKUP(G2217,Dados!$D:$L,2,0)=VLOOKUP(I2217,Dados!$S:$V,2,0),VLOOKUP(G2217,Dados!$D:$L,3,0)=VLOOKUP(I2217,Dados!$S:$V,3,0)),0,1)</f>
        <v>0</v>
      </c>
      <c r="T2217" s="4">
        <f>IF(AND(VLOOKUP(G2217,Dados!$D:$L,3,0)&lt;=VLOOKUP(H2217,Dados!$X:$AB,2,0),VLOOKUP(G2217,Dados!$D:$L,4,0)&gt;=VLOOKUP(H2217,Dados!$X:$AB,3,0),VLOOKUP(G2217,Dados!$D:$L,4,0)&lt;=VLOOKUP(H2217,Dados!$X:$AB,4,0)),0,1)</f>
        <v>0</v>
      </c>
      <c r="U2217" s="4">
        <f>IF(COUNTIFS(F:F,F2217,H:H,H2217)&lt;=VLOOKUP(H2217,Dados!$X:$AB,5,0),0,1)</f>
        <v>0</v>
      </c>
    </row>
    <row r="2218" spans="6:21">
      <c r="F2218" s="4">
        <v>988</v>
      </c>
      <c r="G2218" s="4">
        <v>66</v>
      </c>
      <c r="H2218" s="4">
        <v>3</v>
      </c>
      <c r="I2218" s="4">
        <v>26</v>
      </c>
      <c r="J2218" s="4">
        <v>3</v>
      </c>
      <c r="K2218" s="4">
        <f t="shared" si="332"/>
        <v>0</v>
      </c>
      <c r="L2218" s="4">
        <f t="shared" si="332"/>
        <v>0</v>
      </c>
      <c r="M2218" s="4">
        <f t="shared" si="332"/>
        <v>0</v>
      </c>
      <c r="N2218" s="4">
        <f t="shared" si="332"/>
        <v>0</v>
      </c>
      <c r="O2218" s="4">
        <f t="shared" si="333"/>
        <v>0</v>
      </c>
      <c r="P2218" s="4">
        <f t="shared" si="334"/>
        <v>0</v>
      </c>
      <c r="Q2218" s="4">
        <f t="shared" si="335"/>
        <v>0</v>
      </c>
      <c r="R2218" s="4">
        <f t="shared" si="336"/>
        <v>0</v>
      </c>
      <c r="S2218" s="4">
        <f>IF(AND(VLOOKUP(G2218,Dados!$D:$L,2,0)=VLOOKUP(I2218,Dados!$S:$V,2,0),VLOOKUP(G2218,Dados!$D:$L,3,0)=VLOOKUP(I2218,Dados!$S:$V,3,0)),0,1)</f>
        <v>0</v>
      </c>
      <c r="T2218" s="4">
        <f>IF(AND(VLOOKUP(G2218,Dados!$D:$L,3,0)&lt;=VLOOKUP(H2218,Dados!$X:$AB,2,0),VLOOKUP(G2218,Dados!$D:$L,4,0)&gt;=VLOOKUP(H2218,Dados!$X:$AB,3,0),VLOOKUP(G2218,Dados!$D:$L,4,0)&lt;=VLOOKUP(H2218,Dados!$X:$AB,4,0)),0,1)</f>
        <v>0</v>
      </c>
      <c r="U2218" s="4">
        <f>IF(COUNTIFS(F:F,F2218,H:H,H2218)&lt;=VLOOKUP(H2218,Dados!$X:$AB,5,0),0,1)</f>
        <v>0</v>
      </c>
    </row>
    <row r="2219" spans="6:21">
      <c r="F2219" s="4">
        <v>988</v>
      </c>
      <c r="G2219" s="4">
        <v>67</v>
      </c>
      <c r="H2219" s="4">
        <v>3</v>
      </c>
      <c r="I2219" s="4">
        <v>26</v>
      </c>
      <c r="J2219" s="4">
        <v>2</v>
      </c>
      <c r="K2219" s="4">
        <f t="shared" si="332"/>
        <v>0</v>
      </c>
      <c r="L2219" s="4">
        <f t="shared" si="332"/>
        <v>0</v>
      </c>
      <c r="M2219" s="4">
        <f t="shared" si="332"/>
        <v>0</v>
      </c>
      <c r="N2219" s="4">
        <f t="shared" si="332"/>
        <v>0</v>
      </c>
      <c r="O2219" s="4">
        <f t="shared" si="333"/>
        <v>0</v>
      </c>
      <c r="P2219" s="4">
        <f t="shared" si="334"/>
        <v>0</v>
      </c>
      <c r="Q2219" s="4">
        <f t="shared" si="335"/>
        <v>0</v>
      </c>
      <c r="R2219" s="4">
        <f t="shared" si="336"/>
        <v>0</v>
      </c>
      <c r="S2219" s="4">
        <f>IF(AND(VLOOKUP(G2219,Dados!$D:$L,2,0)=VLOOKUP(I2219,Dados!$S:$V,2,0),VLOOKUP(G2219,Dados!$D:$L,3,0)=VLOOKUP(I2219,Dados!$S:$V,3,0)),0,1)</f>
        <v>0</v>
      </c>
      <c r="T2219" s="4">
        <f>IF(AND(VLOOKUP(G2219,Dados!$D:$L,3,0)&lt;=VLOOKUP(H2219,Dados!$X:$AB,2,0),VLOOKUP(G2219,Dados!$D:$L,4,0)&gt;=VLOOKUP(H2219,Dados!$X:$AB,3,0),VLOOKUP(G2219,Dados!$D:$L,4,0)&lt;=VLOOKUP(H2219,Dados!$X:$AB,4,0)),0,1)</f>
        <v>0</v>
      </c>
      <c r="U2219" s="4">
        <f>IF(COUNTIFS(F:F,F2219,H:H,H2219)&lt;=VLOOKUP(H2219,Dados!$X:$AB,5,0),0,1)</f>
        <v>0</v>
      </c>
    </row>
    <row r="2220" spans="6:21">
      <c r="F2220" s="4">
        <v>989</v>
      </c>
      <c r="G2220" s="4">
        <v>60</v>
      </c>
      <c r="H2220" s="4">
        <v>1</v>
      </c>
      <c r="I2220" s="4">
        <v>27</v>
      </c>
      <c r="J2220" s="4">
        <v>6</v>
      </c>
      <c r="K2220" s="4">
        <f t="shared" si="332"/>
        <v>0</v>
      </c>
      <c r="L2220" s="4">
        <f t="shared" si="332"/>
        <v>0</v>
      </c>
      <c r="M2220" s="4">
        <f t="shared" si="332"/>
        <v>0</v>
      </c>
      <c r="N2220" s="4">
        <f t="shared" si="332"/>
        <v>0</v>
      </c>
      <c r="O2220" s="4">
        <f t="shared" si="333"/>
        <v>0</v>
      </c>
      <c r="P2220" s="4">
        <f t="shared" si="334"/>
        <v>0</v>
      </c>
      <c r="Q2220" s="4">
        <f t="shared" si="335"/>
        <v>0</v>
      </c>
      <c r="R2220" s="4">
        <f t="shared" si="336"/>
        <v>0</v>
      </c>
      <c r="S2220" s="4">
        <f>IF(AND(VLOOKUP(G2220,Dados!$D:$L,2,0)=VLOOKUP(I2220,Dados!$S:$V,2,0),VLOOKUP(G2220,Dados!$D:$L,3,0)=VLOOKUP(I2220,Dados!$S:$V,3,0)),0,1)</f>
        <v>0</v>
      </c>
      <c r="T2220" s="4">
        <f>IF(AND(VLOOKUP(G2220,Dados!$D:$L,3,0)&lt;=VLOOKUP(H2220,Dados!$X:$AB,2,0),VLOOKUP(G2220,Dados!$D:$L,4,0)&gt;=VLOOKUP(H2220,Dados!$X:$AB,3,0),VLOOKUP(G2220,Dados!$D:$L,4,0)&lt;=VLOOKUP(H2220,Dados!$X:$AB,4,0)),0,1)</f>
        <v>0</v>
      </c>
      <c r="U2220" s="4">
        <f>IF(COUNTIFS(F:F,F2220,H:H,H2220)&lt;=VLOOKUP(H2220,Dados!$X:$AB,5,0),0,1)</f>
        <v>0</v>
      </c>
    </row>
    <row r="2221" spans="6:21">
      <c r="F2221" s="4">
        <v>989</v>
      </c>
      <c r="G2221" s="4">
        <v>62</v>
      </c>
      <c r="H2221" s="4">
        <v>1</v>
      </c>
      <c r="I2221" s="4">
        <v>27</v>
      </c>
      <c r="J2221" s="4">
        <v>1</v>
      </c>
      <c r="K2221" s="4">
        <f t="shared" si="332"/>
        <v>0</v>
      </c>
      <c r="L2221" s="4">
        <f t="shared" si="332"/>
        <v>0</v>
      </c>
      <c r="M2221" s="4">
        <f t="shared" si="332"/>
        <v>0</v>
      </c>
      <c r="N2221" s="4">
        <f t="shared" si="332"/>
        <v>0</v>
      </c>
      <c r="O2221" s="4">
        <f t="shared" si="333"/>
        <v>0</v>
      </c>
      <c r="P2221" s="4">
        <f t="shared" si="334"/>
        <v>0</v>
      </c>
      <c r="Q2221" s="4">
        <f t="shared" si="335"/>
        <v>0</v>
      </c>
      <c r="R2221" s="4">
        <f t="shared" si="336"/>
        <v>0</v>
      </c>
      <c r="S2221" s="4">
        <f>IF(AND(VLOOKUP(G2221,Dados!$D:$L,2,0)=VLOOKUP(I2221,Dados!$S:$V,2,0),VLOOKUP(G2221,Dados!$D:$L,3,0)=VLOOKUP(I2221,Dados!$S:$V,3,0)),0,1)</f>
        <v>0</v>
      </c>
      <c r="T2221" s="4">
        <f>IF(AND(VLOOKUP(G2221,Dados!$D:$L,3,0)&lt;=VLOOKUP(H2221,Dados!$X:$AB,2,0),VLOOKUP(G2221,Dados!$D:$L,4,0)&gt;=VLOOKUP(H2221,Dados!$X:$AB,3,0),VLOOKUP(G2221,Dados!$D:$L,4,0)&lt;=VLOOKUP(H2221,Dados!$X:$AB,4,0)),0,1)</f>
        <v>0</v>
      </c>
      <c r="U2221" s="4">
        <f>IF(COUNTIFS(F:F,F2221,H:H,H2221)&lt;=VLOOKUP(H2221,Dados!$X:$AB,5,0),0,1)</f>
        <v>0</v>
      </c>
    </row>
    <row r="2222" spans="6:21">
      <c r="F2222" s="4">
        <v>989</v>
      </c>
      <c r="G2222" s="4">
        <v>66</v>
      </c>
      <c r="H2222" s="4">
        <v>1</v>
      </c>
      <c r="I2222" s="4">
        <v>27</v>
      </c>
      <c r="J2222" s="4">
        <v>2</v>
      </c>
      <c r="K2222" s="4">
        <f t="shared" si="332"/>
        <v>0</v>
      </c>
      <c r="L2222" s="4">
        <f t="shared" si="332"/>
        <v>0</v>
      </c>
      <c r="M2222" s="4">
        <f t="shared" si="332"/>
        <v>0</v>
      </c>
      <c r="N2222" s="4">
        <f t="shared" si="332"/>
        <v>0</v>
      </c>
      <c r="O2222" s="4">
        <f t="shared" si="333"/>
        <v>0</v>
      </c>
      <c r="P2222" s="4">
        <f t="shared" si="334"/>
        <v>0</v>
      </c>
      <c r="Q2222" s="4">
        <f t="shared" si="335"/>
        <v>0</v>
      </c>
      <c r="R2222" s="4">
        <f t="shared" si="336"/>
        <v>0</v>
      </c>
      <c r="S2222" s="4">
        <f>IF(AND(VLOOKUP(G2222,Dados!$D:$L,2,0)=VLOOKUP(I2222,Dados!$S:$V,2,0),VLOOKUP(G2222,Dados!$D:$L,3,0)=VLOOKUP(I2222,Dados!$S:$V,3,0)),0,1)</f>
        <v>0</v>
      </c>
      <c r="T2222" s="4">
        <f>IF(AND(VLOOKUP(G2222,Dados!$D:$L,3,0)&lt;=VLOOKUP(H2222,Dados!$X:$AB,2,0),VLOOKUP(G2222,Dados!$D:$L,4,0)&gt;=VLOOKUP(H2222,Dados!$X:$AB,3,0),VLOOKUP(G2222,Dados!$D:$L,4,0)&lt;=VLOOKUP(H2222,Dados!$X:$AB,4,0)),0,1)</f>
        <v>0</v>
      </c>
      <c r="U2222" s="4">
        <f>IF(COUNTIFS(F:F,F2222,H:H,H2222)&lt;=VLOOKUP(H2222,Dados!$X:$AB,5,0),0,1)</f>
        <v>0</v>
      </c>
    </row>
    <row r="2223" spans="6:21">
      <c r="F2223" s="4">
        <v>990</v>
      </c>
      <c r="G2223" s="4">
        <v>60</v>
      </c>
      <c r="H2223" s="4">
        <v>2</v>
      </c>
      <c r="I2223" s="4">
        <v>27</v>
      </c>
      <c r="J2223" s="4">
        <v>6</v>
      </c>
      <c r="K2223" s="4">
        <f t="shared" si="332"/>
        <v>0</v>
      </c>
      <c r="L2223" s="4">
        <f t="shared" si="332"/>
        <v>0</v>
      </c>
      <c r="M2223" s="4">
        <f t="shared" si="332"/>
        <v>0</v>
      </c>
      <c r="N2223" s="4">
        <f t="shared" si="332"/>
        <v>0</v>
      </c>
      <c r="O2223" s="4">
        <f t="shared" si="333"/>
        <v>0</v>
      </c>
      <c r="P2223" s="4">
        <f t="shared" si="334"/>
        <v>0</v>
      </c>
      <c r="Q2223" s="4">
        <f t="shared" si="335"/>
        <v>0</v>
      </c>
      <c r="R2223" s="4">
        <f t="shared" si="336"/>
        <v>0</v>
      </c>
      <c r="S2223" s="4">
        <f>IF(AND(VLOOKUP(G2223,Dados!$D:$L,2,0)=VLOOKUP(I2223,Dados!$S:$V,2,0),VLOOKUP(G2223,Dados!$D:$L,3,0)=VLOOKUP(I2223,Dados!$S:$V,3,0)),0,1)</f>
        <v>0</v>
      </c>
      <c r="T2223" s="4">
        <f>IF(AND(VLOOKUP(G2223,Dados!$D:$L,3,0)&lt;=VLOOKUP(H2223,Dados!$X:$AB,2,0),VLOOKUP(G2223,Dados!$D:$L,4,0)&gt;=VLOOKUP(H2223,Dados!$X:$AB,3,0),VLOOKUP(G2223,Dados!$D:$L,4,0)&lt;=VLOOKUP(H2223,Dados!$X:$AB,4,0)),0,1)</f>
        <v>0</v>
      </c>
      <c r="U2223" s="4">
        <f>IF(COUNTIFS(F:F,F2223,H:H,H2223)&lt;=VLOOKUP(H2223,Dados!$X:$AB,5,0),0,1)</f>
        <v>0</v>
      </c>
    </row>
    <row r="2224" spans="6:21">
      <c r="F2224" s="4">
        <v>990</v>
      </c>
      <c r="G2224" s="4">
        <v>62</v>
      </c>
      <c r="H2224" s="4">
        <v>2</v>
      </c>
      <c r="I2224" s="4">
        <v>27</v>
      </c>
      <c r="J2224" s="4">
        <v>1</v>
      </c>
      <c r="K2224" s="4">
        <f t="shared" si="332"/>
        <v>0</v>
      </c>
      <c r="L2224" s="4">
        <f t="shared" si="332"/>
        <v>0</v>
      </c>
      <c r="M2224" s="4">
        <f t="shared" si="332"/>
        <v>0</v>
      </c>
      <c r="N2224" s="4">
        <f t="shared" si="332"/>
        <v>0</v>
      </c>
      <c r="O2224" s="4">
        <f t="shared" si="333"/>
        <v>0</v>
      </c>
      <c r="P2224" s="4">
        <f t="shared" si="334"/>
        <v>0</v>
      </c>
      <c r="Q2224" s="4">
        <f t="shared" si="335"/>
        <v>0</v>
      </c>
      <c r="R2224" s="4">
        <f t="shared" si="336"/>
        <v>0</v>
      </c>
      <c r="S2224" s="4">
        <f>IF(AND(VLOOKUP(G2224,Dados!$D:$L,2,0)=VLOOKUP(I2224,Dados!$S:$V,2,0),VLOOKUP(G2224,Dados!$D:$L,3,0)=VLOOKUP(I2224,Dados!$S:$V,3,0)),0,1)</f>
        <v>0</v>
      </c>
      <c r="T2224" s="4">
        <f>IF(AND(VLOOKUP(G2224,Dados!$D:$L,3,0)&lt;=VLOOKUP(H2224,Dados!$X:$AB,2,0),VLOOKUP(G2224,Dados!$D:$L,4,0)&gt;=VLOOKUP(H2224,Dados!$X:$AB,3,0),VLOOKUP(G2224,Dados!$D:$L,4,0)&lt;=VLOOKUP(H2224,Dados!$X:$AB,4,0)),0,1)</f>
        <v>0</v>
      </c>
      <c r="U2224" s="4">
        <f>IF(COUNTIFS(F:F,F2224,H:H,H2224)&lt;=VLOOKUP(H2224,Dados!$X:$AB,5,0),0,1)</f>
        <v>0</v>
      </c>
    </row>
    <row r="2225" spans="6:21">
      <c r="F2225" s="4">
        <v>990</v>
      </c>
      <c r="G2225" s="4">
        <v>66</v>
      </c>
      <c r="H2225" s="4">
        <v>2</v>
      </c>
      <c r="I2225" s="4">
        <v>27</v>
      </c>
      <c r="J2225" s="4">
        <v>2</v>
      </c>
      <c r="K2225" s="4">
        <f t="shared" si="332"/>
        <v>0</v>
      </c>
      <c r="L2225" s="4">
        <f t="shared" si="332"/>
        <v>0</v>
      </c>
      <c r="M2225" s="4">
        <f t="shared" si="332"/>
        <v>0</v>
      </c>
      <c r="N2225" s="4">
        <f t="shared" si="332"/>
        <v>0</v>
      </c>
      <c r="O2225" s="4">
        <f t="shared" si="333"/>
        <v>0</v>
      </c>
      <c r="P2225" s="4">
        <f t="shared" si="334"/>
        <v>0</v>
      </c>
      <c r="Q2225" s="4">
        <f t="shared" si="335"/>
        <v>0</v>
      </c>
      <c r="R2225" s="4">
        <f t="shared" si="336"/>
        <v>0</v>
      </c>
      <c r="S2225" s="4">
        <f>IF(AND(VLOOKUP(G2225,Dados!$D:$L,2,0)=VLOOKUP(I2225,Dados!$S:$V,2,0),VLOOKUP(G2225,Dados!$D:$L,3,0)=VLOOKUP(I2225,Dados!$S:$V,3,0)),0,1)</f>
        <v>0</v>
      </c>
      <c r="T2225" s="4">
        <f>IF(AND(VLOOKUP(G2225,Dados!$D:$L,3,0)&lt;=VLOOKUP(H2225,Dados!$X:$AB,2,0),VLOOKUP(G2225,Dados!$D:$L,4,0)&gt;=VLOOKUP(H2225,Dados!$X:$AB,3,0),VLOOKUP(G2225,Dados!$D:$L,4,0)&lt;=VLOOKUP(H2225,Dados!$X:$AB,4,0)),0,1)</f>
        <v>0</v>
      </c>
      <c r="U2225" s="4">
        <f>IF(COUNTIFS(F:F,F2225,H:H,H2225)&lt;=VLOOKUP(H2225,Dados!$X:$AB,5,0),0,1)</f>
        <v>0</v>
      </c>
    </row>
    <row r="2226" spans="6:21">
      <c r="F2226" s="4">
        <v>991</v>
      </c>
      <c r="G2226" s="4">
        <v>60</v>
      </c>
      <c r="H2226" s="4">
        <v>3</v>
      </c>
      <c r="I2226" s="4">
        <v>27</v>
      </c>
      <c r="J2226" s="4">
        <v>1</v>
      </c>
      <c r="K2226" s="4">
        <f t="shared" si="332"/>
        <v>0</v>
      </c>
      <c r="L2226" s="4">
        <f t="shared" si="332"/>
        <v>0</v>
      </c>
      <c r="M2226" s="4">
        <f t="shared" si="332"/>
        <v>0</v>
      </c>
      <c r="N2226" s="4">
        <f t="shared" si="332"/>
        <v>0</v>
      </c>
      <c r="O2226" s="4">
        <f t="shared" si="333"/>
        <v>0</v>
      </c>
      <c r="P2226" s="4">
        <f t="shared" si="334"/>
        <v>0</v>
      </c>
      <c r="Q2226" s="4">
        <f t="shared" si="335"/>
        <v>0</v>
      </c>
      <c r="R2226" s="4">
        <f t="shared" si="336"/>
        <v>0</v>
      </c>
      <c r="S2226" s="4">
        <f>IF(AND(VLOOKUP(G2226,Dados!$D:$L,2,0)=VLOOKUP(I2226,Dados!$S:$V,2,0),VLOOKUP(G2226,Dados!$D:$L,3,0)=VLOOKUP(I2226,Dados!$S:$V,3,0)),0,1)</f>
        <v>0</v>
      </c>
      <c r="T2226" s="4">
        <f>IF(AND(VLOOKUP(G2226,Dados!$D:$L,3,0)&lt;=VLOOKUP(H2226,Dados!$X:$AB,2,0),VLOOKUP(G2226,Dados!$D:$L,4,0)&gt;=VLOOKUP(H2226,Dados!$X:$AB,3,0),VLOOKUP(G2226,Dados!$D:$L,4,0)&lt;=VLOOKUP(H2226,Dados!$X:$AB,4,0)),0,1)</f>
        <v>0</v>
      </c>
      <c r="U2226" s="4">
        <f>IF(COUNTIFS(F:F,F2226,H:H,H2226)&lt;=VLOOKUP(H2226,Dados!$X:$AB,5,0),0,1)</f>
        <v>0</v>
      </c>
    </row>
    <row r="2227" spans="6:21">
      <c r="F2227" s="4">
        <v>991</v>
      </c>
      <c r="G2227" s="4">
        <v>61</v>
      </c>
      <c r="H2227" s="4">
        <v>3</v>
      </c>
      <c r="I2227" s="4">
        <v>27</v>
      </c>
      <c r="J2227" s="4">
        <v>1</v>
      </c>
      <c r="K2227" s="4">
        <f t="shared" si="332"/>
        <v>0</v>
      </c>
      <c r="L2227" s="4">
        <f t="shared" si="332"/>
        <v>0</v>
      </c>
      <c r="M2227" s="4">
        <f t="shared" si="332"/>
        <v>0</v>
      </c>
      <c r="N2227" s="4">
        <f t="shared" si="332"/>
        <v>0</v>
      </c>
      <c r="O2227" s="4">
        <f t="shared" si="333"/>
        <v>0</v>
      </c>
      <c r="P2227" s="4">
        <f t="shared" si="334"/>
        <v>0</v>
      </c>
      <c r="Q2227" s="4">
        <f t="shared" si="335"/>
        <v>0</v>
      </c>
      <c r="R2227" s="4">
        <f t="shared" si="336"/>
        <v>0</v>
      </c>
      <c r="S2227" s="4">
        <f>IF(AND(VLOOKUP(G2227,Dados!$D:$L,2,0)=VLOOKUP(I2227,Dados!$S:$V,2,0),VLOOKUP(G2227,Dados!$D:$L,3,0)=VLOOKUP(I2227,Dados!$S:$V,3,0)),0,1)</f>
        <v>0</v>
      </c>
      <c r="T2227" s="4">
        <f>IF(AND(VLOOKUP(G2227,Dados!$D:$L,3,0)&lt;=VLOOKUP(H2227,Dados!$X:$AB,2,0),VLOOKUP(G2227,Dados!$D:$L,4,0)&gt;=VLOOKUP(H2227,Dados!$X:$AB,3,0),VLOOKUP(G2227,Dados!$D:$L,4,0)&lt;=VLOOKUP(H2227,Dados!$X:$AB,4,0)),0,1)</f>
        <v>0</v>
      </c>
      <c r="U2227" s="4">
        <f>IF(COUNTIFS(F:F,F2227,H:H,H2227)&lt;=VLOOKUP(H2227,Dados!$X:$AB,5,0),0,1)</f>
        <v>0</v>
      </c>
    </row>
    <row r="2228" spans="6:21">
      <c r="F2228" s="4">
        <v>991</v>
      </c>
      <c r="G2228" s="4">
        <v>66</v>
      </c>
      <c r="H2228" s="4">
        <v>3</v>
      </c>
      <c r="I2228" s="4">
        <v>27</v>
      </c>
      <c r="J2228" s="4">
        <v>2</v>
      </c>
      <c r="K2228" s="4">
        <f t="shared" si="332"/>
        <v>0</v>
      </c>
      <c r="L2228" s="4">
        <f t="shared" si="332"/>
        <v>0</v>
      </c>
      <c r="M2228" s="4">
        <f t="shared" si="332"/>
        <v>0</v>
      </c>
      <c r="N2228" s="4">
        <f t="shared" si="332"/>
        <v>0</v>
      </c>
      <c r="O2228" s="4">
        <f t="shared" si="333"/>
        <v>0</v>
      </c>
      <c r="P2228" s="4">
        <f t="shared" si="334"/>
        <v>0</v>
      </c>
      <c r="Q2228" s="4">
        <f t="shared" si="335"/>
        <v>0</v>
      </c>
      <c r="R2228" s="4">
        <f t="shared" si="336"/>
        <v>0</v>
      </c>
      <c r="S2228" s="4">
        <f>IF(AND(VLOOKUP(G2228,Dados!$D:$L,2,0)=VLOOKUP(I2228,Dados!$S:$V,2,0),VLOOKUP(G2228,Dados!$D:$L,3,0)=VLOOKUP(I2228,Dados!$S:$V,3,0)),0,1)</f>
        <v>0</v>
      </c>
      <c r="T2228" s="4">
        <f>IF(AND(VLOOKUP(G2228,Dados!$D:$L,3,0)&lt;=VLOOKUP(H2228,Dados!$X:$AB,2,0),VLOOKUP(G2228,Dados!$D:$L,4,0)&gt;=VLOOKUP(H2228,Dados!$X:$AB,3,0),VLOOKUP(G2228,Dados!$D:$L,4,0)&lt;=VLOOKUP(H2228,Dados!$X:$AB,4,0)),0,1)</f>
        <v>0</v>
      </c>
      <c r="U2228" s="4">
        <f>IF(COUNTIFS(F:F,F2228,H:H,H2228)&lt;=VLOOKUP(H2228,Dados!$X:$AB,5,0),0,1)</f>
        <v>0</v>
      </c>
    </row>
    <row r="2229" spans="6:21">
      <c r="F2229" s="4">
        <v>991</v>
      </c>
      <c r="G2229" s="4">
        <v>67</v>
      </c>
      <c r="H2229" s="4">
        <v>3</v>
      </c>
      <c r="I2229" s="4">
        <v>27</v>
      </c>
      <c r="J2229" s="4">
        <v>4</v>
      </c>
      <c r="K2229" s="4">
        <f t="shared" si="332"/>
        <v>0</v>
      </c>
      <c r="L2229" s="4">
        <f t="shared" si="332"/>
        <v>0</v>
      </c>
      <c r="M2229" s="4">
        <f t="shared" si="332"/>
        <v>0</v>
      </c>
      <c r="N2229" s="4">
        <f t="shared" si="332"/>
        <v>0</v>
      </c>
      <c r="O2229" s="4">
        <f t="shared" si="333"/>
        <v>0</v>
      </c>
      <c r="P2229" s="4">
        <f t="shared" si="334"/>
        <v>0</v>
      </c>
      <c r="Q2229" s="4">
        <f t="shared" si="335"/>
        <v>0</v>
      </c>
      <c r="R2229" s="4">
        <f t="shared" si="336"/>
        <v>0</v>
      </c>
      <c r="S2229" s="4">
        <f>IF(AND(VLOOKUP(G2229,Dados!$D:$L,2,0)=VLOOKUP(I2229,Dados!$S:$V,2,0),VLOOKUP(G2229,Dados!$D:$L,3,0)=VLOOKUP(I2229,Dados!$S:$V,3,0)),0,1)</f>
        <v>0</v>
      </c>
      <c r="T2229" s="4">
        <f>IF(AND(VLOOKUP(G2229,Dados!$D:$L,3,0)&lt;=VLOOKUP(H2229,Dados!$X:$AB,2,0),VLOOKUP(G2229,Dados!$D:$L,4,0)&gt;=VLOOKUP(H2229,Dados!$X:$AB,3,0),VLOOKUP(G2229,Dados!$D:$L,4,0)&lt;=VLOOKUP(H2229,Dados!$X:$AB,4,0)),0,1)</f>
        <v>0</v>
      </c>
      <c r="U2229" s="4">
        <f>IF(COUNTIFS(F:F,F2229,H:H,H2229)&lt;=VLOOKUP(H2229,Dados!$X:$AB,5,0),0,1)</f>
        <v>0</v>
      </c>
    </row>
    <row r="2230" spans="6:21">
      <c r="F2230" s="4">
        <v>992</v>
      </c>
      <c r="G2230" s="4">
        <v>60</v>
      </c>
      <c r="H2230" s="4">
        <v>1</v>
      </c>
      <c r="I2230" s="4">
        <v>28</v>
      </c>
      <c r="J2230" s="4">
        <v>3</v>
      </c>
      <c r="K2230" s="4">
        <f t="shared" si="332"/>
        <v>0</v>
      </c>
      <c r="L2230" s="4">
        <f t="shared" si="332"/>
        <v>0</v>
      </c>
      <c r="M2230" s="4">
        <f t="shared" si="332"/>
        <v>0</v>
      </c>
      <c r="N2230" s="4">
        <f t="shared" si="332"/>
        <v>0</v>
      </c>
      <c r="O2230" s="4">
        <f t="shared" si="333"/>
        <v>0</v>
      </c>
      <c r="P2230" s="4">
        <f t="shared" si="334"/>
        <v>0</v>
      </c>
      <c r="Q2230" s="4">
        <f t="shared" si="335"/>
        <v>0</v>
      </c>
      <c r="R2230" s="4">
        <f t="shared" si="336"/>
        <v>0</v>
      </c>
      <c r="S2230" s="4">
        <f>IF(AND(VLOOKUP(G2230,Dados!$D:$L,2,0)=VLOOKUP(I2230,Dados!$S:$V,2,0),VLOOKUP(G2230,Dados!$D:$L,3,0)=VLOOKUP(I2230,Dados!$S:$V,3,0)),0,1)</f>
        <v>0</v>
      </c>
      <c r="T2230" s="4">
        <f>IF(AND(VLOOKUP(G2230,Dados!$D:$L,3,0)&lt;=VLOOKUP(H2230,Dados!$X:$AB,2,0),VLOOKUP(G2230,Dados!$D:$L,4,0)&gt;=VLOOKUP(H2230,Dados!$X:$AB,3,0),VLOOKUP(G2230,Dados!$D:$L,4,0)&lt;=VLOOKUP(H2230,Dados!$X:$AB,4,0)),0,1)</f>
        <v>0</v>
      </c>
      <c r="U2230" s="4">
        <f>IF(COUNTIFS(F:F,F2230,H:H,H2230)&lt;=VLOOKUP(H2230,Dados!$X:$AB,5,0),0,1)</f>
        <v>0</v>
      </c>
    </row>
    <row r="2231" spans="6:21">
      <c r="F2231" s="4">
        <v>992</v>
      </c>
      <c r="G2231" s="4">
        <v>66</v>
      </c>
      <c r="H2231" s="4">
        <v>1</v>
      </c>
      <c r="I2231" s="4">
        <v>28</v>
      </c>
      <c r="J2231" s="4">
        <v>3</v>
      </c>
      <c r="K2231" s="4">
        <f t="shared" si="332"/>
        <v>0</v>
      </c>
      <c r="L2231" s="4">
        <f t="shared" si="332"/>
        <v>0</v>
      </c>
      <c r="M2231" s="4">
        <f t="shared" si="332"/>
        <v>0</v>
      </c>
      <c r="N2231" s="4">
        <f t="shared" si="332"/>
        <v>0</v>
      </c>
      <c r="O2231" s="4">
        <f t="shared" si="333"/>
        <v>0</v>
      </c>
      <c r="P2231" s="4">
        <f t="shared" si="334"/>
        <v>0</v>
      </c>
      <c r="Q2231" s="4">
        <f t="shared" si="335"/>
        <v>0</v>
      </c>
      <c r="R2231" s="4">
        <f t="shared" si="336"/>
        <v>0</v>
      </c>
      <c r="S2231" s="4">
        <f>IF(AND(VLOOKUP(G2231,Dados!$D:$L,2,0)=VLOOKUP(I2231,Dados!$S:$V,2,0),VLOOKUP(G2231,Dados!$D:$L,3,0)=VLOOKUP(I2231,Dados!$S:$V,3,0)),0,1)</f>
        <v>0</v>
      </c>
      <c r="T2231" s="4">
        <f>IF(AND(VLOOKUP(G2231,Dados!$D:$L,3,0)&lt;=VLOOKUP(H2231,Dados!$X:$AB,2,0),VLOOKUP(G2231,Dados!$D:$L,4,0)&gt;=VLOOKUP(H2231,Dados!$X:$AB,3,0),VLOOKUP(G2231,Dados!$D:$L,4,0)&lt;=VLOOKUP(H2231,Dados!$X:$AB,4,0)),0,1)</f>
        <v>0</v>
      </c>
      <c r="U2231" s="4">
        <f>IF(COUNTIFS(F:F,F2231,H:H,H2231)&lt;=VLOOKUP(H2231,Dados!$X:$AB,5,0),0,1)</f>
        <v>0</v>
      </c>
    </row>
    <row r="2232" spans="6:21">
      <c r="F2232" s="4">
        <v>992</v>
      </c>
      <c r="G2232" s="4">
        <v>67</v>
      </c>
      <c r="H2232" s="4">
        <v>1</v>
      </c>
      <c r="I2232" s="4">
        <v>28</v>
      </c>
      <c r="J2232" s="4">
        <v>2</v>
      </c>
      <c r="K2232" s="4">
        <f t="shared" si="332"/>
        <v>0</v>
      </c>
      <c r="L2232" s="4">
        <f t="shared" si="332"/>
        <v>0</v>
      </c>
      <c r="M2232" s="4">
        <f t="shared" si="332"/>
        <v>0</v>
      </c>
      <c r="N2232" s="4">
        <f t="shared" si="332"/>
        <v>0</v>
      </c>
      <c r="O2232" s="4">
        <f t="shared" si="333"/>
        <v>0</v>
      </c>
      <c r="P2232" s="4">
        <f t="shared" si="334"/>
        <v>0</v>
      </c>
      <c r="Q2232" s="4">
        <f t="shared" si="335"/>
        <v>0</v>
      </c>
      <c r="R2232" s="4">
        <f t="shared" si="336"/>
        <v>0</v>
      </c>
      <c r="S2232" s="4">
        <f>IF(AND(VLOOKUP(G2232,Dados!$D:$L,2,0)=VLOOKUP(I2232,Dados!$S:$V,2,0),VLOOKUP(G2232,Dados!$D:$L,3,0)=VLOOKUP(I2232,Dados!$S:$V,3,0)),0,1)</f>
        <v>0</v>
      </c>
      <c r="T2232" s="4">
        <f>IF(AND(VLOOKUP(G2232,Dados!$D:$L,3,0)&lt;=VLOOKUP(H2232,Dados!$X:$AB,2,0),VLOOKUP(G2232,Dados!$D:$L,4,0)&gt;=VLOOKUP(H2232,Dados!$X:$AB,3,0),VLOOKUP(G2232,Dados!$D:$L,4,0)&lt;=VLOOKUP(H2232,Dados!$X:$AB,4,0)),0,1)</f>
        <v>0</v>
      </c>
      <c r="U2232" s="4">
        <f>IF(COUNTIFS(F:F,F2232,H:H,H2232)&lt;=VLOOKUP(H2232,Dados!$X:$AB,5,0),0,1)</f>
        <v>0</v>
      </c>
    </row>
    <row r="2233" spans="6:21">
      <c r="F2233" s="4">
        <v>993</v>
      </c>
      <c r="G2233" s="4">
        <v>60</v>
      </c>
      <c r="H2233" s="4">
        <v>2</v>
      </c>
      <c r="I2233" s="4">
        <v>28</v>
      </c>
      <c r="J2233" s="4">
        <v>3</v>
      </c>
      <c r="K2233" s="4">
        <f t="shared" si="332"/>
        <v>0</v>
      </c>
      <c r="L2233" s="4">
        <f t="shared" si="332"/>
        <v>0</v>
      </c>
      <c r="M2233" s="4">
        <f t="shared" si="332"/>
        <v>0</v>
      </c>
      <c r="N2233" s="4">
        <f t="shared" si="332"/>
        <v>0</v>
      </c>
      <c r="O2233" s="4">
        <f t="shared" si="333"/>
        <v>0</v>
      </c>
      <c r="P2233" s="4">
        <f t="shared" si="334"/>
        <v>0</v>
      </c>
      <c r="Q2233" s="4">
        <f t="shared" si="335"/>
        <v>0</v>
      </c>
      <c r="R2233" s="4">
        <f t="shared" si="336"/>
        <v>0</v>
      </c>
      <c r="S2233" s="4">
        <f>IF(AND(VLOOKUP(G2233,Dados!$D:$L,2,0)=VLOOKUP(I2233,Dados!$S:$V,2,0),VLOOKUP(G2233,Dados!$D:$L,3,0)=VLOOKUP(I2233,Dados!$S:$V,3,0)),0,1)</f>
        <v>0</v>
      </c>
      <c r="T2233" s="4">
        <f>IF(AND(VLOOKUP(G2233,Dados!$D:$L,3,0)&lt;=VLOOKUP(H2233,Dados!$X:$AB,2,0),VLOOKUP(G2233,Dados!$D:$L,4,0)&gt;=VLOOKUP(H2233,Dados!$X:$AB,3,0),VLOOKUP(G2233,Dados!$D:$L,4,0)&lt;=VLOOKUP(H2233,Dados!$X:$AB,4,0)),0,1)</f>
        <v>0</v>
      </c>
      <c r="U2233" s="4">
        <f>IF(COUNTIFS(F:F,F2233,H:H,H2233)&lt;=VLOOKUP(H2233,Dados!$X:$AB,5,0),0,1)</f>
        <v>0</v>
      </c>
    </row>
    <row r="2234" spans="6:21">
      <c r="F2234" s="4">
        <v>993</v>
      </c>
      <c r="G2234" s="4">
        <v>66</v>
      </c>
      <c r="H2234" s="4">
        <v>2</v>
      </c>
      <c r="I2234" s="4">
        <v>28</v>
      </c>
      <c r="J2234" s="4">
        <v>3</v>
      </c>
      <c r="K2234" s="4">
        <f t="shared" si="332"/>
        <v>0</v>
      </c>
      <c r="L2234" s="4">
        <f t="shared" si="332"/>
        <v>0</v>
      </c>
      <c r="M2234" s="4">
        <f t="shared" si="332"/>
        <v>0</v>
      </c>
      <c r="N2234" s="4">
        <f t="shared" si="332"/>
        <v>0</v>
      </c>
      <c r="O2234" s="4">
        <f t="shared" si="333"/>
        <v>0</v>
      </c>
      <c r="P2234" s="4">
        <f t="shared" si="334"/>
        <v>0</v>
      </c>
      <c r="Q2234" s="4">
        <f t="shared" si="335"/>
        <v>0</v>
      </c>
      <c r="R2234" s="4">
        <f t="shared" si="336"/>
        <v>0</v>
      </c>
      <c r="S2234" s="4">
        <f>IF(AND(VLOOKUP(G2234,Dados!$D:$L,2,0)=VLOOKUP(I2234,Dados!$S:$V,2,0),VLOOKUP(G2234,Dados!$D:$L,3,0)=VLOOKUP(I2234,Dados!$S:$V,3,0)),0,1)</f>
        <v>0</v>
      </c>
      <c r="T2234" s="4">
        <f>IF(AND(VLOOKUP(G2234,Dados!$D:$L,3,0)&lt;=VLOOKUP(H2234,Dados!$X:$AB,2,0),VLOOKUP(G2234,Dados!$D:$L,4,0)&gt;=VLOOKUP(H2234,Dados!$X:$AB,3,0),VLOOKUP(G2234,Dados!$D:$L,4,0)&lt;=VLOOKUP(H2234,Dados!$X:$AB,4,0)),0,1)</f>
        <v>0</v>
      </c>
      <c r="U2234" s="4">
        <f>IF(COUNTIFS(F:F,F2234,H:H,H2234)&lt;=VLOOKUP(H2234,Dados!$X:$AB,5,0),0,1)</f>
        <v>0</v>
      </c>
    </row>
    <row r="2235" spans="6:21">
      <c r="F2235" s="4">
        <v>993</v>
      </c>
      <c r="G2235" s="4">
        <v>67</v>
      </c>
      <c r="H2235" s="4">
        <v>2</v>
      </c>
      <c r="I2235" s="4">
        <v>28</v>
      </c>
      <c r="J2235" s="4">
        <v>2</v>
      </c>
      <c r="K2235" s="4">
        <f t="shared" si="332"/>
        <v>0</v>
      </c>
      <c r="L2235" s="4">
        <f t="shared" si="332"/>
        <v>0</v>
      </c>
      <c r="M2235" s="4">
        <f t="shared" si="332"/>
        <v>0</v>
      </c>
      <c r="N2235" s="4">
        <f t="shared" si="332"/>
        <v>0</v>
      </c>
      <c r="O2235" s="4">
        <f t="shared" si="333"/>
        <v>0</v>
      </c>
      <c r="P2235" s="4">
        <f t="shared" si="334"/>
        <v>0</v>
      </c>
      <c r="Q2235" s="4">
        <f t="shared" si="335"/>
        <v>0</v>
      </c>
      <c r="R2235" s="4">
        <f t="shared" si="336"/>
        <v>0</v>
      </c>
      <c r="S2235" s="4">
        <f>IF(AND(VLOOKUP(G2235,Dados!$D:$L,2,0)=VLOOKUP(I2235,Dados!$S:$V,2,0),VLOOKUP(G2235,Dados!$D:$L,3,0)=VLOOKUP(I2235,Dados!$S:$V,3,0)),0,1)</f>
        <v>0</v>
      </c>
      <c r="T2235" s="4">
        <f>IF(AND(VLOOKUP(G2235,Dados!$D:$L,3,0)&lt;=VLOOKUP(H2235,Dados!$X:$AB,2,0),VLOOKUP(G2235,Dados!$D:$L,4,0)&gt;=VLOOKUP(H2235,Dados!$X:$AB,3,0),VLOOKUP(G2235,Dados!$D:$L,4,0)&lt;=VLOOKUP(H2235,Dados!$X:$AB,4,0)),0,1)</f>
        <v>0</v>
      </c>
      <c r="U2235" s="4">
        <f>IF(COUNTIFS(F:F,F2235,H:H,H2235)&lt;=VLOOKUP(H2235,Dados!$X:$AB,5,0),0,1)</f>
        <v>0</v>
      </c>
    </row>
    <row r="2236" spans="6:21">
      <c r="F2236" s="4">
        <v>994</v>
      </c>
      <c r="G2236" s="4">
        <v>60</v>
      </c>
      <c r="H2236" s="4">
        <v>3</v>
      </c>
      <c r="I2236" s="4">
        <v>28</v>
      </c>
      <c r="J2236" s="4">
        <v>3</v>
      </c>
      <c r="K2236" s="4">
        <f t="shared" si="332"/>
        <v>0</v>
      </c>
      <c r="L2236" s="4">
        <f t="shared" si="332"/>
        <v>0</v>
      </c>
      <c r="M2236" s="4">
        <f t="shared" si="332"/>
        <v>0</v>
      </c>
      <c r="N2236" s="4">
        <f t="shared" si="332"/>
        <v>0</v>
      </c>
      <c r="O2236" s="4">
        <f t="shared" si="333"/>
        <v>0</v>
      </c>
      <c r="P2236" s="4">
        <f t="shared" si="334"/>
        <v>0</v>
      </c>
      <c r="Q2236" s="4">
        <f t="shared" si="335"/>
        <v>0</v>
      </c>
      <c r="R2236" s="4">
        <f t="shared" si="336"/>
        <v>0</v>
      </c>
      <c r="S2236" s="4">
        <f>IF(AND(VLOOKUP(G2236,Dados!$D:$L,2,0)=VLOOKUP(I2236,Dados!$S:$V,2,0),VLOOKUP(G2236,Dados!$D:$L,3,0)=VLOOKUP(I2236,Dados!$S:$V,3,0)),0,1)</f>
        <v>0</v>
      </c>
      <c r="T2236" s="4">
        <f>IF(AND(VLOOKUP(G2236,Dados!$D:$L,3,0)&lt;=VLOOKUP(H2236,Dados!$X:$AB,2,0),VLOOKUP(G2236,Dados!$D:$L,4,0)&gt;=VLOOKUP(H2236,Dados!$X:$AB,3,0),VLOOKUP(G2236,Dados!$D:$L,4,0)&lt;=VLOOKUP(H2236,Dados!$X:$AB,4,0)),0,1)</f>
        <v>0</v>
      </c>
      <c r="U2236" s="4">
        <f>IF(COUNTIFS(F:F,F2236,H:H,H2236)&lt;=VLOOKUP(H2236,Dados!$X:$AB,5,0),0,1)</f>
        <v>0</v>
      </c>
    </row>
    <row r="2237" spans="6:21">
      <c r="F2237" s="4">
        <v>994</v>
      </c>
      <c r="G2237" s="4">
        <v>66</v>
      </c>
      <c r="H2237" s="4">
        <v>3</v>
      </c>
      <c r="I2237" s="4">
        <v>28</v>
      </c>
      <c r="J2237" s="4">
        <v>3</v>
      </c>
      <c r="K2237" s="4">
        <f t="shared" si="332"/>
        <v>0</v>
      </c>
      <c r="L2237" s="4">
        <f t="shared" si="332"/>
        <v>0</v>
      </c>
      <c r="M2237" s="4">
        <f t="shared" si="332"/>
        <v>0</v>
      </c>
      <c r="N2237" s="4">
        <f t="shared" si="332"/>
        <v>0</v>
      </c>
      <c r="O2237" s="4">
        <f t="shared" si="333"/>
        <v>0</v>
      </c>
      <c r="P2237" s="4">
        <f t="shared" si="334"/>
        <v>0</v>
      </c>
      <c r="Q2237" s="4">
        <f t="shared" si="335"/>
        <v>0</v>
      </c>
      <c r="R2237" s="4">
        <f t="shared" si="336"/>
        <v>0</v>
      </c>
      <c r="S2237" s="4">
        <f>IF(AND(VLOOKUP(G2237,Dados!$D:$L,2,0)=VLOOKUP(I2237,Dados!$S:$V,2,0),VLOOKUP(G2237,Dados!$D:$L,3,0)=VLOOKUP(I2237,Dados!$S:$V,3,0)),0,1)</f>
        <v>0</v>
      </c>
      <c r="T2237" s="4">
        <f>IF(AND(VLOOKUP(G2237,Dados!$D:$L,3,0)&lt;=VLOOKUP(H2237,Dados!$X:$AB,2,0),VLOOKUP(G2237,Dados!$D:$L,4,0)&gt;=VLOOKUP(H2237,Dados!$X:$AB,3,0),VLOOKUP(G2237,Dados!$D:$L,4,0)&lt;=VLOOKUP(H2237,Dados!$X:$AB,4,0)),0,1)</f>
        <v>0</v>
      </c>
      <c r="U2237" s="4">
        <f>IF(COUNTIFS(F:F,F2237,H:H,H2237)&lt;=VLOOKUP(H2237,Dados!$X:$AB,5,0),0,1)</f>
        <v>0</v>
      </c>
    </row>
    <row r="2238" spans="6:21">
      <c r="F2238" s="4">
        <v>994</v>
      </c>
      <c r="G2238" s="4">
        <v>67</v>
      </c>
      <c r="H2238" s="4">
        <v>3</v>
      </c>
      <c r="I2238" s="4">
        <v>28</v>
      </c>
      <c r="J2238" s="4">
        <v>2</v>
      </c>
      <c r="K2238" s="4">
        <f t="shared" si="332"/>
        <v>0</v>
      </c>
      <c r="L2238" s="4">
        <f t="shared" si="332"/>
        <v>0</v>
      </c>
      <c r="M2238" s="4">
        <f t="shared" si="332"/>
        <v>0</v>
      </c>
      <c r="N2238" s="4">
        <f t="shared" si="332"/>
        <v>0</v>
      </c>
      <c r="O2238" s="4">
        <f t="shared" si="333"/>
        <v>0</v>
      </c>
      <c r="P2238" s="4">
        <f t="shared" si="334"/>
        <v>0</v>
      </c>
      <c r="Q2238" s="4">
        <f t="shared" si="335"/>
        <v>0</v>
      </c>
      <c r="R2238" s="4">
        <f t="shared" si="336"/>
        <v>0</v>
      </c>
      <c r="S2238" s="4">
        <f>IF(AND(VLOOKUP(G2238,Dados!$D:$L,2,0)=VLOOKUP(I2238,Dados!$S:$V,2,0),VLOOKUP(G2238,Dados!$D:$L,3,0)=VLOOKUP(I2238,Dados!$S:$V,3,0)),0,1)</f>
        <v>0</v>
      </c>
      <c r="T2238" s="4">
        <f>IF(AND(VLOOKUP(G2238,Dados!$D:$L,3,0)&lt;=VLOOKUP(H2238,Dados!$X:$AB,2,0),VLOOKUP(G2238,Dados!$D:$L,4,0)&gt;=VLOOKUP(H2238,Dados!$X:$AB,3,0),VLOOKUP(G2238,Dados!$D:$L,4,0)&lt;=VLOOKUP(H2238,Dados!$X:$AB,4,0)),0,1)</f>
        <v>0</v>
      </c>
      <c r="U2238" s="4">
        <f>IF(COUNTIFS(F:F,F2238,H:H,H2238)&lt;=VLOOKUP(H2238,Dados!$X:$AB,5,0),0,1)</f>
        <v>0</v>
      </c>
    </row>
    <row r="2239" spans="6:21">
      <c r="F2239" s="4">
        <v>995</v>
      </c>
      <c r="G2239" s="4">
        <v>60</v>
      </c>
      <c r="H2239" s="4">
        <v>3</v>
      </c>
      <c r="I2239" s="4">
        <v>29</v>
      </c>
      <c r="J2239" s="4">
        <v>1</v>
      </c>
      <c r="K2239" s="4">
        <f t="shared" si="332"/>
        <v>0</v>
      </c>
      <c r="L2239" s="4">
        <f t="shared" si="332"/>
        <v>0</v>
      </c>
      <c r="M2239" s="4">
        <f t="shared" si="332"/>
        <v>0</v>
      </c>
      <c r="N2239" s="4">
        <f t="shared" si="332"/>
        <v>0</v>
      </c>
      <c r="O2239" s="4">
        <f t="shared" si="333"/>
        <v>0</v>
      </c>
      <c r="P2239" s="4">
        <f t="shared" si="334"/>
        <v>0</v>
      </c>
      <c r="Q2239" s="4">
        <f t="shared" si="335"/>
        <v>0</v>
      </c>
      <c r="R2239" s="4">
        <f t="shared" si="336"/>
        <v>0</v>
      </c>
      <c r="S2239" s="4">
        <f>IF(AND(VLOOKUP(G2239,Dados!$D:$L,2,0)=VLOOKUP(I2239,Dados!$S:$V,2,0),VLOOKUP(G2239,Dados!$D:$L,3,0)=VLOOKUP(I2239,Dados!$S:$V,3,0)),0,1)</f>
        <v>0</v>
      </c>
      <c r="T2239" s="4">
        <f>IF(AND(VLOOKUP(G2239,Dados!$D:$L,3,0)&lt;=VLOOKUP(H2239,Dados!$X:$AB,2,0),VLOOKUP(G2239,Dados!$D:$L,4,0)&gt;=VLOOKUP(H2239,Dados!$X:$AB,3,0),VLOOKUP(G2239,Dados!$D:$L,4,0)&lt;=VLOOKUP(H2239,Dados!$X:$AB,4,0)),0,1)</f>
        <v>0</v>
      </c>
      <c r="U2239" s="4">
        <f>IF(COUNTIFS(F:F,F2239,H:H,H2239)&lt;=VLOOKUP(H2239,Dados!$X:$AB,5,0),0,1)</f>
        <v>0</v>
      </c>
    </row>
    <row r="2240" spans="6:21">
      <c r="F2240" s="4">
        <v>995</v>
      </c>
      <c r="G2240" s="4">
        <v>62</v>
      </c>
      <c r="H2240" s="4">
        <v>3</v>
      </c>
      <c r="I2240" s="4">
        <v>29</v>
      </c>
      <c r="J2240" s="4">
        <v>1</v>
      </c>
      <c r="K2240" s="4">
        <f t="shared" si="332"/>
        <v>0</v>
      </c>
      <c r="L2240" s="4">
        <f t="shared" si="332"/>
        <v>0</v>
      </c>
      <c r="M2240" s="4">
        <f t="shared" si="332"/>
        <v>0</v>
      </c>
      <c r="N2240" s="4">
        <f t="shared" si="332"/>
        <v>0</v>
      </c>
      <c r="O2240" s="4">
        <f t="shared" si="333"/>
        <v>0</v>
      </c>
      <c r="P2240" s="4">
        <f t="shared" si="334"/>
        <v>0</v>
      </c>
      <c r="Q2240" s="4">
        <f t="shared" si="335"/>
        <v>0</v>
      </c>
      <c r="R2240" s="4">
        <f t="shared" si="336"/>
        <v>0</v>
      </c>
      <c r="S2240" s="4">
        <f>IF(AND(VLOOKUP(G2240,Dados!$D:$L,2,0)=VLOOKUP(I2240,Dados!$S:$V,2,0),VLOOKUP(G2240,Dados!$D:$L,3,0)=VLOOKUP(I2240,Dados!$S:$V,3,0)),0,1)</f>
        <v>0</v>
      </c>
      <c r="T2240" s="4">
        <f>IF(AND(VLOOKUP(G2240,Dados!$D:$L,3,0)&lt;=VLOOKUP(H2240,Dados!$X:$AB,2,0),VLOOKUP(G2240,Dados!$D:$L,4,0)&gt;=VLOOKUP(H2240,Dados!$X:$AB,3,0),VLOOKUP(G2240,Dados!$D:$L,4,0)&lt;=VLOOKUP(H2240,Dados!$X:$AB,4,0)),0,1)</f>
        <v>0</v>
      </c>
      <c r="U2240" s="4">
        <f>IF(COUNTIFS(F:F,F2240,H:H,H2240)&lt;=VLOOKUP(H2240,Dados!$X:$AB,5,0),0,1)</f>
        <v>0</v>
      </c>
    </row>
    <row r="2241" spans="6:21">
      <c r="F2241" s="4">
        <v>995</v>
      </c>
      <c r="G2241" s="4">
        <v>66</v>
      </c>
      <c r="H2241" s="4">
        <v>3</v>
      </c>
      <c r="I2241" s="4">
        <v>29</v>
      </c>
      <c r="J2241" s="4">
        <v>3</v>
      </c>
      <c r="K2241" s="4">
        <f t="shared" si="332"/>
        <v>0</v>
      </c>
      <c r="L2241" s="4">
        <f t="shared" si="332"/>
        <v>0</v>
      </c>
      <c r="M2241" s="4">
        <f t="shared" si="332"/>
        <v>0</v>
      </c>
      <c r="N2241" s="4">
        <f t="shared" si="332"/>
        <v>0</v>
      </c>
      <c r="O2241" s="4">
        <f t="shared" si="333"/>
        <v>0</v>
      </c>
      <c r="P2241" s="4">
        <f t="shared" si="334"/>
        <v>0</v>
      </c>
      <c r="Q2241" s="4">
        <f t="shared" si="335"/>
        <v>0</v>
      </c>
      <c r="R2241" s="4">
        <f t="shared" si="336"/>
        <v>0</v>
      </c>
      <c r="S2241" s="4">
        <f>IF(AND(VLOOKUP(G2241,Dados!$D:$L,2,0)=VLOOKUP(I2241,Dados!$S:$V,2,0),VLOOKUP(G2241,Dados!$D:$L,3,0)=VLOOKUP(I2241,Dados!$S:$V,3,0)),0,1)</f>
        <v>0</v>
      </c>
      <c r="T2241" s="4">
        <f>IF(AND(VLOOKUP(G2241,Dados!$D:$L,3,0)&lt;=VLOOKUP(H2241,Dados!$X:$AB,2,0),VLOOKUP(G2241,Dados!$D:$L,4,0)&gt;=VLOOKUP(H2241,Dados!$X:$AB,3,0),VLOOKUP(G2241,Dados!$D:$L,4,0)&lt;=VLOOKUP(H2241,Dados!$X:$AB,4,0)),0,1)</f>
        <v>0</v>
      </c>
      <c r="U2241" s="4">
        <f>IF(COUNTIFS(F:F,F2241,H:H,H2241)&lt;=VLOOKUP(H2241,Dados!$X:$AB,5,0),0,1)</f>
        <v>0</v>
      </c>
    </row>
    <row r="2242" spans="6:21">
      <c r="F2242" s="4">
        <v>995</v>
      </c>
      <c r="G2242" s="4">
        <v>67</v>
      </c>
      <c r="H2242" s="4">
        <v>3</v>
      </c>
      <c r="I2242" s="4">
        <v>29</v>
      </c>
      <c r="J2242" s="4">
        <v>3</v>
      </c>
      <c r="K2242" s="4">
        <f t="shared" si="332"/>
        <v>0</v>
      </c>
      <c r="L2242" s="4">
        <f t="shared" si="332"/>
        <v>0</v>
      </c>
      <c r="M2242" s="4">
        <f t="shared" si="332"/>
        <v>0</v>
      </c>
      <c r="N2242" s="4">
        <f t="shared" si="332"/>
        <v>0</v>
      </c>
      <c r="O2242" s="4">
        <f t="shared" si="333"/>
        <v>0</v>
      </c>
      <c r="P2242" s="4">
        <f t="shared" si="334"/>
        <v>0</v>
      </c>
      <c r="Q2242" s="4">
        <f t="shared" si="335"/>
        <v>0</v>
      </c>
      <c r="R2242" s="4">
        <f t="shared" si="336"/>
        <v>0</v>
      </c>
      <c r="S2242" s="4">
        <f>IF(AND(VLOOKUP(G2242,Dados!$D:$L,2,0)=VLOOKUP(I2242,Dados!$S:$V,2,0),VLOOKUP(G2242,Dados!$D:$L,3,0)=VLOOKUP(I2242,Dados!$S:$V,3,0)),0,1)</f>
        <v>0</v>
      </c>
      <c r="T2242" s="4">
        <f>IF(AND(VLOOKUP(G2242,Dados!$D:$L,3,0)&lt;=VLOOKUP(H2242,Dados!$X:$AB,2,0),VLOOKUP(G2242,Dados!$D:$L,4,0)&gt;=VLOOKUP(H2242,Dados!$X:$AB,3,0),VLOOKUP(G2242,Dados!$D:$L,4,0)&lt;=VLOOKUP(H2242,Dados!$X:$AB,4,0)),0,1)</f>
        <v>0</v>
      </c>
      <c r="U2242" s="4">
        <f>IF(COUNTIFS(F:F,F2242,H:H,H2242)&lt;=VLOOKUP(H2242,Dados!$X:$AB,5,0),0,1)</f>
        <v>0</v>
      </c>
    </row>
    <row r="2243" spans="6:21">
      <c r="F2243" s="4">
        <v>996</v>
      </c>
      <c r="G2243" s="4">
        <v>34</v>
      </c>
      <c r="H2243" s="4">
        <v>1</v>
      </c>
      <c r="I2243" s="4">
        <v>16</v>
      </c>
      <c r="J2243" s="4">
        <v>1</v>
      </c>
      <c r="K2243" s="4">
        <f t="shared" si="332"/>
        <v>0</v>
      </c>
      <c r="L2243" s="4">
        <f t="shared" si="332"/>
        <v>0</v>
      </c>
      <c r="M2243" s="4">
        <f t="shared" si="332"/>
        <v>0</v>
      </c>
      <c r="N2243" s="4">
        <f t="shared" si="332"/>
        <v>0</v>
      </c>
      <c r="O2243" s="4">
        <f t="shared" si="333"/>
        <v>0</v>
      </c>
      <c r="P2243" s="4">
        <f t="shared" si="334"/>
        <v>0</v>
      </c>
      <c r="Q2243" s="4">
        <f t="shared" si="335"/>
        <v>0</v>
      </c>
      <c r="R2243" s="4">
        <f t="shared" si="336"/>
        <v>0</v>
      </c>
      <c r="S2243" s="4">
        <f>IF(AND(VLOOKUP(G2243,Dados!$D:$L,2,0)=VLOOKUP(I2243,Dados!$S:$V,2,0),VLOOKUP(G2243,Dados!$D:$L,3,0)=VLOOKUP(I2243,Dados!$S:$V,3,0)),0,1)</f>
        <v>0</v>
      </c>
      <c r="T2243" s="4">
        <f>IF(AND(VLOOKUP(G2243,Dados!$D:$L,3,0)&lt;=VLOOKUP(H2243,Dados!$X:$AB,2,0),VLOOKUP(G2243,Dados!$D:$L,4,0)&gt;=VLOOKUP(H2243,Dados!$X:$AB,3,0),VLOOKUP(G2243,Dados!$D:$L,4,0)&lt;=VLOOKUP(H2243,Dados!$X:$AB,4,0)),0,1)</f>
        <v>0</v>
      </c>
      <c r="U2243" s="4">
        <f>IF(COUNTIFS(F:F,F2243,H:H,H2243)&lt;=VLOOKUP(H2243,Dados!$X:$AB,5,0),0,1)</f>
        <v>0</v>
      </c>
    </row>
    <row r="2244" spans="6:21">
      <c r="F2244" s="4">
        <v>996</v>
      </c>
      <c r="G2244" s="4">
        <v>36</v>
      </c>
      <c r="H2244" s="4">
        <v>1</v>
      </c>
      <c r="I2244" s="4">
        <v>16</v>
      </c>
      <c r="J2244" s="4">
        <v>7</v>
      </c>
      <c r="K2244" s="4">
        <f t="shared" si="332"/>
        <v>0</v>
      </c>
      <c r="L2244" s="4">
        <f t="shared" si="332"/>
        <v>0</v>
      </c>
      <c r="M2244" s="4">
        <f t="shared" si="332"/>
        <v>0</v>
      </c>
      <c r="N2244" s="4">
        <f t="shared" si="332"/>
        <v>0</v>
      </c>
      <c r="O2244" s="4">
        <f t="shared" si="333"/>
        <v>0</v>
      </c>
      <c r="P2244" s="4">
        <f t="shared" si="334"/>
        <v>0</v>
      </c>
      <c r="Q2244" s="4">
        <f t="shared" si="335"/>
        <v>0</v>
      </c>
      <c r="R2244" s="4">
        <f t="shared" si="336"/>
        <v>0</v>
      </c>
      <c r="S2244" s="4">
        <f>IF(AND(VLOOKUP(G2244,Dados!$D:$L,2,0)=VLOOKUP(I2244,Dados!$S:$V,2,0),VLOOKUP(G2244,Dados!$D:$L,3,0)=VLOOKUP(I2244,Dados!$S:$V,3,0)),0,1)</f>
        <v>0</v>
      </c>
      <c r="T2244" s="4">
        <f>IF(AND(VLOOKUP(G2244,Dados!$D:$L,3,0)&lt;=VLOOKUP(H2244,Dados!$X:$AB,2,0),VLOOKUP(G2244,Dados!$D:$L,4,0)&gt;=VLOOKUP(H2244,Dados!$X:$AB,3,0),VLOOKUP(G2244,Dados!$D:$L,4,0)&lt;=VLOOKUP(H2244,Dados!$X:$AB,4,0)),0,1)</f>
        <v>0</v>
      </c>
      <c r="U2244" s="4">
        <f>IF(COUNTIFS(F:F,F2244,H:H,H2244)&lt;=VLOOKUP(H2244,Dados!$X:$AB,5,0),0,1)</f>
        <v>0</v>
      </c>
    </row>
    <row r="2245" spans="6:21">
      <c r="F2245" s="4">
        <v>997</v>
      </c>
      <c r="G2245" s="4">
        <v>34</v>
      </c>
      <c r="H2245" s="4">
        <v>2</v>
      </c>
      <c r="I2245" s="4">
        <v>16</v>
      </c>
      <c r="J2245" s="4">
        <v>1</v>
      </c>
      <c r="K2245" s="4">
        <f t="shared" si="332"/>
        <v>0</v>
      </c>
      <c r="L2245" s="4">
        <f t="shared" si="332"/>
        <v>0</v>
      </c>
      <c r="M2245" s="4">
        <f t="shared" si="332"/>
        <v>0</v>
      </c>
      <c r="N2245" s="4">
        <f t="shared" si="332"/>
        <v>0</v>
      </c>
      <c r="O2245" s="4">
        <f t="shared" si="333"/>
        <v>0</v>
      </c>
      <c r="P2245" s="4">
        <f t="shared" si="334"/>
        <v>0</v>
      </c>
      <c r="Q2245" s="4">
        <f t="shared" si="335"/>
        <v>0</v>
      </c>
      <c r="R2245" s="4">
        <f t="shared" si="336"/>
        <v>0</v>
      </c>
      <c r="S2245" s="4">
        <f>IF(AND(VLOOKUP(G2245,Dados!$D:$L,2,0)=VLOOKUP(I2245,Dados!$S:$V,2,0),VLOOKUP(G2245,Dados!$D:$L,3,0)=VLOOKUP(I2245,Dados!$S:$V,3,0)),0,1)</f>
        <v>0</v>
      </c>
      <c r="T2245" s="4">
        <f>IF(AND(VLOOKUP(G2245,Dados!$D:$L,3,0)&lt;=VLOOKUP(H2245,Dados!$X:$AB,2,0),VLOOKUP(G2245,Dados!$D:$L,4,0)&gt;=VLOOKUP(H2245,Dados!$X:$AB,3,0),VLOOKUP(G2245,Dados!$D:$L,4,0)&lt;=VLOOKUP(H2245,Dados!$X:$AB,4,0)),0,1)</f>
        <v>0</v>
      </c>
      <c r="U2245" s="4">
        <f>IF(COUNTIFS(F:F,F2245,H:H,H2245)&lt;=VLOOKUP(H2245,Dados!$X:$AB,5,0),0,1)</f>
        <v>0</v>
      </c>
    </row>
    <row r="2246" spans="6:21">
      <c r="F2246" s="4">
        <v>997</v>
      </c>
      <c r="G2246" s="4">
        <v>36</v>
      </c>
      <c r="H2246" s="4">
        <v>2</v>
      </c>
      <c r="I2246" s="4">
        <v>16</v>
      </c>
      <c r="J2246" s="4">
        <v>7</v>
      </c>
      <c r="K2246" s="4">
        <f t="shared" si="332"/>
        <v>0</v>
      </c>
      <c r="L2246" s="4">
        <f t="shared" si="332"/>
        <v>0</v>
      </c>
      <c r="M2246" s="4">
        <f t="shared" si="332"/>
        <v>0</v>
      </c>
      <c r="N2246" s="4">
        <f t="shared" si="332"/>
        <v>0</v>
      </c>
      <c r="O2246" s="4">
        <f t="shared" si="333"/>
        <v>0</v>
      </c>
      <c r="P2246" s="4">
        <f t="shared" si="334"/>
        <v>0</v>
      </c>
      <c r="Q2246" s="4">
        <f t="shared" si="335"/>
        <v>0</v>
      </c>
      <c r="R2246" s="4">
        <f t="shared" si="336"/>
        <v>0</v>
      </c>
      <c r="S2246" s="4">
        <f>IF(AND(VLOOKUP(G2246,Dados!$D:$L,2,0)=VLOOKUP(I2246,Dados!$S:$V,2,0),VLOOKUP(G2246,Dados!$D:$L,3,0)=VLOOKUP(I2246,Dados!$S:$V,3,0)),0,1)</f>
        <v>0</v>
      </c>
      <c r="T2246" s="4">
        <f>IF(AND(VLOOKUP(G2246,Dados!$D:$L,3,0)&lt;=VLOOKUP(H2246,Dados!$X:$AB,2,0),VLOOKUP(G2246,Dados!$D:$L,4,0)&gt;=VLOOKUP(H2246,Dados!$X:$AB,3,0),VLOOKUP(G2246,Dados!$D:$L,4,0)&lt;=VLOOKUP(H2246,Dados!$X:$AB,4,0)),0,1)</f>
        <v>0</v>
      </c>
      <c r="U2246" s="4">
        <f>IF(COUNTIFS(F:F,F2246,H:H,H2246)&lt;=VLOOKUP(H2246,Dados!$X:$AB,5,0),0,1)</f>
        <v>0</v>
      </c>
    </row>
    <row r="2247" spans="6:21">
      <c r="F2247" s="4">
        <v>998</v>
      </c>
      <c r="G2247" s="4">
        <v>34</v>
      </c>
      <c r="H2247" s="4">
        <v>3</v>
      </c>
      <c r="I2247" s="4">
        <v>16</v>
      </c>
      <c r="J2247" s="4">
        <v>1</v>
      </c>
      <c r="K2247" s="4">
        <f t="shared" si="332"/>
        <v>0</v>
      </c>
      <c r="L2247" s="4">
        <f t="shared" si="332"/>
        <v>0</v>
      </c>
      <c r="M2247" s="4">
        <f t="shared" si="332"/>
        <v>5</v>
      </c>
      <c r="N2247" s="4">
        <f t="shared" si="332"/>
        <v>0</v>
      </c>
      <c r="O2247" s="4">
        <f t="shared" si="333"/>
        <v>0</v>
      </c>
      <c r="P2247" s="4">
        <f t="shared" si="334"/>
        <v>0</v>
      </c>
      <c r="Q2247" s="4">
        <f t="shared" si="335"/>
        <v>5</v>
      </c>
      <c r="R2247" s="4">
        <f t="shared" si="336"/>
        <v>0</v>
      </c>
      <c r="S2247" s="4">
        <f>IF(AND(VLOOKUP(G2247,Dados!$D:$L,2,0)=VLOOKUP(I2247,Dados!$S:$V,2,0),VLOOKUP(G2247,Dados!$D:$L,3,0)=VLOOKUP(I2247,Dados!$S:$V,3,0)),0,1)</f>
        <v>0</v>
      </c>
      <c r="T2247" s="4">
        <f>IF(AND(VLOOKUP(G2247,Dados!$D:$L,3,0)&lt;=VLOOKUP(H2247,Dados!$X:$AB,2,0),VLOOKUP(G2247,Dados!$D:$L,4,0)&gt;=VLOOKUP(H2247,Dados!$X:$AB,3,0),VLOOKUP(G2247,Dados!$D:$L,4,0)&lt;=VLOOKUP(H2247,Dados!$X:$AB,4,0)),0,1)</f>
        <v>0</v>
      </c>
      <c r="U2247" s="4">
        <f>IF(COUNTIFS(F:F,F2247,H:H,H2247)&lt;=VLOOKUP(H2247,Dados!$X:$AB,5,0),0,1)</f>
        <v>0</v>
      </c>
    </row>
    <row r="2248" spans="6:21">
      <c r="F2248" s="4">
        <v>998</v>
      </c>
      <c r="G2248" s="4">
        <v>36</v>
      </c>
      <c r="H2248" s="4">
        <v>3</v>
      </c>
      <c r="I2248" s="4">
        <v>16</v>
      </c>
      <c r="J2248" s="4">
        <v>7</v>
      </c>
      <c r="K2248" s="4">
        <f t="shared" si="332"/>
        <v>0</v>
      </c>
      <c r="L2248" s="4">
        <f t="shared" si="332"/>
        <v>0</v>
      </c>
      <c r="M2248" s="4">
        <f t="shared" si="332"/>
        <v>5</v>
      </c>
      <c r="N2248" s="4">
        <f t="shared" si="332"/>
        <v>0</v>
      </c>
      <c r="O2248" s="4">
        <f t="shared" si="333"/>
        <v>0</v>
      </c>
      <c r="P2248" s="4">
        <f t="shared" si="334"/>
        <v>0</v>
      </c>
      <c r="Q2248" s="4">
        <f t="shared" si="335"/>
        <v>35</v>
      </c>
      <c r="R2248" s="4">
        <f t="shared" si="336"/>
        <v>0</v>
      </c>
      <c r="S2248" s="4">
        <f>IF(AND(VLOOKUP(G2248,Dados!$D:$L,2,0)=VLOOKUP(I2248,Dados!$S:$V,2,0),VLOOKUP(G2248,Dados!$D:$L,3,0)=VLOOKUP(I2248,Dados!$S:$V,3,0)),0,1)</f>
        <v>0</v>
      </c>
      <c r="T2248" s="4">
        <f>IF(AND(VLOOKUP(G2248,Dados!$D:$L,3,0)&lt;=VLOOKUP(H2248,Dados!$X:$AB,2,0),VLOOKUP(G2248,Dados!$D:$L,4,0)&gt;=VLOOKUP(H2248,Dados!$X:$AB,3,0),VLOOKUP(G2248,Dados!$D:$L,4,0)&lt;=VLOOKUP(H2248,Dados!$X:$AB,4,0)),0,1)</f>
        <v>0</v>
      </c>
      <c r="U2248" s="4">
        <f>IF(COUNTIFS(F:F,F2248,H:H,H2248)&lt;=VLOOKUP(H2248,Dados!$X:$AB,5,0),0,1)</f>
        <v>0</v>
      </c>
    </row>
    <row r="2249" spans="6:21">
      <c r="F2249" s="4">
        <v>999</v>
      </c>
      <c r="G2249" s="4">
        <v>40</v>
      </c>
      <c r="H2249" s="4">
        <v>1</v>
      </c>
      <c r="I2249" s="4">
        <v>17</v>
      </c>
      <c r="J2249" s="4">
        <v>2</v>
      </c>
      <c r="K2249" s="4">
        <f t="shared" si="332"/>
        <v>0</v>
      </c>
      <c r="L2249" s="4">
        <f t="shared" si="332"/>
        <v>0</v>
      </c>
      <c r="M2249" s="4">
        <f t="shared" si="332"/>
        <v>0</v>
      </c>
      <c r="N2249" s="4">
        <f t="shared" si="332"/>
        <v>0</v>
      </c>
      <c r="O2249" s="4">
        <f t="shared" si="333"/>
        <v>0</v>
      </c>
      <c r="P2249" s="4">
        <f t="shared" si="334"/>
        <v>0</v>
      </c>
      <c r="Q2249" s="4">
        <f t="shared" si="335"/>
        <v>0</v>
      </c>
      <c r="R2249" s="4">
        <f t="shared" si="336"/>
        <v>0</v>
      </c>
      <c r="S2249" s="4">
        <f>IF(AND(VLOOKUP(G2249,Dados!$D:$L,2,0)=VLOOKUP(I2249,Dados!$S:$V,2,0),VLOOKUP(G2249,Dados!$D:$L,3,0)=VLOOKUP(I2249,Dados!$S:$V,3,0)),0,1)</f>
        <v>0</v>
      </c>
      <c r="T2249" s="4">
        <f>IF(AND(VLOOKUP(G2249,Dados!$D:$L,3,0)&lt;=VLOOKUP(H2249,Dados!$X:$AB,2,0),VLOOKUP(G2249,Dados!$D:$L,4,0)&gt;=VLOOKUP(H2249,Dados!$X:$AB,3,0),VLOOKUP(G2249,Dados!$D:$L,4,0)&lt;=VLOOKUP(H2249,Dados!$X:$AB,4,0)),0,1)</f>
        <v>0</v>
      </c>
      <c r="U2249" s="4">
        <f>IF(COUNTIFS(F:F,F2249,H:H,H2249)&lt;=VLOOKUP(H2249,Dados!$X:$AB,5,0),0,1)</f>
        <v>0</v>
      </c>
    </row>
    <row r="2250" spans="6:21">
      <c r="F2250" s="4">
        <v>999</v>
      </c>
      <c r="G2250" s="4">
        <v>42</v>
      </c>
      <c r="H2250" s="4">
        <v>1</v>
      </c>
      <c r="I2250" s="4">
        <v>17</v>
      </c>
      <c r="J2250" s="4">
        <v>1</v>
      </c>
      <c r="K2250" s="4">
        <f t="shared" si="332"/>
        <v>0</v>
      </c>
      <c r="L2250" s="4">
        <f t="shared" si="332"/>
        <v>0</v>
      </c>
      <c r="M2250" s="4">
        <f t="shared" si="332"/>
        <v>0</v>
      </c>
      <c r="N2250" s="4">
        <f t="shared" si="332"/>
        <v>0</v>
      </c>
      <c r="O2250" s="4">
        <f t="shared" si="333"/>
        <v>0</v>
      </c>
      <c r="P2250" s="4">
        <f t="shared" si="334"/>
        <v>0</v>
      </c>
      <c r="Q2250" s="4">
        <f t="shared" si="335"/>
        <v>0</v>
      </c>
      <c r="R2250" s="4">
        <f t="shared" si="336"/>
        <v>0</v>
      </c>
      <c r="S2250" s="4">
        <f>IF(AND(VLOOKUP(G2250,Dados!$D:$L,2,0)=VLOOKUP(I2250,Dados!$S:$V,2,0),VLOOKUP(G2250,Dados!$D:$L,3,0)=VLOOKUP(I2250,Dados!$S:$V,3,0)),0,1)</f>
        <v>0</v>
      </c>
      <c r="T2250" s="4">
        <f>IF(AND(VLOOKUP(G2250,Dados!$D:$L,3,0)&lt;=VLOOKUP(H2250,Dados!$X:$AB,2,0),VLOOKUP(G2250,Dados!$D:$L,4,0)&gt;=VLOOKUP(H2250,Dados!$X:$AB,3,0),VLOOKUP(G2250,Dados!$D:$L,4,0)&lt;=VLOOKUP(H2250,Dados!$X:$AB,4,0)),0,1)</f>
        <v>0</v>
      </c>
      <c r="U2250" s="4">
        <f>IF(COUNTIFS(F:F,F2250,H:H,H2250)&lt;=VLOOKUP(H2250,Dados!$X:$AB,5,0),0,1)</f>
        <v>0</v>
      </c>
    </row>
    <row r="2251" spans="6:21">
      <c r="F2251" s="4">
        <v>999</v>
      </c>
      <c r="G2251" s="4">
        <v>45</v>
      </c>
      <c r="H2251" s="4">
        <v>1</v>
      </c>
      <c r="I2251" s="4">
        <v>17</v>
      </c>
      <c r="J2251" s="4">
        <v>5</v>
      </c>
      <c r="K2251" s="4">
        <f t="shared" si="332"/>
        <v>0</v>
      </c>
      <c r="L2251" s="4">
        <f t="shared" si="332"/>
        <v>0</v>
      </c>
      <c r="M2251" s="4">
        <f t="shared" si="332"/>
        <v>0</v>
      </c>
      <c r="N2251" s="4">
        <f t="shared" si="332"/>
        <v>0</v>
      </c>
      <c r="O2251" s="4">
        <f t="shared" si="333"/>
        <v>0</v>
      </c>
      <c r="P2251" s="4">
        <f t="shared" si="334"/>
        <v>0</v>
      </c>
      <c r="Q2251" s="4">
        <f t="shared" si="335"/>
        <v>0</v>
      </c>
      <c r="R2251" s="4">
        <f t="shared" si="336"/>
        <v>0</v>
      </c>
      <c r="S2251" s="4">
        <f>IF(AND(VLOOKUP(G2251,Dados!$D:$L,2,0)=VLOOKUP(I2251,Dados!$S:$V,2,0),VLOOKUP(G2251,Dados!$D:$L,3,0)=VLOOKUP(I2251,Dados!$S:$V,3,0)),0,1)</f>
        <v>0</v>
      </c>
      <c r="T2251" s="4">
        <f>IF(AND(VLOOKUP(G2251,Dados!$D:$L,3,0)&lt;=VLOOKUP(H2251,Dados!$X:$AB,2,0),VLOOKUP(G2251,Dados!$D:$L,4,0)&gt;=VLOOKUP(H2251,Dados!$X:$AB,3,0),VLOOKUP(G2251,Dados!$D:$L,4,0)&lt;=VLOOKUP(H2251,Dados!$X:$AB,4,0)),0,1)</f>
        <v>0</v>
      </c>
      <c r="U2251" s="4">
        <f>IF(COUNTIFS(F:F,F2251,H:H,H2251)&lt;=VLOOKUP(H2251,Dados!$X:$AB,5,0),0,1)</f>
        <v>0</v>
      </c>
    </row>
    <row r="2252" spans="6:21">
      <c r="F2252" s="4">
        <v>1000</v>
      </c>
      <c r="G2252" s="4">
        <v>40</v>
      </c>
      <c r="H2252" s="4">
        <v>2</v>
      </c>
      <c r="I2252" s="4">
        <v>17</v>
      </c>
      <c r="J2252" s="4">
        <v>2</v>
      </c>
      <c r="K2252" s="4">
        <f t="shared" si="332"/>
        <v>0</v>
      </c>
      <c r="L2252" s="4">
        <f t="shared" si="332"/>
        <v>0</v>
      </c>
      <c r="M2252" s="4">
        <f t="shared" si="332"/>
        <v>0</v>
      </c>
      <c r="N2252" s="4">
        <f t="shared" si="332"/>
        <v>0</v>
      </c>
      <c r="O2252" s="4">
        <f t="shared" si="333"/>
        <v>0</v>
      </c>
      <c r="P2252" s="4">
        <f t="shared" si="334"/>
        <v>0</v>
      </c>
      <c r="Q2252" s="4">
        <f t="shared" si="335"/>
        <v>0</v>
      </c>
      <c r="R2252" s="4">
        <f t="shared" si="336"/>
        <v>0</v>
      </c>
      <c r="S2252" s="4">
        <f>IF(AND(VLOOKUP(G2252,Dados!$D:$L,2,0)=VLOOKUP(I2252,Dados!$S:$V,2,0),VLOOKUP(G2252,Dados!$D:$L,3,0)=VLOOKUP(I2252,Dados!$S:$V,3,0)),0,1)</f>
        <v>0</v>
      </c>
      <c r="T2252" s="4">
        <f>IF(AND(VLOOKUP(G2252,Dados!$D:$L,3,0)&lt;=VLOOKUP(H2252,Dados!$X:$AB,2,0),VLOOKUP(G2252,Dados!$D:$L,4,0)&gt;=VLOOKUP(H2252,Dados!$X:$AB,3,0),VLOOKUP(G2252,Dados!$D:$L,4,0)&lt;=VLOOKUP(H2252,Dados!$X:$AB,4,0)),0,1)</f>
        <v>0</v>
      </c>
      <c r="U2252" s="4">
        <f>IF(COUNTIFS(F:F,F2252,H:H,H2252)&lt;=VLOOKUP(H2252,Dados!$X:$AB,5,0),0,1)</f>
        <v>0</v>
      </c>
    </row>
    <row r="2253" spans="6:21">
      <c r="F2253" s="4">
        <v>1000</v>
      </c>
      <c r="G2253" s="4">
        <v>42</v>
      </c>
      <c r="H2253" s="4">
        <v>2</v>
      </c>
      <c r="I2253" s="4">
        <v>17</v>
      </c>
      <c r="J2253" s="4">
        <v>1</v>
      </c>
      <c r="K2253" s="4">
        <f t="shared" si="332"/>
        <v>0</v>
      </c>
      <c r="L2253" s="4">
        <f t="shared" si="332"/>
        <v>0</v>
      </c>
      <c r="M2253" s="4">
        <f t="shared" si="332"/>
        <v>0</v>
      </c>
      <c r="N2253" s="4">
        <f t="shared" si="332"/>
        <v>0</v>
      </c>
      <c r="O2253" s="4">
        <f t="shared" si="333"/>
        <v>0</v>
      </c>
      <c r="P2253" s="4">
        <f t="shared" si="334"/>
        <v>0</v>
      </c>
      <c r="Q2253" s="4">
        <f t="shared" si="335"/>
        <v>0</v>
      </c>
      <c r="R2253" s="4">
        <f t="shared" si="336"/>
        <v>0</v>
      </c>
      <c r="S2253" s="4">
        <f>IF(AND(VLOOKUP(G2253,Dados!$D:$L,2,0)=VLOOKUP(I2253,Dados!$S:$V,2,0),VLOOKUP(G2253,Dados!$D:$L,3,0)=VLOOKUP(I2253,Dados!$S:$V,3,0)),0,1)</f>
        <v>0</v>
      </c>
      <c r="T2253" s="4">
        <f>IF(AND(VLOOKUP(G2253,Dados!$D:$L,3,0)&lt;=VLOOKUP(H2253,Dados!$X:$AB,2,0),VLOOKUP(G2253,Dados!$D:$L,4,0)&gt;=VLOOKUP(H2253,Dados!$X:$AB,3,0),VLOOKUP(G2253,Dados!$D:$L,4,0)&lt;=VLOOKUP(H2253,Dados!$X:$AB,4,0)),0,1)</f>
        <v>0</v>
      </c>
      <c r="U2253" s="4">
        <f>IF(COUNTIFS(F:F,F2253,H:H,H2253)&lt;=VLOOKUP(H2253,Dados!$X:$AB,5,0),0,1)</f>
        <v>0</v>
      </c>
    </row>
    <row r="2254" spans="6:21">
      <c r="F2254" s="4">
        <v>1000</v>
      </c>
      <c r="G2254" s="4">
        <v>45</v>
      </c>
      <c r="H2254" s="4">
        <v>2</v>
      </c>
      <c r="I2254" s="4">
        <v>17</v>
      </c>
      <c r="J2254" s="4">
        <v>5</v>
      </c>
      <c r="K2254" s="4">
        <f t="shared" si="332"/>
        <v>0</v>
      </c>
      <c r="L2254" s="4">
        <f t="shared" si="332"/>
        <v>0</v>
      </c>
      <c r="M2254" s="4">
        <f t="shared" si="332"/>
        <v>0</v>
      </c>
      <c r="N2254" s="4">
        <f t="shared" si="332"/>
        <v>0</v>
      </c>
      <c r="O2254" s="4">
        <f t="shared" si="333"/>
        <v>0</v>
      </c>
      <c r="P2254" s="4">
        <f t="shared" si="334"/>
        <v>0</v>
      </c>
      <c r="Q2254" s="4">
        <f t="shared" si="335"/>
        <v>0</v>
      </c>
      <c r="R2254" s="4">
        <f t="shared" si="336"/>
        <v>0</v>
      </c>
      <c r="S2254" s="4">
        <f>IF(AND(VLOOKUP(G2254,Dados!$D:$L,2,0)=VLOOKUP(I2254,Dados!$S:$V,2,0),VLOOKUP(G2254,Dados!$D:$L,3,0)=VLOOKUP(I2254,Dados!$S:$V,3,0)),0,1)</f>
        <v>0</v>
      </c>
      <c r="T2254" s="4">
        <f>IF(AND(VLOOKUP(G2254,Dados!$D:$L,3,0)&lt;=VLOOKUP(H2254,Dados!$X:$AB,2,0),VLOOKUP(G2254,Dados!$D:$L,4,0)&gt;=VLOOKUP(H2254,Dados!$X:$AB,3,0),VLOOKUP(G2254,Dados!$D:$L,4,0)&lt;=VLOOKUP(H2254,Dados!$X:$AB,4,0)),0,1)</f>
        <v>0</v>
      </c>
      <c r="U2254" s="4">
        <f>IF(COUNTIFS(F:F,F2254,H:H,H2254)&lt;=VLOOKUP(H2254,Dados!$X:$AB,5,0),0,1)</f>
        <v>0</v>
      </c>
    </row>
    <row r="2255" spans="6:21">
      <c r="F2255" s="4">
        <v>1001</v>
      </c>
      <c r="G2255" s="4">
        <v>40</v>
      </c>
      <c r="H2255" s="4">
        <v>3</v>
      </c>
      <c r="I2255" s="4">
        <v>17</v>
      </c>
      <c r="J2255" s="4">
        <v>2</v>
      </c>
      <c r="K2255" s="4">
        <f t="shared" si="332"/>
        <v>0</v>
      </c>
      <c r="L2255" s="4">
        <f t="shared" si="332"/>
        <v>1</v>
      </c>
      <c r="M2255" s="4">
        <f t="shared" si="332"/>
        <v>0</v>
      </c>
      <c r="N2255" s="4">
        <f t="shared" si="332"/>
        <v>0</v>
      </c>
      <c r="O2255" s="4">
        <f t="shared" si="333"/>
        <v>0</v>
      </c>
      <c r="P2255" s="4">
        <f t="shared" si="334"/>
        <v>2</v>
      </c>
      <c r="Q2255" s="4">
        <f t="shared" si="335"/>
        <v>0</v>
      </c>
      <c r="R2255" s="4">
        <f t="shared" si="336"/>
        <v>0</v>
      </c>
      <c r="S2255" s="4">
        <f>IF(AND(VLOOKUP(G2255,Dados!$D:$L,2,0)=VLOOKUP(I2255,Dados!$S:$V,2,0),VLOOKUP(G2255,Dados!$D:$L,3,0)=VLOOKUP(I2255,Dados!$S:$V,3,0)),0,1)</f>
        <v>0</v>
      </c>
      <c r="T2255" s="4">
        <f>IF(AND(VLOOKUP(G2255,Dados!$D:$L,3,0)&lt;=VLOOKUP(H2255,Dados!$X:$AB,2,0),VLOOKUP(G2255,Dados!$D:$L,4,0)&gt;=VLOOKUP(H2255,Dados!$X:$AB,3,0),VLOOKUP(G2255,Dados!$D:$L,4,0)&lt;=VLOOKUP(H2255,Dados!$X:$AB,4,0)),0,1)</f>
        <v>0</v>
      </c>
      <c r="U2255" s="4">
        <f>IF(COUNTIFS(F:F,F2255,H:H,H2255)&lt;=VLOOKUP(H2255,Dados!$X:$AB,5,0),0,1)</f>
        <v>0</v>
      </c>
    </row>
    <row r="2256" spans="6:21">
      <c r="F2256" s="4">
        <v>1001</v>
      </c>
      <c r="G2256" s="4">
        <v>42</v>
      </c>
      <c r="H2256" s="4">
        <v>3</v>
      </c>
      <c r="I2256" s="4">
        <v>17</v>
      </c>
      <c r="J2256" s="4">
        <v>1</v>
      </c>
      <c r="K2256" s="4">
        <f t="shared" si="332"/>
        <v>0</v>
      </c>
      <c r="L2256" s="4">
        <f t="shared" si="332"/>
        <v>1</v>
      </c>
      <c r="M2256" s="4">
        <f t="shared" si="332"/>
        <v>0</v>
      </c>
      <c r="N2256" s="4">
        <f t="shared" si="332"/>
        <v>0</v>
      </c>
      <c r="O2256" s="4">
        <f t="shared" si="333"/>
        <v>0</v>
      </c>
      <c r="P2256" s="4">
        <f t="shared" si="334"/>
        <v>1</v>
      </c>
      <c r="Q2256" s="4">
        <f t="shared" si="335"/>
        <v>0</v>
      </c>
      <c r="R2256" s="4">
        <f t="shared" si="336"/>
        <v>0</v>
      </c>
      <c r="S2256" s="4">
        <f>IF(AND(VLOOKUP(G2256,Dados!$D:$L,2,0)=VLOOKUP(I2256,Dados!$S:$V,2,0),VLOOKUP(G2256,Dados!$D:$L,3,0)=VLOOKUP(I2256,Dados!$S:$V,3,0)),0,1)</f>
        <v>0</v>
      </c>
      <c r="T2256" s="4">
        <f>IF(AND(VLOOKUP(G2256,Dados!$D:$L,3,0)&lt;=VLOOKUP(H2256,Dados!$X:$AB,2,0),VLOOKUP(G2256,Dados!$D:$L,4,0)&gt;=VLOOKUP(H2256,Dados!$X:$AB,3,0),VLOOKUP(G2256,Dados!$D:$L,4,0)&lt;=VLOOKUP(H2256,Dados!$X:$AB,4,0)),0,1)</f>
        <v>0</v>
      </c>
      <c r="U2256" s="4">
        <f>IF(COUNTIFS(F:F,F2256,H:H,H2256)&lt;=VLOOKUP(H2256,Dados!$X:$AB,5,0),0,1)</f>
        <v>0</v>
      </c>
    </row>
    <row r="2257" spans="6:21">
      <c r="F2257" s="4">
        <v>1001</v>
      </c>
      <c r="G2257" s="4">
        <v>45</v>
      </c>
      <c r="H2257" s="4">
        <v>3</v>
      </c>
      <c r="I2257" s="4">
        <v>17</v>
      </c>
      <c r="J2257" s="4">
        <v>5</v>
      </c>
      <c r="K2257" s="4">
        <f t="shared" si="332"/>
        <v>0</v>
      </c>
      <c r="L2257" s="4">
        <f t="shared" si="332"/>
        <v>1</v>
      </c>
      <c r="M2257" s="4">
        <f t="shared" si="332"/>
        <v>0</v>
      </c>
      <c r="N2257" s="4">
        <f t="shared" si="332"/>
        <v>0</v>
      </c>
      <c r="O2257" s="4">
        <f t="shared" si="333"/>
        <v>0</v>
      </c>
      <c r="P2257" s="4">
        <f t="shared" si="334"/>
        <v>5</v>
      </c>
      <c r="Q2257" s="4">
        <f t="shared" si="335"/>
        <v>0</v>
      </c>
      <c r="R2257" s="4">
        <f t="shared" si="336"/>
        <v>0</v>
      </c>
      <c r="S2257" s="4">
        <f>IF(AND(VLOOKUP(G2257,Dados!$D:$L,2,0)=VLOOKUP(I2257,Dados!$S:$V,2,0),VLOOKUP(G2257,Dados!$D:$L,3,0)=VLOOKUP(I2257,Dados!$S:$V,3,0)),0,1)</f>
        <v>0</v>
      </c>
      <c r="T2257" s="4">
        <f>IF(AND(VLOOKUP(G2257,Dados!$D:$L,3,0)&lt;=VLOOKUP(H2257,Dados!$X:$AB,2,0),VLOOKUP(G2257,Dados!$D:$L,4,0)&gt;=VLOOKUP(H2257,Dados!$X:$AB,3,0),VLOOKUP(G2257,Dados!$D:$L,4,0)&lt;=VLOOKUP(H2257,Dados!$X:$AB,4,0)),0,1)</f>
        <v>0</v>
      </c>
      <c r="U2257" s="4">
        <f>IF(COUNTIFS(F:F,F2257,H:H,H2257)&lt;=VLOOKUP(H2257,Dados!$X:$AB,5,0),0,1)</f>
        <v>0</v>
      </c>
    </row>
    <row r="2258" spans="6:21">
      <c r="F2258" s="4">
        <v>1002</v>
      </c>
      <c r="G2258" s="4">
        <v>46</v>
      </c>
      <c r="H2258" s="4">
        <v>1</v>
      </c>
      <c r="I2258" s="4">
        <v>18</v>
      </c>
      <c r="J2258" s="4">
        <v>1</v>
      </c>
      <c r="K2258" s="4">
        <f t="shared" si="332"/>
        <v>0</v>
      </c>
      <c r="L2258" s="4">
        <f t="shared" si="332"/>
        <v>1</v>
      </c>
      <c r="M2258" s="4">
        <f t="shared" si="332"/>
        <v>1</v>
      </c>
      <c r="N2258" s="4">
        <f t="shared" si="332"/>
        <v>0</v>
      </c>
      <c r="O2258" s="4">
        <f t="shared" si="333"/>
        <v>0</v>
      </c>
      <c r="P2258" s="4">
        <f t="shared" si="334"/>
        <v>1</v>
      </c>
      <c r="Q2258" s="4">
        <f t="shared" si="335"/>
        <v>1</v>
      </c>
      <c r="R2258" s="4">
        <f t="shared" si="336"/>
        <v>0</v>
      </c>
      <c r="S2258" s="4">
        <f>IF(AND(VLOOKUP(G2258,Dados!$D:$L,2,0)=VLOOKUP(I2258,Dados!$S:$V,2,0),VLOOKUP(G2258,Dados!$D:$L,3,0)=VLOOKUP(I2258,Dados!$S:$V,3,0)),0,1)</f>
        <v>0</v>
      </c>
      <c r="T2258" s="4">
        <f>IF(AND(VLOOKUP(G2258,Dados!$D:$L,3,0)&lt;=VLOOKUP(H2258,Dados!$X:$AB,2,0),VLOOKUP(G2258,Dados!$D:$L,4,0)&gt;=VLOOKUP(H2258,Dados!$X:$AB,3,0),VLOOKUP(G2258,Dados!$D:$L,4,0)&lt;=VLOOKUP(H2258,Dados!$X:$AB,4,0)),0,1)</f>
        <v>0</v>
      </c>
      <c r="U2258" s="4">
        <f>IF(COUNTIFS(F:F,F2258,H:H,H2258)&lt;=VLOOKUP(H2258,Dados!$X:$AB,5,0),0,1)</f>
        <v>0</v>
      </c>
    </row>
    <row r="2259" spans="6:21">
      <c r="F2259" s="4">
        <v>1002</v>
      </c>
      <c r="G2259" s="4">
        <v>49</v>
      </c>
      <c r="H2259" s="4">
        <v>1</v>
      </c>
      <c r="I2259" s="4">
        <v>18</v>
      </c>
      <c r="J2259" s="4">
        <v>2</v>
      </c>
      <c r="K2259" s="4">
        <f t="shared" si="332"/>
        <v>0</v>
      </c>
      <c r="L2259" s="4">
        <f t="shared" si="332"/>
        <v>1</v>
      </c>
      <c r="M2259" s="4">
        <f t="shared" si="332"/>
        <v>1</v>
      </c>
      <c r="N2259" s="4">
        <f t="shared" si="332"/>
        <v>0</v>
      </c>
      <c r="O2259" s="4">
        <f t="shared" si="333"/>
        <v>0</v>
      </c>
      <c r="P2259" s="4">
        <f t="shared" si="334"/>
        <v>2</v>
      </c>
      <c r="Q2259" s="4">
        <f t="shared" si="335"/>
        <v>2</v>
      </c>
      <c r="R2259" s="4">
        <f t="shared" si="336"/>
        <v>0</v>
      </c>
      <c r="S2259" s="4">
        <f>IF(AND(VLOOKUP(G2259,Dados!$D:$L,2,0)=VLOOKUP(I2259,Dados!$S:$V,2,0),VLOOKUP(G2259,Dados!$D:$L,3,0)=VLOOKUP(I2259,Dados!$S:$V,3,0)),0,1)</f>
        <v>0</v>
      </c>
      <c r="T2259" s="4">
        <f>IF(AND(VLOOKUP(G2259,Dados!$D:$L,3,0)&lt;=VLOOKUP(H2259,Dados!$X:$AB,2,0),VLOOKUP(G2259,Dados!$D:$L,4,0)&gt;=VLOOKUP(H2259,Dados!$X:$AB,3,0),VLOOKUP(G2259,Dados!$D:$L,4,0)&lt;=VLOOKUP(H2259,Dados!$X:$AB,4,0)),0,1)</f>
        <v>0</v>
      </c>
      <c r="U2259" s="4">
        <f>IF(COUNTIFS(F:F,F2259,H:H,H2259)&lt;=VLOOKUP(H2259,Dados!$X:$AB,5,0),0,1)</f>
        <v>0</v>
      </c>
    </row>
    <row r="2260" spans="6:21">
      <c r="F2260" s="4">
        <v>1002</v>
      </c>
      <c r="G2260" s="4">
        <v>52</v>
      </c>
      <c r="H2260" s="4">
        <v>1</v>
      </c>
      <c r="I2260" s="4">
        <v>18</v>
      </c>
      <c r="J2260" s="4">
        <v>6</v>
      </c>
      <c r="K2260" s="4">
        <f t="shared" si="332"/>
        <v>0</v>
      </c>
      <c r="L2260" s="4">
        <f t="shared" si="332"/>
        <v>1</v>
      </c>
      <c r="M2260" s="4">
        <f t="shared" si="332"/>
        <v>1</v>
      </c>
      <c r="N2260" s="4">
        <f t="shared" si="332"/>
        <v>0</v>
      </c>
      <c r="O2260" s="4">
        <f t="shared" si="333"/>
        <v>0</v>
      </c>
      <c r="P2260" s="4">
        <f t="shared" si="334"/>
        <v>6</v>
      </c>
      <c r="Q2260" s="4">
        <f t="shared" si="335"/>
        <v>6</v>
      </c>
      <c r="R2260" s="4">
        <f t="shared" si="336"/>
        <v>0</v>
      </c>
      <c r="S2260" s="4">
        <f>IF(AND(VLOOKUP(G2260,Dados!$D:$L,2,0)=VLOOKUP(I2260,Dados!$S:$V,2,0),VLOOKUP(G2260,Dados!$D:$L,3,0)=VLOOKUP(I2260,Dados!$S:$V,3,0)),0,1)</f>
        <v>0</v>
      </c>
      <c r="T2260" s="4">
        <f>IF(AND(VLOOKUP(G2260,Dados!$D:$L,3,0)&lt;=VLOOKUP(H2260,Dados!$X:$AB,2,0),VLOOKUP(G2260,Dados!$D:$L,4,0)&gt;=VLOOKUP(H2260,Dados!$X:$AB,3,0),VLOOKUP(G2260,Dados!$D:$L,4,0)&lt;=VLOOKUP(H2260,Dados!$X:$AB,4,0)),0,1)</f>
        <v>0</v>
      </c>
      <c r="U2260" s="4">
        <f>IF(COUNTIFS(F:F,F2260,H:H,H2260)&lt;=VLOOKUP(H2260,Dados!$X:$AB,5,0),0,1)</f>
        <v>0</v>
      </c>
    </row>
    <row r="2261" spans="6:21">
      <c r="F2261" s="4">
        <v>1003</v>
      </c>
      <c r="G2261" s="4">
        <v>46</v>
      </c>
      <c r="H2261" s="4">
        <v>3</v>
      </c>
      <c r="I2261" s="4">
        <v>18</v>
      </c>
      <c r="J2261" s="4">
        <v>1</v>
      </c>
      <c r="K2261" s="4">
        <f t="shared" si="332"/>
        <v>0</v>
      </c>
      <c r="L2261" s="4">
        <f t="shared" si="332"/>
        <v>0</v>
      </c>
      <c r="M2261" s="4">
        <f t="shared" si="332"/>
        <v>0</v>
      </c>
      <c r="N2261" s="4">
        <f t="shared" si="332"/>
        <v>0</v>
      </c>
      <c r="O2261" s="4">
        <f t="shared" si="333"/>
        <v>0</v>
      </c>
      <c r="P2261" s="4">
        <f t="shared" si="334"/>
        <v>0</v>
      </c>
      <c r="Q2261" s="4">
        <f t="shared" si="335"/>
        <v>0</v>
      </c>
      <c r="R2261" s="4">
        <f t="shared" si="336"/>
        <v>0</v>
      </c>
      <c r="S2261" s="4">
        <f>IF(AND(VLOOKUP(G2261,Dados!$D:$L,2,0)=VLOOKUP(I2261,Dados!$S:$V,2,0),VLOOKUP(G2261,Dados!$D:$L,3,0)=VLOOKUP(I2261,Dados!$S:$V,3,0)),0,1)</f>
        <v>0</v>
      </c>
      <c r="T2261" s="4">
        <f>IF(AND(VLOOKUP(G2261,Dados!$D:$L,3,0)&lt;=VLOOKUP(H2261,Dados!$X:$AB,2,0),VLOOKUP(G2261,Dados!$D:$L,4,0)&gt;=VLOOKUP(H2261,Dados!$X:$AB,3,0),VLOOKUP(G2261,Dados!$D:$L,4,0)&lt;=VLOOKUP(H2261,Dados!$X:$AB,4,0)),0,1)</f>
        <v>0</v>
      </c>
      <c r="U2261" s="4">
        <f>IF(COUNTIFS(F:F,F2261,H:H,H2261)&lt;=VLOOKUP(H2261,Dados!$X:$AB,5,0),0,1)</f>
        <v>0</v>
      </c>
    </row>
    <row r="2262" spans="6:21">
      <c r="F2262" s="4">
        <v>1003</v>
      </c>
      <c r="G2262" s="4">
        <v>49</v>
      </c>
      <c r="H2262" s="4">
        <v>3</v>
      </c>
      <c r="I2262" s="4">
        <v>18</v>
      </c>
      <c r="J2262" s="4">
        <v>2</v>
      </c>
      <c r="K2262" s="4">
        <f t="shared" si="332"/>
        <v>0</v>
      </c>
      <c r="L2262" s="4">
        <f t="shared" si="332"/>
        <v>0</v>
      </c>
      <c r="M2262" s="4">
        <f t="shared" si="332"/>
        <v>0</v>
      </c>
      <c r="N2262" s="4">
        <f t="shared" si="332"/>
        <v>0</v>
      </c>
      <c r="O2262" s="4">
        <f t="shared" si="333"/>
        <v>0</v>
      </c>
      <c r="P2262" s="4">
        <f t="shared" si="334"/>
        <v>0</v>
      </c>
      <c r="Q2262" s="4">
        <f t="shared" si="335"/>
        <v>0</v>
      </c>
      <c r="R2262" s="4">
        <f t="shared" si="336"/>
        <v>0</v>
      </c>
      <c r="S2262" s="4">
        <f>IF(AND(VLOOKUP(G2262,Dados!$D:$L,2,0)=VLOOKUP(I2262,Dados!$S:$V,2,0),VLOOKUP(G2262,Dados!$D:$L,3,0)=VLOOKUP(I2262,Dados!$S:$V,3,0)),0,1)</f>
        <v>0</v>
      </c>
      <c r="T2262" s="4">
        <f>IF(AND(VLOOKUP(G2262,Dados!$D:$L,3,0)&lt;=VLOOKUP(H2262,Dados!$X:$AB,2,0),VLOOKUP(G2262,Dados!$D:$L,4,0)&gt;=VLOOKUP(H2262,Dados!$X:$AB,3,0),VLOOKUP(G2262,Dados!$D:$L,4,0)&lt;=VLOOKUP(H2262,Dados!$X:$AB,4,0)),0,1)</f>
        <v>0</v>
      </c>
      <c r="U2262" s="4">
        <f>IF(COUNTIFS(F:F,F2262,H:H,H2262)&lt;=VLOOKUP(H2262,Dados!$X:$AB,5,0),0,1)</f>
        <v>0</v>
      </c>
    </row>
    <row r="2263" spans="6:21">
      <c r="F2263" s="4">
        <v>1003</v>
      </c>
      <c r="G2263" s="4">
        <v>52</v>
      </c>
      <c r="H2263" s="4">
        <v>3</v>
      </c>
      <c r="I2263" s="4">
        <v>18</v>
      </c>
      <c r="J2263" s="4">
        <v>6</v>
      </c>
      <c r="K2263" s="4">
        <f t="shared" si="332"/>
        <v>0</v>
      </c>
      <c r="L2263" s="4">
        <f t="shared" si="332"/>
        <v>0</v>
      </c>
      <c r="M2263" s="4">
        <f t="shared" si="332"/>
        <v>0</v>
      </c>
      <c r="N2263" s="4">
        <f t="shared" si="332"/>
        <v>0</v>
      </c>
      <c r="O2263" s="4">
        <f t="shared" si="333"/>
        <v>0</v>
      </c>
      <c r="P2263" s="4">
        <f t="shared" si="334"/>
        <v>0</v>
      </c>
      <c r="Q2263" s="4">
        <f t="shared" si="335"/>
        <v>0</v>
      </c>
      <c r="R2263" s="4">
        <f t="shared" si="336"/>
        <v>0</v>
      </c>
      <c r="S2263" s="4">
        <f>IF(AND(VLOOKUP(G2263,Dados!$D:$L,2,0)=VLOOKUP(I2263,Dados!$S:$V,2,0),VLOOKUP(G2263,Dados!$D:$L,3,0)=VLOOKUP(I2263,Dados!$S:$V,3,0)),0,1)</f>
        <v>0</v>
      </c>
      <c r="T2263" s="4">
        <f>IF(AND(VLOOKUP(G2263,Dados!$D:$L,3,0)&lt;=VLOOKUP(H2263,Dados!$X:$AB,2,0),VLOOKUP(G2263,Dados!$D:$L,4,0)&gt;=VLOOKUP(H2263,Dados!$X:$AB,3,0),VLOOKUP(G2263,Dados!$D:$L,4,0)&lt;=VLOOKUP(H2263,Dados!$X:$AB,4,0)),0,1)</f>
        <v>0</v>
      </c>
      <c r="U2263" s="4">
        <f>IF(COUNTIFS(F:F,F2263,H:H,H2263)&lt;=VLOOKUP(H2263,Dados!$X:$AB,5,0),0,1)</f>
        <v>0</v>
      </c>
    </row>
    <row r="2264" spans="6:21">
      <c r="F2264" s="4">
        <v>1004</v>
      </c>
      <c r="G2264" s="4">
        <v>59</v>
      </c>
      <c r="H2264" s="4">
        <v>1</v>
      </c>
      <c r="I2264" s="4">
        <v>24</v>
      </c>
      <c r="J2264" s="4">
        <v>7</v>
      </c>
      <c r="K2264" s="4">
        <f t="shared" si="332"/>
        <v>0</v>
      </c>
      <c r="L2264" s="4">
        <f t="shared" si="332"/>
        <v>0</v>
      </c>
      <c r="M2264" s="4">
        <f t="shared" si="332"/>
        <v>0</v>
      </c>
      <c r="N2264" s="4">
        <f t="shared" si="332"/>
        <v>0</v>
      </c>
      <c r="O2264" s="4">
        <f t="shared" si="333"/>
        <v>0</v>
      </c>
      <c r="P2264" s="4">
        <f t="shared" si="334"/>
        <v>0</v>
      </c>
      <c r="Q2264" s="4">
        <f t="shared" si="335"/>
        <v>0</v>
      </c>
      <c r="R2264" s="4">
        <f t="shared" si="336"/>
        <v>0</v>
      </c>
      <c r="S2264" s="4">
        <f>IF(AND(VLOOKUP(G2264,Dados!$D:$L,2,0)=VLOOKUP(I2264,Dados!$S:$V,2,0),VLOOKUP(G2264,Dados!$D:$L,3,0)=VLOOKUP(I2264,Dados!$S:$V,3,0)),0,1)</f>
        <v>0</v>
      </c>
      <c r="T2264" s="4">
        <f>IF(AND(VLOOKUP(G2264,Dados!$D:$L,3,0)&lt;=VLOOKUP(H2264,Dados!$X:$AB,2,0),VLOOKUP(G2264,Dados!$D:$L,4,0)&gt;=VLOOKUP(H2264,Dados!$X:$AB,3,0),VLOOKUP(G2264,Dados!$D:$L,4,0)&lt;=VLOOKUP(H2264,Dados!$X:$AB,4,0)),0,1)</f>
        <v>0</v>
      </c>
      <c r="U2264" s="4">
        <f>IF(COUNTIFS(F:F,F2264,H:H,H2264)&lt;=VLOOKUP(H2264,Dados!$X:$AB,5,0),0,1)</f>
        <v>0</v>
      </c>
    </row>
    <row r="2265" spans="6:21">
      <c r="F2265" s="4">
        <v>1004</v>
      </c>
      <c r="G2265" s="4">
        <v>62</v>
      </c>
      <c r="H2265" s="4">
        <v>1</v>
      </c>
      <c r="I2265" s="4">
        <v>24</v>
      </c>
      <c r="J2265" s="4">
        <v>1</v>
      </c>
      <c r="K2265" s="4">
        <f t="shared" si="332"/>
        <v>0</v>
      </c>
      <c r="L2265" s="4">
        <f t="shared" si="332"/>
        <v>0</v>
      </c>
      <c r="M2265" s="4">
        <f t="shared" si="332"/>
        <v>0</v>
      </c>
      <c r="N2265" s="4">
        <f t="shared" si="332"/>
        <v>0</v>
      </c>
      <c r="O2265" s="4">
        <f t="shared" si="333"/>
        <v>0</v>
      </c>
      <c r="P2265" s="4">
        <f t="shared" si="334"/>
        <v>0</v>
      </c>
      <c r="Q2265" s="4">
        <f t="shared" si="335"/>
        <v>0</v>
      </c>
      <c r="R2265" s="4">
        <f t="shared" si="336"/>
        <v>0</v>
      </c>
      <c r="S2265" s="4">
        <f>IF(AND(VLOOKUP(G2265,Dados!$D:$L,2,0)=VLOOKUP(I2265,Dados!$S:$V,2,0),VLOOKUP(G2265,Dados!$D:$L,3,0)=VLOOKUP(I2265,Dados!$S:$V,3,0)),0,1)</f>
        <v>0</v>
      </c>
      <c r="T2265" s="4">
        <f>IF(AND(VLOOKUP(G2265,Dados!$D:$L,3,0)&lt;=VLOOKUP(H2265,Dados!$X:$AB,2,0),VLOOKUP(G2265,Dados!$D:$L,4,0)&gt;=VLOOKUP(H2265,Dados!$X:$AB,3,0),VLOOKUP(G2265,Dados!$D:$L,4,0)&lt;=VLOOKUP(H2265,Dados!$X:$AB,4,0)),0,1)</f>
        <v>0</v>
      </c>
      <c r="U2265" s="4">
        <f>IF(COUNTIFS(F:F,F2265,H:H,H2265)&lt;=VLOOKUP(H2265,Dados!$X:$AB,5,0),0,1)</f>
        <v>0</v>
      </c>
    </row>
    <row r="2266" spans="6:21">
      <c r="F2266" s="4">
        <v>1004</v>
      </c>
      <c r="G2266" s="4">
        <v>67</v>
      </c>
      <c r="H2266" s="4">
        <v>1</v>
      </c>
      <c r="I2266" s="4">
        <v>24</v>
      </c>
      <c r="J2266" s="4">
        <v>1</v>
      </c>
      <c r="K2266" s="4">
        <f t="shared" si="332"/>
        <v>0</v>
      </c>
      <c r="L2266" s="4">
        <f t="shared" si="332"/>
        <v>0</v>
      </c>
      <c r="M2266" s="4">
        <f t="shared" si="332"/>
        <v>0</v>
      </c>
      <c r="N2266" s="4">
        <f t="shared" si="332"/>
        <v>0</v>
      </c>
      <c r="O2266" s="4">
        <f t="shared" si="333"/>
        <v>0</v>
      </c>
      <c r="P2266" s="4">
        <f t="shared" si="334"/>
        <v>0</v>
      </c>
      <c r="Q2266" s="4">
        <f t="shared" si="335"/>
        <v>0</v>
      </c>
      <c r="R2266" s="4">
        <f t="shared" si="336"/>
        <v>0</v>
      </c>
      <c r="S2266" s="4">
        <f>IF(AND(VLOOKUP(G2266,Dados!$D:$L,2,0)=VLOOKUP(I2266,Dados!$S:$V,2,0),VLOOKUP(G2266,Dados!$D:$L,3,0)=VLOOKUP(I2266,Dados!$S:$V,3,0)),0,1)</f>
        <v>0</v>
      </c>
      <c r="T2266" s="4">
        <f>IF(AND(VLOOKUP(G2266,Dados!$D:$L,3,0)&lt;=VLOOKUP(H2266,Dados!$X:$AB,2,0),VLOOKUP(G2266,Dados!$D:$L,4,0)&gt;=VLOOKUP(H2266,Dados!$X:$AB,3,0),VLOOKUP(G2266,Dados!$D:$L,4,0)&lt;=VLOOKUP(H2266,Dados!$X:$AB,4,0)),0,1)</f>
        <v>0</v>
      </c>
      <c r="U2266" s="4">
        <f>IF(COUNTIFS(F:F,F2266,H:H,H2266)&lt;=VLOOKUP(H2266,Dados!$X:$AB,5,0),0,1)</f>
        <v>0</v>
      </c>
    </row>
    <row r="2267" spans="6:21">
      <c r="F2267" s="4">
        <v>1005</v>
      </c>
      <c r="G2267" s="4">
        <v>59</v>
      </c>
      <c r="H2267" s="4">
        <v>2</v>
      </c>
      <c r="I2267" s="4">
        <v>24</v>
      </c>
      <c r="J2267" s="4">
        <v>7</v>
      </c>
      <c r="K2267" s="4">
        <f t="shared" si="332"/>
        <v>0</v>
      </c>
      <c r="L2267" s="4">
        <f t="shared" si="332"/>
        <v>0</v>
      </c>
      <c r="M2267" s="4">
        <f t="shared" si="332"/>
        <v>0</v>
      </c>
      <c r="N2267" s="4">
        <f t="shared" si="332"/>
        <v>0</v>
      </c>
      <c r="O2267" s="4">
        <f t="shared" si="333"/>
        <v>0</v>
      </c>
      <c r="P2267" s="4">
        <f t="shared" si="334"/>
        <v>0</v>
      </c>
      <c r="Q2267" s="4">
        <f t="shared" si="335"/>
        <v>0</v>
      </c>
      <c r="R2267" s="4">
        <f t="shared" si="336"/>
        <v>0</v>
      </c>
      <c r="S2267" s="4">
        <f>IF(AND(VLOOKUP(G2267,Dados!$D:$L,2,0)=VLOOKUP(I2267,Dados!$S:$V,2,0),VLOOKUP(G2267,Dados!$D:$L,3,0)=VLOOKUP(I2267,Dados!$S:$V,3,0)),0,1)</f>
        <v>0</v>
      </c>
      <c r="T2267" s="4">
        <f>IF(AND(VLOOKUP(G2267,Dados!$D:$L,3,0)&lt;=VLOOKUP(H2267,Dados!$X:$AB,2,0),VLOOKUP(G2267,Dados!$D:$L,4,0)&gt;=VLOOKUP(H2267,Dados!$X:$AB,3,0),VLOOKUP(G2267,Dados!$D:$L,4,0)&lt;=VLOOKUP(H2267,Dados!$X:$AB,4,0)),0,1)</f>
        <v>0</v>
      </c>
      <c r="U2267" s="4">
        <f>IF(COUNTIFS(F:F,F2267,H:H,H2267)&lt;=VLOOKUP(H2267,Dados!$X:$AB,5,0),0,1)</f>
        <v>0</v>
      </c>
    </row>
    <row r="2268" spans="6:21">
      <c r="F2268" s="4">
        <v>1005</v>
      </c>
      <c r="G2268" s="4">
        <v>62</v>
      </c>
      <c r="H2268" s="4">
        <v>2</v>
      </c>
      <c r="I2268" s="4">
        <v>24</v>
      </c>
      <c r="J2268" s="4">
        <v>1</v>
      </c>
      <c r="K2268" s="4">
        <f t="shared" si="332"/>
        <v>0</v>
      </c>
      <c r="L2268" s="4">
        <f t="shared" si="332"/>
        <v>0</v>
      </c>
      <c r="M2268" s="4">
        <f t="shared" si="332"/>
        <v>0</v>
      </c>
      <c r="N2268" s="4">
        <f t="shared" si="332"/>
        <v>0</v>
      </c>
      <c r="O2268" s="4">
        <f t="shared" si="333"/>
        <v>0</v>
      </c>
      <c r="P2268" s="4">
        <f t="shared" si="334"/>
        <v>0</v>
      </c>
      <c r="Q2268" s="4">
        <f t="shared" si="335"/>
        <v>0</v>
      </c>
      <c r="R2268" s="4">
        <f t="shared" si="336"/>
        <v>0</v>
      </c>
      <c r="S2268" s="4">
        <f>IF(AND(VLOOKUP(G2268,Dados!$D:$L,2,0)=VLOOKUP(I2268,Dados!$S:$V,2,0),VLOOKUP(G2268,Dados!$D:$L,3,0)=VLOOKUP(I2268,Dados!$S:$V,3,0)),0,1)</f>
        <v>0</v>
      </c>
      <c r="T2268" s="4">
        <f>IF(AND(VLOOKUP(G2268,Dados!$D:$L,3,0)&lt;=VLOOKUP(H2268,Dados!$X:$AB,2,0),VLOOKUP(G2268,Dados!$D:$L,4,0)&gt;=VLOOKUP(H2268,Dados!$X:$AB,3,0),VLOOKUP(G2268,Dados!$D:$L,4,0)&lt;=VLOOKUP(H2268,Dados!$X:$AB,4,0)),0,1)</f>
        <v>0</v>
      </c>
      <c r="U2268" s="4">
        <f>IF(COUNTIFS(F:F,F2268,H:H,H2268)&lt;=VLOOKUP(H2268,Dados!$X:$AB,5,0),0,1)</f>
        <v>0</v>
      </c>
    </row>
    <row r="2269" spans="6:21">
      <c r="F2269" s="4">
        <v>1005</v>
      </c>
      <c r="G2269" s="4">
        <v>67</v>
      </c>
      <c r="H2269" s="4">
        <v>2</v>
      </c>
      <c r="I2269" s="4">
        <v>24</v>
      </c>
      <c r="J2269" s="4">
        <v>1</v>
      </c>
      <c r="K2269" s="4">
        <f t="shared" si="332"/>
        <v>0</v>
      </c>
      <c r="L2269" s="4">
        <f t="shared" si="332"/>
        <v>0</v>
      </c>
      <c r="M2269" s="4">
        <f t="shared" si="332"/>
        <v>0</v>
      </c>
      <c r="N2269" s="4">
        <f t="shared" si="332"/>
        <v>0</v>
      </c>
      <c r="O2269" s="4">
        <f t="shared" si="333"/>
        <v>0</v>
      </c>
      <c r="P2269" s="4">
        <f t="shared" si="334"/>
        <v>0</v>
      </c>
      <c r="Q2269" s="4">
        <f t="shared" si="335"/>
        <v>0</v>
      </c>
      <c r="R2269" s="4">
        <f t="shared" si="336"/>
        <v>0</v>
      </c>
      <c r="S2269" s="4">
        <f>IF(AND(VLOOKUP(G2269,Dados!$D:$L,2,0)=VLOOKUP(I2269,Dados!$S:$V,2,0),VLOOKUP(G2269,Dados!$D:$L,3,0)=VLOOKUP(I2269,Dados!$S:$V,3,0)),0,1)</f>
        <v>0</v>
      </c>
      <c r="T2269" s="4">
        <f>IF(AND(VLOOKUP(G2269,Dados!$D:$L,3,0)&lt;=VLOOKUP(H2269,Dados!$X:$AB,2,0),VLOOKUP(G2269,Dados!$D:$L,4,0)&gt;=VLOOKUP(H2269,Dados!$X:$AB,3,0),VLOOKUP(G2269,Dados!$D:$L,4,0)&lt;=VLOOKUP(H2269,Dados!$X:$AB,4,0)),0,1)</f>
        <v>0</v>
      </c>
      <c r="U2269" s="4">
        <f>IF(COUNTIFS(F:F,F2269,H:H,H2269)&lt;=VLOOKUP(H2269,Dados!$X:$AB,5,0),0,1)</f>
        <v>0</v>
      </c>
    </row>
    <row r="2270" spans="6:21">
      <c r="F2270" s="4">
        <v>1006</v>
      </c>
      <c r="G2270" s="4">
        <v>59</v>
      </c>
      <c r="H2270" s="4">
        <v>3</v>
      </c>
      <c r="I2270" s="4">
        <v>24</v>
      </c>
      <c r="J2270" s="4">
        <v>7</v>
      </c>
      <c r="K2270" s="4">
        <f t="shared" ref="K2270:N2333" si="337">SUMIFS($X:$X,$W:$W,$F2270,$Z:$Z,$I2270,$AA:$AA,$H2270,$AB:$AB,K$2)</f>
        <v>0</v>
      </c>
      <c r="L2270" s="4">
        <f t="shared" si="337"/>
        <v>0</v>
      </c>
      <c r="M2270" s="4">
        <f t="shared" si="337"/>
        <v>0</v>
      </c>
      <c r="N2270" s="4">
        <f t="shared" si="337"/>
        <v>0</v>
      </c>
      <c r="O2270" s="4">
        <f t="shared" si="333"/>
        <v>0</v>
      </c>
      <c r="P2270" s="4">
        <f t="shared" si="334"/>
        <v>0</v>
      </c>
      <c r="Q2270" s="4">
        <f t="shared" si="335"/>
        <v>0</v>
      </c>
      <c r="R2270" s="4">
        <f t="shared" si="336"/>
        <v>0</v>
      </c>
      <c r="S2270" s="4">
        <f>IF(AND(VLOOKUP(G2270,Dados!$D:$L,2,0)=VLOOKUP(I2270,Dados!$S:$V,2,0),VLOOKUP(G2270,Dados!$D:$L,3,0)=VLOOKUP(I2270,Dados!$S:$V,3,0)),0,1)</f>
        <v>0</v>
      </c>
      <c r="T2270" s="4">
        <f>IF(AND(VLOOKUP(G2270,Dados!$D:$L,3,0)&lt;=VLOOKUP(H2270,Dados!$X:$AB,2,0),VLOOKUP(G2270,Dados!$D:$L,4,0)&gt;=VLOOKUP(H2270,Dados!$X:$AB,3,0),VLOOKUP(G2270,Dados!$D:$L,4,0)&lt;=VLOOKUP(H2270,Dados!$X:$AB,4,0)),0,1)</f>
        <v>0</v>
      </c>
      <c r="U2270" s="4">
        <f>IF(COUNTIFS(F:F,F2270,H:H,H2270)&lt;=VLOOKUP(H2270,Dados!$X:$AB,5,0),0,1)</f>
        <v>0</v>
      </c>
    </row>
    <row r="2271" spans="6:21">
      <c r="F2271" s="4">
        <v>1006</v>
      </c>
      <c r="G2271" s="4">
        <v>62</v>
      </c>
      <c r="H2271" s="4">
        <v>3</v>
      </c>
      <c r="I2271" s="4">
        <v>24</v>
      </c>
      <c r="J2271" s="4">
        <v>1</v>
      </c>
      <c r="K2271" s="4">
        <f t="shared" si="337"/>
        <v>0</v>
      </c>
      <c r="L2271" s="4">
        <f t="shared" si="337"/>
        <v>0</v>
      </c>
      <c r="M2271" s="4">
        <f t="shared" si="337"/>
        <v>0</v>
      </c>
      <c r="N2271" s="4">
        <f t="shared" si="337"/>
        <v>0</v>
      </c>
      <c r="O2271" s="4">
        <f t="shared" si="333"/>
        <v>0</v>
      </c>
      <c r="P2271" s="4">
        <f t="shared" si="334"/>
        <v>0</v>
      </c>
      <c r="Q2271" s="4">
        <f t="shared" si="335"/>
        <v>0</v>
      </c>
      <c r="R2271" s="4">
        <f t="shared" si="336"/>
        <v>0</v>
      </c>
      <c r="S2271" s="4">
        <f>IF(AND(VLOOKUP(G2271,Dados!$D:$L,2,0)=VLOOKUP(I2271,Dados!$S:$V,2,0),VLOOKUP(G2271,Dados!$D:$L,3,0)=VLOOKUP(I2271,Dados!$S:$V,3,0)),0,1)</f>
        <v>0</v>
      </c>
      <c r="T2271" s="4">
        <f>IF(AND(VLOOKUP(G2271,Dados!$D:$L,3,0)&lt;=VLOOKUP(H2271,Dados!$X:$AB,2,0),VLOOKUP(G2271,Dados!$D:$L,4,0)&gt;=VLOOKUP(H2271,Dados!$X:$AB,3,0),VLOOKUP(G2271,Dados!$D:$L,4,0)&lt;=VLOOKUP(H2271,Dados!$X:$AB,4,0)),0,1)</f>
        <v>0</v>
      </c>
      <c r="U2271" s="4">
        <f>IF(COUNTIFS(F:F,F2271,H:H,H2271)&lt;=VLOOKUP(H2271,Dados!$X:$AB,5,0),0,1)</f>
        <v>0</v>
      </c>
    </row>
    <row r="2272" spans="6:21">
      <c r="F2272" s="4">
        <v>1006</v>
      </c>
      <c r="G2272" s="4">
        <v>67</v>
      </c>
      <c r="H2272" s="4">
        <v>3</v>
      </c>
      <c r="I2272" s="4">
        <v>24</v>
      </c>
      <c r="J2272" s="4">
        <v>1</v>
      </c>
      <c r="K2272" s="4">
        <f t="shared" si="337"/>
        <v>0</v>
      </c>
      <c r="L2272" s="4">
        <f t="shared" si="337"/>
        <v>0</v>
      </c>
      <c r="M2272" s="4">
        <f t="shared" si="337"/>
        <v>0</v>
      </c>
      <c r="N2272" s="4">
        <f t="shared" si="337"/>
        <v>0</v>
      </c>
      <c r="O2272" s="4">
        <f t="shared" si="333"/>
        <v>0</v>
      </c>
      <c r="P2272" s="4">
        <f t="shared" si="334"/>
        <v>0</v>
      </c>
      <c r="Q2272" s="4">
        <f t="shared" si="335"/>
        <v>0</v>
      </c>
      <c r="R2272" s="4">
        <f t="shared" si="336"/>
        <v>0</v>
      </c>
      <c r="S2272" s="4">
        <f>IF(AND(VLOOKUP(G2272,Dados!$D:$L,2,0)=VLOOKUP(I2272,Dados!$S:$V,2,0),VLOOKUP(G2272,Dados!$D:$L,3,0)=VLOOKUP(I2272,Dados!$S:$V,3,0)),0,1)</f>
        <v>0</v>
      </c>
      <c r="T2272" s="4">
        <f>IF(AND(VLOOKUP(G2272,Dados!$D:$L,3,0)&lt;=VLOOKUP(H2272,Dados!$X:$AB,2,0),VLOOKUP(G2272,Dados!$D:$L,4,0)&gt;=VLOOKUP(H2272,Dados!$X:$AB,3,0),VLOOKUP(G2272,Dados!$D:$L,4,0)&lt;=VLOOKUP(H2272,Dados!$X:$AB,4,0)),0,1)</f>
        <v>0</v>
      </c>
      <c r="U2272" s="4">
        <f>IF(COUNTIFS(F:F,F2272,H:H,H2272)&lt;=VLOOKUP(H2272,Dados!$X:$AB,5,0),0,1)</f>
        <v>0</v>
      </c>
    </row>
    <row r="2273" spans="6:21">
      <c r="F2273" s="4">
        <v>1007</v>
      </c>
      <c r="G2273" s="4">
        <v>59</v>
      </c>
      <c r="H2273" s="4">
        <v>3</v>
      </c>
      <c r="I2273" s="4">
        <v>27</v>
      </c>
      <c r="J2273" s="4">
        <v>8</v>
      </c>
      <c r="K2273" s="4">
        <f t="shared" si="337"/>
        <v>0</v>
      </c>
      <c r="L2273" s="4">
        <f t="shared" si="337"/>
        <v>0</v>
      </c>
      <c r="M2273" s="4">
        <f t="shared" si="337"/>
        <v>0</v>
      </c>
      <c r="N2273" s="4">
        <f t="shared" si="337"/>
        <v>0</v>
      </c>
      <c r="O2273" s="4">
        <f t="shared" si="333"/>
        <v>0</v>
      </c>
      <c r="P2273" s="4">
        <f t="shared" si="334"/>
        <v>0</v>
      </c>
      <c r="Q2273" s="4">
        <f t="shared" si="335"/>
        <v>0</v>
      </c>
      <c r="R2273" s="4">
        <f t="shared" si="336"/>
        <v>0</v>
      </c>
      <c r="S2273" s="4">
        <f>IF(AND(VLOOKUP(G2273,Dados!$D:$L,2,0)=VLOOKUP(I2273,Dados!$S:$V,2,0),VLOOKUP(G2273,Dados!$D:$L,3,0)=VLOOKUP(I2273,Dados!$S:$V,3,0)),0,1)</f>
        <v>0</v>
      </c>
      <c r="T2273" s="4">
        <f>IF(AND(VLOOKUP(G2273,Dados!$D:$L,3,0)&lt;=VLOOKUP(H2273,Dados!$X:$AB,2,0),VLOOKUP(G2273,Dados!$D:$L,4,0)&gt;=VLOOKUP(H2273,Dados!$X:$AB,3,0),VLOOKUP(G2273,Dados!$D:$L,4,0)&lt;=VLOOKUP(H2273,Dados!$X:$AB,4,0)),0,1)</f>
        <v>0</v>
      </c>
      <c r="U2273" s="4">
        <f>IF(COUNTIFS(F:F,F2273,H:H,H2273)&lt;=VLOOKUP(H2273,Dados!$X:$AB,5,0),0,1)</f>
        <v>0</v>
      </c>
    </row>
    <row r="2274" spans="6:21">
      <c r="F2274" s="4">
        <v>1007</v>
      </c>
      <c r="G2274" s="4">
        <v>63</v>
      </c>
      <c r="H2274" s="4">
        <v>3</v>
      </c>
      <c r="I2274" s="4">
        <v>27</v>
      </c>
      <c r="J2274" s="4">
        <v>1</v>
      </c>
      <c r="K2274" s="4">
        <f t="shared" si="337"/>
        <v>0</v>
      </c>
      <c r="L2274" s="4">
        <f t="shared" si="337"/>
        <v>0</v>
      </c>
      <c r="M2274" s="4">
        <f t="shared" si="337"/>
        <v>0</v>
      </c>
      <c r="N2274" s="4">
        <f t="shared" si="337"/>
        <v>0</v>
      </c>
      <c r="O2274" s="4">
        <f t="shared" si="333"/>
        <v>0</v>
      </c>
      <c r="P2274" s="4">
        <f t="shared" si="334"/>
        <v>0</v>
      </c>
      <c r="Q2274" s="4">
        <f t="shared" si="335"/>
        <v>0</v>
      </c>
      <c r="R2274" s="4">
        <f t="shared" si="336"/>
        <v>0</v>
      </c>
      <c r="S2274" s="4">
        <f>IF(AND(VLOOKUP(G2274,Dados!$D:$L,2,0)=VLOOKUP(I2274,Dados!$S:$V,2,0),VLOOKUP(G2274,Dados!$D:$L,3,0)=VLOOKUP(I2274,Dados!$S:$V,3,0)),0,1)</f>
        <v>0</v>
      </c>
      <c r="T2274" s="4">
        <f>IF(AND(VLOOKUP(G2274,Dados!$D:$L,3,0)&lt;=VLOOKUP(H2274,Dados!$X:$AB,2,0),VLOOKUP(G2274,Dados!$D:$L,4,0)&gt;=VLOOKUP(H2274,Dados!$X:$AB,3,0),VLOOKUP(G2274,Dados!$D:$L,4,0)&lt;=VLOOKUP(H2274,Dados!$X:$AB,4,0)),0,1)</f>
        <v>0</v>
      </c>
      <c r="U2274" s="4">
        <f>IF(COUNTIFS(F:F,F2274,H:H,H2274)&lt;=VLOOKUP(H2274,Dados!$X:$AB,5,0),0,1)</f>
        <v>0</v>
      </c>
    </row>
    <row r="2275" spans="6:21">
      <c r="F2275" s="4">
        <v>1007</v>
      </c>
      <c r="G2275" s="4">
        <v>64</v>
      </c>
      <c r="H2275" s="4">
        <v>3</v>
      </c>
      <c r="I2275" s="4">
        <v>27</v>
      </c>
      <c r="J2275" s="4">
        <v>1</v>
      </c>
      <c r="K2275" s="4">
        <f t="shared" si="337"/>
        <v>0</v>
      </c>
      <c r="L2275" s="4">
        <f t="shared" si="337"/>
        <v>0</v>
      </c>
      <c r="M2275" s="4">
        <f t="shared" si="337"/>
        <v>0</v>
      </c>
      <c r="N2275" s="4">
        <f t="shared" si="337"/>
        <v>0</v>
      </c>
      <c r="O2275" s="4">
        <f t="shared" si="333"/>
        <v>0</v>
      </c>
      <c r="P2275" s="4">
        <f t="shared" si="334"/>
        <v>0</v>
      </c>
      <c r="Q2275" s="4">
        <f t="shared" si="335"/>
        <v>0</v>
      </c>
      <c r="R2275" s="4">
        <f t="shared" si="336"/>
        <v>0</v>
      </c>
      <c r="S2275" s="4">
        <f>IF(AND(VLOOKUP(G2275,Dados!$D:$L,2,0)=VLOOKUP(I2275,Dados!$S:$V,2,0),VLOOKUP(G2275,Dados!$D:$L,3,0)=VLOOKUP(I2275,Dados!$S:$V,3,0)),0,1)</f>
        <v>0</v>
      </c>
      <c r="T2275" s="4">
        <f>IF(AND(VLOOKUP(G2275,Dados!$D:$L,3,0)&lt;=VLOOKUP(H2275,Dados!$X:$AB,2,0),VLOOKUP(G2275,Dados!$D:$L,4,0)&gt;=VLOOKUP(H2275,Dados!$X:$AB,3,0),VLOOKUP(G2275,Dados!$D:$L,4,0)&lt;=VLOOKUP(H2275,Dados!$X:$AB,4,0)),0,1)</f>
        <v>0</v>
      </c>
      <c r="U2275" s="4">
        <f>IF(COUNTIFS(F:F,F2275,H:H,H2275)&lt;=VLOOKUP(H2275,Dados!$X:$AB,5,0),0,1)</f>
        <v>0</v>
      </c>
    </row>
    <row r="2276" spans="6:21">
      <c r="F2276" s="4">
        <v>1007</v>
      </c>
      <c r="G2276" s="4">
        <v>66</v>
      </c>
      <c r="H2276" s="4">
        <v>3</v>
      </c>
      <c r="I2276" s="4">
        <v>27</v>
      </c>
      <c r="J2276" s="4">
        <v>1</v>
      </c>
      <c r="K2276" s="4">
        <f t="shared" si="337"/>
        <v>0</v>
      </c>
      <c r="L2276" s="4">
        <f t="shared" si="337"/>
        <v>0</v>
      </c>
      <c r="M2276" s="4">
        <f t="shared" si="337"/>
        <v>0</v>
      </c>
      <c r="N2276" s="4">
        <f t="shared" si="337"/>
        <v>0</v>
      </c>
      <c r="O2276" s="4">
        <f t="shared" si="333"/>
        <v>0</v>
      </c>
      <c r="P2276" s="4">
        <f t="shared" si="334"/>
        <v>0</v>
      </c>
      <c r="Q2276" s="4">
        <f t="shared" si="335"/>
        <v>0</v>
      </c>
      <c r="R2276" s="4">
        <f t="shared" si="336"/>
        <v>0</v>
      </c>
      <c r="S2276" s="4">
        <f>IF(AND(VLOOKUP(G2276,Dados!$D:$L,2,0)=VLOOKUP(I2276,Dados!$S:$V,2,0),VLOOKUP(G2276,Dados!$D:$L,3,0)=VLOOKUP(I2276,Dados!$S:$V,3,0)),0,1)</f>
        <v>0</v>
      </c>
      <c r="T2276" s="4">
        <f>IF(AND(VLOOKUP(G2276,Dados!$D:$L,3,0)&lt;=VLOOKUP(H2276,Dados!$X:$AB,2,0),VLOOKUP(G2276,Dados!$D:$L,4,0)&gt;=VLOOKUP(H2276,Dados!$X:$AB,3,0),VLOOKUP(G2276,Dados!$D:$L,4,0)&lt;=VLOOKUP(H2276,Dados!$X:$AB,4,0)),0,1)</f>
        <v>0</v>
      </c>
      <c r="U2276" s="4">
        <f>IF(COUNTIFS(F:F,F2276,H:H,H2276)&lt;=VLOOKUP(H2276,Dados!$X:$AB,5,0),0,1)</f>
        <v>0</v>
      </c>
    </row>
    <row r="2277" spans="6:21">
      <c r="F2277" s="4">
        <v>1008</v>
      </c>
      <c r="G2277" s="4">
        <v>59</v>
      </c>
      <c r="H2277" s="4">
        <v>3</v>
      </c>
      <c r="I2277" s="4">
        <v>28</v>
      </c>
      <c r="J2277" s="4">
        <v>4</v>
      </c>
      <c r="K2277" s="4">
        <f t="shared" si="337"/>
        <v>0</v>
      </c>
      <c r="L2277" s="4">
        <f t="shared" si="337"/>
        <v>0</v>
      </c>
      <c r="M2277" s="4">
        <f t="shared" si="337"/>
        <v>55</v>
      </c>
      <c r="N2277" s="4">
        <f t="shared" si="337"/>
        <v>0</v>
      </c>
      <c r="O2277" s="4">
        <f t="shared" si="333"/>
        <v>0</v>
      </c>
      <c r="P2277" s="4">
        <f t="shared" si="334"/>
        <v>0</v>
      </c>
      <c r="Q2277" s="4">
        <f t="shared" si="335"/>
        <v>220</v>
      </c>
      <c r="R2277" s="4">
        <f t="shared" si="336"/>
        <v>0</v>
      </c>
      <c r="S2277" s="4">
        <f>IF(AND(VLOOKUP(G2277,Dados!$D:$L,2,0)=VLOOKUP(I2277,Dados!$S:$V,2,0),VLOOKUP(G2277,Dados!$D:$L,3,0)=VLOOKUP(I2277,Dados!$S:$V,3,0)),0,1)</f>
        <v>0</v>
      </c>
      <c r="T2277" s="4">
        <f>IF(AND(VLOOKUP(G2277,Dados!$D:$L,3,0)&lt;=VLOOKUP(H2277,Dados!$X:$AB,2,0),VLOOKUP(G2277,Dados!$D:$L,4,0)&gt;=VLOOKUP(H2277,Dados!$X:$AB,3,0),VLOOKUP(G2277,Dados!$D:$L,4,0)&lt;=VLOOKUP(H2277,Dados!$X:$AB,4,0)),0,1)</f>
        <v>0</v>
      </c>
      <c r="U2277" s="4">
        <f>IF(COUNTIFS(F:F,F2277,H:H,H2277)&lt;=VLOOKUP(H2277,Dados!$X:$AB,5,0),0,1)</f>
        <v>0</v>
      </c>
    </row>
    <row r="2278" spans="6:21">
      <c r="F2278" s="4">
        <v>1008</v>
      </c>
      <c r="G2278" s="4">
        <v>62</v>
      </c>
      <c r="H2278" s="4">
        <v>3</v>
      </c>
      <c r="I2278" s="4">
        <v>28</v>
      </c>
      <c r="J2278" s="4">
        <v>1</v>
      </c>
      <c r="K2278" s="4">
        <f t="shared" si="337"/>
        <v>0</v>
      </c>
      <c r="L2278" s="4">
        <f t="shared" si="337"/>
        <v>0</v>
      </c>
      <c r="M2278" s="4">
        <f t="shared" si="337"/>
        <v>55</v>
      </c>
      <c r="N2278" s="4">
        <f t="shared" si="337"/>
        <v>0</v>
      </c>
      <c r="O2278" s="4">
        <f t="shared" si="333"/>
        <v>0</v>
      </c>
      <c r="P2278" s="4">
        <f t="shared" si="334"/>
        <v>0</v>
      </c>
      <c r="Q2278" s="4">
        <f t="shared" si="335"/>
        <v>55</v>
      </c>
      <c r="R2278" s="4">
        <f t="shared" si="336"/>
        <v>0</v>
      </c>
      <c r="S2278" s="4">
        <f>IF(AND(VLOOKUP(G2278,Dados!$D:$L,2,0)=VLOOKUP(I2278,Dados!$S:$V,2,0),VLOOKUP(G2278,Dados!$D:$L,3,0)=VLOOKUP(I2278,Dados!$S:$V,3,0)),0,1)</f>
        <v>0</v>
      </c>
      <c r="T2278" s="4">
        <f>IF(AND(VLOOKUP(G2278,Dados!$D:$L,3,0)&lt;=VLOOKUP(H2278,Dados!$X:$AB,2,0),VLOOKUP(G2278,Dados!$D:$L,4,0)&gt;=VLOOKUP(H2278,Dados!$X:$AB,3,0),VLOOKUP(G2278,Dados!$D:$L,4,0)&lt;=VLOOKUP(H2278,Dados!$X:$AB,4,0)),0,1)</f>
        <v>0</v>
      </c>
      <c r="U2278" s="4">
        <f>IF(COUNTIFS(F:F,F2278,H:H,H2278)&lt;=VLOOKUP(H2278,Dados!$X:$AB,5,0),0,1)</f>
        <v>0</v>
      </c>
    </row>
    <row r="2279" spans="6:21">
      <c r="F2279" s="4">
        <v>1008</v>
      </c>
      <c r="G2279" s="4">
        <v>64</v>
      </c>
      <c r="H2279" s="4">
        <v>3</v>
      </c>
      <c r="I2279" s="4">
        <v>28</v>
      </c>
      <c r="J2279" s="4">
        <v>1</v>
      </c>
      <c r="K2279" s="4">
        <f t="shared" si="337"/>
        <v>0</v>
      </c>
      <c r="L2279" s="4">
        <f t="shared" si="337"/>
        <v>0</v>
      </c>
      <c r="M2279" s="4">
        <f t="shared" si="337"/>
        <v>55</v>
      </c>
      <c r="N2279" s="4">
        <f t="shared" si="337"/>
        <v>0</v>
      </c>
      <c r="O2279" s="4">
        <f t="shared" ref="O2279:O2342" si="338">$J2279*K2279</f>
        <v>0</v>
      </c>
      <c r="P2279" s="4">
        <f t="shared" ref="P2279:P2342" si="339">$J2279*L2279</f>
        <v>0</v>
      </c>
      <c r="Q2279" s="4">
        <f t="shared" ref="Q2279:Q2342" si="340">$J2279*M2279</f>
        <v>55</v>
      </c>
      <c r="R2279" s="4">
        <f t="shared" ref="R2279:R2342" si="341">$J2279*N2279</f>
        <v>0</v>
      </c>
      <c r="S2279" s="4">
        <f>IF(AND(VLOOKUP(G2279,Dados!$D:$L,2,0)=VLOOKUP(I2279,Dados!$S:$V,2,0),VLOOKUP(G2279,Dados!$D:$L,3,0)=VLOOKUP(I2279,Dados!$S:$V,3,0)),0,1)</f>
        <v>0</v>
      </c>
      <c r="T2279" s="4">
        <f>IF(AND(VLOOKUP(G2279,Dados!$D:$L,3,0)&lt;=VLOOKUP(H2279,Dados!$X:$AB,2,0),VLOOKUP(G2279,Dados!$D:$L,4,0)&gt;=VLOOKUP(H2279,Dados!$X:$AB,3,0),VLOOKUP(G2279,Dados!$D:$L,4,0)&lt;=VLOOKUP(H2279,Dados!$X:$AB,4,0)),0,1)</f>
        <v>0</v>
      </c>
      <c r="U2279" s="4">
        <f>IF(COUNTIFS(F:F,F2279,H:H,H2279)&lt;=VLOOKUP(H2279,Dados!$X:$AB,5,0),0,1)</f>
        <v>0</v>
      </c>
    </row>
    <row r="2280" spans="6:21">
      <c r="F2280" s="4">
        <v>1008</v>
      </c>
      <c r="G2280" s="4">
        <v>66</v>
      </c>
      <c r="H2280" s="4">
        <v>3</v>
      </c>
      <c r="I2280" s="4">
        <v>28</v>
      </c>
      <c r="J2280" s="4">
        <v>3</v>
      </c>
      <c r="K2280" s="4">
        <f t="shared" si="337"/>
        <v>0</v>
      </c>
      <c r="L2280" s="4">
        <f t="shared" si="337"/>
        <v>0</v>
      </c>
      <c r="M2280" s="4">
        <f t="shared" si="337"/>
        <v>55</v>
      </c>
      <c r="N2280" s="4">
        <f t="shared" si="337"/>
        <v>0</v>
      </c>
      <c r="O2280" s="4">
        <f t="shared" si="338"/>
        <v>0</v>
      </c>
      <c r="P2280" s="4">
        <f t="shared" si="339"/>
        <v>0</v>
      </c>
      <c r="Q2280" s="4">
        <f t="shared" si="340"/>
        <v>165</v>
      </c>
      <c r="R2280" s="4">
        <f t="shared" si="341"/>
        <v>0</v>
      </c>
      <c r="S2280" s="4">
        <f>IF(AND(VLOOKUP(G2280,Dados!$D:$L,2,0)=VLOOKUP(I2280,Dados!$S:$V,2,0),VLOOKUP(G2280,Dados!$D:$L,3,0)=VLOOKUP(I2280,Dados!$S:$V,3,0)),0,1)</f>
        <v>0</v>
      </c>
      <c r="T2280" s="4">
        <f>IF(AND(VLOOKUP(G2280,Dados!$D:$L,3,0)&lt;=VLOOKUP(H2280,Dados!$X:$AB,2,0),VLOOKUP(G2280,Dados!$D:$L,4,0)&gt;=VLOOKUP(H2280,Dados!$X:$AB,3,0),VLOOKUP(G2280,Dados!$D:$L,4,0)&lt;=VLOOKUP(H2280,Dados!$X:$AB,4,0)),0,1)</f>
        <v>0</v>
      </c>
      <c r="U2280" s="4">
        <f>IF(COUNTIFS(F:F,F2280,H:H,H2280)&lt;=VLOOKUP(H2280,Dados!$X:$AB,5,0),0,1)</f>
        <v>0</v>
      </c>
    </row>
    <row r="2281" spans="6:21">
      <c r="F2281" s="4">
        <v>1009</v>
      </c>
      <c r="G2281" s="4">
        <v>59</v>
      </c>
      <c r="H2281" s="4">
        <v>1</v>
      </c>
      <c r="I2281" s="4">
        <v>29</v>
      </c>
      <c r="J2281" s="4">
        <v>7</v>
      </c>
      <c r="K2281" s="4">
        <f t="shared" si="337"/>
        <v>0</v>
      </c>
      <c r="L2281" s="4">
        <f t="shared" si="337"/>
        <v>0</v>
      </c>
      <c r="M2281" s="4">
        <f t="shared" si="337"/>
        <v>0</v>
      </c>
      <c r="N2281" s="4">
        <f t="shared" si="337"/>
        <v>0</v>
      </c>
      <c r="O2281" s="4">
        <f t="shared" si="338"/>
        <v>0</v>
      </c>
      <c r="P2281" s="4">
        <f t="shared" si="339"/>
        <v>0</v>
      </c>
      <c r="Q2281" s="4">
        <f t="shared" si="340"/>
        <v>0</v>
      </c>
      <c r="R2281" s="4">
        <f t="shared" si="341"/>
        <v>0</v>
      </c>
      <c r="S2281" s="4">
        <f>IF(AND(VLOOKUP(G2281,Dados!$D:$L,2,0)=VLOOKUP(I2281,Dados!$S:$V,2,0),VLOOKUP(G2281,Dados!$D:$L,3,0)=VLOOKUP(I2281,Dados!$S:$V,3,0)),0,1)</f>
        <v>0</v>
      </c>
      <c r="T2281" s="4">
        <f>IF(AND(VLOOKUP(G2281,Dados!$D:$L,3,0)&lt;=VLOOKUP(H2281,Dados!$X:$AB,2,0),VLOOKUP(G2281,Dados!$D:$L,4,0)&gt;=VLOOKUP(H2281,Dados!$X:$AB,3,0),VLOOKUP(G2281,Dados!$D:$L,4,0)&lt;=VLOOKUP(H2281,Dados!$X:$AB,4,0)),0,1)</f>
        <v>0</v>
      </c>
      <c r="U2281" s="4">
        <f>IF(COUNTIFS(F:F,F2281,H:H,H2281)&lt;=VLOOKUP(H2281,Dados!$X:$AB,5,0),0,1)</f>
        <v>0</v>
      </c>
    </row>
    <row r="2282" spans="6:21">
      <c r="F2282" s="4">
        <v>1009</v>
      </c>
      <c r="G2282" s="4">
        <v>64</v>
      </c>
      <c r="H2282" s="4">
        <v>1</v>
      </c>
      <c r="I2282" s="4">
        <v>29</v>
      </c>
      <c r="J2282" s="4">
        <v>1</v>
      </c>
      <c r="K2282" s="4">
        <f t="shared" si="337"/>
        <v>0</v>
      </c>
      <c r="L2282" s="4">
        <f t="shared" si="337"/>
        <v>0</v>
      </c>
      <c r="M2282" s="4">
        <f t="shared" si="337"/>
        <v>0</v>
      </c>
      <c r="N2282" s="4">
        <f t="shared" si="337"/>
        <v>0</v>
      </c>
      <c r="O2282" s="4">
        <f t="shared" si="338"/>
        <v>0</v>
      </c>
      <c r="P2282" s="4">
        <f t="shared" si="339"/>
        <v>0</v>
      </c>
      <c r="Q2282" s="4">
        <f t="shared" si="340"/>
        <v>0</v>
      </c>
      <c r="R2282" s="4">
        <f t="shared" si="341"/>
        <v>0</v>
      </c>
      <c r="S2282" s="4">
        <f>IF(AND(VLOOKUP(G2282,Dados!$D:$L,2,0)=VLOOKUP(I2282,Dados!$S:$V,2,0),VLOOKUP(G2282,Dados!$D:$L,3,0)=VLOOKUP(I2282,Dados!$S:$V,3,0)),0,1)</f>
        <v>0</v>
      </c>
      <c r="T2282" s="4">
        <f>IF(AND(VLOOKUP(G2282,Dados!$D:$L,3,0)&lt;=VLOOKUP(H2282,Dados!$X:$AB,2,0),VLOOKUP(G2282,Dados!$D:$L,4,0)&gt;=VLOOKUP(H2282,Dados!$X:$AB,3,0),VLOOKUP(G2282,Dados!$D:$L,4,0)&lt;=VLOOKUP(H2282,Dados!$X:$AB,4,0)),0,1)</f>
        <v>0</v>
      </c>
      <c r="U2282" s="4">
        <f>IF(COUNTIFS(F:F,F2282,H:H,H2282)&lt;=VLOOKUP(H2282,Dados!$X:$AB,5,0),0,1)</f>
        <v>0</v>
      </c>
    </row>
    <row r="2283" spans="6:21">
      <c r="F2283" s="4">
        <v>1009</v>
      </c>
      <c r="G2283" s="4">
        <v>66</v>
      </c>
      <c r="H2283" s="4">
        <v>1</v>
      </c>
      <c r="I2283" s="4">
        <v>29</v>
      </c>
      <c r="J2283" s="4">
        <v>2</v>
      </c>
      <c r="K2283" s="4">
        <f t="shared" si="337"/>
        <v>0</v>
      </c>
      <c r="L2283" s="4">
        <f t="shared" si="337"/>
        <v>0</v>
      </c>
      <c r="M2283" s="4">
        <f t="shared" si="337"/>
        <v>0</v>
      </c>
      <c r="N2283" s="4">
        <f t="shared" si="337"/>
        <v>0</v>
      </c>
      <c r="O2283" s="4">
        <f t="shared" si="338"/>
        <v>0</v>
      </c>
      <c r="P2283" s="4">
        <f t="shared" si="339"/>
        <v>0</v>
      </c>
      <c r="Q2283" s="4">
        <f t="shared" si="340"/>
        <v>0</v>
      </c>
      <c r="R2283" s="4">
        <f t="shared" si="341"/>
        <v>0</v>
      </c>
      <c r="S2283" s="4">
        <f>IF(AND(VLOOKUP(G2283,Dados!$D:$L,2,0)=VLOOKUP(I2283,Dados!$S:$V,2,0),VLOOKUP(G2283,Dados!$D:$L,3,0)=VLOOKUP(I2283,Dados!$S:$V,3,0)),0,1)</f>
        <v>0</v>
      </c>
      <c r="T2283" s="4">
        <f>IF(AND(VLOOKUP(G2283,Dados!$D:$L,3,0)&lt;=VLOOKUP(H2283,Dados!$X:$AB,2,0),VLOOKUP(G2283,Dados!$D:$L,4,0)&gt;=VLOOKUP(H2283,Dados!$X:$AB,3,0),VLOOKUP(G2283,Dados!$D:$L,4,0)&lt;=VLOOKUP(H2283,Dados!$X:$AB,4,0)),0,1)</f>
        <v>0</v>
      </c>
      <c r="U2283" s="4">
        <f>IF(COUNTIFS(F:F,F2283,H:H,H2283)&lt;=VLOOKUP(H2283,Dados!$X:$AB,5,0),0,1)</f>
        <v>0</v>
      </c>
    </row>
    <row r="2284" spans="6:21">
      <c r="F2284" s="4">
        <v>1010</v>
      </c>
      <c r="G2284" s="4">
        <v>59</v>
      </c>
      <c r="H2284" s="4">
        <v>2</v>
      </c>
      <c r="I2284" s="4">
        <v>29</v>
      </c>
      <c r="J2284" s="4">
        <v>7</v>
      </c>
      <c r="K2284" s="4">
        <f t="shared" si="337"/>
        <v>0</v>
      </c>
      <c r="L2284" s="4">
        <f t="shared" si="337"/>
        <v>0</v>
      </c>
      <c r="M2284" s="4">
        <f t="shared" si="337"/>
        <v>1</v>
      </c>
      <c r="N2284" s="4">
        <f t="shared" si="337"/>
        <v>0</v>
      </c>
      <c r="O2284" s="4">
        <f t="shared" si="338"/>
        <v>0</v>
      </c>
      <c r="P2284" s="4">
        <f t="shared" si="339"/>
        <v>0</v>
      </c>
      <c r="Q2284" s="4">
        <f t="shared" si="340"/>
        <v>7</v>
      </c>
      <c r="R2284" s="4">
        <f t="shared" si="341"/>
        <v>0</v>
      </c>
      <c r="S2284" s="4">
        <f>IF(AND(VLOOKUP(G2284,Dados!$D:$L,2,0)=VLOOKUP(I2284,Dados!$S:$V,2,0),VLOOKUP(G2284,Dados!$D:$L,3,0)=VLOOKUP(I2284,Dados!$S:$V,3,0)),0,1)</f>
        <v>0</v>
      </c>
      <c r="T2284" s="4">
        <f>IF(AND(VLOOKUP(G2284,Dados!$D:$L,3,0)&lt;=VLOOKUP(H2284,Dados!$X:$AB,2,0),VLOOKUP(G2284,Dados!$D:$L,4,0)&gt;=VLOOKUP(H2284,Dados!$X:$AB,3,0),VLOOKUP(G2284,Dados!$D:$L,4,0)&lt;=VLOOKUP(H2284,Dados!$X:$AB,4,0)),0,1)</f>
        <v>0</v>
      </c>
      <c r="U2284" s="4">
        <f>IF(COUNTIFS(F:F,F2284,H:H,H2284)&lt;=VLOOKUP(H2284,Dados!$X:$AB,5,0),0,1)</f>
        <v>0</v>
      </c>
    </row>
    <row r="2285" spans="6:21">
      <c r="F2285" s="4">
        <v>1010</v>
      </c>
      <c r="G2285" s="4">
        <v>64</v>
      </c>
      <c r="H2285" s="4">
        <v>2</v>
      </c>
      <c r="I2285" s="4">
        <v>29</v>
      </c>
      <c r="J2285" s="4">
        <v>1</v>
      </c>
      <c r="K2285" s="4">
        <f t="shared" si="337"/>
        <v>0</v>
      </c>
      <c r="L2285" s="4">
        <f t="shared" si="337"/>
        <v>0</v>
      </c>
      <c r="M2285" s="4">
        <f t="shared" si="337"/>
        <v>1</v>
      </c>
      <c r="N2285" s="4">
        <f t="shared" si="337"/>
        <v>0</v>
      </c>
      <c r="O2285" s="4">
        <f t="shared" si="338"/>
        <v>0</v>
      </c>
      <c r="P2285" s="4">
        <f t="shared" si="339"/>
        <v>0</v>
      </c>
      <c r="Q2285" s="4">
        <f t="shared" si="340"/>
        <v>1</v>
      </c>
      <c r="R2285" s="4">
        <f t="shared" si="341"/>
        <v>0</v>
      </c>
      <c r="S2285" s="4">
        <f>IF(AND(VLOOKUP(G2285,Dados!$D:$L,2,0)=VLOOKUP(I2285,Dados!$S:$V,2,0),VLOOKUP(G2285,Dados!$D:$L,3,0)=VLOOKUP(I2285,Dados!$S:$V,3,0)),0,1)</f>
        <v>0</v>
      </c>
      <c r="T2285" s="4">
        <f>IF(AND(VLOOKUP(G2285,Dados!$D:$L,3,0)&lt;=VLOOKUP(H2285,Dados!$X:$AB,2,0),VLOOKUP(G2285,Dados!$D:$L,4,0)&gt;=VLOOKUP(H2285,Dados!$X:$AB,3,0),VLOOKUP(G2285,Dados!$D:$L,4,0)&lt;=VLOOKUP(H2285,Dados!$X:$AB,4,0)),0,1)</f>
        <v>0</v>
      </c>
      <c r="U2285" s="4">
        <f>IF(COUNTIFS(F:F,F2285,H:H,H2285)&lt;=VLOOKUP(H2285,Dados!$X:$AB,5,0),0,1)</f>
        <v>0</v>
      </c>
    </row>
    <row r="2286" spans="6:21">
      <c r="F2286" s="4">
        <v>1010</v>
      </c>
      <c r="G2286" s="4">
        <v>66</v>
      </c>
      <c r="H2286" s="4">
        <v>2</v>
      </c>
      <c r="I2286" s="4">
        <v>29</v>
      </c>
      <c r="J2286" s="4">
        <v>2</v>
      </c>
      <c r="K2286" s="4">
        <f t="shared" si="337"/>
        <v>0</v>
      </c>
      <c r="L2286" s="4">
        <f t="shared" si="337"/>
        <v>0</v>
      </c>
      <c r="M2286" s="4">
        <f t="shared" si="337"/>
        <v>1</v>
      </c>
      <c r="N2286" s="4">
        <f t="shared" si="337"/>
        <v>0</v>
      </c>
      <c r="O2286" s="4">
        <f t="shared" si="338"/>
        <v>0</v>
      </c>
      <c r="P2286" s="4">
        <f t="shared" si="339"/>
        <v>0</v>
      </c>
      <c r="Q2286" s="4">
        <f t="shared" si="340"/>
        <v>2</v>
      </c>
      <c r="R2286" s="4">
        <f t="shared" si="341"/>
        <v>0</v>
      </c>
      <c r="S2286" s="4">
        <f>IF(AND(VLOOKUP(G2286,Dados!$D:$L,2,0)=VLOOKUP(I2286,Dados!$S:$V,2,0),VLOOKUP(G2286,Dados!$D:$L,3,0)=VLOOKUP(I2286,Dados!$S:$V,3,0)),0,1)</f>
        <v>0</v>
      </c>
      <c r="T2286" s="4">
        <f>IF(AND(VLOOKUP(G2286,Dados!$D:$L,3,0)&lt;=VLOOKUP(H2286,Dados!$X:$AB,2,0),VLOOKUP(G2286,Dados!$D:$L,4,0)&gt;=VLOOKUP(H2286,Dados!$X:$AB,3,0),VLOOKUP(G2286,Dados!$D:$L,4,0)&lt;=VLOOKUP(H2286,Dados!$X:$AB,4,0)),0,1)</f>
        <v>0</v>
      </c>
      <c r="U2286" s="4">
        <f>IF(COUNTIFS(F:F,F2286,H:H,H2286)&lt;=VLOOKUP(H2286,Dados!$X:$AB,5,0),0,1)</f>
        <v>0</v>
      </c>
    </row>
    <row r="2287" spans="6:21">
      <c r="F2287" s="4">
        <v>1011</v>
      </c>
      <c r="G2287" s="4">
        <v>59</v>
      </c>
      <c r="H2287" s="4">
        <v>3</v>
      </c>
      <c r="I2287" s="4">
        <v>29</v>
      </c>
      <c r="J2287" s="4">
        <v>7</v>
      </c>
      <c r="K2287" s="4">
        <f t="shared" si="337"/>
        <v>0</v>
      </c>
      <c r="L2287" s="4">
        <f t="shared" si="337"/>
        <v>0</v>
      </c>
      <c r="M2287" s="4">
        <f t="shared" si="337"/>
        <v>0</v>
      </c>
      <c r="N2287" s="4">
        <f t="shared" si="337"/>
        <v>0</v>
      </c>
      <c r="O2287" s="4">
        <f t="shared" si="338"/>
        <v>0</v>
      </c>
      <c r="P2287" s="4">
        <f t="shared" si="339"/>
        <v>0</v>
      </c>
      <c r="Q2287" s="4">
        <f t="shared" si="340"/>
        <v>0</v>
      </c>
      <c r="R2287" s="4">
        <f t="shared" si="341"/>
        <v>0</v>
      </c>
      <c r="S2287" s="4">
        <f>IF(AND(VLOOKUP(G2287,Dados!$D:$L,2,0)=VLOOKUP(I2287,Dados!$S:$V,2,0),VLOOKUP(G2287,Dados!$D:$L,3,0)=VLOOKUP(I2287,Dados!$S:$V,3,0)),0,1)</f>
        <v>0</v>
      </c>
      <c r="T2287" s="4">
        <f>IF(AND(VLOOKUP(G2287,Dados!$D:$L,3,0)&lt;=VLOOKUP(H2287,Dados!$X:$AB,2,0),VLOOKUP(G2287,Dados!$D:$L,4,0)&gt;=VLOOKUP(H2287,Dados!$X:$AB,3,0),VLOOKUP(G2287,Dados!$D:$L,4,0)&lt;=VLOOKUP(H2287,Dados!$X:$AB,4,0)),0,1)</f>
        <v>0</v>
      </c>
      <c r="U2287" s="4">
        <f>IF(COUNTIFS(F:F,F2287,H:H,H2287)&lt;=VLOOKUP(H2287,Dados!$X:$AB,5,0),0,1)</f>
        <v>0</v>
      </c>
    </row>
    <row r="2288" spans="6:21">
      <c r="F2288" s="4">
        <v>1011</v>
      </c>
      <c r="G2288" s="4">
        <v>64</v>
      </c>
      <c r="H2288" s="4">
        <v>3</v>
      </c>
      <c r="I2288" s="4">
        <v>29</v>
      </c>
      <c r="J2288" s="4">
        <v>1</v>
      </c>
      <c r="K2288" s="4">
        <f t="shared" si="337"/>
        <v>0</v>
      </c>
      <c r="L2288" s="4">
        <f t="shared" si="337"/>
        <v>0</v>
      </c>
      <c r="M2288" s="4">
        <f t="shared" si="337"/>
        <v>0</v>
      </c>
      <c r="N2288" s="4">
        <f t="shared" si="337"/>
        <v>0</v>
      </c>
      <c r="O2288" s="4">
        <f t="shared" si="338"/>
        <v>0</v>
      </c>
      <c r="P2288" s="4">
        <f t="shared" si="339"/>
        <v>0</v>
      </c>
      <c r="Q2288" s="4">
        <f t="shared" si="340"/>
        <v>0</v>
      </c>
      <c r="R2288" s="4">
        <f t="shared" si="341"/>
        <v>0</v>
      </c>
      <c r="S2288" s="4">
        <f>IF(AND(VLOOKUP(G2288,Dados!$D:$L,2,0)=VLOOKUP(I2288,Dados!$S:$V,2,0),VLOOKUP(G2288,Dados!$D:$L,3,0)=VLOOKUP(I2288,Dados!$S:$V,3,0)),0,1)</f>
        <v>0</v>
      </c>
      <c r="T2288" s="4">
        <f>IF(AND(VLOOKUP(G2288,Dados!$D:$L,3,0)&lt;=VLOOKUP(H2288,Dados!$X:$AB,2,0),VLOOKUP(G2288,Dados!$D:$L,4,0)&gt;=VLOOKUP(H2288,Dados!$X:$AB,3,0),VLOOKUP(G2288,Dados!$D:$L,4,0)&lt;=VLOOKUP(H2288,Dados!$X:$AB,4,0)),0,1)</f>
        <v>0</v>
      </c>
      <c r="U2288" s="4">
        <f>IF(COUNTIFS(F:F,F2288,H:H,H2288)&lt;=VLOOKUP(H2288,Dados!$X:$AB,5,0),0,1)</f>
        <v>0</v>
      </c>
    </row>
    <row r="2289" spans="6:21">
      <c r="F2289" s="4">
        <v>1011</v>
      </c>
      <c r="G2289" s="4">
        <v>66</v>
      </c>
      <c r="H2289" s="4">
        <v>3</v>
      </c>
      <c r="I2289" s="4">
        <v>29</v>
      </c>
      <c r="J2289" s="4">
        <v>2</v>
      </c>
      <c r="K2289" s="4">
        <f t="shared" si="337"/>
        <v>0</v>
      </c>
      <c r="L2289" s="4">
        <f t="shared" si="337"/>
        <v>0</v>
      </c>
      <c r="M2289" s="4">
        <f t="shared" si="337"/>
        <v>0</v>
      </c>
      <c r="N2289" s="4">
        <f t="shared" si="337"/>
        <v>0</v>
      </c>
      <c r="O2289" s="4">
        <f t="shared" si="338"/>
        <v>0</v>
      </c>
      <c r="P2289" s="4">
        <f t="shared" si="339"/>
        <v>0</v>
      </c>
      <c r="Q2289" s="4">
        <f t="shared" si="340"/>
        <v>0</v>
      </c>
      <c r="R2289" s="4">
        <f t="shared" si="341"/>
        <v>0</v>
      </c>
      <c r="S2289" s="4">
        <f>IF(AND(VLOOKUP(G2289,Dados!$D:$L,2,0)=VLOOKUP(I2289,Dados!$S:$V,2,0),VLOOKUP(G2289,Dados!$D:$L,3,0)=VLOOKUP(I2289,Dados!$S:$V,3,0)),0,1)</f>
        <v>0</v>
      </c>
      <c r="T2289" s="4">
        <f>IF(AND(VLOOKUP(G2289,Dados!$D:$L,3,0)&lt;=VLOOKUP(H2289,Dados!$X:$AB,2,0),VLOOKUP(G2289,Dados!$D:$L,4,0)&gt;=VLOOKUP(H2289,Dados!$X:$AB,3,0),VLOOKUP(G2289,Dados!$D:$L,4,0)&lt;=VLOOKUP(H2289,Dados!$X:$AB,4,0)),0,1)</f>
        <v>0</v>
      </c>
      <c r="U2289" s="4">
        <f>IF(COUNTIFS(F:F,F2289,H:H,H2289)&lt;=VLOOKUP(H2289,Dados!$X:$AB,5,0),0,1)</f>
        <v>0</v>
      </c>
    </row>
    <row r="2290" spans="6:21">
      <c r="F2290" s="4">
        <v>1012</v>
      </c>
      <c r="G2290" s="4">
        <v>1</v>
      </c>
      <c r="H2290" s="4">
        <v>1</v>
      </c>
      <c r="I2290" s="4">
        <v>1</v>
      </c>
      <c r="J2290" s="4">
        <v>2</v>
      </c>
      <c r="K2290" s="4">
        <f t="shared" si="337"/>
        <v>0</v>
      </c>
      <c r="L2290" s="4">
        <f t="shared" si="337"/>
        <v>0</v>
      </c>
      <c r="M2290" s="4">
        <f t="shared" si="337"/>
        <v>0</v>
      </c>
      <c r="N2290" s="4">
        <f t="shared" si="337"/>
        <v>0</v>
      </c>
      <c r="O2290" s="4">
        <f t="shared" si="338"/>
        <v>0</v>
      </c>
      <c r="P2290" s="4">
        <f t="shared" si="339"/>
        <v>0</v>
      </c>
      <c r="Q2290" s="4">
        <f t="shared" si="340"/>
        <v>0</v>
      </c>
      <c r="R2290" s="4">
        <f t="shared" si="341"/>
        <v>0</v>
      </c>
      <c r="S2290" s="4">
        <f>IF(AND(VLOOKUP(G2290,Dados!$D:$L,2,0)=VLOOKUP(I2290,Dados!$S:$V,2,0),VLOOKUP(G2290,Dados!$D:$L,3,0)=VLOOKUP(I2290,Dados!$S:$V,3,0)),0,1)</f>
        <v>0</v>
      </c>
      <c r="T2290" s="4">
        <f>IF(AND(VLOOKUP(G2290,Dados!$D:$L,3,0)&lt;=VLOOKUP(H2290,Dados!$X:$AB,2,0),VLOOKUP(G2290,Dados!$D:$L,4,0)&gt;=VLOOKUP(H2290,Dados!$X:$AB,3,0),VLOOKUP(G2290,Dados!$D:$L,4,0)&lt;=VLOOKUP(H2290,Dados!$X:$AB,4,0)),0,1)</f>
        <v>0</v>
      </c>
      <c r="U2290" s="4">
        <f>IF(COUNTIFS(F:F,F2290,H:H,H2290)&lt;=VLOOKUP(H2290,Dados!$X:$AB,5,0),0,1)</f>
        <v>0</v>
      </c>
    </row>
    <row r="2291" spans="6:21">
      <c r="F2291" s="4">
        <v>1012</v>
      </c>
      <c r="G2291" s="4">
        <v>3</v>
      </c>
      <c r="H2291" s="4">
        <v>1</v>
      </c>
      <c r="I2291" s="4">
        <v>1</v>
      </c>
      <c r="J2291" s="4">
        <v>2</v>
      </c>
      <c r="K2291" s="4">
        <f t="shared" si="337"/>
        <v>0</v>
      </c>
      <c r="L2291" s="4">
        <f t="shared" si="337"/>
        <v>0</v>
      </c>
      <c r="M2291" s="4">
        <f t="shared" si="337"/>
        <v>0</v>
      </c>
      <c r="N2291" s="4">
        <f t="shared" si="337"/>
        <v>0</v>
      </c>
      <c r="O2291" s="4">
        <f t="shared" si="338"/>
        <v>0</v>
      </c>
      <c r="P2291" s="4">
        <f t="shared" si="339"/>
        <v>0</v>
      </c>
      <c r="Q2291" s="4">
        <f t="shared" si="340"/>
        <v>0</v>
      </c>
      <c r="R2291" s="4">
        <f t="shared" si="341"/>
        <v>0</v>
      </c>
      <c r="S2291" s="4">
        <f>IF(AND(VLOOKUP(G2291,Dados!$D:$L,2,0)=VLOOKUP(I2291,Dados!$S:$V,2,0),VLOOKUP(G2291,Dados!$D:$L,3,0)=VLOOKUP(I2291,Dados!$S:$V,3,0)),0,1)</f>
        <v>0</v>
      </c>
      <c r="T2291" s="4">
        <f>IF(AND(VLOOKUP(G2291,Dados!$D:$L,3,0)&lt;=VLOOKUP(H2291,Dados!$X:$AB,2,0),VLOOKUP(G2291,Dados!$D:$L,4,0)&gt;=VLOOKUP(H2291,Dados!$X:$AB,3,0),VLOOKUP(G2291,Dados!$D:$L,4,0)&lt;=VLOOKUP(H2291,Dados!$X:$AB,4,0)),0,1)</f>
        <v>0</v>
      </c>
      <c r="U2291" s="4">
        <f>IF(COUNTIFS(F:F,F2291,H:H,H2291)&lt;=VLOOKUP(H2291,Dados!$X:$AB,5,0),0,1)</f>
        <v>0</v>
      </c>
    </row>
    <row r="2292" spans="6:21">
      <c r="F2292" s="4">
        <v>1012</v>
      </c>
      <c r="G2292" s="4">
        <v>4</v>
      </c>
      <c r="H2292" s="4">
        <v>1</v>
      </c>
      <c r="I2292" s="4">
        <v>1</v>
      </c>
      <c r="J2292" s="4">
        <v>2</v>
      </c>
      <c r="K2292" s="4">
        <f t="shared" si="337"/>
        <v>0</v>
      </c>
      <c r="L2292" s="4">
        <f t="shared" si="337"/>
        <v>0</v>
      </c>
      <c r="M2292" s="4">
        <f t="shared" si="337"/>
        <v>0</v>
      </c>
      <c r="N2292" s="4">
        <f t="shared" si="337"/>
        <v>0</v>
      </c>
      <c r="O2292" s="4">
        <f t="shared" si="338"/>
        <v>0</v>
      </c>
      <c r="P2292" s="4">
        <f t="shared" si="339"/>
        <v>0</v>
      </c>
      <c r="Q2292" s="4">
        <f t="shared" si="340"/>
        <v>0</v>
      </c>
      <c r="R2292" s="4">
        <f t="shared" si="341"/>
        <v>0</v>
      </c>
      <c r="S2292" s="4">
        <f>IF(AND(VLOOKUP(G2292,Dados!$D:$L,2,0)=VLOOKUP(I2292,Dados!$S:$V,2,0),VLOOKUP(G2292,Dados!$D:$L,3,0)=VLOOKUP(I2292,Dados!$S:$V,3,0)),0,1)</f>
        <v>0</v>
      </c>
      <c r="T2292" s="4">
        <f>IF(AND(VLOOKUP(G2292,Dados!$D:$L,3,0)&lt;=VLOOKUP(H2292,Dados!$X:$AB,2,0),VLOOKUP(G2292,Dados!$D:$L,4,0)&gt;=VLOOKUP(H2292,Dados!$X:$AB,3,0),VLOOKUP(G2292,Dados!$D:$L,4,0)&lt;=VLOOKUP(H2292,Dados!$X:$AB,4,0)),0,1)</f>
        <v>0</v>
      </c>
      <c r="U2292" s="4">
        <f>IF(COUNTIFS(F:F,F2292,H:H,H2292)&lt;=VLOOKUP(H2292,Dados!$X:$AB,5,0),0,1)</f>
        <v>0</v>
      </c>
    </row>
    <row r="2293" spans="6:21">
      <c r="F2293" s="4">
        <v>1013</v>
      </c>
      <c r="G2293" s="4">
        <v>1</v>
      </c>
      <c r="H2293" s="4">
        <v>2</v>
      </c>
      <c r="I2293" s="4">
        <v>1</v>
      </c>
      <c r="J2293" s="4">
        <v>2</v>
      </c>
      <c r="K2293" s="4">
        <f t="shared" si="337"/>
        <v>0</v>
      </c>
      <c r="L2293" s="4">
        <f t="shared" si="337"/>
        <v>0</v>
      </c>
      <c r="M2293" s="4">
        <f t="shared" si="337"/>
        <v>0</v>
      </c>
      <c r="N2293" s="4">
        <f t="shared" si="337"/>
        <v>0</v>
      </c>
      <c r="O2293" s="4">
        <f t="shared" si="338"/>
        <v>0</v>
      </c>
      <c r="P2293" s="4">
        <f t="shared" si="339"/>
        <v>0</v>
      </c>
      <c r="Q2293" s="4">
        <f t="shared" si="340"/>
        <v>0</v>
      </c>
      <c r="R2293" s="4">
        <f t="shared" si="341"/>
        <v>0</v>
      </c>
      <c r="S2293" s="4">
        <f>IF(AND(VLOOKUP(G2293,Dados!$D:$L,2,0)=VLOOKUP(I2293,Dados!$S:$V,2,0),VLOOKUP(G2293,Dados!$D:$L,3,0)=VLOOKUP(I2293,Dados!$S:$V,3,0)),0,1)</f>
        <v>0</v>
      </c>
      <c r="T2293" s="4">
        <f>IF(AND(VLOOKUP(G2293,Dados!$D:$L,3,0)&lt;=VLOOKUP(H2293,Dados!$X:$AB,2,0),VLOOKUP(G2293,Dados!$D:$L,4,0)&gt;=VLOOKUP(H2293,Dados!$X:$AB,3,0),VLOOKUP(G2293,Dados!$D:$L,4,0)&lt;=VLOOKUP(H2293,Dados!$X:$AB,4,0)),0,1)</f>
        <v>0</v>
      </c>
      <c r="U2293" s="4">
        <f>IF(COUNTIFS(F:F,F2293,H:H,H2293)&lt;=VLOOKUP(H2293,Dados!$X:$AB,5,0),0,1)</f>
        <v>0</v>
      </c>
    </row>
    <row r="2294" spans="6:21">
      <c r="F2294" s="4">
        <v>1013</v>
      </c>
      <c r="G2294" s="4">
        <v>3</v>
      </c>
      <c r="H2294" s="4">
        <v>2</v>
      </c>
      <c r="I2294" s="4">
        <v>1</v>
      </c>
      <c r="J2294" s="4">
        <v>2</v>
      </c>
      <c r="K2294" s="4">
        <f t="shared" si="337"/>
        <v>0</v>
      </c>
      <c r="L2294" s="4">
        <f t="shared" si="337"/>
        <v>0</v>
      </c>
      <c r="M2294" s="4">
        <f t="shared" si="337"/>
        <v>0</v>
      </c>
      <c r="N2294" s="4">
        <f t="shared" si="337"/>
        <v>0</v>
      </c>
      <c r="O2294" s="4">
        <f t="shared" si="338"/>
        <v>0</v>
      </c>
      <c r="P2294" s="4">
        <f t="shared" si="339"/>
        <v>0</v>
      </c>
      <c r="Q2294" s="4">
        <f t="shared" si="340"/>
        <v>0</v>
      </c>
      <c r="R2294" s="4">
        <f t="shared" si="341"/>
        <v>0</v>
      </c>
      <c r="S2294" s="4">
        <f>IF(AND(VLOOKUP(G2294,Dados!$D:$L,2,0)=VLOOKUP(I2294,Dados!$S:$V,2,0),VLOOKUP(G2294,Dados!$D:$L,3,0)=VLOOKUP(I2294,Dados!$S:$V,3,0)),0,1)</f>
        <v>0</v>
      </c>
      <c r="T2294" s="4">
        <f>IF(AND(VLOOKUP(G2294,Dados!$D:$L,3,0)&lt;=VLOOKUP(H2294,Dados!$X:$AB,2,0),VLOOKUP(G2294,Dados!$D:$L,4,0)&gt;=VLOOKUP(H2294,Dados!$X:$AB,3,0),VLOOKUP(G2294,Dados!$D:$L,4,0)&lt;=VLOOKUP(H2294,Dados!$X:$AB,4,0)),0,1)</f>
        <v>0</v>
      </c>
      <c r="U2294" s="4">
        <f>IF(COUNTIFS(F:F,F2294,H:H,H2294)&lt;=VLOOKUP(H2294,Dados!$X:$AB,5,0),0,1)</f>
        <v>0</v>
      </c>
    </row>
    <row r="2295" spans="6:21">
      <c r="F2295" s="4">
        <v>1013</v>
      </c>
      <c r="G2295" s="4">
        <v>4</v>
      </c>
      <c r="H2295" s="4">
        <v>2</v>
      </c>
      <c r="I2295" s="4">
        <v>1</v>
      </c>
      <c r="J2295" s="4">
        <v>2</v>
      </c>
      <c r="K2295" s="4">
        <f t="shared" si="337"/>
        <v>0</v>
      </c>
      <c r="L2295" s="4">
        <f t="shared" si="337"/>
        <v>0</v>
      </c>
      <c r="M2295" s="4">
        <f t="shared" si="337"/>
        <v>0</v>
      </c>
      <c r="N2295" s="4">
        <f t="shared" si="337"/>
        <v>0</v>
      </c>
      <c r="O2295" s="4">
        <f t="shared" si="338"/>
        <v>0</v>
      </c>
      <c r="P2295" s="4">
        <f t="shared" si="339"/>
        <v>0</v>
      </c>
      <c r="Q2295" s="4">
        <f t="shared" si="340"/>
        <v>0</v>
      </c>
      <c r="R2295" s="4">
        <f t="shared" si="341"/>
        <v>0</v>
      </c>
      <c r="S2295" s="4">
        <f>IF(AND(VLOOKUP(G2295,Dados!$D:$L,2,0)=VLOOKUP(I2295,Dados!$S:$V,2,0),VLOOKUP(G2295,Dados!$D:$L,3,0)=VLOOKUP(I2295,Dados!$S:$V,3,0)),0,1)</f>
        <v>0</v>
      </c>
      <c r="T2295" s="4">
        <f>IF(AND(VLOOKUP(G2295,Dados!$D:$L,3,0)&lt;=VLOOKUP(H2295,Dados!$X:$AB,2,0),VLOOKUP(G2295,Dados!$D:$L,4,0)&gt;=VLOOKUP(H2295,Dados!$X:$AB,3,0),VLOOKUP(G2295,Dados!$D:$L,4,0)&lt;=VLOOKUP(H2295,Dados!$X:$AB,4,0)),0,1)</f>
        <v>0</v>
      </c>
      <c r="U2295" s="4">
        <f>IF(COUNTIFS(F:F,F2295,H:H,H2295)&lt;=VLOOKUP(H2295,Dados!$X:$AB,5,0),0,1)</f>
        <v>0</v>
      </c>
    </row>
    <row r="2296" spans="6:21">
      <c r="F2296" s="4">
        <v>1014</v>
      </c>
      <c r="G2296" s="4">
        <v>1</v>
      </c>
      <c r="H2296" s="4">
        <v>3</v>
      </c>
      <c r="I2296" s="4">
        <v>1</v>
      </c>
      <c r="J2296" s="4">
        <v>2</v>
      </c>
      <c r="K2296" s="4">
        <f t="shared" si="337"/>
        <v>0</v>
      </c>
      <c r="L2296" s="4">
        <f t="shared" si="337"/>
        <v>0</v>
      </c>
      <c r="M2296" s="4">
        <f t="shared" si="337"/>
        <v>0</v>
      </c>
      <c r="N2296" s="4">
        <f t="shared" si="337"/>
        <v>0</v>
      </c>
      <c r="O2296" s="4">
        <f t="shared" si="338"/>
        <v>0</v>
      </c>
      <c r="P2296" s="4">
        <f t="shared" si="339"/>
        <v>0</v>
      </c>
      <c r="Q2296" s="4">
        <f t="shared" si="340"/>
        <v>0</v>
      </c>
      <c r="R2296" s="4">
        <f t="shared" si="341"/>
        <v>0</v>
      </c>
      <c r="S2296" s="4">
        <f>IF(AND(VLOOKUP(G2296,Dados!$D:$L,2,0)=VLOOKUP(I2296,Dados!$S:$V,2,0),VLOOKUP(G2296,Dados!$D:$L,3,0)=VLOOKUP(I2296,Dados!$S:$V,3,0)),0,1)</f>
        <v>0</v>
      </c>
      <c r="T2296" s="4">
        <f>IF(AND(VLOOKUP(G2296,Dados!$D:$L,3,0)&lt;=VLOOKUP(H2296,Dados!$X:$AB,2,0),VLOOKUP(G2296,Dados!$D:$L,4,0)&gt;=VLOOKUP(H2296,Dados!$X:$AB,3,0),VLOOKUP(G2296,Dados!$D:$L,4,0)&lt;=VLOOKUP(H2296,Dados!$X:$AB,4,0)),0,1)</f>
        <v>0</v>
      </c>
      <c r="U2296" s="4">
        <f>IF(COUNTIFS(F:F,F2296,H:H,H2296)&lt;=VLOOKUP(H2296,Dados!$X:$AB,5,0),0,1)</f>
        <v>0</v>
      </c>
    </row>
    <row r="2297" spans="6:21">
      <c r="F2297" s="4">
        <v>1014</v>
      </c>
      <c r="G2297" s="4">
        <v>3</v>
      </c>
      <c r="H2297" s="4">
        <v>3</v>
      </c>
      <c r="I2297" s="4">
        <v>1</v>
      </c>
      <c r="J2297" s="4">
        <v>2</v>
      </c>
      <c r="K2297" s="4">
        <f t="shared" si="337"/>
        <v>0</v>
      </c>
      <c r="L2297" s="4">
        <f t="shared" si="337"/>
        <v>0</v>
      </c>
      <c r="M2297" s="4">
        <f t="shared" si="337"/>
        <v>0</v>
      </c>
      <c r="N2297" s="4">
        <f t="shared" si="337"/>
        <v>0</v>
      </c>
      <c r="O2297" s="4">
        <f t="shared" si="338"/>
        <v>0</v>
      </c>
      <c r="P2297" s="4">
        <f t="shared" si="339"/>
        <v>0</v>
      </c>
      <c r="Q2297" s="4">
        <f t="shared" si="340"/>
        <v>0</v>
      </c>
      <c r="R2297" s="4">
        <f t="shared" si="341"/>
        <v>0</v>
      </c>
      <c r="S2297" s="4">
        <f>IF(AND(VLOOKUP(G2297,Dados!$D:$L,2,0)=VLOOKUP(I2297,Dados!$S:$V,2,0),VLOOKUP(G2297,Dados!$D:$L,3,0)=VLOOKUP(I2297,Dados!$S:$V,3,0)),0,1)</f>
        <v>0</v>
      </c>
      <c r="T2297" s="4">
        <f>IF(AND(VLOOKUP(G2297,Dados!$D:$L,3,0)&lt;=VLOOKUP(H2297,Dados!$X:$AB,2,0),VLOOKUP(G2297,Dados!$D:$L,4,0)&gt;=VLOOKUP(H2297,Dados!$X:$AB,3,0),VLOOKUP(G2297,Dados!$D:$L,4,0)&lt;=VLOOKUP(H2297,Dados!$X:$AB,4,0)),0,1)</f>
        <v>0</v>
      </c>
      <c r="U2297" s="4">
        <f>IF(COUNTIFS(F:F,F2297,H:H,H2297)&lt;=VLOOKUP(H2297,Dados!$X:$AB,5,0),0,1)</f>
        <v>0</v>
      </c>
    </row>
    <row r="2298" spans="6:21">
      <c r="F2298" s="4">
        <v>1014</v>
      </c>
      <c r="G2298" s="4">
        <v>4</v>
      </c>
      <c r="H2298" s="4">
        <v>3</v>
      </c>
      <c r="I2298" s="4">
        <v>1</v>
      </c>
      <c r="J2298" s="4">
        <v>2</v>
      </c>
      <c r="K2298" s="4">
        <f t="shared" si="337"/>
        <v>0</v>
      </c>
      <c r="L2298" s="4">
        <f t="shared" si="337"/>
        <v>0</v>
      </c>
      <c r="M2298" s="4">
        <f t="shared" si="337"/>
        <v>0</v>
      </c>
      <c r="N2298" s="4">
        <f t="shared" si="337"/>
        <v>0</v>
      </c>
      <c r="O2298" s="4">
        <f t="shared" si="338"/>
        <v>0</v>
      </c>
      <c r="P2298" s="4">
        <f t="shared" si="339"/>
        <v>0</v>
      </c>
      <c r="Q2298" s="4">
        <f t="shared" si="340"/>
        <v>0</v>
      </c>
      <c r="R2298" s="4">
        <f t="shared" si="341"/>
        <v>0</v>
      </c>
      <c r="S2298" s="4">
        <f>IF(AND(VLOOKUP(G2298,Dados!$D:$L,2,0)=VLOOKUP(I2298,Dados!$S:$V,2,0),VLOOKUP(G2298,Dados!$D:$L,3,0)=VLOOKUP(I2298,Dados!$S:$V,3,0)),0,1)</f>
        <v>0</v>
      </c>
      <c r="T2298" s="4">
        <f>IF(AND(VLOOKUP(G2298,Dados!$D:$L,3,0)&lt;=VLOOKUP(H2298,Dados!$X:$AB,2,0),VLOOKUP(G2298,Dados!$D:$L,4,0)&gt;=VLOOKUP(H2298,Dados!$X:$AB,3,0),VLOOKUP(G2298,Dados!$D:$L,4,0)&lt;=VLOOKUP(H2298,Dados!$X:$AB,4,0)),0,1)</f>
        <v>0</v>
      </c>
      <c r="U2298" s="4">
        <f>IF(COUNTIFS(F:F,F2298,H:H,H2298)&lt;=VLOOKUP(H2298,Dados!$X:$AB,5,0),0,1)</f>
        <v>0</v>
      </c>
    </row>
    <row r="2299" spans="6:21">
      <c r="F2299" s="4">
        <v>1015</v>
      </c>
      <c r="G2299" s="4">
        <v>25</v>
      </c>
      <c r="H2299" s="4">
        <v>1</v>
      </c>
      <c r="I2299" s="4">
        <v>15</v>
      </c>
      <c r="J2299" s="4">
        <v>3</v>
      </c>
      <c r="K2299" s="4">
        <f t="shared" si="337"/>
        <v>0</v>
      </c>
      <c r="L2299" s="4">
        <f t="shared" si="337"/>
        <v>0</v>
      </c>
      <c r="M2299" s="4">
        <f t="shared" si="337"/>
        <v>0</v>
      </c>
      <c r="N2299" s="4">
        <f t="shared" si="337"/>
        <v>0</v>
      </c>
      <c r="O2299" s="4">
        <f t="shared" si="338"/>
        <v>0</v>
      </c>
      <c r="P2299" s="4">
        <f t="shared" si="339"/>
        <v>0</v>
      </c>
      <c r="Q2299" s="4">
        <f t="shared" si="340"/>
        <v>0</v>
      </c>
      <c r="R2299" s="4">
        <f t="shared" si="341"/>
        <v>0</v>
      </c>
      <c r="S2299" s="4">
        <f>IF(AND(VLOOKUP(G2299,Dados!$D:$L,2,0)=VLOOKUP(I2299,Dados!$S:$V,2,0),VLOOKUP(G2299,Dados!$D:$L,3,0)=VLOOKUP(I2299,Dados!$S:$V,3,0)),0,1)</f>
        <v>0</v>
      </c>
      <c r="T2299" s="4">
        <f>IF(AND(VLOOKUP(G2299,Dados!$D:$L,3,0)&lt;=VLOOKUP(H2299,Dados!$X:$AB,2,0),VLOOKUP(G2299,Dados!$D:$L,4,0)&gt;=VLOOKUP(H2299,Dados!$X:$AB,3,0),VLOOKUP(G2299,Dados!$D:$L,4,0)&lt;=VLOOKUP(H2299,Dados!$X:$AB,4,0)),0,1)</f>
        <v>0</v>
      </c>
      <c r="U2299" s="4">
        <f>IF(COUNTIFS(F:F,F2299,H:H,H2299)&lt;=VLOOKUP(H2299,Dados!$X:$AB,5,0),0,1)</f>
        <v>0</v>
      </c>
    </row>
    <row r="2300" spans="6:21">
      <c r="F2300" s="4">
        <v>1015</v>
      </c>
      <c r="G2300" s="4">
        <v>27</v>
      </c>
      <c r="H2300" s="4">
        <v>1</v>
      </c>
      <c r="I2300" s="4">
        <v>15</v>
      </c>
      <c r="J2300" s="4">
        <v>2</v>
      </c>
      <c r="K2300" s="4">
        <f t="shared" si="337"/>
        <v>0</v>
      </c>
      <c r="L2300" s="4">
        <f t="shared" si="337"/>
        <v>0</v>
      </c>
      <c r="M2300" s="4">
        <f t="shared" si="337"/>
        <v>0</v>
      </c>
      <c r="N2300" s="4">
        <f t="shared" si="337"/>
        <v>0</v>
      </c>
      <c r="O2300" s="4">
        <f t="shared" si="338"/>
        <v>0</v>
      </c>
      <c r="P2300" s="4">
        <f t="shared" si="339"/>
        <v>0</v>
      </c>
      <c r="Q2300" s="4">
        <f t="shared" si="340"/>
        <v>0</v>
      </c>
      <c r="R2300" s="4">
        <f t="shared" si="341"/>
        <v>0</v>
      </c>
      <c r="S2300" s="4">
        <f>IF(AND(VLOOKUP(G2300,Dados!$D:$L,2,0)=VLOOKUP(I2300,Dados!$S:$V,2,0),VLOOKUP(G2300,Dados!$D:$L,3,0)=VLOOKUP(I2300,Dados!$S:$V,3,0)),0,1)</f>
        <v>0</v>
      </c>
      <c r="T2300" s="4">
        <f>IF(AND(VLOOKUP(G2300,Dados!$D:$L,3,0)&lt;=VLOOKUP(H2300,Dados!$X:$AB,2,0),VLOOKUP(G2300,Dados!$D:$L,4,0)&gt;=VLOOKUP(H2300,Dados!$X:$AB,3,0),VLOOKUP(G2300,Dados!$D:$L,4,0)&lt;=VLOOKUP(H2300,Dados!$X:$AB,4,0)),0,1)</f>
        <v>0</v>
      </c>
      <c r="U2300" s="4">
        <f>IF(COUNTIFS(F:F,F2300,H:H,H2300)&lt;=VLOOKUP(H2300,Dados!$X:$AB,5,0),0,1)</f>
        <v>0</v>
      </c>
    </row>
    <row r="2301" spans="6:21">
      <c r="F2301" s="4">
        <v>1015</v>
      </c>
      <c r="G2301" s="4">
        <v>28</v>
      </c>
      <c r="H2301" s="4">
        <v>1</v>
      </c>
      <c r="I2301" s="4">
        <v>15</v>
      </c>
      <c r="J2301" s="4">
        <v>2</v>
      </c>
      <c r="K2301" s="4">
        <f t="shared" si="337"/>
        <v>0</v>
      </c>
      <c r="L2301" s="4">
        <f t="shared" si="337"/>
        <v>0</v>
      </c>
      <c r="M2301" s="4">
        <f t="shared" si="337"/>
        <v>0</v>
      </c>
      <c r="N2301" s="4">
        <f t="shared" si="337"/>
        <v>0</v>
      </c>
      <c r="O2301" s="4">
        <f t="shared" si="338"/>
        <v>0</v>
      </c>
      <c r="P2301" s="4">
        <f t="shared" si="339"/>
        <v>0</v>
      </c>
      <c r="Q2301" s="4">
        <f t="shared" si="340"/>
        <v>0</v>
      </c>
      <c r="R2301" s="4">
        <f t="shared" si="341"/>
        <v>0</v>
      </c>
      <c r="S2301" s="4">
        <f>IF(AND(VLOOKUP(G2301,Dados!$D:$L,2,0)=VLOOKUP(I2301,Dados!$S:$V,2,0),VLOOKUP(G2301,Dados!$D:$L,3,0)=VLOOKUP(I2301,Dados!$S:$V,3,0)),0,1)</f>
        <v>0</v>
      </c>
      <c r="T2301" s="4">
        <f>IF(AND(VLOOKUP(G2301,Dados!$D:$L,3,0)&lt;=VLOOKUP(H2301,Dados!$X:$AB,2,0),VLOOKUP(G2301,Dados!$D:$L,4,0)&gt;=VLOOKUP(H2301,Dados!$X:$AB,3,0),VLOOKUP(G2301,Dados!$D:$L,4,0)&lt;=VLOOKUP(H2301,Dados!$X:$AB,4,0)),0,1)</f>
        <v>0</v>
      </c>
      <c r="U2301" s="4">
        <f>IF(COUNTIFS(F:F,F2301,H:H,H2301)&lt;=VLOOKUP(H2301,Dados!$X:$AB,5,0),0,1)</f>
        <v>0</v>
      </c>
    </row>
    <row r="2302" spans="6:21">
      <c r="F2302" s="4">
        <v>1016</v>
      </c>
      <c r="G2302" s="4">
        <v>25</v>
      </c>
      <c r="H2302" s="4">
        <v>3</v>
      </c>
      <c r="I2302" s="4">
        <v>15</v>
      </c>
      <c r="J2302" s="4">
        <v>3</v>
      </c>
      <c r="K2302" s="4">
        <f t="shared" si="337"/>
        <v>0</v>
      </c>
      <c r="L2302" s="4">
        <f t="shared" si="337"/>
        <v>0</v>
      </c>
      <c r="M2302" s="4">
        <f t="shared" si="337"/>
        <v>0</v>
      </c>
      <c r="N2302" s="4">
        <f t="shared" si="337"/>
        <v>0</v>
      </c>
      <c r="O2302" s="4">
        <f t="shared" si="338"/>
        <v>0</v>
      </c>
      <c r="P2302" s="4">
        <f t="shared" si="339"/>
        <v>0</v>
      </c>
      <c r="Q2302" s="4">
        <f t="shared" si="340"/>
        <v>0</v>
      </c>
      <c r="R2302" s="4">
        <f t="shared" si="341"/>
        <v>0</v>
      </c>
      <c r="S2302" s="4">
        <f>IF(AND(VLOOKUP(G2302,Dados!$D:$L,2,0)=VLOOKUP(I2302,Dados!$S:$V,2,0),VLOOKUP(G2302,Dados!$D:$L,3,0)=VLOOKUP(I2302,Dados!$S:$V,3,0)),0,1)</f>
        <v>0</v>
      </c>
      <c r="T2302" s="4">
        <f>IF(AND(VLOOKUP(G2302,Dados!$D:$L,3,0)&lt;=VLOOKUP(H2302,Dados!$X:$AB,2,0),VLOOKUP(G2302,Dados!$D:$L,4,0)&gt;=VLOOKUP(H2302,Dados!$X:$AB,3,0),VLOOKUP(G2302,Dados!$D:$L,4,0)&lt;=VLOOKUP(H2302,Dados!$X:$AB,4,0)),0,1)</f>
        <v>0</v>
      </c>
      <c r="U2302" s="4">
        <f>IF(COUNTIFS(F:F,F2302,H:H,H2302)&lt;=VLOOKUP(H2302,Dados!$X:$AB,5,0),0,1)</f>
        <v>0</v>
      </c>
    </row>
    <row r="2303" spans="6:21">
      <c r="F2303" s="4">
        <v>1016</v>
      </c>
      <c r="G2303" s="4">
        <v>27</v>
      </c>
      <c r="H2303" s="4">
        <v>3</v>
      </c>
      <c r="I2303" s="4">
        <v>15</v>
      </c>
      <c r="J2303" s="4">
        <v>2</v>
      </c>
      <c r="K2303" s="4">
        <f t="shared" si="337"/>
        <v>0</v>
      </c>
      <c r="L2303" s="4">
        <f t="shared" si="337"/>
        <v>0</v>
      </c>
      <c r="M2303" s="4">
        <f t="shared" si="337"/>
        <v>0</v>
      </c>
      <c r="N2303" s="4">
        <f t="shared" si="337"/>
        <v>0</v>
      </c>
      <c r="O2303" s="4">
        <f t="shared" si="338"/>
        <v>0</v>
      </c>
      <c r="P2303" s="4">
        <f t="shared" si="339"/>
        <v>0</v>
      </c>
      <c r="Q2303" s="4">
        <f t="shared" si="340"/>
        <v>0</v>
      </c>
      <c r="R2303" s="4">
        <f t="shared" si="341"/>
        <v>0</v>
      </c>
      <c r="S2303" s="4">
        <f>IF(AND(VLOOKUP(G2303,Dados!$D:$L,2,0)=VLOOKUP(I2303,Dados!$S:$V,2,0),VLOOKUP(G2303,Dados!$D:$L,3,0)=VLOOKUP(I2303,Dados!$S:$V,3,0)),0,1)</f>
        <v>0</v>
      </c>
      <c r="T2303" s="4">
        <f>IF(AND(VLOOKUP(G2303,Dados!$D:$L,3,0)&lt;=VLOOKUP(H2303,Dados!$X:$AB,2,0),VLOOKUP(G2303,Dados!$D:$L,4,0)&gt;=VLOOKUP(H2303,Dados!$X:$AB,3,0),VLOOKUP(G2303,Dados!$D:$L,4,0)&lt;=VLOOKUP(H2303,Dados!$X:$AB,4,0)),0,1)</f>
        <v>0</v>
      </c>
      <c r="U2303" s="4">
        <f>IF(COUNTIFS(F:F,F2303,H:H,H2303)&lt;=VLOOKUP(H2303,Dados!$X:$AB,5,0),0,1)</f>
        <v>0</v>
      </c>
    </row>
    <row r="2304" spans="6:21">
      <c r="F2304" s="4">
        <v>1016</v>
      </c>
      <c r="G2304" s="4">
        <v>28</v>
      </c>
      <c r="H2304" s="4">
        <v>3</v>
      </c>
      <c r="I2304" s="4">
        <v>15</v>
      </c>
      <c r="J2304" s="4">
        <v>2</v>
      </c>
      <c r="K2304" s="4">
        <f t="shared" si="337"/>
        <v>0</v>
      </c>
      <c r="L2304" s="4">
        <f t="shared" si="337"/>
        <v>0</v>
      </c>
      <c r="M2304" s="4">
        <f t="shared" si="337"/>
        <v>0</v>
      </c>
      <c r="N2304" s="4">
        <f t="shared" si="337"/>
        <v>0</v>
      </c>
      <c r="O2304" s="4">
        <f t="shared" si="338"/>
        <v>0</v>
      </c>
      <c r="P2304" s="4">
        <f t="shared" si="339"/>
        <v>0</v>
      </c>
      <c r="Q2304" s="4">
        <f t="shared" si="340"/>
        <v>0</v>
      </c>
      <c r="R2304" s="4">
        <f t="shared" si="341"/>
        <v>0</v>
      </c>
      <c r="S2304" s="4">
        <f>IF(AND(VLOOKUP(G2304,Dados!$D:$L,2,0)=VLOOKUP(I2304,Dados!$S:$V,2,0),VLOOKUP(G2304,Dados!$D:$L,3,0)=VLOOKUP(I2304,Dados!$S:$V,3,0)),0,1)</f>
        <v>0</v>
      </c>
      <c r="T2304" s="4">
        <f>IF(AND(VLOOKUP(G2304,Dados!$D:$L,3,0)&lt;=VLOOKUP(H2304,Dados!$X:$AB,2,0),VLOOKUP(G2304,Dados!$D:$L,4,0)&gt;=VLOOKUP(H2304,Dados!$X:$AB,3,0),VLOOKUP(G2304,Dados!$D:$L,4,0)&lt;=VLOOKUP(H2304,Dados!$X:$AB,4,0)),0,1)</f>
        <v>0</v>
      </c>
      <c r="U2304" s="4">
        <f>IF(COUNTIFS(F:F,F2304,H:H,H2304)&lt;=VLOOKUP(H2304,Dados!$X:$AB,5,0),0,1)</f>
        <v>0</v>
      </c>
    </row>
    <row r="2305" spans="6:21">
      <c r="F2305" s="4">
        <v>1017</v>
      </c>
      <c r="G2305" s="4">
        <v>33</v>
      </c>
      <c r="H2305" s="4">
        <v>1</v>
      </c>
      <c r="I2305" s="4">
        <v>16</v>
      </c>
      <c r="J2305" s="4">
        <v>1</v>
      </c>
      <c r="K2305" s="4">
        <f t="shared" si="337"/>
        <v>0</v>
      </c>
      <c r="L2305" s="4">
        <f t="shared" si="337"/>
        <v>0</v>
      </c>
      <c r="M2305" s="4">
        <f t="shared" si="337"/>
        <v>0</v>
      </c>
      <c r="N2305" s="4">
        <f t="shared" si="337"/>
        <v>0</v>
      </c>
      <c r="O2305" s="4">
        <f t="shared" si="338"/>
        <v>0</v>
      </c>
      <c r="P2305" s="4">
        <f t="shared" si="339"/>
        <v>0</v>
      </c>
      <c r="Q2305" s="4">
        <f t="shared" si="340"/>
        <v>0</v>
      </c>
      <c r="R2305" s="4">
        <f t="shared" si="341"/>
        <v>0</v>
      </c>
      <c r="S2305" s="4">
        <f>IF(AND(VLOOKUP(G2305,Dados!$D:$L,2,0)=VLOOKUP(I2305,Dados!$S:$V,2,0),VLOOKUP(G2305,Dados!$D:$L,3,0)=VLOOKUP(I2305,Dados!$S:$V,3,0)),0,1)</f>
        <v>0</v>
      </c>
      <c r="T2305" s="4">
        <f>IF(AND(VLOOKUP(G2305,Dados!$D:$L,3,0)&lt;=VLOOKUP(H2305,Dados!$X:$AB,2,0),VLOOKUP(G2305,Dados!$D:$L,4,0)&gt;=VLOOKUP(H2305,Dados!$X:$AB,3,0),VLOOKUP(G2305,Dados!$D:$L,4,0)&lt;=VLOOKUP(H2305,Dados!$X:$AB,4,0)),0,1)</f>
        <v>0</v>
      </c>
      <c r="U2305" s="4">
        <f>IF(COUNTIFS(F:F,F2305,H:H,H2305)&lt;=VLOOKUP(H2305,Dados!$X:$AB,5,0),0,1)</f>
        <v>0</v>
      </c>
    </row>
    <row r="2306" spans="6:21">
      <c r="F2306" s="4">
        <v>1017</v>
      </c>
      <c r="G2306" s="4">
        <v>35</v>
      </c>
      <c r="H2306" s="4">
        <v>1</v>
      </c>
      <c r="I2306" s="4">
        <v>16</v>
      </c>
      <c r="J2306" s="4">
        <v>5</v>
      </c>
      <c r="K2306" s="4">
        <f t="shared" si="337"/>
        <v>0</v>
      </c>
      <c r="L2306" s="4">
        <f t="shared" si="337"/>
        <v>0</v>
      </c>
      <c r="M2306" s="4">
        <f t="shared" si="337"/>
        <v>0</v>
      </c>
      <c r="N2306" s="4">
        <f t="shared" si="337"/>
        <v>0</v>
      </c>
      <c r="O2306" s="4">
        <f t="shared" si="338"/>
        <v>0</v>
      </c>
      <c r="P2306" s="4">
        <f t="shared" si="339"/>
        <v>0</v>
      </c>
      <c r="Q2306" s="4">
        <f t="shared" si="340"/>
        <v>0</v>
      </c>
      <c r="R2306" s="4">
        <f t="shared" si="341"/>
        <v>0</v>
      </c>
      <c r="S2306" s="4">
        <f>IF(AND(VLOOKUP(G2306,Dados!$D:$L,2,0)=VLOOKUP(I2306,Dados!$S:$V,2,0),VLOOKUP(G2306,Dados!$D:$L,3,0)=VLOOKUP(I2306,Dados!$S:$V,3,0)),0,1)</f>
        <v>0</v>
      </c>
      <c r="T2306" s="4">
        <f>IF(AND(VLOOKUP(G2306,Dados!$D:$L,3,0)&lt;=VLOOKUP(H2306,Dados!$X:$AB,2,0),VLOOKUP(G2306,Dados!$D:$L,4,0)&gt;=VLOOKUP(H2306,Dados!$X:$AB,3,0),VLOOKUP(G2306,Dados!$D:$L,4,0)&lt;=VLOOKUP(H2306,Dados!$X:$AB,4,0)),0,1)</f>
        <v>0</v>
      </c>
      <c r="U2306" s="4">
        <f>IF(COUNTIFS(F:F,F2306,H:H,H2306)&lt;=VLOOKUP(H2306,Dados!$X:$AB,5,0),0,1)</f>
        <v>0</v>
      </c>
    </row>
    <row r="2307" spans="6:21">
      <c r="F2307" s="4">
        <v>1017</v>
      </c>
      <c r="G2307" s="4">
        <v>38</v>
      </c>
      <c r="H2307" s="4">
        <v>1</v>
      </c>
      <c r="I2307" s="4">
        <v>16</v>
      </c>
      <c r="J2307" s="4">
        <v>1</v>
      </c>
      <c r="K2307" s="4">
        <f t="shared" si="337"/>
        <v>0</v>
      </c>
      <c r="L2307" s="4">
        <f t="shared" si="337"/>
        <v>0</v>
      </c>
      <c r="M2307" s="4">
        <f t="shared" si="337"/>
        <v>0</v>
      </c>
      <c r="N2307" s="4">
        <f t="shared" si="337"/>
        <v>0</v>
      </c>
      <c r="O2307" s="4">
        <f t="shared" si="338"/>
        <v>0</v>
      </c>
      <c r="P2307" s="4">
        <f t="shared" si="339"/>
        <v>0</v>
      </c>
      <c r="Q2307" s="4">
        <f t="shared" si="340"/>
        <v>0</v>
      </c>
      <c r="R2307" s="4">
        <f t="shared" si="341"/>
        <v>0</v>
      </c>
      <c r="S2307" s="4">
        <f>IF(AND(VLOOKUP(G2307,Dados!$D:$L,2,0)=VLOOKUP(I2307,Dados!$S:$V,2,0),VLOOKUP(G2307,Dados!$D:$L,3,0)=VLOOKUP(I2307,Dados!$S:$V,3,0)),0,1)</f>
        <v>0</v>
      </c>
      <c r="T2307" s="4">
        <f>IF(AND(VLOOKUP(G2307,Dados!$D:$L,3,0)&lt;=VLOOKUP(H2307,Dados!$X:$AB,2,0),VLOOKUP(G2307,Dados!$D:$L,4,0)&gt;=VLOOKUP(H2307,Dados!$X:$AB,3,0),VLOOKUP(G2307,Dados!$D:$L,4,0)&lt;=VLOOKUP(H2307,Dados!$X:$AB,4,0)),0,1)</f>
        <v>0</v>
      </c>
      <c r="U2307" s="4">
        <f>IF(COUNTIFS(F:F,F2307,H:H,H2307)&lt;=VLOOKUP(H2307,Dados!$X:$AB,5,0),0,1)</f>
        <v>0</v>
      </c>
    </row>
    <row r="2308" spans="6:21">
      <c r="F2308" s="4">
        <v>1018</v>
      </c>
      <c r="G2308" s="4">
        <v>33</v>
      </c>
      <c r="H2308" s="4">
        <v>2</v>
      </c>
      <c r="I2308" s="4">
        <v>16</v>
      </c>
      <c r="J2308" s="4">
        <v>1</v>
      </c>
      <c r="K2308" s="4">
        <f t="shared" si="337"/>
        <v>0</v>
      </c>
      <c r="L2308" s="4">
        <f t="shared" si="337"/>
        <v>0</v>
      </c>
      <c r="M2308" s="4">
        <f t="shared" si="337"/>
        <v>0</v>
      </c>
      <c r="N2308" s="4">
        <f t="shared" si="337"/>
        <v>0</v>
      </c>
      <c r="O2308" s="4">
        <f t="shared" si="338"/>
        <v>0</v>
      </c>
      <c r="P2308" s="4">
        <f t="shared" si="339"/>
        <v>0</v>
      </c>
      <c r="Q2308" s="4">
        <f t="shared" si="340"/>
        <v>0</v>
      </c>
      <c r="R2308" s="4">
        <f t="shared" si="341"/>
        <v>0</v>
      </c>
      <c r="S2308" s="4">
        <f>IF(AND(VLOOKUP(G2308,Dados!$D:$L,2,0)=VLOOKUP(I2308,Dados!$S:$V,2,0),VLOOKUP(G2308,Dados!$D:$L,3,0)=VLOOKUP(I2308,Dados!$S:$V,3,0)),0,1)</f>
        <v>0</v>
      </c>
      <c r="T2308" s="4">
        <f>IF(AND(VLOOKUP(G2308,Dados!$D:$L,3,0)&lt;=VLOOKUP(H2308,Dados!$X:$AB,2,0),VLOOKUP(G2308,Dados!$D:$L,4,0)&gt;=VLOOKUP(H2308,Dados!$X:$AB,3,0),VLOOKUP(G2308,Dados!$D:$L,4,0)&lt;=VLOOKUP(H2308,Dados!$X:$AB,4,0)),0,1)</f>
        <v>0</v>
      </c>
      <c r="U2308" s="4">
        <f>IF(COUNTIFS(F:F,F2308,H:H,H2308)&lt;=VLOOKUP(H2308,Dados!$X:$AB,5,0),0,1)</f>
        <v>0</v>
      </c>
    </row>
    <row r="2309" spans="6:21">
      <c r="F2309" s="4">
        <v>1018</v>
      </c>
      <c r="G2309" s="4">
        <v>35</v>
      </c>
      <c r="H2309" s="4">
        <v>2</v>
      </c>
      <c r="I2309" s="4">
        <v>16</v>
      </c>
      <c r="J2309" s="4">
        <v>5</v>
      </c>
      <c r="K2309" s="4">
        <f t="shared" si="337"/>
        <v>0</v>
      </c>
      <c r="L2309" s="4">
        <f t="shared" si="337"/>
        <v>0</v>
      </c>
      <c r="M2309" s="4">
        <f t="shared" si="337"/>
        <v>0</v>
      </c>
      <c r="N2309" s="4">
        <f t="shared" si="337"/>
        <v>0</v>
      </c>
      <c r="O2309" s="4">
        <f t="shared" si="338"/>
        <v>0</v>
      </c>
      <c r="P2309" s="4">
        <f t="shared" si="339"/>
        <v>0</v>
      </c>
      <c r="Q2309" s="4">
        <f t="shared" si="340"/>
        <v>0</v>
      </c>
      <c r="R2309" s="4">
        <f t="shared" si="341"/>
        <v>0</v>
      </c>
      <c r="S2309" s="4">
        <f>IF(AND(VLOOKUP(G2309,Dados!$D:$L,2,0)=VLOOKUP(I2309,Dados!$S:$V,2,0),VLOOKUP(G2309,Dados!$D:$L,3,0)=VLOOKUP(I2309,Dados!$S:$V,3,0)),0,1)</f>
        <v>0</v>
      </c>
      <c r="T2309" s="4">
        <f>IF(AND(VLOOKUP(G2309,Dados!$D:$L,3,0)&lt;=VLOOKUP(H2309,Dados!$X:$AB,2,0),VLOOKUP(G2309,Dados!$D:$L,4,0)&gt;=VLOOKUP(H2309,Dados!$X:$AB,3,0),VLOOKUP(G2309,Dados!$D:$L,4,0)&lt;=VLOOKUP(H2309,Dados!$X:$AB,4,0)),0,1)</f>
        <v>0</v>
      </c>
      <c r="U2309" s="4">
        <f>IF(COUNTIFS(F:F,F2309,H:H,H2309)&lt;=VLOOKUP(H2309,Dados!$X:$AB,5,0),0,1)</f>
        <v>0</v>
      </c>
    </row>
    <row r="2310" spans="6:21">
      <c r="F2310" s="4">
        <v>1018</v>
      </c>
      <c r="G2310" s="4">
        <v>38</v>
      </c>
      <c r="H2310" s="4">
        <v>2</v>
      </c>
      <c r="I2310" s="4">
        <v>16</v>
      </c>
      <c r="J2310" s="4">
        <v>1</v>
      </c>
      <c r="K2310" s="4">
        <f t="shared" si="337"/>
        <v>0</v>
      </c>
      <c r="L2310" s="4">
        <f t="shared" si="337"/>
        <v>0</v>
      </c>
      <c r="M2310" s="4">
        <f t="shared" si="337"/>
        <v>0</v>
      </c>
      <c r="N2310" s="4">
        <f t="shared" si="337"/>
        <v>0</v>
      </c>
      <c r="O2310" s="4">
        <f t="shared" si="338"/>
        <v>0</v>
      </c>
      <c r="P2310" s="4">
        <f t="shared" si="339"/>
        <v>0</v>
      </c>
      <c r="Q2310" s="4">
        <f t="shared" si="340"/>
        <v>0</v>
      </c>
      <c r="R2310" s="4">
        <f t="shared" si="341"/>
        <v>0</v>
      </c>
      <c r="S2310" s="4">
        <f>IF(AND(VLOOKUP(G2310,Dados!$D:$L,2,0)=VLOOKUP(I2310,Dados!$S:$V,2,0),VLOOKUP(G2310,Dados!$D:$L,3,0)=VLOOKUP(I2310,Dados!$S:$V,3,0)),0,1)</f>
        <v>0</v>
      </c>
      <c r="T2310" s="4">
        <f>IF(AND(VLOOKUP(G2310,Dados!$D:$L,3,0)&lt;=VLOOKUP(H2310,Dados!$X:$AB,2,0),VLOOKUP(G2310,Dados!$D:$L,4,0)&gt;=VLOOKUP(H2310,Dados!$X:$AB,3,0),VLOOKUP(G2310,Dados!$D:$L,4,0)&lt;=VLOOKUP(H2310,Dados!$X:$AB,4,0)),0,1)</f>
        <v>0</v>
      </c>
      <c r="U2310" s="4">
        <f>IF(COUNTIFS(F:F,F2310,H:H,H2310)&lt;=VLOOKUP(H2310,Dados!$X:$AB,5,0),0,1)</f>
        <v>0</v>
      </c>
    </row>
    <row r="2311" spans="6:21">
      <c r="F2311" s="4">
        <v>1019</v>
      </c>
      <c r="G2311" s="4">
        <v>33</v>
      </c>
      <c r="H2311" s="4">
        <v>3</v>
      </c>
      <c r="I2311" s="4">
        <v>16</v>
      </c>
      <c r="J2311" s="4">
        <v>1</v>
      </c>
      <c r="K2311" s="4">
        <f t="shared" si="337"/>
        <v>0</v>
      </c>
      <c r="L2311" s="4">
        <f t="shared" si="337"/>
        <v>0</v>
      </c>
      <c r="M2311" s="4">
        <f t="shared" si="337"/>
        <v>0</v>
      </c>
      <c r="N2311" s="4">
        <f t="shared" si="337"/>
        <v>2</v>
      </c>
      <c r="O2311" s="4">
        <f t="shared" si="338"/>
        <v>0</v>
      </c>
      <c r="P2311" s="4">
        <f t="shared" si="339"/>
        <v>0</v>
      </c>
      <c r="Q2311" s="4">
        <f t="shared" si="340"/>
        <v>0</v>
      </c>
      <c r="R2311" s="4">
        <f t="shared" si="341"/>
        <v>2</v>
      </c>
      <c r="S2311" s="4">
        <f>IF(AND(VLOOKUP(G2311,Dados!$D:$L,2,0)=VLOOKUP(I2311,Dados!$S:$V,2,0),VLOOKUP(G2311,Dados!$D:$L,3,0)=VLOOKUP(I2311,Dados!$S:$V,3,0)),0,1)</f>
        <v>0</v>
      </c>
      <c r="T2311" s="4">
        <f>IF(AND(VLOOKUP(G2311,Dados!$D:$L,3,0)&lt;=VLOOKUP(H2311,Dados!$X:$AB,2,0),VLOOKUP(G2311,Dados!$D:$L,4,0)&gt;=VLOOKUP(H2311,Dados!$X:$AB,3,0),VLOOKUP(G2311,Dados!$D:$L,4,0)&lt;=VLOOKUP(H2311,Dados!$X:$AB,4,0)),0,1)</f>
        <v>0</v>
      </c>
      <c r="U2311" s="4">
        <f>IF(COUNTIFS(F:F,F2311,H:H,H2311)&lt;=VLOOKUP(H2311,Dados!$X:$AB,5,0),0,1)</f>
        <v>0</v>
      </c>
    </row>
    <row r="2312" spans="6:21">
      <c r="F2312" s="4">
        <v>1019</v>
      </c>
      <c r="G2312" s="4">
        <v>35</v>
      </c>
      <c r="H2312" s="4">
        <v>3</v>
      </c>
      <c r="I2312" s="4">
        <v>16</v>
      </c>
      <c r="J2312" s="4">
        <v>5</v>
      </c>
      <c r="K2312" s="4">
        <f t="shared" si="337"/>
        <v>0</v>
      </c>
      <c r="L2312" s="4">
        <f t="shared" si="337"/>
        <v>0</v>
      </c>
      <c r="M2312" s="4">
        <f t="shared" si="337"/>
        <v>0</v>
      </c>
      <c r="N2312" s="4">
        <f t="shared" si="337"/>
        <v>2</v>
      </c>
      <c r="O2312" s="4">
        <f t="shared" si="338"/>
        <v>0</v>
      </c>
      <c r="P2312" s="4">
        <f t="shared" si="339"/>
        <v>0</v>
      </c>
      <c r="Q2312" s="4">
        <f t="shared" si="340"/>
        <v>0</v>
      </c>
      <c r="R2312" s="4">
        <f t="shared" si="341"/>
        <v>10</v>
      </c>
      <c r="S2312" s="4">
        <f>IF(AND(VLOOKUP(G2312,Dados!$D:$L,2,0)=VLOOKUP(I2312,Dados!$S:$V,2,0),VLOOKUP(G2312,Dados!$D:$L,3,0)=VLOOKUP(I2312,Dados!$S:$V,3,0)),0,1)</f>
        <v>0</v>
      </c>
      <c r="T2312" s="4">
        <f>IF(AND(VLOOKUP(G2312,Dados!$D:$L,3,0)&lt;=VLOOKUP(H2312,Dados!$X:$AB,2,0),VLOOKUP(G2312,Dados!$D:$L,4,0)&gt;=VLOOKUP(H2312,Dados!$X:$AB,3,0),VLOOKUP(G2312,Dados!$D:$L,4,0)&lt;=VLOOKUP(H2312,Dados!$X:$AB,4,0)),0,1)</f>
        <v>0</v>
      </c>
      <c r="U2312" s="4">
        <f>IF(COUNTIFS(F:F,F2312,H:H,H2312)&lt;=VLOOKUP(H2312,Dados!$X:$AB,5,0),0,1)</f>
        <v>0</v>
      </c>
    </row>
    <row r="2313" spans="6:21">
      <c r="F2313" s="4">
        <v>1019</v>
      </c>
      <c r="G2313" s="4">
        <v>38</v>
      </c>
      <c r="H2313" s="4">
        <v>3</v>
      </c>
      <c r="I2313" s="4">
        <v>16</v>
      </c>
      <c r="J2313" s="4">
        <v>1</v>
      </c>
      <c r="K2313" s="4">
        <f t="shared" si="337"/>
        <v>0</v>
      </c>
      <c r="L2313" s="4">
        <f t="shared" si="337"/>
        <v>0</v>
      </c>
      <c r="M2313" s="4">
        <f t="shared" si="337"/>
        <v>0</v>
      </c>
      <c r="N2313" s="4">
        <f t="shared" si="337"/>
        <v>2</v>
      </c>
      <c r="O2313" s="4">
        <f t="shared" si="338"/>
        <v>0</v>
      </c>
      <c r="P2313" s="4">
        <f t="shared" si="339"/>
        <v>0</v>
      </c>
      <c r="Q2313" s="4">
        <f t="shared" si="340"/>
        <v>0</v>
      </c>
      <c r="R2313" s="4">
        <f t="shared" si="341"/>
        <v>2</v>
      </c>
      <c r="S2313" s="4">
        <f>IF(AND(VLOOKUP(G2313,Dados!$D:$L,2,0)=VLOOKUP(I2313,Dados!$S:$V,2,0),VLOOKUP(G2313,Dados!$D:$L,3,0)=VLOOKUP(I2313,Dados!$S:$V,3,0)),0,1)</f>
        <v>0</v>
      </c>
      <c r="T2313" s="4">
        <f>IF(AND(VLOOKUP(G2313,Dados!$D:$L,3,0)&lt;=VLOOKUP(H2313,Dados!$X:$AB,2,0),VLOOKUP(G2313,Dados!$D:$L,4,0)&gt;=VLOOKUP(H2313,Dados!$X:$AB,3,0),VLOOKUP(G2313,Dados!$D:$L,4,0)&lt;=VLOOKUP(H2313,Dados!$X:$AB,4,0)),0,1)</f>
        <v>0</v>
      </c>
      <c r="U2313" s="4">
        <f>IF(COUNTIFS(F:F,F2313,H:H,H2313)&lt;=VLOOKUP(H2313,Dados!$X:$AB,5,0),0,1)</f>
        <v>0</v>
      </c>
    </row>
    <row r="2314" spans="6:21">
      <c r="F2314" s="4">
        <v>1020</v>
      </c>
      <c r="G2314" s="4">
        <v>39</v>
      </c>
      <c r="H2314" s="4">
        <v>1</v>
      </c>
      <c r="I2314" s="4">
        <v>17</v>
      </c>
      <c r="J2314" s="4">
        <v>3</v>
      </c>
      <c r="K2314" s="4">
        <f t="shared" si="337"/>
        <v>0</v>
      </c>
      <c r="L2314" s="4">
        <f t="shared" si="337"/>
        <v>0</v>
      </c>
      <c r="M2314" s="4">
        <f t="shared" si="337"/>
        <v>0</v>
      </c>
      <c r="N2314" s="4">
        <f t="shared" si="337"/>
        <v>0</v>
      </c>
      <c r="O2314" s="4">
        <f t="shared" si="338"/>
        <v>0</v>
      </c>
      <c r="P2314" s="4">
        <f t="shared" si="339"/>
        <v>0</v>
      </c>
      <c r="Q2314" s="4">
        <f t="shared" si="340"/>
        <v>0</v>
      </c>
      <c r="R2314" s="4">
        <f t="shared" si="341"/>
        <v>0</v>
      </c>
      <c r="S2314" s="4">
        <f>IF(AND(VLOOKUP(G2314,Dados!$D:$L,2,0)=VLOOKUP(I2314,Dados!$S:$V,2,0),VLOOKUP(G2314,Dados!$D:$L,3,0)=VLOOKUP(I2314,Dados!$S:$V,3,0)),0,1)</f>
        <v>0</v>
      </c>
      <c r="T2314" s="4">
        <f>IF(AND(VLOOKUP(G2314,Dados!$D:$L,3,0)&lt;=VLOOKUP(H2314,Dados!$X:$AB,2,0),VLOOKUP(G2314,Dados!$D:$L,4,0)&gt;=VLOOKUP(H2314,Dados!$X:$AB,3,0),VLOOKUP(G2314,Dados!$D:$L,4,0)&lt;=VLOOKUP(H2314,Dados!$X:$AB,4,0)),0,1)</f>
        <v>0</v>
      </c>
      <c r="U2314" s="4">
        <f>IF(COUNTIFS(F:F,F2314,H:H,H2314)&lt;=VLOOKUP(H2314,Dados!$X:$AB,5,0),0,1)</f>
        <v>0</v>
      </c>
    </row>
    <row r="2315" spans="6:21">
      <c r="F2315" s="4">
        <v>1020</v>
      </c>
      <c r="G2315" s="4">
        <v>43</v>
      </c>
      <c r="H2315" s="4">
        <v>1</v>
      </c>
      <c r="I2315" s="4">
        <v>17</v>
      </c>
      <c r="J2315" s="4">
        <v>2</v>
      </c>
      <c r="K2315" s="4">
        <f t="shared" si="337"/>
        <v>0</v>
      </c>
      <c r="L2315" s="4">
        <f t="shared" si="337"/>
        <v>0</v>
      </c>
      <c r="M2315" s="4">
        <f t="shared" si="337"/>
        <v>0</v>
      </c>
      <c r="N2315" s="4">
        <f t="shared" si="337"/>
        <v>0</v>
      </c>
      <c r="O2315" s="4">
        <f t="shared" si="338"/>
        <v>0</v>
      </c>
      <c r="P2315" s="4">
        <f t="shared" si="339"/>
        <v>0</v>
      </c>
      <c r="Q2315" s="4">
        <f t="shared" si="340"/>
        <v>0</v>
      </c>
      <c r="R2315" s="4">
        <f t="shared" si="341"/>
        <v>0</v>
      </c>
      <c r="S2315" s="4">
        <f>IF(AND(VLOOKUP(G2315,Dados!$D:$L,2,0)=VLOOKUP(I2315,Dados!$S:$V,2,0),VLOOKUP(G2315,Dados!$D:$L,3,0)=VLOOKUP(I2315,Dados!$S:$V,3,0)),0,1)</f>
        <v>0</v>
      </c>
      <c r="T2315" s="4">
        <f>IF(AND(VLOOKUP(G2315,Dados!$D:$L,3,0)&lt;=VLOOKUP(H2315,Dados!$X:$AB,2,0),VLOOKUP(G2315,Dados!$D:$L,4,0)&gt;=VLOOKUP(H2315,Dados!$X:$AB,3,0),VLOOKUP(G2315,Dados!$D:$L,4,0)&lt;=VLOOKUP(H2315,Dados!$X:$AB,4,0)),0,1)</f>
        <v>0</v>
      </c>
      <c r="U2315" s="4">
        <f>IF(COUNTIFS(F:F,F2315,H:H,H2315)&lt;=VLOOKUP(H2315,Dados!$X:$AB,5,0),0,1)</f>
        <v>0</v>
      </c>
    </row>
    <row r="2316" spans="6:21">
      <c r="F2316" s="4">
        <v>1020</v>
      </c>
      <c r="G2316" s="4">
        <v>44</v>
      </c>
      <c r="H2316" s="4">
        <v>1</v>
      </c>
      <c r="I2316" s="4">
        <v>17</v>
      </c>
      <c r="J2316" s="4">
        <v>3</v>
      </c>
      <c r="K2316" s="4">
        <f t="shared" si="337"/>
        <v>0</v>
      </c>
      <c r="L2316" s="4">
        <f t="shared" si="337"/>
        <v>0</v>
      </c>
      <c r="M2316" s="4">
        <f t="shared" si="337"/>
        <v>0</v>
      </c>
      <c r="N2316" s="4">
        <f t="shared" si="337"/>
        <v>0</v>
      </c>
      <c r="O2316" s="4">
        <f t="shared" si="338"/>
        <v>0</v>
      </c>
      <c r="P2316" s="4">
        <f t="shared" si="339"/>
        <v>0</v>
      </c>
      <c r="Q2316" s="4">
        <f t="shared" si="340"/>
        <v>0</v>
      </c>
      <c r="R2316" s="4">
        <f t="shared" si="341"/>
        <v>0</v>
      </c>
      <c r="S2316" s="4">
        <f>IF(AND(VLOOKUP(G2316,Dados!$D:$L,2,0)=VLOOKUP(I2316,Dados!$S:$V,2,0),VLOOKUP(G2316,Dados!$D:$L,3,0)=VLOOKUP(I2316,Dados!$S:$V,3,0)),0,1)</f>
        <v>0</v>
      </c>
      <c r="T2316" s="4">
        <f>IF(AND(VLOOKUP(G2316,Dados!$D:$L,3,0)&lt;=VLOOKUP(H2316,Dados!$X:$AB,2,0),VLOOKUP(G2316,Dados!$D:$L,4,0)&gt;=VLOOKUP(H2316,Dados!$X:$AB,3,0),VLOOKUP(G2316,Dados!$D:$L,4,0)&lt;=VLOOKUP(H2316,Dados!$X:$AB,4,0)),0,1)</f>
        <v>0</v>
      </c>
      <c r="U2316" s="4">
        <f>IF(COUNTIFS(F:F,F2316,H:H,H2316)&lt;=VLOOKUP(H2316,Dados!$X:$AB,5,0),0,1)</f>
        <v>0</v>
      </c>
    </row>
    <row r="2317" spans="6:21">
      <c r="F2317" s="4">
        <v>1021</v>
      </c>
      <c r="G2317" s="4">
        <v>39</v>
      </c>
      <c r="H2317" s="4">
        <v>2</v>
      </c>
      <c r="I2317" s="4">
        <v>17</v>
      </c>
      <c r="J2317" s="4">
        <v>3</v>
      </c>
      <c r="K2317" s="4">
        <f t="shared" si="337"/>
        <v>0</v>
      </c>
      <c r="L2317" s="4">
        <f t="shared" si="337"/>
        <v>0</v>
      </c>
      <c r="M2317" s="4">
        <f t="shared" si="337"/>
        <v>0</v>
      </c>
      <c r="N2317" s="4">
        <f t="shared" si="337"/>
        <v>2</v>
      </c>
      <c r="O2317" s="4">
        <f t="shared" si="338"/>
        <v>0</v>
      </c>
      <c r="P2317" s="4">
        <f t="shared" si="339"/>
        <v>0</v>
      </c>
      <c r="Q2317" s="4">
        <f t="shared" si="340"/>
        <v>0</v>
      </c>
      <c r="R2317" s="4">
        <f t="shared" si="341"/>
        <v>6</v>
      </c>
      <c r="S2317" s="4">
        <f>IF(AND(VLOOKUP(G2317,Dados!$D:$L,2,0)=VLOOKUP(I2317,Dados!$S:$V,2,0),VLOOKUP(G2317,Dados!$D:$L,3,0)=VLOOKUP(I2317,Dados!$S:$V,3,0)),0,1)</f>
        <v>0</v>
      </c>
      <c r="T2317" s="4">
        <f>IF(AND(VLOOKUP(G2317,Dados!$D:$L,3,0)&lt;=VLOOKUP(H2317,Dados!$X:$AB,2,0),VLOOKUP(G2317,Dados!$D:$L,4,0)&gt;=VLOOKUP(H2317,Dados!$X:$AB,3,0),VLOOKUP(G2317,Dados!$D:$L,4,0)&lt;=VLOOKUP(H2317,Dados!$X:$AB,4,0)),0,1)</f>
        <v>0</v>
      </c>
      <c r="U2317" s="4">
        <f>IF(COUNTIFS(F:F,F2317,H:H,H2317)&lt;=VLOOKUP(H2317,Dados!$X:$AB,5,0),0,1)</f>
        <v>0</v>
      </c>
    </row>
    <row r="2318" spans="6:21">
      <c r="F2318" s="4">
        <v>1021</v>
      </c>
      <c r="G2318" s="4">
        <v>43</v>
      </c>
      <c r="H2318" s="4">
        <v>2</v>
      </c>
      <c r="I2318" s="4">
        <v>17</v>
      </c>
      <c r="J2318" s="4">
        <v>2</v>
      </c>
      <c r="K2318" s="4">
        <f t="shared" si="337"/>
        <v>0</v>
      </c>
      <c r="L2318" s="4">
        <f t="shared" si="337"/>
        <v>0</v>
      </c>
      <c r="M2318" s="4">
        <f t="shared" si="337"/>
        <v>0</v>
      </c>
      <c r="N2318" s="4">
        <f t="shared" si="337"/>
        <v>2</v>
      </c>
      <c r="O2318" s="4">
        <f t="shared" si="338"/>
        <v>0</v>
      </c>
      <c r="P2318" s="4">
        <f t="shared" si="339"/>
        <v>0</v>
      </c>
      <c r="Q2318" s="4">
        <f t="shared" si="340"/>
        <v>0</v>
      </c>
      <c r="R2318" s="4">
        <f t="shared" si="341"/>
        <v>4</v>
      </c>
      <c r="S2318" s="4">
        <f>IF(AND(VLOOKUP(G2318,Dados!$D:$L,2,0)=VLOOKUP(I2318,Dados!$S:$V,2,0),VLOOKUP(G2318,Dados!$D:$L,3,0)=VLOOKUP(I2318,Dados!$S:$V,3,0)),0,1)</f>
        <v>0</v>
      </c>
      <c r="T2318" s="4">
        <f>IF(AND(VLOOKUP(G2318,Dados!$D:$L,3,0)&lt;=VLOOKUP(H2318,Dados!$X:$AB,2,0),VLOOKUP(G2318,Dados!$D:$L,4,0)&gt;=VLOOKUP(H2318,Dados!$X:$AB,3,0),VLOOKUP(G2318,Dados!$D:$L,4,0)&lt;=VLOOKUP(H2318,Dados!$X:$AB,4,0)),0,1)</f>
        <v>0</v>
      </c>
      <c r="U2318" s="4">
        <f>IF(COUNTIFS(F:F,F2318,H:H,H2318)&lt;=VLOOKUP(H2318,Dados!$X:$AB,5,0),0,1)</f>
        <v>0</v>
      </c>
    </row>
    <row r="2319" spans="6:21">
      <c r="F2319" s="4">
        <v>1021</v>
      </c>
      <c r="G2319" s="4">
        <v>44</v>
      </c>
      <c r="H2319" s="4">
        <v>2</v>
      </c>
      <c r="I2319" s="4">
        <v>17</v>
      </c>
      <c r="J2319" s="4">
        <v>3</v>
      </c>
      <c r="K2319" s="4">
        <f t="shared" si="337"/>
        <v>0</v>
      </c>
      <c r="L2319" s="4">
        <f t="shared" si="337"/>
        <v>0</v>
      </c>
      <c r="M2319" s="4">
        <f t="shared" si="337"/>
        <v>0</v>
      </c>
      <c r="N2319" s="4">
        <f t="shared" si="337"/>
        <v>2</v>
      </c>
      <c r="O2319" s="4">
        <f t="shared" si="338"/>
        <v>0</v>
      </c>
      <c r="P2319" s="4">
        <f t="shared" si="339"/>
        <v>0</v>
      </c>
      <c r="Q2319" s="4">
        <f t="shared" si="340"/>
        <v>0</v>
      </c>
      <c r="R2319" s="4">
        <f t="shared" si="341"/>
        <v>6</v>
      </c>
      <c r="S2319" s="4">
        <f>IF(AND(VLOOKUP(G2319,Dados!$D:$L,2,0)=VLOOKUP(I2319,Dados!$S:$V,2,0),VLOOKUP(G2319,Dados!$D:$L,3,0)=VLOOKUP(I2319,Dados!$S:$V,3,0)),0,1)</f>
        <v>0</v>
      </c>
      <c r="T2319" s="4">
        <f>IF(AND(VLOOKUP(G2319,Dados!$D:$L,3,0)&lt;=VLOOKUP(H2319,Dados!$X:$AB,2,0),VLOOKUP(G2319,Dados!$D:$L,4,0)&gt;=VLOOKUP(H2319,Dados!$X:$AB,3,0),VLOOKUP(G2319,Dados!$D:$L,4,0)&lt;=VLOOKUP(H2319,Dados!$X:$AB,4,0)),0,1)</f>
        <v>0</v>
      </c>
      <c r="U2319" s="4">
        <f>IF(COUNTIFS(F:F,F2319,H:H,H2319)&lt;=VLOOKUP(H2319,Dados!$X:$AB,5,0),0,1)</f>
        <v>0</v>
      </c>
    </row>
    <row r="2320" spans="6:21">
      <c r="F2320" s="4">
        <v>1022</v>
      </c>
      <c r="G2320" s="4">
        <v>39</v>
      </c>
      <c r="H2320" s="4">
        <v>3</v>
      </c>
      <c r="I2320" s="4">
        <v>17</v>
      </c>
      <c r="J2320" s="4">
        <v>1</v>
      </c>
      <c r="K2320" s="4">
        <f t="shared" si="337"/>
        <v>0</v>
      </c>
      <c r="L2320" s="4">
        <f t="shared" si="337"/>
        <v>0</v>
      </c>
      <c r="M2320" s="4">
        <f t="shared" si="337"/>
        <v>0</v>
      </c>
      <c r="N2320" s="4">
        <f t="shared" si="337"/>
        <v>13</v>
      </c>
      <c r="O2320" s="4">
        <f t="shared" si="338"/>
        <v>0</v>
      </c>
      <c r="P2320" s="4">
        <f t="shared" si="339"/>
        <v>0</v>
      </c>
      <c r="Q2320" s="4">
        <f t="shared" si="340"/>
        <v>0</v>
      </c>
      <c r="R2320" s="4">
        <f t="shared" si="341"/>
        <v>13</v>
      </c>
      <c r="S2320" s="4">
        <f>IF(AND(VLOOKUP(G2320,Dados!$D:$L,2,0)=VLOOKUP(I2320,Dados!$S:$V,2,0),VLOOKUP(G2320,Dados!$D:$L,3,0)=VLOOKUP(I2320,Dados!$S:$V,3,0)),0,1)</f>
        <v>0</v>
      </c>
      <c r="T2320" s="4">
        <f>IF(AND(VLOOKUP(G2320,Dados!$D:$L,3,0)&lt;=VLOOKUP(H2320,Dados!$X:$AB,2,0),VLOOKUP(G2320,Dados!$D:$L,4,0)&gt;=VLOOKUP(H2320,Dados!$X:$AB,3,0),VLOOKUP(G2320,Dados!$D:$L,4,0)&lt;=VLOOKUP(H2320,Dados!$X:$AB,4,0)),0,1)</f>
        <v>0</v>
      </c>
      <c r="U2320" s="4">
        <f>IF(COUNTIFS(F:F,F2320,H:H,H2320)&lt;=VLOOKUP(H2320,Dados!$X:$AB,5,0),0,1)</f>
        <v>0</v>
      </c>
    </row>
    <row r="2321" spans="6:21">
      <c r="F2321" s="4">
        <v>1022</v>
      </c>
      <c r="G2321" s="4">
        <v>42</v>
      </c>
      <c r="H2321" s="4">
        <v>3</v>
      </c>
      <c r="I2321" s="4">
        <v>17</v>
      </c>
      <c r="J2321" s="4">
        <v>1</v>
      </c>
      <c r="K2321" s="4">
        <f t="shared" si="337"/>
        <v>0</v>
      </c>
      <c r="L2321" s="4">
        <f t="shared" si="337"/>
        <v>0</v>
      </c>
      <c r="M2321" s="4">
        <f t="shared" si="337"/>
        <v>0</v>
      </c>
      <c r="N2321" s="4">
        <f t="shared" si="337"/>
        <v>13</v>
      </c>
      <c r="O2321" s="4">
        <f t="shared" si="338"/>
        <v>0</v>
      </c>
      <c r="P2321" s="4">
        <f t="shared" si="339"/>
        <v>0</v>
      </c>
      <c r="Q2321" s="4">
        <f t="shared" si="340"/>
        <v>0</v>
      </c>
      <c r="R2321" s="4">
        <f t="shared" si="341"/>
        <v>13</v>
      </c>
      <c r="S2321" s="4">
        <f>IF(AND(VLOOKUP(G2321,Dados!$D:$L,2,0)=VLOOKUP(I2321,Dados!$S:$V,2,0),VLOOKUP(G2321,Dados!$D:$L,3,0)=VLOOKUP(I2321,Dados!$S:$V,3,0)),0,1)</f>
        <v>0</v>
      </c>
      <c r="T2321" s="4">
        <f>IF(AND(VLOOKUP(G2321,Dados!$D:$L,3,0)&lt;=VLOOKUP(H2321,Dados!$X:$AB,2,0),VLOOKUP(G2321,Dados!$D:$L,4,0)&gt;=VLOOKUP(H2321,Dados!$X:$AB,3,0),VLOOKUP(G2321,Dados!$D:$L,4,0)&lt;=VLOOKUP(H2321,Dados!$X:$AB,4,0)),0,1)</f>
        <v>0</v>
      </c>
      <c r="U2321" s="4">
        <f>IF(COUNTIFS(F:F,F2321,H:H,H2321)&lt;=VLOOKUP(H2321,Dados!$X:$AB,5,0),0,1)</f>
        <v>0</v>
      </c>
    </row>
    <row r="2322" spans="6:21">
      <c r="F2322" s="4">
        <v>1022</v>
      </c>
      <c r="G2322" s="4">
        <v>43</v>
      </c>
      <c r="H2322" s="4">
        <v>3</v>
      </c>
      <c r="I2322" s="4">
        <v>17</v>
      </c>
      <c r="J2322" s="4">
        <v>2</v>
      </c>
      <c r="K2322" s="4">
        <f t="shared" si="337"/>
        <v>0</v>
      </c>
      <c r="L2322" s="4">
        <f t="shared" si="337"/>
        <v>0</v>
      </c>
      <c r="M2322" s="4">
        <f t="shared" si="337"/>
        <v>0</v>
      </c>
      <c r="N2322" s="4">
        <f t="shared" si="337"/>
        <v>13</v>
      </c>
      <c r="O2322" s="4">
        <f t="shared" si="338"/>
        <v>0</v>
      </c>
      <c r="P2322" s="4">
        <f t="shared" si="339"/>
        <v>0</v>
      </c>
      <c r="Q2322" s="4">
        <f t="shared" si="340"/>
        <v>0</v>
      </c>
      <c r="R2322" s="4">
        <f t="shared" si="341"/>
        <v>26</v>
      </c>
      <c r="S2322" s="4">
        <f>IF(AND(VLOOKUP(G2322,Dados!$D:$L,2,0)=VLOOKUP(I2322,Dados!$S:$V,2,0),VLOOKUP(G2322,Dados!$D:$L,3,0)=VLOOKUP(I2322,Dados!$S:$V,3,0)),0,1)</f>
        <v>0</v>
      </c>
      <c r="T2322" s="4">
        <f>IF(AND(VLOOKUP(G2322,Dados!$D:$L,3,0)&lt;=VLOOKUP(H2322,Dados!$X:$AB,2,0),VLOOKUP(G2322,Dados!$D:$L,4,0)&gt;=VLOOKUP(H2322,Dados!$X:$AB,3,0),VLOOKUP(G2322,Dados!$D:$L,4,0)&lt;=VLOOKUP(H2322,Dados!$X:$AB,4,0)),0,1)</f>
        <v>0</v>
      </c>
      <c r="U2322" s="4">
        <f>IF(COUNTIFS(F:F,F2322,H:H,H2322)&lt;=VLOOKUP(H2322,Dados!$X:$AB,5,0),0,1)</f>
        <v>0</v>
      </c>
    </row>
    <row r="2323" spans="6:21">
      <c r="F2323" s="4">
        <v>1022</v>
      </c>
      <c r="G2323" s="4">
        <v>44</v>
      </c>
      <c r="H2323" s="4">
        <v>3</v>
      </c>
      <c r="I2323" s="4">
        <v>17</v>
      </c>
      <c r="J2323" s="4">
        <v>5</v>
      </c>
      <c r="K2323" s="4">
        <f t="shared" si="337"/>
        <v>0</v>
      </c>
      <c r="L2323" s="4">
        <f t="shared" si="337"/>
        <v>0</v>
      </c>
      <c r="M2323" s="4">
        <f t="shared" si="337"/>
        <v>0</v>
      </c>
      <c r="N2323" s="4">
        <f t="shared" si="337"/>
        <v>13</v>
      </c>
      <c r="O2323" s="4">
        <f t="shared" si="338"/>
        <v>0</v>
      </c>
      <c r="P2323" s="4">
        <f t="shared" si="339"/>
        <v>0</v>
      </c>
      <c r="Q2323" s="4">
        <f t="shared" si="340"/>
        <v>0</v>
      </c>
      <c r="R2323" s="4">
        <f t="shared" si="341"/>
        <v>65</v>
      </c>
      <c r="S2323" s="4">
        <f>IF(AND(VLOOKUP(G2323,Dados!$D:$L,2,0)=VLOOKUP(I2323,Dados!$S:$V,2,0),VLOOKUP(G2323,Dados!$D:$L,3,0)=VLOOKUP(I2323,Dados!$S:$V,3,0)),0,1)</f>
        <v>0</v>
      </c>
      <c r="T2323" s="4">
        <f>IF(AND(VLOOKUP(G2323,Dados!$D:$L,3,0)&lt;=VLOOKUP(H2323,Dados!$X:$AB,2,0),VLOOKUP(G2323,Dados!$D:$L,4,0)&gt;=VLOOKUP(H2323,Dados!$X:$AB,3,0),VLOOKUP(G2323,Dados!$D:$L,4,0)&lt;=VLOOKUP(H2323,Dados!$X:$AB,4,0)),0,1)</f>
        <v>0</v>
      </c>
      <c r="U2323" s="4">
        <f>IF(COUNTIFS(F:F,F2323,H:H,H2323)&lt;=VLOOKUP(H2323,Dados!$X:$AB,5,0),0,1)</f>
        <v>0</v>
      </c>
    </row>
    <row r="2324" spans="6:21">
      <c r="F2324" s="4">
        <v>1023</v>
      </c>
      <c r="G2324" s="4">
        <v>48</v>
      </c>
      <c r="H2324" s="4">
        <v>1</v>
      </c>
      <c r="I2324" s="4">
        <v>18</v>
      </c>
      <c r="J2324" s="4">
        <v>1</v>
      </c>
      <c r="K2324" s="4">
        <f t="shared" si="337"/>
        <v>0</v>
      </c>
      <c r="L2324" s="4">
        <f t="shared" si="337"/>
        <v>0</v>
      </c>
      <c r="M2324" s="4">
        <f t="shared" si="337"/>
        <v>0</v>
      </c>
      <c r="N2324" s="4">
        <f t="shared" si="337"/>
        <v>1</v>
      </c>
      <c r="O2324" s="4">
        <f t="shared" si="338"/>
        <v>0</v>
      </c>
      <c r="P2324" s="4">
        <f t="shared" si="339"/>
        <v>0</v>
      </c>
      <c r="Q2324" s="4">
        <f t="shared" si="340"/>
        <v>0</v>
      </c>
      <c r="R2324" s="4">
        <f t="shared" si="341"/>
        <v>1</v>
      </c>
      <c r="S2324" s="4">
        <f>IF(AND(VLOOKUP(G2324,Dados!$D:$L,2,0)=VLOOKUP(I2324,Dados!$S:$V,2,0),VLOOKUP(G2324,Dados!$D:$L,3,0)=VLOOKUP(I2324,Dados!$S:$V,3,0)),0,1)</f>
        <v>0</v>
      </c>
      <c r="T2324" s="4">
        <f>IF(AND(VLOOKUP(G2324,Dados!$D:$L,3,0)&lt;=VLOOKUP(H2324,Dados!$X:$AB,2,0),VLOOKUP(G2324,Dados!$D:$L,4,0)&gt;=VLOOKUP(H2324,Dados!$X:$AB,3,0),VLOOKUP(G2324,Dados!$D:$L,4,0)&lt;=VLOOKUP(H2324,Dados!$X:$AB,4,0)),0,1)</f>
        <v>0</v>
      </c>
      <c r="U2324" s="4">
        <f>IF(COUNTIFS(F:F,F2324,H:H,H2324)&lt;=VLOOKUP(H2324,Dados!$X:$AB,5,0),0,1)</f>
        <v>0</v>
      </c>
    </row>
    <row r="2325" spans="6:21">
      <c r="F2325" s="4">
        <v>1023</v>
      </c>
      <c r="G2325" s="4">
        <v>50</v>
      </c>
      <c r="H2325" s="4">
        <v>1</v>
      </c>
      <c r="I2325" s="4">
        <v>18</v>
      </c>
      <c r="J2325" s="4">
        <v>3</v>
      </c>
      <c r="K2325" s="4">
        <f t="shared" si="337"/>
        <v>0</v>
      </c>
      <c r="L2325" s="4">
        <f t="shared" si="337"/>
        <v>0</v>
      </c>
      <c r="M2325" s="4">
        <f t="shared" si="337"/>
        <v>0</v>
      </c>
      <c r="N2325" s="4">
        <f t="shared" si="337"/>
        <v>1</v>
      </c>
      <c r="O2325" s="4">
        <f t="shared" si="338"/>
        <v>0</v>
      </c>
      <c r="P2325" s="4">
        <f t="shared" si="339"/>
        <v>0</v>
      </c>
      <c r="Q2325" s="4">
        <f t="shared" si="340"/>
        <v>0</v>
      </c>
      <c r="R2325" s="4">
        <f t="shared" si="341"/>
        <v>3</v>
      </c>
      <c r="S2325" s="4">
        <f>IF(AND(VLOOKUP(G2325,Dados!$D:$L,2,0)=VLOOKUP(I2325,Dados!$S:$V,2,0),VLOOKUP(G2325,Dados!$D:$L,3,0)=VLOOKUP(I2325,Dados!$S:$V,3,0)),0,1)</f>
        <v>0</v>
      </c>
      <c r="T2325" s="4">
        <f>IF(AND(VLOOKUP(G2325,Dados!$D:$L,3,0)&lt;=VLOOKUP(H2325,Dados!$X:$AB,2,0),VLOOKUP(G2325,Dados!$D:$L,4,0)&gt;=VLOOKUP(H2325,Dados!$X:$AB,3,0),VLOOKUP(G2325,Dados!$D:$L,4,0)&lt;=VLOOKUP(H2325,Dados!$X:$AB,4,0)),0,1)</f>
        <v>0</v>
      </c>
      <c r="U2325" s="4">
        <f>IF(COUNTIFS(F:F,F2325,H:H,H2325)&lt;=VLOOKUP(H2325,Dados!$X:$AB,5,0),0,1)</f>
        <v>0</v>
      </c>
    </row>
    <row r="2326" spans="6:21">
      <c r="F2326" s="4">
        <v>1023</v>
      </c>
      <c r="G2326" s="4">
        <v>51</v>
      </c>
      <c r="H2326" s="4">
        <v>1</v>
      </c>
      <c r="I2326" s="4">
        <v>18</v>
      </c>
      <c r="J2326" s="4">
        <v>2</v>
      </c>
      <c r="K2326" s="4">
        <f t="shared" si="337"/>
        <v>0</v>
      </c>
      <c r="L2326" s="4">
        <f t="shared" si="337"/>
        <v>0</v>
      </c>
      <c r="M2326" s="4">
        <f t="shared" si="337"/>
        <v>0</v>
      </c>
      <c r="N2326" s="4">
        <f t="shared" si="337"/>
        <v>1</v>
      </c>
      <c r="O2326" s="4">
        <f t="shared" si="338"/>
        <v>0</v>
      </c>
      <c r="P2326" s="4">
        <f t="shared" si="339"/>
        <v>0</v>
      </c>
      <c r="Q2326" s="4">
        <f t="shared" si="340"/>
        <v>0</v>
      </c>
      <c r="R2326" s="4">
        <f t="shared" si="341"/>
        <v>2</v>
      </c>
      <c r="S2326" s="4">
        <f>IF(AND(VLOOKUP(G2326,Dados!$D:$L,2,0)=VLOOKUP(I2326,Dados!$S:$V,2,0),VLOOKUP(G2326,Dados!$D:$L,3,0)=VLOOKUP(I2326,Dados!$S:$V,3,0)),0,1)</f>
        <v>0</v>
      </c>
      <c r="T2326" s="4">
        <f>IF(AND(VLOOKUP(G2326,Dados!$D:$L,3,0)&lt;=VLOOKUP(H2326,Dados!$X:$AB,2,0),VLOOKUP(G2326,Dados!$D:$L,4,0)&gt;=VLOOKUP(H2326,Dados!$X:$AB,3,0),VLOOKUP(G2326,Dados!$D:$L,4,0)&lt;=VLOOKUP(H2326,Dados!$X:$AB,4,0)),0,1)</f>
        <v>0</v>
      </c>
      <c r="U2326" s="4">
        <f>IF(COUNTIFS(F:F,F2326,H:H,H2326)&lt;=VLOOKUP(H2326,Dados!$X:$AB,5,0),0,1)</f>
        <v>0</v>
      </c>
    </row>
    <row r="2327" spans="6:21">
      <c r="F2327" s="4">
        <v>1024</v>
      </c>
      <c r="G2327" s="4">
        <v>48</v>
      </c>
      <c r="H2327" s="4">
        <v>3</v>
      </c>
      <c r="I2327" s="4">
        <v>18</v>
      </c>
      <c r="J2327" s="4">
        <v>2</v>
      </c>
      <c r="K2327" s="4">
        <f t="shared" si="337"/>
        <v>0</v>
      </c>
      <c r="L2327" s="4">
        <f t="shared" si="337"/>
        <v>0</v>
      </c>
      <c r="M2327" s="4">
        <f t="shared" si="337"/>
        <v>0</v>
      </c>
      <c r="N2327" s="4">
        <f t="shared" si="337"/>
        <v>0</v>
      </c>
      <c r="O2327" s="4">
        <f t="shared" si="338"/>
        <v>0</v>
      </c>
      <c r="P2327" s="4">
        <f t="shared" si="339"/>
        <v>0</v>
      </c>
      <c r="Q2327" s="4">
        <f t="shared" si="340"/>
        <v>0</v>
      </c>
      <c r="R2327" s="4">
        <f t="shared" si="341"/>
        <v>0</v>
      </c>
      <c r="S2327" s="4">
        <f>IF(AND(VLOOKUP(G2327,Dados!$D:$L,2,0)=VLOOKUP(I2327,Dados!$S:$V,2,0),VLOOKUP(G2327,Dados!$D:$L,3,0)=VLOOKUP(I2327,Dados!$S:$V,3,0)),0,1)</f>
        <v>0</v>
      </c>
      <c r="T2327" s="4">
        <f>IF(AND(VLOOKUP(G2327,Dados!$D:$L,3,0)&lt;=VLOOKUP(H2327,Dados!$X:$AB,2,0),VLOOKUP(G2327,Dados!$D:$L,4,0)&gt;=VLOOKUP(H2327,Dados!$X:$AB,3,0),VLOOKUP(G2327,Dados!$D:$L,4,0)&lt;=VLOOKUP(H2327,Dados!$X:$AB,4,0)),0,1)</f>
        <v>0</v>
      </c>
      <c r="U2327" s="4">
        <f>IF(COUNTIFS(F:F,F2327,H:H,H2327)&lt;=VLOOKUP(H2327,Dados!$X:$AB,5,0),0,1)</f>
        <v>0</v>
      </c>
    </row>
    <row r="2328" spans="6:21">
      <c r="F2328" s="4">
        <v>1024</v>
      </c>
      <c r="G2328" s="4">
        <v>49</v>
      </c>
      <c r="H2328" s="4">
        <v>3</v>
      </c>
      <c r="I2328" s="4">
        <v>18</v>
      </c>
      <c r="J2328" s="4">
        <v>1</v>
      </c>
      <c r="K2328" s="4">
        <f t="shared" si="337"/>
        <v>0</v>
      </c>
      <c r="L2328" s="4">
        <f t="shared" si="337"/>
        <v>0</v>
      </c>
      <c r="M2328" s="4">
        <f t="shared" si="337"/>
        <v>0</v>
      </c>
      <c r="N2328" s="4">
        <f t="shared" si="337"/>
        <v>0</v>
      </c>
      <c r="O2328" s="4">
        <f t="shared" si="338"/>
        <v>0</v>
      </c>
      <c r="P2328" s="4">
        <f t="shared" si="339"/>
        <v>0</v>
      </c>
      <c r="Q2328" s="4">
        <f t="shared" si="340"/>
        <v>0</v>
      </c>
      <c r="R2328" s="4">
        <f t="shared" si="341"/>
        <v>0</v>
      </c>
      <c r="S2328" s="4">
        <f>IF(AND(VLOOKUP(G2328,Dados!$D:$L,2,0)=VLOOKUP(I2328,Dados!$S:$V,2,0),VLOOKUP(G2328,Dados!$D:$L,3,0)=VLOOKUP(I2328,Dados!$S:$V,3,0)),0,1)</f>
        <v>0</v>
      </c>
      <c r="T2328" s="4">
        <f>IF(AND(VLOOKUP(G2328,Dados!$D:$L,3,0)&lt;=VLOOKUP(H2328,Dados!$X:$AB,2,0),VLOOKUP(G2328,Dados!$D:$L,4,0)&gt;=VLOOKUP(H2328,Dados!$X:$AB,3,0),VLOOKUP(G2328,Dados!$D:$L,4,0)&lt;=VLOOKUP(H2328,Dados!$X:$AB,4,0)),0,1)</f>
        <v>0</v>
      </c>
      <c r="U2328" s="4">
        <f>IF(COUNTIFS(F:F,F2328,H:H,H2328)&lt;=VLOOKUP(H2328,Dados!$X:$AB,5,0),0,1)</f>
        <v>0</v>
      </c>
    </row>
    <row r="2329" spans="6:21">
      <c r="F2329" s="4">
        <v>1024</v>
      </c>
      <c r="G2329" s="4">
        <v>50</v>
      </c>
      <c r="H2329" s="4">
        <v>3</v>
      </c>
      <c r="I2329" s="4">
        <v>18</v>
      </c>
      <c r="J2329" s="4">
        <v>1</v>
      </c>
      <c r="K2329" s="4">
        <f t="shared" si="337"/>
        <v>0</v>
      </c>
      <c r="L2329" s="4">
        <f t="shared" si="337"/>
        <v>0</v>
      </c>
      <c r="M2329" s="4">
        <f t="shared" si="337"/>
        <v>0</v>
      </c>
      <c r="N2329" s="4">
        <f t="shared" si="337"/>
        <v>0</v>
      </c>
      <c r="O2329" s="4">
        <f t="shared" si="338"/>
        <v>0</v>
      </c>
      <c r="P2329" s="4">
        <f t="shared" si="339"/>
        <v>0</v>
      </c>
      <c r="Q2329" s="4">
        <f t="shared" si="340"/>
        <v>0</v>
      </c>
      <c r="R2329" s="4">
        <f t="shared" si="341"/>
        <v>0</v>
      </c>
      <c r="S2329" s="4">
        <f>IF(AND(VLOOKUP(G2329,Dados!$D:$L,2,0)=VLOOKUP(I2329,Dados!$S:$V,2,0),VLOOKUP(G2329,Dados!$D:$L,3,0)=VLOOKUP(I2329,Dados!$S:$V,3,0)),0,1)</f>
        <v>0</v>
      </c>
      <c r="T2329" s="4">
        <f>IF(AND(VLOOKUP(G2329,Dados!$D:$L,3,0)&lt;=VLOOKUP(H2329,Dados!$X:$AB,2,0),VLOOKUP(G2329,Dados!$D:$L,4,0)&gt;=VLOOKUP(H2329,Dados!$X:$AB,3,0),VLOOKUP(G2329,Dados!$D:$L,4,0)&lt;=VLOOKUP(H2329,Dados!$X:$AB,4,0)),0,1)</f>
        <v>0</v>
      </c>
      <c r="U2329" s="4">
        <f>IF(COUNTIFS(F:F,F2329,H:H,H2329)&lt;=VLOOKUP(H2329,Dados!$X:$AB,5,0),0,1)</f>
        <v>0</v>
      </c>
    </row>
    <row r="2330" spans="6:21">
      <c r="F2330" s="4">
        <v>1024</v>
      </c>
      <c r="G2330" s="4">
        <v>51</v>
      </c>
      <c r="H2330" s="4">
        <v>3</v>
      </c>
      <c r="I2330" s="4">
        <v>18</v>
      </c>
      <c r="J2330" s="4">
        <v>3</v>
      </c>
      <c r="K2330" s="4">
        <f t="shared" si="337"/>
        <v>0</v>
      </c>
      <c r="L2330" s="4">
        <f t="shared" si="337"/>
        <v>0</v>
      </c>
      <c r="M2330" s="4">
        <f t="shared" si="337"/>
        <v>0</v>
      </c>
      <c r="N2330" s="4">
        <f t="shared" si="337"/>
        <v>0</v>
      </c>
      <c r="O2330" s="4">
        <f t="shared" si="338"/>
        <v>0</v>
      </c>
      <c r="P2330" s="4">
        <f t="shared" si="339"/>
        <v>0</v>
      </c>
      <c r="Q2330" s="4">
        <f t="shared" si="340"/>
        <v>0</v>
      </c>
      <c r="R2330" s="4">
        <f t="shared" si="341"/>
        <v>0</v>
      </c>
      <c r="S2330" s="4">
        <f>IF(AND(VLOOKUP(G2330,Dados!$D:$L,2,0)=VLOOKUP(I2330,Dados!$S:$V,2,0),VLOOKUP(G2330,Dados!$D:$L,3,0)=VLOOKUP(I2330,Dados!$S:$V,3,0)),0,1)</f>
        <v>0</v>
      </c>
      <c r="T2330" s="4">
        <f>IF(AND(VLOOKUP(G2330,Dados!$D:$L,3,0)&lt;=VLOOKUP(H2330,Dados!$X:$AB,2,0),VLOOKUP(G2330,Dados!$D:$L,4,0)&gt;=VLOOKUP(H2330,Dados!$X:$AB,3,0),VLOOKUP(G2330,Dados!$D:$L,4,0)&lt;=VLOOKUP(H2330,Dados!$X:$AB,4,0)),0,1)</f>
        <v>0</v>
      </c>
      <c r="U2330" s="4">
        <f>IF(COUNTIFS(F:F,F2330,H:H,H2330)&lt;=VLOOKUP(H2330,Dados!$X:$AB,5,0),0,1)</f>
        <v>0</v>
      </c>
    </row>
    <row r="2331" spans="6:21">
      <c r="F2331" s="4">
        <v>1025</v>
      </c>
      <c r="G2331" s="4">
        <v>50</v>
      </c>
      <c r="H2331" s="4">
        <v>1</v>
      </c>
      <c r="I2331" s="4">
        <v>19</v>
      </c>
      <c r="J2331" s="4">
        <v>4</v>
      </c>
      <c r="K2331" s="4">
        <f t="shared" si="337"/>
        <v>0</v>
      </c>
      <c r="L2331" s="4">
        <f t="shared" si="337"/>
        <v>0</v>
      </c>
      <c r="M2331" s="4">
        <f t="shared" si="337"/>
        <v>0</v>
      </c>
      <c r="N2331" s="4">
        <f t="shared" si="337"/>
        <v>0</v>
      </c>
      <c r="O2331" s="4">
        <f t="shared" si="338"/>
        <v>0</v>
      </c>
      <c r="P2331" s="4">
        <f t="shared" si="339"/>
        <v>0</v>
      </c>
      <c r="Q2331" s="4">
        <f t="shared" si="340"/>
        <v>0</v>
      </c>
      <c r="R2331" s="4">
        <f t="shared" si="341"/>
        <v>0</v>
      </c>
      <c r="S2331" s="4">
        <f>IF(AND(VLOOKUP(G2331,Dados!$D:$L,2,0)=VLOOKUP(I2331,Dados!$S:$V,2,0),VLOOKUP(G2331,Dados!$D:$L,3,0)=VLOOKUP(I2331,Dados!$S:$V,3,0)),0,1)</f>
        <v>0</v>
      </c>
      <c r="T2331" s="4">
        <f>IF(AND(VLOOKUP(G2331,Dados!$D:$L,3,0)&lt;=VLOOKUP(H2331,Dados!$X:$AB,2,0),VLOOKUP(G2331,Dados!$D:$L,4,0)&gt;=VLOOKUP(H2331,Dados!$X:$AB,3,0),VLOOKUP(G2331,Dados!$D:$L,4,0)&lt;=VLOOKUP(H2331,Dados!$X:$AB,4,0)),0,1)</f>
        <v>0</v>
      </c>
      <c r="U2331" s="4">
        <f>IF(COUNTIFS(F:F,F2331,H:H,H2331)&lt;=VLOOKUP(H2331,Dados!$X:$AB,5,0),0,1)</f>
        <v>0</v>
      </c>
    </row>
    <row r="2332" spans="6:21">
      <c r="F2332" s="4">
        <v>1025</v>
      </c>
      <c r="G2332" s="4">
        <v>51</v>
      </c>
      <c r="H2332" s="4">
        <v>1</v>
      </c>
      <c r="I2332" s="4">
        <v>19</v>
      </c>
      <c r="J2332" s="4">
        <v>3</v>
      </c>
      <c r="K2332" s="4">
        <f t="shared" si="337"/>
        <v>0</v>
      </c>
      <c r="L2332" s="4">
        <f t="shared" si="337"/>
        <v>0</v>
      </c>
      <c r="M2332" s="4">
        <f t="shared" si="337"/>
        <v>0</v>
      </c>
      <c r="N2332" s="4">
        <f t="shared" si="337"/>
        <v>0</v>
      </c>
      <c r="O2332" s="4">
        <f t="shared" si="338"/>
        <v>0</v>
      </c>
      <c r="P2332" s="4">
        <f t="shared" si="339"/>
        <v>0</v>
      </c>
      <c r="Q2332" s="4">
        <f t="shared" si="340"/>
        <v>0</v>
      </c>
      <c r="R2332" s="4">
        <f t="shared" si="341"/>
        <v>0</v>
      </c>
      <c r="S2332" s="4">
        <f>IF(AND(VLOOKUP(G2332,Dados!$D:$L,2,0)=VLOOKUP(I2332,Dados!$S:$V,2,0),VLOOKUP(G2332,Dados!$D:$L,3,0)=VLOOKUP(I2332,Dados!$S:$V,3,0)),0,1)</f>
        <v>0</v>
      </c>
      <c r="T2332" s="4">
        <f>IF(AND(VLOOKUP(G2332,Dados!$D:$L,3,0)&lt;=VLOOKUP(H2332,Dados!$X:$AB,2,0),VLOOKUP(G2332,Dados!$D:$L,4,0)&gt;=VLOOKUP(H2332,Dados!$X:$AB,3,0),VLOOKUP(G2332,Dados!$D:$L,4,0)&lt;=VLOOKUP(H2332,Dados!$X:$AB,4,0)),0,1)</f>
        <v>0</v>
      </c>
      <c r="U2332" s="4">
        <f>IF(COUNTIFS(F:F,F2332,H:H,H2332)&lt;=VLOOKUP(H2332,Dados!$X:$AB,5,0),0,1)</f>
        <v>0</v>
      </c>
    </row>
    <row r="2333" spans="6:21">
      <c r="F2333" s="4">
        <v>1026</v>
      </c>
      <c r="G2333" s="4">
        <v>50</v>
      </c>
      <c r="H2333" s="4">
        <v>3</v>
      </c>
      <c r="I2333" s="4">
        <v>19</v>
      </c>
      <c r="J2333" s="4">
        <v>4</v>
      </c>
      <c r="K2333" s="4">
        <f t="shared" si="337"/>
        <v>0</v>
      </c>
      <c r="L2333" s="4">
        <f t="shared" si="337"/>
        <v>0</v>
      </c>
      <c r="M2333" s="4">
        <f t="shared" si="337"/>
        <v>0</v>
      </c>
      <c r="N2333" s="4">
        <f t="shared" ref="K2333:N2396" si="342">SUMIFS($X:$X,$W:$W,$F2333,$Z:$Z,$I2333,$AA:$AA,$H2333,$AB:$AB,N$2)</f>
        <v>47</v>
      </c>
      <c r="O2333" s="4">
        <f t="shared" si="338"/>
        <v>0</v>
      </c>
      <c r="P2333" s="4">
        <f t="shared" si="339"/>
        <v>0</v>
      </c>
      <c r="Q2333" s="4">
        <f t="shared" si="340"/>
        <v>0</v>
      </c>
      <c r="R2333" s="4">
        <f t="shared" si="341"/>
        <v>188</v>
      </c>
      <c r="S2333" s="4">
        <f>IF(AND(VLOOKUP(G2333,Dados!$D:$L,2,0)=VLOOKUP(I2333,Dados!$S:$V,2,0),VLOOKUP(G2333,Dados!$D:$L,3,0)=VLOOKUP(I2333,Dados!$S:$V,3,0)),0,1)</f>
        <v>0</v>
      </c>
      <c r="T2333" s="4">
        <f>IF(AND(VLOOKUP(G2333,Dados!$D:$L,3,0)&lt;=VLOOKUP(H2333,Dados!$X:$AB,2,0),VLOOKUP(G2333,Dados!$D:$L,4,0)&gt;=VLOOKUP(H2333,Dados!$X:$AB,3,0),VLOOKUP(G2333,Dados!$D:$L,4,0)&lt;=VLOOKUP(H2333,Dados!$X:$AB,4,0)),0,1)</f>
        <v>0</v>
      </c>
      <c r="U2333" s="4">
        <f>IF(COUNTIFS(F:F,F2333,H:H,H2333)&lt;=VLOOKUP(H2333,Dados!$X:$AB,5,0),0,1)</f>
        <v>0</v>
      </c>
    </row>
    <row r="2334" spans="6:21">
      <c r="F2334" s="4">
        <v>1026</v>
      </c>
      <c r="G2334" s="4">
        <v>51</v>
      </c>
      <c r="H2334" s="4">
        <v>3</v>
      </c>
      <c r="I2334" s="4">
        <v>19</v>
      </c>
      <c r="J2334" s="4">
        <v>3</v>
      </c>
      <c r="K2334" s="4">
        <f t="shared" si="342"/>
        <v>0</v>
      </c>
      <c r="L2334" s="4">
        <f t="shared" si="342"/>
        <v>0</v>
      </c>
      <c r="M2334" s="4">
        <f t="shared" si="342"/>
        <v>0</v>
      </c>
      <c r="N2334" s="4">
        <f t="shared" si="342"/>
        <v>47</v>
      </c>
      <c r="O2334" s="4">
        <f t="shared" si="338"/>
        <v>0</v>
      </c>
      <c r="P2334" s="4">
        <f t="shared" si="339"/>
        <v>0</v>
      </c>
      <c r="Q2334" s="4">
        <f t="shared" si="340"/>
        <v>0</v>
      </c>
      <c r="R2334" s="4">
        <f t="shared" si="341"/>
        <v>141</v>
      </c>
      <c r="S2334" s="4">
        <f>IF(AND(VLOOKUP(G2334,Dados!$D:$L,2,0)=VLOOKUP(I2334,Dados!$S:$V,2,0),VLOOKUP(G2334,Dados!$D:$L,3,0)=VLOOKUP(I2334,Dados!$S:$V,3,0)),0,1)</f>
        <v>0</v>
      </c>
      <c r="T2334" s="4">
        <f>IF(AND(VLOOKUP(G2334,Dados!$D:$L,3,0)&lt;=VLOOKUP(H2334,Dados!$X:$AB,2,0),VLOOKUP(G2334,Dados!$D:$L,4,0)&gt;=VLOOKUP(H2334,Dados!$X:$AB,3,0),VLOOKUP(G2334,Dados!$D:$L,4,0)&lt;=VLOOKUP(H2334,Dados!$X:$AB,4,0)),0,1)</f>
        <v>0</v>
      </c>
      <c r="U2334" s="4">
        <f>IF(COUNTIFS(F:F,F2334,H:H,H2334)&lt;=VLOOKUP(H2334,Dados!$X:$AB,5,0),0,1)</f>
        <v>0</v>
      </c>
    </row>
    <row r="2335" spans="6:21">
      <c r="F2335" s="4">
        <v>1027</v>
      </c>
      <c r="G2335" s="4">
        <v>31</v>
      </c>
      <c r="H2335" s="4">
        <v>1</v>
      </c>
      <c r="I2335" s="4">
        <v>16</v>
      </c>
      <c r="J2335" s="4">
        <v>8</v>
      </c>
      <c r="K2335" s="4">
        <f t="shared" si="342"/>
        <v>1</v>
      </c>
      <c r="L2335" s="4">
        <f t="shared" si="342"/>
        <v>0</v>
      </c>
      <c r="M2335" s="4">
        <f t="shared" si="342"/>
        <v>0</v>
      </c>
      <c r="N2335" s="4">
        <f t="shared" si="342"/>
        <v>0</v>
      </c>
      <c r="O2335" s="4">
        <f t="shared" si="338"/>
        <v>8</v>
      </c>
      <c r="P2335" s="4">
        <f t="shared" si="339"/>
        <v>0</v>
      </c>
      <c r="Q2335" s="4">
        <f t="shared" si="340"/>
        <v>0</v>
      </c>
      <c r="R2335" s="4">
        <f t="shared" si="341"/>
        <v>0</v>
      </c>
      <c r="S2335" s="4">
        <f>IF(AND(VLOOKUP(G2335,Dados!$D:$L,2,0)=VLOOKUP(I2335,Dados!$S:$V,2,0),VLOOKUP(G2335,Dados!$D:$L,3,0)=VLOOKUP(I2335,Dados!$S:$V,3,0)),0,1)</f>
        <v>0</v>
      </c>
      <c r="T2335" s="4">
        <f>IF(AND(VLOOKUP(G2335,Dados!$D:$L,3,0)&lt;=VLOOKUP(H2335,Dados!$X:$AB,2,0),VLOOKUP(G2335,Dados!$D:$L,4,0)&gt;=VLOOKUP(H2335,Dados!$X:$AB,3,0),VLOOKUP(G2335,Dados!$D:$L,4,0)&lt;=VLOOKUP(H2335,Dados!$X:$AB,4,0)),0,1)</f>
        <v>0</v>
      </c>
      <c r="U2335" s="4">
        <f>IF(COUNTIFS(F:F,F2335,H:H,H2335)&lt;=VLOOKUP(H2335,Dados!$X:$AB,5,0),0,1)</f>
        <v>0</v>
      </c>
    </row>
    <row r="2336" spans="6:21">
      <c r="F2336" s="4">
        <v>1027</v>
      </c>
      <c r="G2336" s="4">
        <v>38</v>
      </c>
      <c r="H2336" s="4">
        <v>1</v>
      </c>
      <c r="I2336" s="4">
        <v>16</v>
      </c>
      <c r="J2336" s="4">
        <v>2</v>
      </c>
      <c r="K2336" s="4">
        <f t="shared" si="342"/>
        <v>1</v>
      </c>
      <c r="L2336" s="4">
        <f t="shared" si="342"/>
        <v>0</v>
      </c>
      <c r="M2336" s="4">
        <f t="shared" si="342"/>
        <v>0</v>
      </c>
      <c r="N2336" s="4">
        <f t="shared" si="342"/>
        <v>0</v>
      </c>
      <c r="O2336" s="4">
        <f t="shared" si="338"/>
        <v>2</v>
      </c>
      <c r="P2336" s="4">
        <f t="shared" si="339"/>
        <v>0</v>
      </c>
      <c r="Q2336" s="4">
        <f t="shared" si="340"/>
        <v>0</v>
      </c>
      <c r="R2336" s="4">
        <f t="shared" si="341"/>
        <v>0</v>
      </c>
      <c r="S2336" s="4">
        <f>IF(AND(VLOOKUP(G2336,Dados!$D:$L,2,0)=VLOOKUP(I2336,Dados!$S:$V,2,0),VLOOKUP(G2336,Dados!$D:$L,3,0)=VLOOKUP(I2336,Dados!$S:$V,3,0)),0,1)</f>
        <v>0</v>
      </c>
      <c r="T2336" s="4">
        <f>IF(AND(VLOOKUP(G2336,Dados!$D:$L,3,0)&lt;=VLOOKUP(H2336,Dados!$X:$AB,2,0),VLOOKUP(G2336,Dados!$D:$L,4,0)&gt;=VLOOKUP(H2336,Dados!$X:$AB,3,0),VLOOKUP(G2336,Dados!$D:$L,4,0)&lt;=VLOOKUP(H2336,Dados!$X:$AB,4,0)),0,1)</f>
        <v>0</v>
      </c>
      <c r="U2336" s="4">
        <f>IF(COUNTIFS(F:F,F2336,H:H,H2336)&lt;=VLOOKUP(H2336,Dados!$X:$AB,5,0),0,1)</f>
        <v>0</v>
      </c>
    </row>
    <row r="2337" spans="6:21">
      <c r="F2337" s="4">
        <v>1028</v>
      </c>
      <c r="G2337" s="4">
        <v>31</v>
      </c>
      <c r="H2337" s="4">
        <v>2</v>
      </c>
      <c r="I2337" s="4">
        <v>16</v>
      </c>
      <c r="J2337" s="4">
        <v>8</v>
      </c>
      <c r="K2337" s="4">
        <f t="shared" si="342"/>
        <v>8</v>
      </c>
      <c r="L2337" s="4">
        <f t="shared" si="342"/>
        <v>0</v>
      </c>
      <c r="M2337" s="4">
        <f t="shared" si="342"/>
        <v>0</v>
      </c>
      <c r="N2337" s="4">
        <f t="shared" si="342"/>
        <v>0</v>
      </c>
      <c r="O2337" s="4">
        <f t="shared" si="338"/>
        <v>64</v>
      </c>
      <c r="P2337" s="4">
        <f t="shared" si="339"/>
        <v>0</v>
      </c>
      <c r="Q2337" s="4">
        <f t="shared" si="340"/>
        <v>0</v>
      </c>
      <c r="R2337" s="4">
        <f t="shared" si="341"/>
        <v>0</v>
      </c>
      <c r="S2337" s="4">
        <f>IF(AND(VLOOKUP(G2337,Dados!$D:$L,2,0)=VLOOKUP(I2337,Dados!$S:$V,2,0),VLOOKUP(G2337,Dados!$D:$L,3,0)=VLOOKUP(I2337,Dados!$S:$V,3,0)),0,1)</f>
        <v>0</v>
      </c>
      <c r="T2337" s="4">
        <f>IF(AND(VLOOKUP(G2337,Dados!$D:$L,3,0)&lt;=VLOOKUP(H2337,Dados!$X:$AB,2,0),VLOOKUP(G2337,Dados!$D:$L,4,0)&gt;=VLOOKUP(H2337,Dados!$X:$AB,3,0),VLOOKUP(G2337,Dados!$D:$L,4,0)&lt;=VLOOKUP(H2337,Dados!$X:$AB,4,0)),0,1)</f>
        <v>0</v>
      </c>
      <c r="U2337" s="4">
        <f>IF(COUNTIFS(F:F,F2337,H:H,H2337)&lt;=VLOOKUP(H2337,Dados!$X:$AB,5,0),0,1)</f>
        <v>0</v>
      </c>
    </row>
    <row r="2338" spans="6:21">
      <c r="F2338" s="4">
        <v>1028</v>
      </c>
      <c r="G2338" s="4">
        <v>38</v>
      </c>
      <c r="H2338" s="4">
        <v>2</v>
      </c>
      <c r="I2338" s="4">
        <v>16</v>
      </c>
      <c r="J2338" s="4">
        <v>2</v>
      </c>
      <c r="K2338" s="4">
        <f t="shared" si="342"/>
        <v>8</v>
      </c>
      <c r="L2338" s="4">
        <f t="shared" si="342"/>
        <v>0</v>
      </c>
      <c r="M2338" s="4">
        <f t="shared" si="342"/>
        <v>0</v>
      </c>
      <c r="N2338" s="4">
        <f t="shared" si="342"/>
        <v>0</v>
      </c>
      <c r="O2338" s="4">
        <f t="shared" si="338"/>
        <v>16</v>
      </c>
      <c r="P2338" s="4">
        <f t="shared" si="339"/>
        <v>0</v>
      </c>
      <c r="Q2338" s="4">
        <f t="shared" si="340"/>
        <v>0</v>
      </c>
      <c r="R2338" s="4">
        <f t="shared" si="341"/>
        <v>0</v>
      </c>
      <c r="S2338" s="4">
        <f>IF(AND(VLOOKUP(G2338,Dados!$D:$L,2,0)=VLOOKUP(I2338,Dados!$S:$V,2,0),VLOOKUP(G2338,Dados!$D:$L,3,0)=VLOOKUP(I2338,Dados!$S:$V,3,0)),0,1)</f>
        <v>0</v>
      </c>
      <c r="T2338" s="4">
        <f>IF(AND(VLOOKUP(G2338,Dados!$D:$L,3,0)&lt;=VLOOKUP(H2338,Dados!$X:$AB,2,0),VLOOKUP(G2338,Dados!$D:$L,4,0)&gt;=VLOOKUP(H2338,Dados!$X:$AB,3,0),VLOOKUP(G2338,Dados!$D:$L,4,0)&lt;=VLOOKUP(H2338,Dados!$X:$AB,4,0)),0,1)</f>
        <v>0</v>
      </c>
      <c r="U2338" s="4">
        <f>IF(COUNTIFS(F:F,F2338,H:H,H2338)&lt;=VLOOKUP(H2338,Dados!$X:$AB,5,0),0,1)</f>
        <v>0</v>
      </c>
    </row>
    <row r="2339" spans="6:21">
      <c r="F2339" s="4">
        <v>1029</v>
      </c>
      <c r="G2339" s="4">
        <v>30</v>
      </c>
      <c r="H2339" s="4">
        <v>3</v>
      </c>
      <c r="I2339" s="4">
        <v>16</v>
      </c>
      <c r="J2339" s="4">
        <v>2</v>
      </c>
      <c r="K2339" s="4">
        <f t="shared" si="342"/>
        <v>1</v>
      </c>
      <c r="L2339" s="4">
        <f t="shared" si="342"/>
        <v>0</v>
      </c>
      <c r="M2339" s="4">
        <f t="shared" si="342"/>
        <v>0</v>
      </c>
      <c r="N2339" s="4">
        <f t="shared" si="342"/>
        <v>0</v>
      </c>
      <c r="O2339" s="4">
        <f t="shared" si="338"/>
        <v>2</v>
      </c>
      <c r="P2339" s="4">
        <f t="shared" si="339"/>
        <v>0</v>
      </c>
      <c r="Q2339" s="4">
        <f t="shared" si="340"/>
        <v>0</v>
      </c>
      <c r="R2339" s="4">
        <f t="shared" si="341"/>
        <v>0</v>
      </c>
      <c r="S2339" s="4">
        <f>IF(AND(VLOOKUP(G2339,Dados!$D:$L,2,0)=VLOOKUP(I2339,Dados!$S:$V,2,0),VLOOKUP(G2339,Dados!$D:$L,3,0)=VLOOKUP(I2339,Dados!$S:$V,3,0)),0,1)</f>
        <v>0</v>
      </c>
      <c r="T2339" s="4">
        <f>IF(AND(VLOOKUP(G2339,Dados!$D:$L,3,0)&lt;=VLOOKUP(H2339,Dados!$X:$AB,2,0),VLOOKUP(G2339,Dados!$D:$L,4,0)&gt;=VLOOKUP(H2339,Dados!$X:$AB,3,0),VLOOKUP(G2339,Dados!$D:$L,4,0)&lt;=VLOOKUP(H2339,Dados!$X:$AB,4,0)),0,1)</f>
        <v>0</v>
      </c>
      <c r="U2339" s="4">
        <f>IF(COUNTIFS(F:F,F2339,H:H,H2339)&lt;=VLOOKUP(H2339,Dados!$X:$AB,5,0),0,1)</f>
        <v>0</v>
      </c>
    </row>
    <row r="2340" spans="6:21">
      <c r="F2340" s="4">
        <v>1029</v>
      </c>
      <c r="G2340" s="4">
        <v>31</v>
      </c>
      <c r="H2340" s="4">
        <v>3</v>
      </c>
      <c r="I2340" s="4">
        <v>16</v>
      </c>
      <c r="J2340" s="4">
        <v>4</v>
      </c>
      <c r="K2340" s="4">
        <f t="shared" si="342"/>
        <v>1</v>
      </c>
      <c r="L2340" s="4">
        <f t="shared" si="342"/>
        <v>0</v>
      </c>
      <c r="M2340" s="4">
        <f t="shared" si="342"/>
        <v>0</v>
      </c>
      <c r="N2340" s="4">
        <f t="shared" si="342"/>
        <v>0</v>
      </c>
      <c r="O2340" s="4">
        <f t="shared" si="338"/>
        <v>4</v>
      </c>
      <c r="P2340" s="4">
        <f t="shared" si="339"/>
        <v>0</v>
      </c>
      <c r="Q2340" s="4">
        <f t="shared" si="340"/>
        <v>0</v>
      </c>
      <c r="R2340" s="4">
        <f t="shared" si="341"/>
        <v>0</v>
      </c>
      <c r="S2340" s="4">
        <f>IF(AND(VLOOKUP(G2340,Dados!$D:$L,2,0)=VLOOKUP(I2340,Dados!$S:$V,2,0),VLOOKUP(G2340,Dados!$D:$L,3,0)=VLOOKUP(I2340,Dados!$S:$V,3,0)),0,1)</f>
        <v>0</v>
      </c>
      <c r="T2340" s="4">
        <f>IF(AND(VLOOKUP(G2340,Dados!$D:$L,3,0)&lt;=VLOOKUP(H2340,Dados!$X:$AB,2,0),VLOOKUP(G2340,Dados!$D:$L,4,0)&gt;=VLOOKUP(H2340,Dados!$X:$AB,3,0),VLOOKUP(G2340,Dados!$D:$L,4,0)&lt;=VLOOKUP(H2340,Dados!$X:$AB,4,0)),0,1)</f>
        <v>0</v>
      </c>
      <c r="U2340" s="4">
        <f>IF(COUNTIFS(F:F,F2340,H:H,H2340)&lt;=VLOOKUP(H2340,Dados!$X:$AB,5,0),0,1)</f>
        <v>0</v>
      </c>
    </row>
    <row r="2341" spans="6:21">
      <c r="F2341" s="4">
        <v>1029</v>
      </c>
      <c r="G2341" s="4">
        <v>32</v>
      </c>
      <c r="H2341" s="4">
        <v>3</v>
      </c>
      <c r="I2341" s="4">
        <v>16</v>
      </c>
      <c r="J2341" s="4">
        <v>1</v>
      </c>
      <c r="K2341" s="4">
        <f t="shared" si="342"/>
        <v>1</v>
      </c>
      <c r="L2341" s="4">
        <f t="shared" si="342"/>
        <v>0</v>
      </c>
      <c r="M2341" s="4">
        <f t="shared" si="342"/>
        <v>0</v>
      </c>
      <c r="N2341" s="4">
        <f t="shared" si="342"/>
        <v>0</v>
      </c>
      <c r="O2341" s="4">
        <f t="shared" si="338"/>
        <v>1</v>
      </c>
      <c r="P2341" s="4">
        <f t="shared" si="339"/>
        <v>0</v>
      </c>
      <c r="Q2341" s="4">
        <f t="shared" si="340"/>
        <v>0</v>
      </c>
      <c r="R2341" s="4">
        <f t="shared" si="341"/>
        <v>0</v>
      </c>
      <c r="S2341" s="4">
        <f>IF(AND(VLOOKUP(G2341,Dados!$D:$L,2,0)=VLOOKUP(I2341,Dados!$S:$V,2,0),VLOOKUP(G2341,Dados!$D:$L,3,0)=VLOOKUP(I2341,Dados!$S:$V,3,0)),0,1)</f>
        <v>0</v>
      </c>
      <c r="T2341" s="4">
        <f>IF(AND(VLOOKUP(G2341,Dados!$D:$L,3,0)&lt;=VLOOKUP(H2341,Dados!$X:$AB,2,0),VLOOKUP(G2341,Dados!$D:$L,4,0)&gt;=VLOOKUP(H2341,Dados!$X:$AB,3,0),VLOOKUP(G2341,Dados!$D:$L,4,0)&lt;=VLOOKUP(H2341,Dados!$X:$AB,4,0)),0,1)</f>
        <v>0</v>
      </c>
      <c r="U2341" s="4">
        <f>IF(COUNTIFS(F:F,F2341,H:H,H2341)&lt;=VLOOKUP(H2341,Dados!$X:$AB,5,0),0,1)</f>
        <v>0</v>
      </c>
    </row>
    <row r="2342" spans="6:21">
      <c r="F2342" s="4">
        <v>1029</v>
      </c>
      <c r="G2342" s="4">
        <v>38</v>
      </c>
      <c r="H2342" s="4">
        <v>3</v>
      </c>
      <c r="I2342" s="4">
        <v>16</v>
      </c>
      <c r="J2342" s="4">
        <v>1</v>
      </c>
      <c r="K2342" s="4">
        <f t="shared" si="342"/>
        <v>1</v>
      </c>
      <c r="L2342" s="4">
        <f t="shared" si="342"/>
        <v>0</v>
      </c>
      <c r="M2342" s="4">
        <f t="shared" si="342"/>
        <v>0</v>
      </c>
      <c r="N2342" s="4">
        <f t="shared" si="342"/>
        <v>0</v>
      </c>
      <c r="O2342" s="4">
        <f t="shared" si="338"/>
        <v>1</v>
      </c>
      <c r="P2342" s="4">
        <f t="shared" si="339"/>
        <v>0</v>
      </c>
      <c r="Q2342" s="4">
        <f t="shared" si="340"/>
        <v>0</v>
      </c>
      <c r="R2342" s="4">
        <f t="shared" si="341"/>
        <v>0</v>
      </c>
      <c r="S2342" s="4">
        <f>IF(AND(VLOOKUP(G2342,Dados!$D:$L,2,0)=VLOOKUP(I2342,Dados!$S:$V,2,0),VLOOKUP(G2342,Dados!$D:$L,3,0)=VLOOKUP(I2342,Dados!$S:$V,3,0)),0,1)</f>
        <v>0</v>
      </c>
      <c r="T2342" s="4">
        <f>IF(AND(VLOOKUP(G2342,Dados!$D:$L,3,0)&lt;=VLOOKUP(H2342,Dados!$X:$AB,2,0),VLOOKUP(G2342,Dados!$D:$L,4,0)&gt;=VLOOKUP(H2342,Dados!$X:$AB,3,0),VLOOKUP(G2342,Dados!$D:$L,4,0)&lt;=VLOOKUP(H2342,Dados!$X:$AB,4,0)),0,1)</f>
        <v>0</v>
      </c>
      <c r="U2342" s="4">
        <f>IF(COUNTIFS(F:F,F2342,H:H,H2342)&lt;=VLOOKUP(H2342,Dados!$X:$AB,5,0),0,1)</f>
        <v>0</v>
      </c>
    </row>
    <row r="2343" spans="6:21">
      <c r="F2343" s="4">
        <v>1030</v>
      </c>
      <c r="G2343" s="4">
        <v>40</v>
      </c>
      <c r="H2343" s="4">
        <v>3</v>
      </c>
      <c r="I2343" s="4">
        <v>17</v>
      </c>
      <c r="J2343" s="4">
        <v>2</v>
      </c>
      <c r="K2343" s="4">
        <f t="shared" si="342"/>
        <v>0</v>
      </c>
      <c r="L2343" s="4">
        <f t="shared" si="342"/>
        <v>0</v>
      </c>
      <c r="M2343" s="4">
        <f t="shared" si="342"/>
        <v>0</v>
      </c>
      <c r="N2343" s="4">
        <f t="shared" si="342"/>
        <v>0</v>
      </c>
      <c r="O2343" s="4">
        <f t="shared" ref="O2343:O2406" si="343">$J2343*K2343</f>
        <v>0</v>
      </c>
      <c r="P2343" s="4">
        <f t="shared" ref="P2343:P2406" si="344">$J2343*L2343</f>
        <v>0</v>
      </c>
      <c r="Q2343" s="4">
        <f t="shared" ref="Q2343:Q2406" si="345">$J2343*M2343</f>
        <v>0</v>
      </c>
      <c r="R2343" s="4">
        <f t="shared" ref="R2343:R2406" si="346">$J2343*N2343</f>
        <v>0</v>
      </c>
      <c r="S2343" s="4">
        <f>IF(AND(VLOOKUP(G2343,Dados!$D:$L,2,0)=VLOOKUP(I2343,Dados!$S:$V,2,0),VLOOKUP(G2343,Dados!$D:$L,3,0)=VLOOKUP(I2343,Dados!$S:$V,3,0)),0,1)</f>
        <v>0</v>
      </c>
      <c r="T2343" s="4">
        <f>IF(AND(VLOOKUP(G2343,Dados!$D:$L,3,0)&lt;=VLOOKUP(H2343,Dados!$X:$AB,2,0),VLOOKUP(G2343,Dados!$D:$L,4,0)&gt;=VLOOKUP(H2343,Dados!$X:$AB,3,0),VLOOKUP(G2343,Dados!$D:$L,4,0)&lt;=VLOOKUP(H2343,Dados!$X:$AB,4,0)),0,1)</f>
        <v>0</v>
      </c>
      <c r="U2343" s="4">
        <f>IF(COUNTIFS(F:F,F2343,H:H,H2343)&lt;=VLOOKUP(H2343,Dados!$X:$AB,5,0),0,1)</f>
        <v>0</v>
      </c>
    </row>
    <row r="2344" spans="6:21">
      <c r="F2344" s="4">
        <v>1030</v>
      </c>
      <c r="G2344" s="4">
        <v>41</v>
      </c>
      <c r="H2344" s="4">
        <v>3</v>
      </c>
      <c r="I2344" s="4">
        <v>17</v>
      </c>
      <c r="J2344" s="4">
        <v>3</v>
      </c>
      <c r="K2344" s="4">
        <f t="shared" si="342"/>
        <v>0</v>
      </c>
      <c r="L2344" s="4">
        <f t="shared" si="342"/>
        <v>0</v>
      </c>
      <c r="M2344" s="4">
        <f t="shared" si="342"/>
        <v>0</v>
      </c>
      <c r="N2344" s="4">
        <f t="shared" si="342"/>
        <v>0</v>
      </c>
      <c r="O2344" s="4">
        <f t="shared" si="343"/>
        <v>0</v>
      </c>
      <c r="P2344" s="4">
        <f t="shared" si="344"/>
        <v>0</v>
      </c>
      <c r="Q2344" s="4">
        <f t="shared" si="345"/>
        <v>0</v>
      </c>
      <c r="R2344" s="4">
        <f t="shared" si="346"/>
        <v>0</v>
      </c>
      <c r="S2344" s="4">
        <f>IF(AND(VLOOKUP(G2344,Dados!$D:$L,2,0)=VLOOKUP(I2344,Dados!$S:$V,2,0),VLOOKUP(G2344,Dados!$D:$L,3,0)=VLOOKUP(I2344,Dados!$S:$V,3,0)),0,1)</f>
        <v>0</v>
      </c>
      <c r="T2344" s="4">
        <f>IF(AND(VLOOKUP(G2344,Dados!$D:$L,3,0)&lt;=VLOOKUP(H2344,Dados!$X:$AB,2,0),VLOOKUP(G2344,Dados!$D:$L,4,0)&gt;=VLOOKUP(H2344,Dados!$X:$AB,3,0),VLOOKUP(G2344,Dados!$D:$L,4,0)&lt;=VLOOKUP(H2344,Dados!$X:$AB,4,0)),0,1)</f>
        <v>0</v>
      </c>
      <c r="U2344" s="4">
        <f>IF(COUNTIFS(F:F,F2344,H:H,H2344)&lt;=VLOOKUP(H2344,Dados!$X:$AB,5,0),0,1)</f>
        <v>0</v>
      </c>
    </row>
    <row r="2345" spans="6:21">
      <c r="F2345" s="4">
        <v>1030</v>
      </c>
      <c r="G2345" s="4">
        <v>43</v>
      </c>
      <c r="H2345" s="4">
        <v>3</v>
      </c>
      <c r="I2345" s="4">
        <v>17</v>
      </c>
      <c r="J2345" s="4">
        <v>2</v>
      </c>
      <c r="K2345" s="4">
        <f t="shared" si="342"/>
        <v>0</v>
      </c>
      <c r="L2345" s="4">
        <f t="shared" si="342"/>
        <v>0</v>
      </c>
      <c r="M2345" s="4">
        <f t="shared" si="342"/>
        <v>0</v>
      </c>
      <c r="N2345" s="4">
        <f t="shared" si="342"/>
        <v>0</v>
      </c>
      <c r="O2345" s="4">
        <f t="shared" si="343"/>
        <v>0</v>
      </c>
      <c r="P2345" s="4">
        <f t="shared" si="344"/>
        <v>0</v>
      </c>
      <c r="Q2345" s="4">
        <f t="shared" si="345"/>
        <v>0</v>
      </c>
      <c r="R2345" s="4">
        <f t="shared" si="346"/>
        <v>0</v>
      </c>
      <c r="S2345" s="4">
        <f>IF(AND(VLOOKUP(G2345,Dados!$D:$L,2,0)=VLOOKUP(I2345,Dados!$S:$V,2,0),VLOOKUP(G2345,Dados!$D:$L,3,0)=VLOOKUP(I2345,Dados!$S:$V,3,0)),0,1)</f>
        <v>0</v>
      </c>
      <c r="T2345" s="4">
        <f>IF(AND(VLOOKUP(G2345,Dados!$D:$L,3,0)&lt;=VLOOKUP(H2345,Dados!$X:$AB,2,0),VLOOKUP(G2345,Dados!$D:$L,4,0)&gt;=VLOOKUP(H2345,Dados!$X:$AB,3,0),VLOOKUP(G2345,Dados!$D:$L,4,0)&lt;=VLOOKUP(H2345,Dados!$X:$AB,4,0)),0,1)</f>
        <v>0</v>
      </c>
      <c r="U2345" s="4">
        <f>IF(COUNTIFS(F:F,F2345,H:H,H2345)&lt;=VLOOKUP(H2345,Dados!$X:$AB,5,0),0,1)</f>
        <v>0</v>
      </c>
    </row>
    <row r="2346" spans="6:21">
      <c r="F2346" s="4">
        <v>1030</v>
      </c>
      <c r="G2346" s="4">
        <v>44</v>
      </c>
      <c r="H2346" s="4">
        <v>3</v>
      </c>
      <c r="I2346" s="4">
        <v>17</v>
      </c>
      <c r="J2346" s="4">
        <v>1</v>
      </c>
      <c r="K2346" s="4">
        <f t="shared" si="342"/>
        <v>0</v>
      </c>
      <c r="L2346" s="4">
        <f t="shared" si="342"/>
        <v>0</v>
      </c>
      <c r="M2346" s="4">
        <f t="shared" si="342"/>
        <v>0</v>
      </c>
      <c r="N2346" s="4">
        <f t="shared" si="342"/>
        <v>0</v>
      </c>
      <c r="O2346" s="4">
        <f t="shared" si="343"/>
        <v>0</v>
      </c>
      <c r="P2346" s="4">
        <f t="shared" si="344"/>
        <v>0</v>
      </c>
      <c r="Q2346" s="4">
        <f t="shared" si="345"/>
        <v>0</v>
      </c>
      <c r="R2346" s="4">
        <f t="shared" si="346"/>
        <v>0</v>
      </c>
      <c r="S2346" s="4">
        <f>IF(AND(VLOOKUP(G2346,Dados!$D:$L,2,0)=VLOOKUP(I2346,Dados!$S:$V,2,0),VLOOKUP(G2346,Dados!$D:$L,3,0)=VLOOKUP(I2346,Dados!$S:$V,3,0)),0,1)</f>
        <v>0</v>
      </c>
      <c r="T2346" s="4">
        <f>IF(AND(VLOOKUP(G2346,Dados!$D:$L,3,0)&lt;=VLOOKUP(H2346,Dados!$X:$AB,2,0),VLOOKUP(G2346,Dados!$D:$L,4,0)&gt;=VLOOKUP(H2346,Dados!$X:$AB,3,0),VLOOKUP(G2346,Dados!$D:$L,4,0)&lt;=VLOOKUP(H2346,Dados!$X:$AB,4,0)),0,1)</f>
        <v>0</v>
      </c>
      <c r="U2346" s="4">
        <f>IF(COUNTIFS(F:F,F2346,H:H,H2346)&lt;=VLOOKUP(H2346,Dados!$X:$AB,5,0),0,1)</f>
        <v>0</v>
      </c>
    </row>
    <row r="2347" spans="6:21">
      <c r="F2347" s="4">
        <v>1031</v>
      </c>
      <c r="G2347" s="4">
        <v>46</v>
      </c>
      <c r="H2347" s="4">
        <v>1</v>
      </c>
      <c r="I2347" s="4">
        <v>18</v>
      </c>
      <c r="J2347" s="4">
        <v>3</v>
      </c>
      <c r="K2347" s="4">
        <f t="shared" si="342"/>
        <v>0</v>
      </c>
      <c r="L2347" s="4">
        <f t="shared" si="342"/>
        <v>0</v>
      </c>
      <c r="M2347" s="4">
        <f t="shared" si="342"/>
        <v>0</v>
      </c>
      <c r="N2347" s="4">
        <f t="shared" si="342"/>
        <v>0</v>
      </c>
      <c r="O2347" s="4">
        <f t="shared" si="343"/>
        <v>0</v>
      </c>
      <c r="P2347" s="4">
        <f t="shared" si="344"/>
        <v>0</v>
      </c>
      <c r="Q2347" s="4">
        <f t="shared" si="345"/>
        <v>0</v>
      </c>
      <c r="R2347" s="4">
        <f t="shared" si="346"/>
        <v>0</v>
      </c>
      <c r="S2347" s="4">
        <f>IF(AND(VLOOKUP(G2347,Dados!$D:$L,2,0)=VLOOKUP(I2347,Dados!$S:$V,2,0),VLOOKUP(G2347,Dados!$D:$L,3,0)=VLOOKUP(I2347,Dados!$S:$V,3,0)),0,1)</f>
        <v>0</v>
      </c>
      <c r="T2347" s="4">
        <f>IF(AND(VLOOKUP(G2347,Dados!$D:$L,3,0)&lt;=VLOOKUP(H2347,Dados!$X:$AB,2,0),VLOOKUP(G2347,Dados!$D:$L,4,0)&gt;=VLOOKUP(H2347,Dados!$X:$AB,3,0),VLOOKUP(G2347,Dados!$D:$L,4,0)&lt;=VLOOKUP(H2347,Dados!$X:$AB,4,0)),0,1)</f>
        <v>0</v>
      </c>
      <c r="U2347" s="4">
        <f>IF(COUNTIFS(F:F,F2347,H:H,H2347)&lt;=VLOOKUP(H2347,Dados!$X:$AB,5,0),0,1)</f>
        <v>0</v>
      </c>
    </row>
    <row r="2348" spans="6:21">
      <c r="F2348" s="4">
        <v>1031</v>
      </c>
      <c r="G2348" s="4">
        <v>48</v>
      </c>
      <c r="H2348" s="4">
        <v>1</v>
      </c>
      <c r="I2348" s="4">
        <v>18</v>
      </c>
      <c r="J2348" s="4">
        <v>1</v>
      </c>
      <c r="K2348" s="4">
        <f t="shared" si="342"/>
        <v>0</v>
      </c>
      <c r="L2348" s="4">
        <f t="shared" si="342"/>
        <v>0</v>
      </c>
      <c r="M2348" s="4">
        <f t="shared" si="342"/>
        <v>0</v>
      </c>
      <c r="N2348" s="4">
        <f t="shared" si="342"/>
        <v>0</v>
      </c>
      <c r="O2348" s="4">
        <f t="shared" si="343"/>
        <v>0</v>
      </c>
      <c r="P2348" s="4">
        <f t="shared" si="344"/>
        <v>0</v>
      </c>
      <c r="Q2348" s="4">
        <f t="shared" si="345"/>
        <v>0</v>
      </c>
      <c r="R2348" s="4">
        <f t="shared" si="346"/>
        <v>0</v>
      </c>
      <c r="S2348" s="4">
        <f>IF(AND(VLOOKUP(G2348,Dados!$D:$L,2,0)=VLOOKUP(I2348,Dados!$S:$V,2,0),VLOOKUP(G2348,Dados!$D:$L,3,0)=VLOOKUP(I2348,Dados!$S:$V,3,0)),0,1)</f>
        <v>0</v>
      </c>
      <c r="T2348" s="4">
        <f>IF(AND(VLOOKUP(G2348,Dados!$D:$L,3,0)&lt;=VLOOKUP(H2348,Dados!$X:$AB,2,0),VLOOKUP(G2348,Dados!$D:$L,4,0)&gt;=VLOOKUP(H2348,Dados!$X:$AB,3,0),VLOOKUP(G2348,Dados!$D:$L,4,0)&lt;=VLOOKUP(H2348,Dados!$X:$AB,4,0)),0,1)</f>
        <v>0</v>
      </c>
      <c r="U2348" s="4">
        <f>IF(COUNTIFS(F:F,F2348,H:H,H2348)&lt;=VLOOKUP(H2348,Dados!$X:$AB,5,0),0,1)</f>
        <v>0</v>
      </c>
    </row>
    <row r="2349" spans="6:21">
      <c r="F2349" s="4">
        <v>1031</v>
      </c>
      <c r="G2349" s="4">
        <v>49</v>
      </c>
      <c r="H2349" s="4">
        <v>1</v>
      </c>
      <c r="I2349" s="4">
        <v>18</v>
      </c>
      <c r="J2349" s="4">
        <v>3</v>
      </c>
      <c r="K2349" s="4">
        <f t="shared" si="342"/>
        <v>0</v>
      </c>
      <c r="L2349" s="4">
        <f t="shared" si="342"/>
        <v>0</v>
      </c>
      <c r="M2349" s="4">
        <f t="shared" si="342"/>
        <v>0</v>
      </c>
      <c r="N2349" s="4">
        <f t="shared" si="342"/>
        <v>0</v>
      </c>
      <c r="O2349" s="4">
        <f t="shared" si="343"/>
        <v>0</v>
      </c>
      <c r="P2349" s="4">
        <f t="shared" si="344"/>
        <v>0</v>
      </c>
      <c r="Q2349" s="4">
        <f t="shared" si="345"/>
        <v>0</v>
      </c>
      <c r="R2349" s="4">
        <f t="shared" si="346"/>
        <v>0</v>
      </c>
      <c r="S2349" s="4">
        <f>IF(AND(VLOOKUP(G2349,Dados!$D:$L,2,0)=VLOOKUP(I2349,Dados!$S:$V,2,0),VLOOKUP(G2349,Dados!$D:$L,3,0)=VLOOKUP(I2349,Dados!$S:$V,3,0)),0,1)</f>
        <v>0</v>
      </c>
      <c r="T2349" s="4">
        <f>IF(AND(VLOOKUP(G2349,Dados!$D:$L,3,0)&lt;=VLOOKUP(H2349,Dados!$X:$AB,2,0),VLOOKUP(G2349,Dados!$D:$L,4,0)&gt;=VLOOKUP(H2349,Dados!$X:$AB,3,0),VLOOKUP(G2349,Dados!$D:$L,4,0)&lt;=VLOOKUP(H2349,Dados!$X:$AB,4,0)),0,1)</f>
        <v>0</v>
      </c>
      <c r="U2349" s="4">
        <f>IF(COUNTIFS(F:F,F2349,H:H,H2349)&lt;=VLOOKUP(H2349,Dados!$X:$AB,5,0),0,1)</f>
        <v>0</v>
      </c>
    </row>
    <row r="2350" spans="6:21">
      <c r="F2350" s="4">
        <v>1032</v>
      </c>
      <c r="G2350" s="4">
        <v>46</v>
      </c>
      <c r="H2350" s="4">
        <v>3</v>
      </c>
      <c r="I2350" s="4">
        <v>18</v>
      </c>
      <c r="J2350" s="4">
        <v>3</v>
      </c>
      <c r="K2350" s="4">
        <f t="shared" si="342"/>
        <v>0</v>
      </c>
      <c r="L2350" s="4">
        <f t="shared" si="342"/>
        <v>0</v>
      </c>
      <c r="M2350" s="4">
        <f t="shared" si="342"/>
        <v>0</v>
      </c>
      <c r="N2350" s="4">
        <f t="shared" si="342"/>
        <v>0</v>
      </c>
      <c r="O2350" s="4">
        <f t="shared" si="343"/>
        <v>0</v>
      </c>
      <c r="P2350" s="4">
        <f t="shared" si="344"/>
        <v>0</v>
      </c>
      <c r="Q2350" s="4">
        <f t="shared" si="345"/>
        <v>0</v>
      </c>
      <c r="R2350" s="4">
        <f t="shared" si="346"/>
        <v>0</v>
      </c>
      <c r="S2350" s="4">
        <f>IF(AND(VLOOKUP(G2350,Dados!$D:$L,2,0)=VLOOKUP(I2350,Dados!$S:$V,2,0),VLOOKUP(G2350,Dados!$D:$L,3,0)=VLOOKUP(I2350,Dados!$S:$V,3,0)),0,1)</f>
        <v>0</v>
      </c>
      <c r="T2350" s="4">
        <f>IF(AND(VLOOKUP(G2350,Dados!$D:$L,3,0)&lt;=VLOOKUP(H2350,Dados!$X:$AB,2,0),VLOOKUP(G2350,Dados!$D:$L,4,0)&gt;=VLOOKUP(H2350,Dados!$X:$AB,3,0),VLOOKUP(G2350,Dados!$D:$L,4,0)&lt;=VLOOKUP(H2350,Dados!$X:$AB,4,0)),0,1)</f>
        <v>0</v>
      </c>
      <c r="U2350" s="4">
        <f>IF(COUNTIFS(F:F,F2350,H:H,H2350)&lt;=VLOOKUP(H2350,Dados!$X:$AB,5,0),0,1)</f>
        <v>0</v>
      </c>
    </row>
    <row r="2351" spans="6:21">
      <c r="F2351" s="4">
        <v>1032</v>
      </c>
      <c r="G2351" s="4">
        <v>48</v>
      </c>
      <c r="H2351" s="4">
        <v>3</v>
      </c>
      <c r="I2351" s="4">
        <v>18</v>
      </c>
      <c r="J2351" s="4">
        <v>1</v>
      </c>
      <c r="K2351" s="4">
        <f t="shared" si="342"/>
        <v>0</v>
      </c>
      <c r="L2351" s="4">
        <f t="shared" si="342"/>
        <v>0</v>
      </c>
      <c r="M2351" s="4">
        <f t="shared" si="342"/>
        <v>0</v>
      </c>
      <c r="N2351" s="4">
        <f t="shared" si="342"/>
        <v>0</v>
      </c>
      <c r="O2351" s="4">
        <f t="shared" si="343"/>
        <v>0</v>
      </c>
      <c r="P2351" s="4">
        <f t="shared" si="344"/>
        <v>0</v>
      </c>
      <c r="Q2351" s="4">
        <f t="shared" si="345"/>
        <v>0</v>
      </c>
      <c r="R2351" s="4">
        <f t="shared" si="346"/>
        <v>0</v>
      </c>
      <c r="S2351" s="4">
        <f>IF(AND(VLOOKUP(G2351,Dados!$D:$L,2,0)=VLOOKUP(I2351,Dados!$S:$V,2,0),VLOOKUP(G2351,Dados!$D:$L,3,0)=VLOOKUP(I2351,Dados!$S:$V,3,0)),0,1)</f>
        <v>0</v>
      </c>
      <c r="T2351" s="4">
        <f>IF(AND(VLOOKUP(G2351,Dados!$D:$L,3,0)&lt;=VLOOKUP(H2351,Dados!$X:$AB,2,0),VLOOKUP(G2351,Dados!$D:$L,4,0)&gt;=VLOOKUP(H2351,Dados!$X:$AB,3,0),VLOOKUP(G2351,Dados!$D:$L,4,0)&lt;=VLOOKUP(H2351,Dados!$X:$AB,4,0)),0,1)</f>
        <v>0</v>
      </c>
      <c r="U2351" s="4">
        <f>IF(COUNTIFS(F:F,F2351,H:H,H2351)&lt;=VLOOKUP(H2351,Dados!$X:$AB,5,0),0,1)</f>
        <v>0</v>
      </c>
    </row>
    <row r="2352" spans="6:21">
      <c r="F2352" s="4">
        <v>1032</v>
      </c>
      <c r="G2352" s="4">
        <v>49</v>
      </c>
      <c r="H2352" s="4">
        <v>3</v>
      </c>
      <c r="I2352" s="4">
        <v>18</v>
      </c>
      <c r="J2352" s="4">
        <v>3</v>
      </c>
      <c r="K2352" s="4">
        <f t="shared" si="342"/>
        <v>0</v>
      </c>
      <c r="L2352" s="4">
        <f t="shared" si="342"/>
        <v>0</v>
      </c>
      <c r="M2352" s="4">
        <f t="shared" si="342"/>
        <v>0</v>
      </c>
      <c r="N2352" s="4">
        <f t="shared" si="342"/>
        <v>0</v>
      </c>
      <c r="O2352" s="4">
        <f t="shared" si="343"/>
        <v>0</v>
      </c>
      <c r="P2352" s="4">
        <f t="shared" si="344"/>
        <v>0</v>
      </c>
      <c r="Q2352" s="4">
        <f t="shared" si="345"/>
        <v>0</v>
      </c>
      <c r="R2352" s="4">
        <f t="shared" si="346"/>
        <v>0</v>
      </c>
      <c r="S2352" s="4">
        <f>IF(AND(VLOOKUP(G2352,Dados!$D:$L,2,0)=VLOOKUP(I2352,Dados!$S:$V,2,0),VLOOKUP(G2352,Dados!$D:$L,3,0)=VLOOKUP(I2352,Dados!$S:$V,3,0)),0,1)</f>
        <v>0</v>
      </c>
      <c r="T2352" s="4">
        <f>IF(AND(VLOOKUP(G2352,Dados!$D:$L,3,0)&lt;=VLOOKUP(H2352,Dados!$X:$AB,2,0),VLOOKUP(G2352,Dados!$D:$L,4,0)&gt;=VLOOKUP(H2352,Dados!$X:$AB,3,0),VLOOKUP(G2352,Dados!$D:$L,4,0)&lt;=VLOOKUP(H2352,Dados!$X:$AB,4,0)),0,1)</f>
        <v>0</v>
      </c>
      <c r="U2352" s="4">
        <f>IF(COUNTIFS(F:F,F2352,H:H,H2352)&lt;=VLOOKUP(H2352,Dados!$X:$AB,5,0),0,1)</f>
        <v>0</v>
      </c>
    </row>
    <row r="2353" spans="6:21">
      <c r="F2353" s="4">
        <v>1033</v>
      </c>
      <c r="G2353" s="4">
        <v>46</v>
      </c>
      <c r="H2353" s="4">
        <v>1</v>
      </c>
      <c r="I2353" s="4">
        <v>19</v>
      </c>
      <c r="J2353" s="4">
        <v>4</v>
      </c>
      <c r="K2353" s="4">
        <f t="shared" si="342"/>
        <v>9</v>
      </c>
      <c r="L2353" s="4">
        <f t="shared" si="342"/>
        <v>0</v>
      </c>
      <c r="M2353" s="4">
        <f t="shared" si="342"/>
        <v>0</v>
      </c>
      <c r="N2353" s="4">
        <f t="shared" si="342"/>
        <v>0</v>
      </c>
      <c r="O2353" s="4">
        <f t="shared" si="343"/>
        <v>36</v>
      </c>
      <c r="P2353" s="4">
        <f t="shared" si="344"/>
        <v>0</v>
      </c>
      <c r="Q2353" s="4">
        <f t="shared" si="345"/>
        <v>0</v>
      </c>
      <c r="R2353" s="4">
        <f t="shared" si="346"/>
        <v>0</v>
      </c>
      <c r="S2353" s="4">
        <f>IF(AND(VLOOKUP(G2353,Dados!$D:$L,2,0)=VLOOKUP(I2353,Dados!$S:$V,2,0),VLOOKUP(G2353,Dados!$D:$L,3,0)=VLOOKUP(I2353,Dados!$S:$V,3,0)),0,1)</f>
        <v>0</v>
      </c>
      <c r="T2353" s="4">
        <f>IF(AND(VLOOKUP(G2353,Dados!$D:$L,3,0)&lt;=VLOOKUP(H2353,Dados!$X:$AB,2,0),VLOOKUP(G2353,Dados!$D:$L,4,0)&gt;=VLOOKUP(H2353,Dados!$X:$AB,3,0),VLOOKUP(G2353,Dados!$D:$L,4,0)&lt;=VLOOKUP(H2353,Dados!$X:$AB,4,0)),0,1)</f>
        <v>0</v>
      </c>
      <c r="U2353" s="4">
        <f>IF(COUNTIFS(F:F,F2353,H:H,H2353)&lt;=VLOOKUP(H2353,Dados!$X:$AB,5,0),0,1)</f>
        <v>0</v>
      </c>
    </row>
    <row r="2354" spans="6:21">
      <c r="F2354" s="4">
        <v>1033</v>
      </c>
      <c r="G2354" s="4">
        <v>49</v>
      </c>
      <c r="H2354" s="4">
        <v>1</v>
      </c>
      <c r="I2354" s="4">
        <v>19</v>
      </c>
      <c r="J2354" s="4">
        <v>3</v>
      </c>
      <c r="K2354" s="4">
        <f t="shared" si="342"/>
        <v>9</v>
      </c>
      <c r="L2354" s="4">
        <f t="shared" si="342"/>
        <v>0</v>
      </c>
      <c r="M2354" s="4">
        <f t="shared" si="342"/>
        <v>0</v>
      </c>
      <c r="N2354" s="4">
        <f t="shared" si="342"/>
        <v>0</v>
      </c>
      <c r="O2354" s="4">
        <f t="shared" si="343"/>
        <v>27</v>
      </c>
      <c r="P2354" s="4">
        <f t="shared" si="344"/>
        <v>0</v>
      </c>
      <c r="Q2354" s="4">
        <f t="shared" si="345"/>
        <v>0</v>
      </c>
      <c r="R2354" s="4">
        <f t="shared" si="346"/>
        <v>0</v>
      </c>
      <c r="S2354" s="4">
        <f>IF(AND(VLOOKUP(G2354,Dados!$D:$L,2,0)=VLOOKUP(I2354,Dados!$S:$V,2,0),VLOOKUP(G2354,Dados!$D:$L,3,0)=VLOOKUP(I2354,Dados!$S:$V,3,0)),0,1)</f>
        <v>0</v>
      </c>
      <c r="T2354" s="4">
        <f>IF(AND(VLOOKUP(G2354,Dados!$D:$L,3,0)&lt;=VLOOKUP(H2354,Dados!$X:$AB,2,0),VLOOKUP(G2354,Dados!$D:$L,4,0)&gt;=VLOOKUP(H2354,Dados!$X:$AB,3,0),VLOOKUP(G2354,Dados!$D:$L,4,0)&lt;=VLOOKUP(H2354,Dados!$X:$AB,4,0)),0,1)</f>
        <v>0</v>
      </c>
      <c r="U2354" s="4">
        <f>IF(COUNTIFS(F:F,F2354,H:H,H2354)&lt;=VLOOKUP(H2354,Dados!$X:$AB,5,0),0,1)</f>
        <v>0</v>
      </c>
    </row>
    <row r="2355" spans="6:21">
      <c r="F2355" s="4">
        <v>1033</v>
      </c>
      <c r="G2355" s="4">
        <v>51</v>
      </c>
      <c r="H2355" s="4">
        <v>1</v>
      </c>
      <c r="I2355" s="4">
        <v>19</v>
      </c>
      <c r="J2355" s="4">
        <v>1</v>
      </c>
      <c r="K2355" s="4">
        <f t="shared" si="342"/>
        <v>9</v>
      </c>
      <c r="L2355" s="4">
        <f t="shared" si="342"/>
        <v>0</v>
      </c>
      <c r="M2355" s="4">
        <f t="shared" si="342"/>
        <v>0</v>
      </c>
      <c r="N2355" s="4">
        <f t="shared" si="342"/>
        <v>0</v>
      </c>
      <c r="O2355" s="4">
        <f t="shared" si="343"/>
        <v>9</v>
      </c>
      <c r="P2355" s="4">
        <f t="shared" si="344"/>
        <v>0</v>
      </c>
      <c r="Q2355" s="4">
        <f t="shared" si="345"/>
        <v>0</v>
      </c>
      <c r="R2355" s="4">
        <f t="shared" si="346"/>
        <v>0</v>
      </c>
      <c r="S2355" s="4">
        <f>IF(AND(VLOOKUP(G2355,Dados!$D:$L,2,0)=VLOOKUP(I2355,Dados!$S:$V,2,0),VLOOKUP(G2355,Dados!$D:$L,3,0)=VLOOKUP(I2355,Dados!$S:$V,3,0)),0,1)</f>
        <v>0</v>
      </c>
      <c r="T2355" s="4">
        <f>IF(AND(VLOOKUP(G2355,Dados!$D:$L,3,0)&lt;=VLOOKUP(H2355,Dados!$X:$AB,2,0),VLOOKUP(G2355,Dados!$D:$L,4,0)&gt;=VLOOKUP(H2355,Dados!$X:$AB,3,0),VLOOKUP(G2355,Dados!$D:$L,4,0)&lt;=VLOOKUP(H2355,Dados!$X:$AB,4,0)),0,1)</f>
        <v>0</v>
      </c>
      <c r="U2355" s="4">
        <f>IF(COUNTIFS(F:F,F2355,H:H,H2355)&lt;=VLOOKUP(H2355,Dados!$X:$AB,5,0),0,1)</f>
        <v>0</v>
      </c>
    </row>
    <row r="2356" spans="6:21">
      <c r="F2356" s="4">
        <v>1034</v>
      </c>
      <c r="G2356" s="4">
        <v>46</v>
      </c>
      <c r="H2356" s="4">
        <v>3</v>
      </c>
      <c r="I2356" s="4">
        <v>19</v>
      </c>
      <c r="J2356" s="4">
        <v>4</v>
      </c>
      <c r="K2356" s="4">
        <f t="shared" si="342"/>
        <v>8</v>
      </c>
      <c r="L2356" s="4">
        <f t="shared" si="342"/>
        <v>0</v>
      </c>
      <c r="M2356" s="4">
        <f t="shared" si="342"/>
        <v>0</v>
      </c>
      <c r="N2356" s="4">
        <f t="shared" si="342"/>
        <v>0</v>
      </c>
      <c r="O2356" s="4">
        <f t="shared" si="343"/>
        <v>32</v>
      </c>
      <c r="P2356" s="4">
        <f t="shared" si="344"/>
        <v>0</v>
      </c>
      <c r="Q2356" s="4">
        <f t="shared" si="345"/>
        <v>0</v>
      </c>
      <c r="R2356" s="4">
        <f t="shared" si="346"/>
        <v>0</v>
      </c>
      <c r="S2356" s="4">
        <f>IF(AND(VLOOKUP(G2356,Dados!$D:$L,2,0)=VLOOKUP(I2356,Dados!$S:$V,2,0),VLOOKUP(G2356,Dados!$D:$L,3,0)=VLOOKUP(I2356,Dados!$S:$V,3,0)),0,1)</f>
        <v>0</v>
      </c>
      <c r="T2356" s="4">
        <f>IF(AND(VLOOKUP(G2356,Dados!$D:$L,3,0)&lt;=VLOOKUP(H2356,Dados!$X:$AB,2,0),VLOOKUP(G2356,Dados!$D:$L,4,0)&gt;=VLOOKUP(H2356,Dados!$X:$AB,3,0),VLOOKUP(G2356,Dados!$D:$L,4,0)&lt;=VLOOKUP(H2356,Dados!$X:$AB,4,0)),0,1)</f>
        <v>0</v>
      </c>
      <c r="U2356" s="4">
        <f>IF(COUNTIFS(F:F,F2356,H:H,H2356)&lt;=VLOOKUP(H2356,Dados!$X:$AB,5,0),0,1)</f>
        <v>0</v>
      </c>
    </row>
    <row r="2357" spans="6:21">
      <c r="F2357" s="4">
        <v>1034</v>
      </c>
      <c r="G2357" s="4">
        <v>49</v>
      </c>
      <c r="H2357" s="4">
        <v>3</v>
      </c>
      <c r="I2357" s="4">
        <v>19</v>
      </c>
      <c r="J2357" s="4">
        <v>3</v>
      </c>
      <c r="K2357" s="4">
        <f t="shared" si="342"/>
        <v>8</v>
      </c>
      <c r="L2357" s="4">
        <f t="shared" si="342"/>
        <v>0</v>
      </c>
      <c r="M2357" s="4">
        <f t="shared" si="342"/>
        <v>0</v>
      </c>
      <c r="N2357" s="4">
        <f t="shared" si="342"/>
        <v>0</v>
      </c>
      <c r="O2357" s="4">
        <f t="shared" si="343"/>
        <v>24</v>
      </c>
      <c r="P2357" s="4">
        <f t="shared" si="344"/>
        <v>0</v>
      </c>
      <c r="Q2357" s="4">
        <f t="shared" si="345"/>
        <v>0</v>
      </c>
      <c r="R2357" s="4">
        <f t="shared" si="346"/>
        <v>0</v>
      </c>
      <c r="S2357" s="4">
        <f>IF(AND(VLOOKUP(G2357,Dados!$D:$L,2,0)=VLOOKUP(I2357,Dados!$S:$V,2,0),VLOOKUP(G2357,Dados!$D:$L,3,0)=VLOOKUP(I2357,Dados!$S:$V,3,0)),0,1)</f>
        <v>0</v>
      </c>
      <c r="T2357" s="4">
        <f>IF(AND(VLOOKUP(G2357,Dados!$D:$L,3,0)&lt;=VLOOKUP(H2357,Dados!$X:$AB,2,0),VLOOKUP(G2357,Dados!$D:$L,4,0)&gt;=VLOOKUP(H2357,Dados!$X:$AB,3,0),VLOOKUP(G2357,Dados!$D:$L,4,0)&lt;=VLOOKUP(H2357,Dados!$X:$AB,4,0)),0,1)</f>
        <v>0</v>
      </c>
      <c r="U2357" s="4">
        <f>IF(COUNTIFS(F:F,F2357,H:H,H2357)&lt;=VLOOKUP(H2357,Dados!$X:$AB,5,0),0,1)</f>
        <v>0</v>
      </c>
    </row>
    <row r="2358" spans="6:21">
      <c r="F2358" s="4">
        <v>1034</v>
      </c>
      <c r="G2358" s="4">
        <v>51</v>
      </c>
      <c r="H2358" s="4">
        <v>3</v>
      </c>
      <c r="I2358" s="4">
        <v>19</v>
      </c>
      <c r="J2358" s="4">
        <v>1</v>
      </c>
      <c r="K2358" s="4">
        <f t="shared" si="342"/>
        <v>8</v>
      </c>
      <c r="L2358" s="4">
        <f t="shared" si="342"/>
        <v>0</v>
      </c>
      <c r="M2358" s="4">
        <f t="shared" si="342"/>
        <v>0</v>
      </c>
      <c r="N2358" s="4">
        <f t="shared" si="342"/>
        <v>0</v>
      </c>
      <c r="O2358" s="4">
        <f t="shared" si="343"/>
        <v>8</v>
      </c>
      <c r="P2358" s="4">
        <f t="shared" si="344"/>
        <v>0</v>
      </c>
      <c r="Q2358" s="4">
        <f t="shared" si="345"/>
        <v>0</v>
      </c>
      <c r="R2358" s="4">
        <f t="shared" si="346"/>
        <v>0</v>
      </c>
      <c r="S2358" s="4">
        <f>IF(AND(VLOOKUP(G2358,Dados!$D:$L,2,0)=VLOOKUP(I2358,Dados!$S:$V,2,0),VLOOKUP(G2358,Dados!$D:$L,3,0)=VLOOKUP(I2358,Dados!$S:$V,3,0)),0,1)</f>
        <v>0</v>
      </c>
      <c r="T2358" s="4">
        <f>IF(AND(VLOOKUP(G2358,Dados!$D:$L,3,0)&lt;=VLOOKUP(H2358,Dados!$X:$AB,2,0),VLOOKUP(G2358,Dados!$D:$L,4,0)&gt;=VLOOKUP(H2358,Dados!$X:$AB,3,0),VLOOKUP(G2358,Dados!$D:$L,4,0)&lt;=VLOOKUP(H2358,Dados!$X:$AB,4,0)),0,1)</f>
        <v>0</v>
      </c>
      <c r="U2358" s="4">
        <f>IF(COUNTIFS(F:F,F2358,H:H,H2358)&lt;=VLOOKUP(H2358,Dados!$X:$AB,5,0),0,1)</f>
        <v>0</v>
      </c>
    </row>
    <row r="2359" spans="6:21">
      <c r="F2359" s="4">
        <v>1035</v>
      </c>
      <c r="G2359" s="4">
        <v>61</v>
      </c>
      <c r="H2359" s="4">
        <v>1</v>
      </c>
      <c r="I2359" s="4">
        <v>21</v>
      </c>
      <c r="J2359" s="4">
        <v>3</v>
      </c>
      <c r="K2359" s="4">
        <f t="shared" si="342"/>
        <v>0</v>
      </c>
      <c r="L2359" s="4">
        <f t="shared" si="342"/>
        <v>0</v>
      </c>
      <c r="M2359" s="4">
        <f t="shared" si="342"/>
        <v>0</v>
      </c>
      <c r="N2359" s="4">
        <f t="shared" si="342"/>
        <v>0</v>
      </c>
      <c r="O2359" s="4">
        <f t="shared" si="343"/>
        <v>0</v>
      </c>
      <c r="P2359" s="4">
        <f t="shared" si="344"/>
        <v>0</v>
      </c>
      <c r="Q2359" s="4">
        <f t="shared" si="345"/>
        <v>0</v>
      </c>
      <c r="R2359" s="4">
        <f t="shared" si="346"/>
        <v>0</v>
      </c>
      <c r="S2359" s="4">
        <f>IF(AND(VLOOKUP(G2359,Dados!$D:$L,2,0)=VLOOKUP(I2359,Dados!$S:$V,2,0),VLOOKUP(G2359,Dados!$D:$L,3,0)=VLOOKUP(I2359,Dados!$S:$V,3,0)),0,1)</f>
        <v>0</v>
      </c>
      <c r="T2359" s="4">
        <f>IF(AND(VLOOKUP(G2359,Dados!$D:$L,3,0)&lt;=VLOOKUP(H2359,Dados!$X:$AB,2,0),VLOOKUP(G2359,Dados!$D:$L,4,0)&gt;=VLOOKUP(H2359,Dados!$X:$AB,3,0),VLOOKUP(G2359,Dados!$D:$L,4,0)&lt;=VLOOKUP(H2359,Dados!$X:$AB,4,0)),0,1)</f>
        <v>0</v>
      </c>
      <c r="U2359" s="4">
        <f>IF(COUNTIFS(F:F,F2359,H:H,H2359)&lt;=VLOOKUP(H2359,Dados!$X:$AB,5,0),0,1)</f>
        <v>0</v>
      </c>
    </row>
    <row r="2360" spans="6:21">
      <c r="F2360" s="4">
        <v>1035</v>
      </c>
      <c r="G2360" s="4">
        <v>63</v>
      </c>
      <c r="H2360" s="4">
        <v>1</v>
      </c>
      <c r="I2360" s="4">
        <v>21</v>
      </c>
      <c r="J2360" s="4">
        <v>2</v>
      </c>
      <c r="K2360" s="4">
        <f t="shared" si="342"/>
        <v>0</v>
      </c>
      <c r="L2360" s="4">
        <f t="shared" si="342"/>
        <v>0</v>
      </c>
      <c r="M2360" s="4">
        <f t="shared" si="342"/>
        <v>0</v>
      </c>
      <c r="N2360" s="4">
        <f t="shared" si="342"/>
        <v>0</v>
      </c>
      <c r="O2360" s="4">
        <f t="shared" si="343"/>
        <v>0</v>
      </c>
      <c r="P2360" s="4">
        <f t="shared" si="344"/>
        <v>0</v>
      </c>
      <c r="Q2360" s="4">
        <f t="shared" si="345"/>
        <v>0</v>
      </c>
      <c r="R2360" s="4">
        <f t="shared" si="346"/>
        <v>0</v>
      </c>
      <c r="S2360" s="4">
        <f>IF(AND(VLOOKUP(G2360,Dados!$D:$L,2,0)=VLOOKUP(I2360,Dados!$S:$V,2,0),VLOOKUP(G2360,Dados!$D:$L,3,0)=VLOOKUP(I2360,Dados!$S:$V,3,0)),0,1)</f>
        <v>0</v>
      </c>
      <c r="T2360" s="4">
        <f>IF(AND(VLOOKUP(G2360,Dados!$D:$L,3,0)&lt;=VLOOKUP(H2360,Dados!$X:$AB,2,0),VLOOKUP(G2360,Dados!$D:$L,4,0)&gt;=VLOOKUP(H2360,Dados!$X:$AB,3,0),VLOOKUP(G2360,Dados!$D:$L,4,0)&lt;=VLOOKUP(H2360,Dados!$X:$AB,4,0)),0,1)</f>
        <v>0</v>
      </c>
      <c r="U2360" s="4">
        <f>IF(COUNTIFS(F:F,F2360,H:H,H2360)&lt;=VLOOKUP(H2360,Dados!$X:$AB,5,0),0,1)</f>
        <v>0</v>
      </c>
    </row>
    <row r="2361" spans="6:21">
      <c r="F2361" s="4">
        <v>1035</v>
      </c>
      <c r="G2361" s="4">
        <v>65</v>
      </c>
      <c r="H2361" s="4">
        <v>1</v>
      </c>
      <c r="I2361" s="4">
        <v>21</v>
      </c>
      <c r="J2361" s="4">
        <v>3</v>
      </c>
      <c r="K2361" s="4">
        <f t="shared" si="342"/>
        <v>0</v>
      </c>
      <c r="L2361" s="4">
        <f t="shared" si="342"/>
        <v>0</v>
      </c>
      <c r="M2361" s="4">
        <f t="shared" si="342"/>
        <v>0</v>
      </c>
      <c r="N2361" s="4">
        <f t="shared" si="342"/>
        <v>0</v>
      </c>
      <c r="O2361" s="4">
        <f t="shared" si="343"/>
        <v>0</v>
      </c>
      <c r="P2361" s="4">
        <f t="shared" si="344"/>
        <v>0</v>
      </c>
      <c r="Q2361" s="4">
        <f t="shared" si="345"/>
        <v>0</v>
      </c>
      <c r="R2361" s="4">
        <f t="shared" si="346"/>
        <v>0</v>
      </c>
      <c r="S2361" s="4">
        <f>IF(AND(VLOOKUP(G2361,Dados!$D:$L,2,0)=VLOOKUP(I2361,Dados!$S:$V,2,0),VLOOKUP(G2361,Dados!$D:$L,3,0)=VLOOKUP(I2361,Dados!$S:$V,3,0)),0,1)</f>
        <v>0</v>
      </c>
      <c r="T2361" s="4">
        <f>IF(AND(VLOOKUP(G2361,Dados!$D:$L,3,0)&lt;=VLOOKUP(H2361,Dados!$X:$AB,2,0),VLOOKUP(G2361,Dados!$D:$L,4,0)&gt;=VLOOKUP(H2361,Dados!$X:$AB,3,0),VLOOKUP(G2361,Dados!$D:$L,4,0)&lt;=VLOOKUP(H2361,Dados!$X:$AB,4,0)),0,1)</f>
        <v>0</v>
      </c>
      <c r="U2361" s="4">
        <f>IF(COUNTIFS(F:F,F2361,H:H,H2361)&lt;=VLOOKUP(H2361,Dados!$X:$AB,5,0),0,1)</f>
        <v>0</v>
      </c>
    </row>
    <row r="2362" spans="6:21">
      <c r="F2362" s="4">
        <v>1036</v>
      </c>
      <c r="G2362" s="4">
        <v>61</v>
      </c>
      <c r="H2362" s="4">
        <v>2</v>
      </c>
      <c r="I2362" s="4">
        <v>21</v>
      </c>
      <c r="J2362" s="4">
        <v>3</v>
      </c>
      <c r="K2362" s="4">
        <f t="shared" si="342"/>
        <v>0</v>
      </c>
      <c r="L2362" s="4">
        <f t="shared" si="342"/>
        <v>0</v>
      </c>
      <c r="M2362" s="4">
        <f t="shared" si="342"/>
        <v>0</v>
      </c>
      <c r="N2362" s="4">
        <f t="shared" si="342"/>
        <v>0</v>
      </c>
      <c r="O2362" s="4">
        <f t="shared" si="343"/>
        <v>0</v>
      </c>
      <c r="P2362" s="4">
        <f t="shared" si="344"/>
        <v>0</v>
      </c>
      <c r="Q2362" s="4">
        <f t="shared" si="345"/>
        <v>0</v>
      </c>
      <c r="R2362" s="4">
        <f t="shared" si="346"/>
        <v>0</v>
      </c>
      <c r="S2362" s="4">
        <f>IF(AND(VLOOKUP(G2362,Dados!$D:$L,2,0)=VLOOKUP(I2362,Dados!$S:$V,2,0),VLOOKUP(G2362,Dados!$D:$L,3,0)=VLOOKUP(I2362,Dados!$S:$V,3,0)),0,1)</f>
        <v>0</v>
      </c>
      <c r="T2362" s="4">
        <f>IF(AND(VLOOKUP(G2362,Dados!$D:$L,3,0)&lt;=VLOOKUP(H2362,Dados!$X:$AB,2,0),VLOOKUP(G2362,Dados!$D:$L,4,0)&gt;=VLOOKUP(H2362,Dados!$X:$AB,3,0),VLOOKUP(G2362,Dados!$D:$L,4,0)&lt;=VLOOKUP(H2362,Dados!$X:$AB,4,0)),0,1)</f>
        <v>0</v>
      </c>
      <c r="U2362" s="4">
        <f>IF(COUNTIFS(F:F,F2362,H:H,H2362)&lt;=VLOOKUP(H2362,Dados!$X:$AB,5,0),0,1)</f>
        <v>0</v>
      </c>
    </row>
    <row r="2363" spans="6:21">
      <c r="F2363" s="4">
        <v>1036</v>
      </c>
      <c r="G2363" s="4">
        <v>63</v>
      </c>
      <c r="H2363" s="4">
        <v>2</v>
      </c>
      <c r="I2363" s="4">
        <v>21</v>
      </c>
      <c r="J2363" s="4">
        <v>2</v>
      </c>
      <c r="K2363" s="4">
        <f t="shared" si="342"/>
        <v>0</v>
      </c>
      <c r="L2363" s="4">
        <f t="shared" si="342"/>
        <v>0</v>
      </c>
      <c r="M2363" s="4">
        <f t="shared" si="342"/>
        <v>0</v>
      </c>
      <c r="N2363" s="4">
        <f t="shared" si="342"/>
        <v>0</v>
      </c>
      <c r="O2363" s="4">
        <f t="shared" si="343"/>
        <v>0</v>
      </c>
      <c r="P2363" s="4">
        <f t="shared" si="344"/>
        <v>0</v>
      </c>
      <c r="Q2363" s="4">
        <f t="shared" si="345"/>
        <v>0</v>
      </c>
      <c r="R2363" s="4">
        <f t="shared" si="346"/>
        <v>0</v>
      </c>
      <c r="S2363" s="4">
        <f>IF(AND(VLOOKUP(G2363,Dados!$D:$L,2,0)=VLOOKUP(I2363,Dados!$S:$V,2,0),VLOOKUP(G2363,Dados!$D:$L,3,0)=VLOOKUP(I2363,Dados!$S:$V,3,0)),0,1)</f>
        <v>0</v>
      </c>
      <c r="T2363" s="4">
        <f>IF(AND(VLOOKUP(G2363,Dados!$D:$L,3,0)&lt;=VLOOKUP(H2363,Dados!$X:$AB,2,0),VLOOKUP(G2363,Dados!$D:$L,4,0)&gt;=VLOOKUP(H2363,Dados!$X:$AB,3,0),VLOOKUP(G2363,Dados!$D:$L,4,0)&lt;=VLOOKUP(H2363,Dados!$X:$AB,4,0)),0,1)</f>
        <v>0</v>
      </c>
      <c r="U2363" s="4">
        <f>IF(COUNTIFS(F:F,F2363,H:H,H2363)&lt;=VLOOKUP(H2363,Dados!$X:$AB,5,0),0,1)</f>
        <v>0</v>
      </c>
    </row>
    <row r="2364" spans="6:21">
      <c r="F2364" s="4">
        <v>1036</v>
      </c>
      <c r="G2364" s="4">
        <v>65</v>
      </c>
      <c r="H2364" s="4">
        <v>2</v>
      </c>
      <c r="I2364" s="4">
        <v>21</v>
      </c>
      <c r="J2364" s="4">
        <v>3</v>
      </c>
      <c r="K2364" s="4">
        <f t="shared" si="342"/>
        <v>0</v>
      </c>
      <c r="L2364" s="4">
        <f t="shared" si="342"/>
        <v>0</v>
      </c>
      <c r="M2364" s="4">
        <f t="shared" si="342"/>
        <v>0</v>
      </c>
      <c r="N2364" s="4">
        <f t="shared" si="342"/>
        <v>0</v>
      </c>
      <c r="O2364" s="4">
        <f t="shared" si="343"/>
        <v>0</v>
      </c>
      <c r="P2364" s="4">
        <f t="shared" si="344"/>
        <v>0</v>
      </c>
      <c r="Q2364" s="4">
        <f t="shared" si="345"/>
        <v>0</v>
      </c>
      <c r="R2364" s="4">
        <f t="shared" si="346"/>
        <v>0</v>
      </c>
      <c r="S2364" s="4">
        <f>IF(AND(VLOOKUP(G2364,Dados!$D:$L,2,0)=VLOOKUP(I2364,Dados!$S:$V,2,0),VLOOKUP(G2364,Dados!$D:$L,3,0)=VLOOKUP(I2364,Dados!$S:$V,3,0)),0,1)</f>
        <v>0</v>
      </c>
      <c r="T2364" s="4">
        <f>IF(AND(VLOOKUP(G2364,Dados!$D:$L,3,0)&lt;=VLOOKUP(H2364,Dados!$X:$AB,2,0),VLOOKUP(G2364,Dados!$D:$L,4,0)&gt;=VLOOKUP(H2364,Dados!$X:$AB,3,0),VLOOKUP(G2364,Dados!$D:$L,4,0)&lt;=VLOOKUP(H2364,Dados!$X:$AB,4,0)),0,1)</f>
        <v>0</v>
      </c>
      <c r="U2364" s="4">
        <f>IF(COUNTIFS(F:F,F2364,H:H,H2364)&lt;=VLOOKUP(H2364,Dados!$X:$AB,5,0),0,1)</f>
        <v>0</v>
      </c>
    </row>
    <row r="2365" spans="6:21">
      <c r="F2365" s="4">
        <v>1037</v>
      </c>
      <c r="G2365" s="4">
        <v>61</v>
      </c>
      <c r="H2365" s="4">
        <v>3</v>
      </c>
      <c r="I2365" s="4">
        <v>21</v>
      </c>
      <c r="J2365" s="4">
        <v>3</v>
      </c>
      <c r="K2365" s="4">
        <f t="shared" si="342"/>
        <v>0</v>
      </c>
      <c r="L2365" s="4">
        <f t="shared" si="342"/>
        <v>0</v>
      </c>
      <c r="M2365" s="4">
        <f t="shared" si="342"/>
        <v>0</v>
      </c>
      <c r="N2365" s="4">
        <f t="shared" si="342"/>
        <v>0</v>
      </c>
      <c r="O2365" s="4">
        <f t="shared" si="343"/>
        <v>0</v>
      </c>
      <c r="P2365" s="4">
        <f t="shared" si="344"/>
        <v>0</v>
      </c>
      <c r="Q2365" s="4">
        <f t="shared" si="345"/>
        <v>0</v>
      </c>
      <c r="R2365" s="4">
        <f t="shared" si="346"/>
        <v>0</v>
      </c>
      <c r="S2365" s="4">
        <f>IF(AND(VLOOKUP(G2365,Dados!$D:$L,2,0)=VLOOKUP(I2365,Dados!$S:$V,2,0),VLOOKUP(G2365,Dados!$D:$L,3,0)=VLOOKUP(I2365,Dados!$S:$V,3,0)),0,1)</f>
        <v>0</v>
      </c>
      <c r="T2365" s="4">
        <f>IF(AND(VLOOKUP(G2365,Dados!$D:$L,3,0)&lt;=VLOOKUP(H2365,Dados!$X:$AB,2,0),VLOOKUP(G2365,Dados!$D:$L,4,0)&gt;=VLOOKUP(H2365,Dados!$X:$AB,3,0),VLOOKUP(G2365,Dados!$D:$L,4,0)&lt;=VLOOKUP(H2365,Dados!$X:$AB,4,0)),0,1)</f>
        <v>0</v>
      </c>
      <c r="U2365" s="4">
        <f>IF(COUNTIFS(F:F,F2365,H:H,H2365)&lt;=VLOOKUP(H2365,Dados!$X:$AB,5,0),0,1)</f>
        <v>0</v>
      </c>
    </row>
    <row r="2366" spans="6:21">
      <c r="F2366" s="4">
        <v>1037</v>
      </c>
      <c r="G2366" s="4">
        <v>63</v>
      </c>
      <c r="H2366" s="4">
        <v>3</v>
      </c>
      <c r="I2366" s="4">
        <v>21</v>
      </c>
      <c r="J2366" s="4">
        <v>2</v>
      </c>
      <c r="K2366" s="4">
        <f t="shared" si="342"/>
        <v>0</v>
      </c>
      <c r="L2366" s="4">
        <f t="shared" si="342"/>
        <v>0</v>
      </c>
      <c r="M2366" s="4">
        <f t="shared" si="342"/>
        <v>0</v>
      </c>
      <c r="N2366" s="4">
        <f t="shared" si="342"/>
        <v>0</v>
      </c>
      <c r="O2366" s="4">
        <f t="shared" si="343"/>
        <v>0</v>
      </c>
      <c r="P2366" s="4">
        <f t="shared" si="344"/>
        <v>0</v>
      </c>
      <c r="Q2366" s="4">
        <f t="shared" si="345"/>
        <v>0</v>
      </c>
      <c r="R2366" s="4">
        <f t="shared" si="346"/>
        <v>0</v>
      </c>
      <c r="S2366" s="4">
        <f>IF(AND(VLOOKUP(G2366,Dados!$D:$L,2,0)=VLOOKUP(I2366,Dados!$S:$V,2,0),VLOOKUP(G2366,Dados!$D:$L,3,0)=VLOOKUP(I2366,Dados!$S:$V,3,0)),0,1)</f>
        <v>0</v>
      </c>
      <c r="T2366" s="4">
        <f>IF(AND(VLOOKUP(G2366,Dados!$D:$L,3,0)&lt;=VLOOKUP(H2366,Dados!$X:$AB,2,0),VLOOKUP(G2366,Dados!$D:$L,4,0)&gt;=VLOOKUP(H2366,Dados!$X:$AB,3,0),VLOOKUP(G2366,Dados!$D:$L,4,0)&lt;=VLOOKUP(H2366,Dados!$X:$AB,4,0)),0,1)</f>
        <v>0</v>
      </c>
      <c r="U2366" s="4">
        <f>IF(COUNTIFS(F:F,F2366,H:H,H2366)&lt;=VLOOKUP(H2366,Dados!$X:$AB,5,0),0,1)</f>
        <v>0</v>
      </c>
    </row>
    <row r="2367" spans="6:21">
      <c r="F2367" s="4">
        <v>1037</v>
      </c>
      <c r="G2367" s="4">
        <v>65</v>
      </c>
      <c r="H2367" s="4">
        <v>3</v>
      </c>
      <c r="I2367" s="4">
        <v>21</v>
      </c>
      <c r="J2367" s="4">
        <v>3</v>
      </c>
      <c r="K2367" s="4">
        <f t="shared" si="342"/>
        <v>0</v>
      </c>
      <c r="L2367" s="4">
        <f t="shared" si="342"/>
        <v>0</v>
      </c>
      <c r="M2367" s="4">
        <f t="shared" si="342"/>
        <v>0</v>
      </c>
      <c r="N2367" s="4">
        <f t="shared" si="342"/>
        <v>0</v>
      </c>
      <c r="O2367" s="4">
        <f t="shared" si="343"/>
        <v>0</v>
      </c>
      <c r="P2367" s="4">
        <f t="shared" si="344"/>
        <v>0</v>
      </c>
      <c r="Q2367" s="4">
        <f t="shared" si="345"/>
        <v>0</v>
      </c>
      <c r="R2367" s="4">
        <f t="shared" si="346"/>
        <v>0</v>
      </c>
      <c r="S2367" s="4">
        <f>IF(AND(VLOOKUP(G2367,Dados!$D:$L,2,0)=VLOOKUP(I2367,Dados!$S:$V,2,0),VLOOKUP(G2367,Dados!$D:$L,3,0)=VLOOKUP(I2367,Dados!$S:$V,3,0)),0,1)</f>
        <v>0</v>
      </c>
      <c r="T2367" s="4">
        <f>IF(AND(VLOOKUP(G2367,Dados!$D:$L,3,0)&lt;=VLOOKUP(H2367,Dados!$X:$AB,2,0),VLOOKUP(G2367,Dados!$D:$L,4,0)&gt;=VLOOKUP(H2367,Dados!$X:$AB,3,0),VLOOKUP(G2367,Dados!$D:$L,4,0)&lt;=VLOOKUP(H2367,Dados!$X:$AB,4,0)),0,1)</f>
        <v>0</v>
      </c>
      <c r="U2367" s="4">
        <f>IF(COUNTIFS(F:F,F2367,H:H,H2367)&lt;=VLOOKUP(H2367,Dados!$X:$AB,5,0),0,1)</f>
        <v>0</v>
      </c>
    </row>
    <row r="2368" spans="6:21">
      <c r="F2368" s="4">
        <v>1038</v>
      </c>
      <c r="G2368" s="4">
        <v>61</v>
      </c>
      <c r="H2368" s="4">
        <v>3</v>
      </c>
      <c r="I2368" s="4">
        <v>29</v>
      </c>
      <c r="J2368" s="4">
        <v>4</v>
      </c>
      <c r="K2368" s="4">
        <f t="shared" si="342"/>
        <v>0</v>
      </c>
      <c r="L2368" s="4">
        <f t="shared" si="342"/>
        <v>0</v>
      </c>
      <c r="M2368" s="4">
        <f t="shared" si="342"/>
        <v>0</v>
      </c>
      <c r="N2368" s="4">
        <f t="shared" si="342"/>
        <v>0</v>
      </c>
      <c r="O2368" s="4">
        <f t="shared" si="343"/>
        <v>0</v>
      </c>
      <c r="P2368" s="4">
        <f t="shared" si="344"/>
        <v>0</v>
      </c>
      <c r="Q2368" s="4">
        <f t="shared" si="345"/>
        <v>0</v>
      </c>
      <c r="R2368" s="4">
        <f t="shared" si="346"/>
        <v>0</v>
      </c>
      <c r="S2368" s="4">
        <f>IF(AND(VLOOKUP(G2368,Dados!$D:$L,2,0)=VLOOKUP(I2368,Dados!$S:$V,2,0),VLOOKUP(G2368,Dados!$D:$L,3,0)=VLOOKUP(I2368,Dados!$S:$V,3,0)),0,1)</f>
        <v>0</v>
      </c>
      <c r="T2368" s="4">
        <f>IF(AND(VLOOKUP(G2368,Dados!$D:$L,3,0)&lt;=VLOOKUP(H2368,Dados!$X:$AB,2,0),VLOOKUP(G2368,Dados!$D:$L,4,0)&gt;=VLOOKUP(H2368,Dados!$X:$AB,3,0),VLOOKUP(G2368,Dados!$D:$L,4,0)&lt;=VLOOKUP(H2368,Dados!$X:$AB,4,0)),0,1)</f>
        <v>0</v>
      </c>
      <c r="U2368" s="4">
        <f>IF(COUNTIFS(F:F,F2368,H:H,H2368)&lt;=VLOOKUP(H2368,Dados!$X:$AB,5,0),0,1)</f>
        <v>0</v>
      </c>
    </row>
    <row r="2369" spans="6:21">
      <c r="F2369" s="4">
        <v>1038</v>
      </c>
      <c r="G2369" s="4">
        <v>63</v>
      </c>
      <c r="H2369" s="4">
        <v>3</v>
      </c>
      <c r="I2369" s="4">
        <v>29</v>
      </c>
      <c r="J2369" s="4">
        <v>2</v>
      </c>
      <c r="K2369" s="4">
        <f t="shared" si="342"/>
        <v>0</v>
      </c>
      <c r="L2369" s="4">
        <f t="shared" si="342"/>
        <v>0</v>
      </c>
      <c r="M2369" s="4">
        <f t="shared" si="342"/>
        <v>0</v>
      </c>
      <c r="N2369" s="4">
        <f t="shared" si="342"/>
        <v>0</v>
      </c>
      <c r="O2369" s="4">
        <f t="shared" si="343"/>
        <v>0</v>
      </c>
      <c r="P2369" s="4">
        <f t="shared" si="344"/>
        <v>0</v>
      </c>
      <c r="Q2369" s="4">
        <f t="shared" si="345"/>
        <v>0</v>
      </c>
      <c r="R2369" s="4">
        <f t="shared" si="346"/>
        <v>0</v>
      </c>
      <c r="S2369" s="4">
        <f>IF(AND(VLOOKUP(G2369,Dados!$D:$L,2,0)=VLOOKUP(I2369,Dados!$S:$V,2,0),VLOOKUP(G2369,Dados!$D:$L,3,0)=VLOOKUP(I2369,Dados!$S:$V,3,0)),0,1)</f>
        <v>0</v>
      </c>
      <c r="T2369" s="4">
        <f>IF(AND(VLOOKUP(G2369,Dados!$D:$L,3,0)&lt;=VLOOKUP(H2369,Dados!$X:$AB,2,0),VLOOKUP(G2369,Dados!$D:$L,4,0)&gt;=VLOOKUP(H2369,Dados!$X:$AB,3,0),VLOOKUP(G2369,Dados!$D:$L,4,0)&lt;=VLOOKUP(H2369,Dados!$X:$AB,4,0)),0,1)</f>
        <v>0</v>
      </c>
      <c r="U2369" s="4">
        <f>IF(COUNTIFS(F:F,F2369,H:H,H2369)&lt;=VLOOKUP(H2369,Dados!$X:$AB,5,0),0,1)</f>
        <v>0</v>
      </c>
    </row>
    <row r="2370" spans="6:21">
      <c r="F2370" s="4">
        <v>1038</v>
      </c>
      <c r="G2370" s="4">
        <v>64</v>
      </c>
      <c r="H2370" s="4">
        <v>3</v>
      </c>
      <c r="I2370" s="4">
        <v>29</v>
      </c>
      <c r="J2370" s="4">
        <v>1</v>
      </c>
      <c r="K2370" s="4">
        <f t="shared" si="342"/>
        <v>0</v>
      </c>
      <c r="L2370" s="4">
        <f t="shared" si="342"/>
        <v>0</v>
      </c>
      <c r="M2370" s="4">
        <f t="shared" si="342"/>
        <v>0</v>
      </c>
      <c r="N2370" s="4">
        <f t="shared" si="342"/>
        <v>0</v>
      </c>
      <c r="O2370" s="4">
        <f t="shared" si="343"/>
        <v>0</v>
      </c>
      <c r="P2370" s="4">
        <f t="shared" si="344"/>
        <v>0</v>
      </c>
      <c r="Q2370" s="4">
        <f t="shared" si="345"/>
        <v>0</v>
      </c>
      <c r="R2370" s="4">
        <f t="shared" si="346"/>
        <v>0</v>
      </c>
      <c r="S2370" s="4">
        <f>IF(AND(VLOOKUP(G2370,Dados!$D:$L,2,0)=VLOOKUP(I2370,Dados!$S:$V,2,0),VLOOKUP(G2370,Dados!$D:$L,3,0)=VLOOKUP(I2370,Dados!$S:$V,3,0)),0,1)</f>
        <v>0</v>
      </c>
      <c r="T2370" s="4">
        <f>IF(AND(VLOOKUP(G2370,Dados!$D:$L,3,0)&lt;=VLOOKUP(H2370,Dados!$X:$AB,2,0),VLOOKUP(G2370,Dados!$D:$L,4,0)&gt;=VLOOKUP(H2370,Dados!$X:$AB,3,0),VLOOKUP(G2370,Dados!$D:$L,4,0)&lt;=VLOOKUP(H2370,Dados!$X:$AB,4,0)),0,1)</f>
        <v>0</v>
      </c>
      <c r="U2370" s="4">
        <f>IF(COUNTIFS(F:F,F2370,H:H,H2370)&lt;=VLOOKUP(H2370,Dados!$X:$AB,5,0),0,1)</f>
        <v>0</v>
      </c>
    </row>
    <row r="2371" spans="6:21">
      <c r="F2371" s="4">
        <v>1038</v>
      </c>
      <c r="G2371" s="4">
        <v>65</v>
      </c>
      <c r="H2371" s="4">
        <v>3</v>
      </c>
      <c r="I2371" s="4">
        <v>29</v>
      </c>
      <c r="J2371" s="4">
        <v>1</v>
      </c>
      <c r="K2371" s="4">
        <f t="shared" si="342"/>
        <v>0</v>
      </c>
      <c r="L2371" s="4">
        <f t="shared" si="342"/>
        <v>0</v>
      </c>
      <c r="M2371" s="4">
        <f t="shared" si="342"/>
        <v>0</v>
      </c>
      <c r="N2371" s="4">
        <f t="shared" si="342"/>
        <v>0</v>
      </c>
      <c r="O2371" s="4">
        <f t="shared" si="343"/>
        <v>0</v>
      </c>
      <c r="P2371" s="4">
        <f t="shared" si="344"/>
        <v>0</v>
      </c>
      <c r="Q2371" s="4">
        <f t="shared" si="345"/>
        <v>0</v>
      </c>
      <c r="R2371" s="4">
        <f t="shared" si="346"/>
        <v>0</v>
      </c>
      <c r="S2371" s="4">
        <f>IF(AND(VLOOKUP(G2371,Dados!$D:$L,2,0)=VLOOKUP(I2371,Dados!$S:$V,2,0),VLOOKUP(G2371,Dados!$D:$L,3,0)=VLOOKUP(I2371,Dados!$S:$V,3,0)),0,1)</f>
        <v>0</v>
      </c>
      <c r="T2371" s="4">
        <f>IF(AND(VLOOKUP(G2371,Dados!$D:$L,3,0)&lt;=VLOOKUP(H2371,Dados!$X:$AB,2,0),VLOOKUP(G2371,Dados!$D:$L,4,0)&gt;=VLOOKUP(H2371,Dados!$X:$AB,3,0),VLOOKUP(G2371,Dados!$D:$L,4,0)&lt;=VLOOKUP(H2371,Dados!$X:$AB,4,0)),0,1)</f>
        <v>0</v>
      </c>
      <c r="U2371" s="4">
        <f>IF(COUNTIFS(F:F,F2371,H:H,H2371)&lt;=VLOOKUP(H2371,Dados!$X:$AB,5,0),0,1)</f>
        <v>0</v>
      </c>
    </row>
    <row r="2372" spans="6:21">
      <c r="F2372" s="4">
        <v>1039</v>
      </c>
      <c r="G2372" s="4">
        <v>32</v>
      </c>
      <c r="H2372" s="4">
        <v>1</v>
      </c>
      <c r="I2372" s="4">
        <v>16</v>
      </c>
      <c r="J2372" s="4">
        <v>4</v>
      </c>
      <c r="K2372" s="4">
        <f t="shared" si="342"/>
        <v>0</v>
      </c>
      <c r="L2372" s="4">
        <f t="shared" si="342"/>
        <v>4</v>
      </c>
      <c r="M2372" s="4">
        <f t="shared" si="342"/>
        <v>0</v>
      </c>
      <c r="N2372" s="4">
        <f t="shared" si="342"/>
        <v>0</v>
      </c>
      <c r="O2372" s="4">
        <f t="shared" si="343"/>
        <v>0</v>
      </c>
      <c r="P2372" s="4">
        <f t="shared" si="344"/>
        <v>16</v>
      </c>
      <c r="Q2372" s="4">
        <f t="shared" si="345"/>
        <v>0</v>
      </c>
      <c r="R2372" s="4">
        <f t="shared" si="346"/>
        <v>0</v>
      </c>
      <c r="S2372" s="4">
        <f>IF(AND(VLOOKUP(G2372,Dados!$D:$L,2,0)=VLOOKUP(I2372,Dados!$S:$V,2,0),VLOOKUP(G2372,Dados!$D:$L,3,0)=VLOOKUP(I2372,Dados!$S:$V,3,0)),0,1)</f>
        <v>0</v>
      </c>
      <c r="T2372" s="4">
        <f>IF(AND(VLOOKUP(G2372,Dados!$D:$L,3,0)&lt;=VLOOKUP(H2372,Dados!$X:$AB,2,0),VLOOKUP(G2372,Dados!$D:$L,4,0)&gt;=VLOOKUP(H2372,Dados!$X:$AB,3,0),VLOOKUP(G2372,Dados!$D:$L,4,0)&lt;=VLOOKUP(H2372,Dados!$X:$AB,4,0)),0,1)</f>
        <v>0</v>
      </c>
      <c r="U2372" s="4">
        <f>IF(COUNTIFS(F:F,F2372,H:H,H2372)&lt;=VLOOKUP(H2372,Dados!$X:$AB,5,0),0,1)</f>
        <v>0</v>
      </c>
    </row>
    <row r="2373" spans="6:21">
      <c r="F2373" s="4">
        <v>1039</v>
      </c>
      <c r="G2373" s="4">
        <v>33</v>
      </c>
      <c r="H2373" s="4">
        <v>1</v>
      </c>
      <c r="I2373" s="4">
        <v>16</v>
      </c>
      <c r="J2373" s="4">
        <v>1</v>
      </c>
      <c r="K2373" s="4">
        <f t="shared" si="342"/>
        <v>0</v>
      </c>
      <c r="L2373" s="4">
        <f t="shared" si="342"/>
        <v>4</v>
      </c>
      <c r="M2373" s="4">
        <f t="shared" si="342"/>
        <v>0</v>
      </c>
      <c r="N2373" s="4">
        <f t="shared" si="342"/>
        <v>0</v>
      </c>
      <c r="O2373" s="4">
        <f t="shared" si="343"/>
        <v>0</v>
      </c>
      <c r="P2373" s="4">
        <f t="shared" si="344"/>
        <v>4</v>
      </c>
      <c r="Q2373" s="4">
        <f t="shared" si="345"/>
        <v>0</v>
      </c>
      <c r="R2373" s="4">
        <f t="shared" si="346"/>
        <v>0</v>
      </c>
      <c r="S2373" s="4">
        <f>IF(AND(VLOOKUP(G2373,Dados!$D:$L,2,0)=VLOOKUP(I2373,Dados!$S:$V,2,0),VLOOKUP(G2373,Dados!$D:$L,3,0)=VLOOKUP(I2373,Dados!$S:$V,3,0)),0,1)</f>
        <v>0</v>
      </c>
      <c r="T2373" s="4">
        <f>IF(AND(VLOOKUP(G2373,Dados!$D:$L,3,0)&lt;=VLOOKUP(H2373,Dados!$X:$AB,2,0),VLOOKUP(G2373,Dados!$D:$L,4,0)&gt;=VLOOKUP(H2373,Dados!$X:$AB,3,0),VLOOKUP(G2373,Dados!$D:$L,4,0)&lt;=VLOOKUP(H2373,Dados!$X:$AB,4,0)),0,1)</f>
        <v>0</v>
      </c>
      <c r="U2373" s="4">
        <f>IF(COUNTIFS(F:F,F2373,H:H,H2373)&lt;=VLOOKUP(H2373,Dados!$X:$AB,5,0),0,1)</f>
        <v>0</v>
      </c>
    </row>
    <row r="2374" spans="6:21">
      <c r="F2374" s="4">
        <v>1039</v>
      </c>
      <c r="G2374" s="4">
        <v>34</v>
      </c>
      <c r="H2374" s="4">
        <v>1</v>
      </c>
      <c r="I2374" s="4">
        <v>16</v>
      </c>
      <c r="J2374" s="4">
        <v>1</v>
      </c>
      <c r="K2374" s="4">
        <f t="shared" si="342"/>
        <v>0</v>
      </c>
      <c r="L2374" s="4">
        <f t="shared" si="342"/>
        <v>4</v>
      </c>
      <c r="M2374" s="4">
        <f t="shared" si="342"/>
        <v>0</v>
      </c>
      <c r="N2374" s="4">
        <f t="shared" si="342"/>
        <v>0</v>
      </c>
      <c r="O2374" s="4">
        <f t="shared" si="343"/>
        <v>0</v>
      </c>
      <c r="P2374" s="4">
        <f t="shared" si="344"/>
        <v>4</v>
      </c>
      <c r="Q2374" s="4">
        <f t="shared" si="345"/>
        <v>0</v>
      </c>
      <c r="R2374" s="4">
        <f t="shared" si="346"/>
        <v>0</v>
      </c>
      <c r="S2374" s="4">
        <f>IF(AND(VLOOKUP(G2374,Dados!$D:$L,2,0)=VLOOKUP(I2374,Dados!$S:$V,2,0),VLOOKUP(G2374,Dados!$D:$L,3,0)=VLOOKUP(I2374,Dados!$S:$V,3,0)),0,1)</f>
        <v>0</v>
      </c>
      <c r="T2374" s="4">
        <f>IF(AND(VLOOKUP(G2374,Dados!$D:$L,3,0)&lt;=VLOOKUP(H2374,Dados!$X:$AB,2,0),VLOOKUP(G2374,Dados!$D:$L,4,0)&gt;=VLOOKUP(H2374,Dados!$X:$AB,3,0),VLOOKUP(G2374,Dados!$D:$L,4,0)&lt;=VLOOKUP(H2374,Dados!$X:$AB,4,0)),0,1)</f>
        <v>0</v>
      </c>
      <c r="U2374" s="4">
        <f>IF(COUNTIFS(F:F,F2374,H:H,H2374)&lt;=VLOOKUP(H2374,Dados!$X:$AB,5,0),0,1)</f>
        <v>0</v>
      </c>
    </row>
    <row r="2375" spans="6:21">
      <c r="F2375" s="4">
        <v>1040</v>
      </c>
      <c r="G2375" s="4">
        <v>32</v>
      </c>
      <c r="H2375" s="4">
        <v>2</v>
      </c>
      <c r="I2375" s="4">
        <v>16</v>
      </c>
      <c r="J2375" s="4">
        <v>4</v>
      </c>
      <c r="K2375" s="4">
        <f t="shared" si="342"/>
        <v>0</v>
      </c>
      <c r="L2375" s="4">
        <f t="shared" si="342"/>
        <v>0</v>
      </c>
      <c r="M2375" s="4">
        <f t="shared" si="342"/>
        <v>0</v>
      </c>
      <c r="N2375" s="4">
        <f t="shared" si="342"/>
        <v>0</v>
      </c>
      <c r="O2375" s="4">
        <f t="shared" si="343"/>
        <v>0</v>
      </c>
      <c r="P2375" s="4">
        <f t="shared" si="344"/>
        <v>0</v>
      </c>
      <c r="Q2375" s="4">
        <f t="shared" si="345"/>
        <v>0</v>
      </c>
      <c r="R2375" s="4">
        <f t="shared" si="346"/>
        <v>0</v>
      </c>
      <c r="S2375" s="4">
        <f>IF(AND(VLOOKUP(G2375,Dados!$D:$L,2,0)=VLOOKUP(I2375,Dados!$S:$V,2,0),VLOOKUP(G2375,Dados!$D:$L,3,0)=VLOOKUP(I2375,Dados!$S:$V,3,0)),0,1)</f>
        <v>0</v>
      </c>
      <c r="T2375" s="4">
        <f>IF(AND(VLOOKUP(G2375,Dados!$D:$L,3,0)&lt;=VLOOKUP(H2375,Dados!$X:$AB,2,0),VLOOKUP(G2375,Dados!$D:$L,4,0)&gt;=VLOOKUP(H2375,Dados!$X:$AB,3,0),VLOOKUP(G2375,Dados!$D:$L,4,0)&lt;=VLOOKUP(H2375,Dados!$X:$AB,4,0)),0,1)</f>
        <v>0</v>
      </c>
      <c r="U2375" s="4">
        <f>IF(COUNTIFS(F:F,F2375,H:H,H2375)&lt;=VLOOKUP(H2375,Dados!$X:$AB,5,0),0,1)</f>
        <v>0</v>
      </c>
    </row>
    <row r="2376" spans="6:21">
      <c r="F2376" s="4">
        <v>1040</v>
      </c>
      <c r="G2376" s="4">
        <v>33</v>
      </c>
      <c r="H2376" s="4">
        <v>2</v>
      </c>
      <c r="I2376" s="4">
        <v>16</v>
      </c>
      <c r="J2376" s="4">
        <v>1</v>
      </c>
      <c r="K2376" s="4">
        <f t="shared" si="342"/>
        <v>0</v>
      </c>
      <c r="L2376" s="4">
        <f t="shared" si="342"/>
        <v>0</v>
      </c>
      <c r="M2376" s="4">
        <f t="shared" si="342"/>
        <v>0</v>
      </c>
      <c r="N2376" s="4">
        <f t="shared" si="342"/>
        <v>0</v>
      </c>
      <c r="O2376" s="4">
        <f t="shared" si="343"/>
        <v>0</v>
      </c>
      <c r="P2376" s="4">
        <f t="shared" si="344"/>
        <v>0</v>
      </c>
      <c r="Q2376" s="4">
        <f t="shared" si="345"/>
        <v>0</v>
      </c>
      <c r="R2376" s="4">
        <f t="shared" si="346"/>
        <v>0</v>
      </c>
      <c r="S2376" s="4">
        <f>IF(AND(VLOOKUP(G2376,Dados!$D:$L,2,0)=VLOOKUP(I2376,Dados!$S:$V,2,0),VLOOKUP(G2376,Dados!$D:$L,3,0)=VLOOKUP(I2376,Dados!$S:$V,3,0)),0,1)</f>
        <v>0</v>
      </c>
      <c r="T2376" s="4">
        <f>IF(AND(VLOOKUP(G2376,Dados!$D:$L,3,0)&lt;=VLOOKUP(H2376,Dados!$X:$AB,2,0),VLOOKUP(G2376,Dados!$D:$L,4,0)&gt;=VLOOKUP(H2376,Dados!$X:$AB,3,0),VLOOKUP(G2376,Dados!$D:$L,4,0)&lt;=VLOOKUP(H2376,Dados!$X:$AB,4,0)),0,1)</f>
        <v>0</v>
      </c>
      <c r="U2376" s="4">
        <f>IF(COUNTIFS(F:F,F2376,H:H,H2376)&lt;=VLOOKUP(H2376,Dados!$X:$AB,5,0),0,1)</f>
        <v>0</v>
      </c>
    </row>
    <row r="2377" spans="6:21">
      <c r="F2377" s="4">
        <v>1040</v>
      </c>
      <c r="G2377" s="4">
        <v>34</v>
      </c>
      <c r="H2377" s="4">
        <v>2</v>
      </c>
      <c r="I2377" s="4">
        <v>16</v>
      </c>
      <c r="J2377" s="4">
        <v>1</v>
      </c>
      <c r="K2377" s="4">
        <f t="shared" si="342"/>
        <v>0</v>
      </c>
      <c r="L2377" s="4">
        <f t="shared" si="342"/>
        <v>0</v>
      </c>
      <c r="M2377" s="4">
        <f t="shared" si="342"/>
        <v>0</v>
      </c>
      <c r="N2377" s="4">
        <f t="shared" si="342"/>
        <v>0</v>
      </c>
      <c r="O2377" s="4">
        <f t="shared" si="343"/>
        <v>0</v>
      </c>
      <c r="P2377" s="4">
        <f t="shared" si="344"/>
        <v>0</v>
      </c>
      <c r="Q2377" s="4">
        <f t="shared" si="345"/>
        <v>0</v>
      </c>
      <c r="R2377" s="4">
        <f t="shared" si="346"/>
        <v>0</v>
      </c>
      <c r="S2377" s="4">
        <f>IF(AND(VLOOKUP(G2377,Dados!$D:$L,2,0)=VLOOKUP(I2377,Dados!$S:$V,2,0),VLOOKUP(G2377,Dados!$D:$L,3,0)=VLOOKUP(I2377,Dados!$S:$V,3,0)),0,1)</f>
        <v>0</v>
      </c>
      <c r="T2377" s="4">
        <f>IF(AND(VLOOKUP(G2377,Dados!$D:$L,3,0)&lt;=VLOOKUP(H2377,Dados!$X:$AB,2,0),VLOOKUP(G2377,Dados!$D:$L,4,0)&gt;=VLOOKUP(H2377,Dados!$X:$AB,3,0),VLOOKUP(G2377,Dados!$D:$L,4,0)&lt;=VLOOKUP(H2377,Dados!$X:$AB,4,0)),0,1)</f>
        <v>0</v>
      </c>
      <c r="U2377" s="4">
        <f>IF(COUNTIFS(F:F,F2377,H:H,H2377)&lt;=VLOOKUP(H2377,Dados!$X:$AB,5,0),0,1)</f>
        <v>0</v>
      </c>
    </row>
    <row r="2378" spans="6:21">
      <c r="F2378" s="4">
        <v>1041</v>
      </c>
      <c r="G2378" s="4">
        <v>32</v>
      </c>
      <c r="H2378" s="4">
        <v>3</v>
      </c>
      <c r="I2378" s="4">
        <v>16</v>
      </c>
      <c r="J2378" s="4">
        <v>4</v>
      </c>
      <c r="K2378" s="4">
        <f t="shared" si="342"/>
        <v>0</v>
      </c>
      <c r="L2378" s="4">
        <f t="shared" si="342"/>
        <v>0</v>
      </c>
      <c r="M2378" s="4">
        <f t="shared" si="342"/>
        <v>0</v>
      </c>
      <c r="N2378" s="4">
        <f t="shared" si="342"/>
        <v>0</v>
      </c>
      <c r="O2378" s="4">
        <f t="shared" si="343"/>
        <v>0</v>
      </c>
      <c r="P2378" s="4">
        <f t="shared" si="344"/>
        <v>0</v>
      </c>
      <c r="Q2378" s="4">
        <f t="shared" si="345"/>
        <v>0</v>
      </c>
      <c r="R2378" s="4">
        <f t="shared" si="346"/>
        <v>0</v>
      </c>
      <c r="S2378" s="4">
        <f>IF(AND(VLOOKUP(G2378,Dados!$D:$L,2,0)=VLOOKUP(I2378,Dados!$S:$V,2,0),VLOOKUP(G2378,Dados!$D:$L,3,0)=VLOOKUP(I2378,Dados!$S:$V,3,0)),0,1)</f>
        <v>0</v>
      </c>
      <c r="T2378" s="4">
        <f>IF(AND(VLOOKUP(G2378,Dados!$D:$L,3,0)&lt;=VLOOKUP(H2378,Dados!$X:$AB,2,0),VLOOKUP(G2378,Dados!$D:$L,4,0)&gt;=VLOOKUP(H2378,Dados!$X:$AB,3,0),VLOOKUP(G2378,Dados!$D:$L,4,0)&lt;=VLOOKUP(H2378,Dados!$X:$AB,4,0)),0,1)</f>
        <v>0</v>
      </c>
      <c r="U2378" s="4">
        <f>IF(COUNTIFS(F:F,F2378,H:H,H2378)&lt;=VLOOKUP(H2378,Dados!$X:$AB,5,0),0,1)</f>
        <v>0</v>
      </c>
    </row>
    <row r="2379" spans="6:21">
      <c r="F2379" s="4">
        <v>1041</v>
      </c>
      <c r="G2379" s="4">
        <v>33</v>
      </c>
      <c r="H2379" s="4">
        <v>3</v>
      </c>
      <c r="I2379" s="4">
        <v>16</v>
      </c>
      <c r="J2379" s="4">
        <v>1</v>
      </c>
      <c r="K2379" s="4">
        <f t="shared" si="342"/>
        <v>0</v>
      </c>
      <c r="L2379" s="4">
        <f t="shared" si="342"/>
        <v>0</v>
      </c>
      <c r="M2379" s="4">
        <f t="shared" si="342"/>
        <v>0</v>
      </c>
      <c r="N2379" s="4">
        <f t="shared" si="342"/>
        <v>0</v>
      </c>
      <c r="O2379" s="4">
        <f t="shared" si="343"/>
        <v>0</v>
      </c>
      <c r="P2379" s="4">
        <f t="shared" si="344"/>
        <v>0</v>
      </c>
      <c r="Q2379" s="4">
        <f t="shared" si="345"/>
        <v>0</v>
      </c>
      <c r="R2379" s="4">
        <f t="shared" si="346"/>
        <v>0</v>
      </c>
      <c r="S2379" s="4">
        <f>IF(AND(VLOOKUP(G2379,Dados!$D:$L,2,0)=VLOOKUP(I2379,Dados!$S:$V,2,0),VLOOKUP(G2379,Dados!$D:$L,3,0)=VLOOKUP(I2379,Dados!$S:$V,3,0)),0,1)</f>
        <v>0</v>
      </c>
      <c r="T2379" s="4">
        <f>IF(AND(VLOOKUP(G2379,Dados!$D:$L,3,0)&lt;=VLOOKUP(H2379,Dados!$X:$AB,2,0),VLOOKUP(G2379,Dados!$D:$L,4,0)&gt;=VLOOKUP(H2379,Dados!$X:$AB,3,0),VLOOKUP(G2379,Dados!$D:$L,4,0)&lt;=VLOOKUP(H2379,Dados!$X:$AB,4,0)),0,1)</f>
        <v>0</v>
      </c>
      <c r="U2379" s="4">
        <f>IF(COUNTIFS(F:F,F2379,H:H,H2379)&lt;=VLOOKUP(H2379,Dados!$X:$AB,5,0),0,1)</f>
        <v>0</v>
      </c>
    </row>
    <row r="2380" spans="6:21">
      <c r="F2380" s="4">
        <v>1041</v>
      </c>
      <c r="G2380" s="4">
        <v>34</v>
      </c>
      <c r="H2380" s="4">
        <v>3</v>
      </c>
      <c r="I2380" s="4">
        <v>16</v>
      </c>
      <c r="J2380" s="4">
        <v>1</v>
      </c>
      <c r="K2380" s="4">
        <f t="shared" si="342"/>
        <v>0</v>
      </c>
      <c r="L2380" s="4">
        <f t="shared" si="342"/>
        <v>0</v>
      </c>
      <c r="M2380" s="4">
        <f t="shared" si="342"/>
        <v>0</v>
      </c>
      <c r="N2380" s="4">
        <f t="shared" si="342"/>
        <v>0</v>
      </c>
      <c r="O2380" s="4">
        <f t="shared" si="343"/>
        <v>0</v>
      </c>
      <c r="P2380" s="4">
        <f t="shared" si="344"/>
        <v>0</v>
      </c>
      <c r="Q2380" s="4">
        <f t="shared" si="345"/>
        <v>0</v>
      </c>
      <c r="R2380" s="4">
        <f t="shared" si="346"/>
        <v>0</v>
      </c>
      <c r="S2380" s="4">
        <f>IF(AND(VLOOKUP(G2380,Dados!$D:$L,2,0)=VLOOKUP(I2380,Dados!$S:$V,2,0),VLOOKUP(G2380,Dados!$D:$L,3,0)=VLOOKUP(I2380,Dados!$S:$V,3,0)),0,1)</f>
        <v>0</v>
      </c>
      <c r="T2380" s="4">
        <f>IF(AND(VLOOKUP(G2380,Dados!$D:$L,3,0)&lt;=VLOOKUP(H2380,Dados!$X:$AB,2,0),VLOOKUP(G2380,Dados!$D:$L,4,0)&gt;=VLOOKUP(H2380,Dados!$X:$AB,3,0),VLOOKUP(G2380,Dados!$D:$L,4,0)&lt;=VLOOKUP(H2380,Dados!$X:$AB,4,0)),0,1)</f>
        <v>0</v>
      </c>
      <c r="U2380" s="4">
        <f>IF(COUNTIFS(F:F,F2380,H:H,H2380)&lt;=VLOOKUP(H2380,Dados!$X:$AB,5,0),0,1)</f>
        <v>0</v>
      </c>
    </row>
    <row r="2381" spans="6:21">
      <c r="F2381" s="4">
        <v>1042</v>
      </c>
      <c r="G2381" s="4">
        <v>60</v>
      </c>
      <c r="H2381" s="4">
        <v>1</v>
      </c>
      <c r="I2381" s="4">
        <v>25</v>
      </c>
      <c r="J2381" s="4">
        <v>3</v>
      </c>
      <c r="K2381" s="4">
        <f t="shared" si="342"/>
        <v>0</v>
      </c>
      <c r="L2381" s="4">
        <f t="shared" si="342"/>
        <v>0</v>
      </c>
      <c r="M2381" s="4">
        <f t="shared" si="342"/>
        <v>0</v>
      </c>
      <c r="N2381" s="4">
        <f t="shared" si="342"/>
        <v>0</v>
      </c>
      <c r="O2381" s="4">
        <f t="shared" si="343"/>
        <v>0</v>
      </c>
      <c r="P2381" s="4">
        <f t="shared" si="344"/>
        <v>0</v>
      </c>
      <c r="Q2381" s="4">
        <f t="shared" si="345"/>
        <v>0</v>
      </c>
      <c r="R2381" s="4">
        <f t="shared" si="346"/>
        <v>0</v>
      </c>
      <c r="S2381" s="4">
        <f>IF(AND(VLOOKUP(G2381,Dados!$D:$L,2,0)=VLOOKUP(I2381,Dados!$S:$V,2,0),VLOOKUP(G2381,Dados!$D:$L,3,0)=VLOOKUP(I2381,Dados!$S:$V,3,0)),0,1)</f>
        <v>0</v>
      </c>
      <c r="T2381" s="4">
        <f>IF(AND(VLOOKUP(G2381,Dados!$D:$L,3,0)&lt;=VLOOKUP(H2381,Dados!$X:$AB,2,0),VLOOKUP(G2381,Dados!$D:$L,4,0)&gt;=VLOOKUP(H2381,Dados!$X:$AB,3,0),VLOOKUP(G2381,Dados!$D:$L,4,0)&lt;=VLOOKUP(H2381,Dados!$X:$AB,4,0)),0,1)</f>
        <v>0</v>
      </c>
      <c r="U2381" s="4">
        <f>IF(COUNTIFS(F:F,F2381,H:H,H2381)&lt;=VLOOKUP(H2381,Dados!$X:$AB,5,0),0,1)</f>
        <v>0</v>
      </c>
    </row>
    <row r="2382" spans="6:21">
      <c r="F2382" s="4">
        <v>1042</v>
      </c>
      <c r="G2382" s="4">
        <v>64</v>
      </c>
      <c r="H2382" s="4">
        <v>1</v>
      </c>
      <c r="I2382" s="4">
        <v>25</v>
      </c>
      <c r="J2382" s="4">
        <v>1</v>
      </c>
      <c r="K2382" s="4">
        <f t="shared" si="342"/>
        <v>0</v>
      </c>
      <c r="L2382" s="4">
        <f t="shared" si="342"/>
        <v>0</v>
      </c>
      <c r="M2382" s="4">
        <f t="shared" si="342"/>
        <v>0</v>
      </c>
      <c r="N2382" s="4">
        <f t="shared" si="342"/>
        <v>0</v>
      </c>
      <c r="O2382" s="4">
        <f t="shared" si="343"/>
        <v>0</v>
      </c>
      <c r="P2382" s="4">
        <f t="shared" si="344"/>
        <v>0</v>
      </c>
      <c r="Q2382" s="4">
        <f t="shared" si="345"/>
        <v>0</v>
      </c>
      <c r="R2382" s="4">
        <f t="shared" si="346"/>
        <v>0</v>
      </c>
      <c r="S2382" s="4">
        <f>IF(AND(VLOOKUP(G2382,Dados!$D:$L,2,0)=VLOOKUP(I2382,Dados!$S:$V,2,0),VLOOKUP(G2382,Dados!$D:$L,3,0)=VLOOKUP(I2382,Dados!$S:$V,3,0)),0,1)</f>
        <v>0</v>
      </c>
      <c r="T2382" s="4">
        <f>IF(AND(VLOOKUP(G2382,Dados!$D:$L,3,0)&lt;=VLOOKUP(H2382,Dados!$X:$AB,2,0),VLOOKUP(G2382,Dados!$D:$L,4,0)&gt;=VLOOKUP(H2382,Dados!$X:$AB,3,0),VLOOKUP(G2382,Dados!$D:$L,4,0)&lt;=VLOOKUP(H2382,Dados!$X:$AB,4,0)),0,1)</f>
        <v>0</v>
      </c>
      <c r="U2382" s="4">
        <f>IF(COUNTIFS(F:F,F2382,H:H,H2382)&lt;=VLOOKUP(H2382,Dados!$X:$AB,5,0),0,1)</f>
        <v>0</v>
      </c>
    </row>
    <row r="2383" spans="6:21">
      <c r="F2383" s="4">
        <v>1042</v>
      </c>
      <c r="G2383" s="4">
        <v>67</v>
      </c>
      <c r="H2383" s="4">
        <v>1</v>
      </c>
      <c r="I2383" s="4">
        <v>25</v>
      </c>
      <c r="J2383" s="4">
        <v>4</v>
      </c>
      <c r="K2383" s="4">
        <f t="shared" si="342"/>
        <v>0</v>
      </c>
      <c r="L2383" s="4">
        <f t="shared" si="342"/>
        <v>0</v>
      </c>
      <c r="M2383" s="4">
        <f t="shared" si="342"/>
        <v>0</v>
      </c>
      <c r="N2383" s="4">
        <f t="shared" si="342"/>
        <v>0</v>
      </c>
      <c r="O2383" s="4">
        <f t="shared" si="343"/>
        <v>0</v>
      </c>
      <c r="P2383" s="4">
        <f t="shared" si="344"/>
        <v>0</v>
      </c>
      <c r="Q2383" s="4">
        <f t="shared" si="345"/>
        <v>0</v>
      </c>
      <c r="R2383" s="4">
        <f t="shared" si="346"/>
        <v>0</v>
      </c>
      <c r="S2383" s="4">
        <f>IF(AND(VLOOKUP(G2383,Dados!$D:$L,2,0)=VLOOKUP(I2383,Dados!$S:$V,2,0),VLOOKUP(G2383,Dados!$D:$L,3,0)=VLOOKUP(I2383,Dados!$S:$V,3,0)),0,1)</f>
        <v>0</v>
      </c>
      <c r="T2383" s="4">
        <f>IF(AND(VLOOKUP(G2383,Dados!$D:$L,3,0)&lt;=VLOOKUP(H2383,Dados!$X:$AB,2,0),VLOOKUP(G2383,Dados!$D:$L,4,0)&gt;=VLOOKUP(H2383,Dados!$X:$AB,3,0),VLOOKUP(G2383,Dados!$D:$L,4,0)&lt;=VLOOKUP(H2383,Dados!$X:$AB,4,0)),0,1)</f>
        <v>0</v>
      </c>
      <c r="U2383" s="4">
        <f>IF(COUNTIFS(F:F,F2383,H:H,H2383)&lt;=VLOOKUP(H2383,Dados!$X:$AB,5,0),0,1)</f>
        <v>0</v>
      </c>
    </row>
    <row r="2384" spans="6:21">
      <c r="F2384" s="4">
        <v>1043</v>
      </c>
      <c r="G2384" s="4">
        <v>60</v>
      </c>
      <c r="H2384" s="4">
        <v>2</v>
      </c>
      <c r="I2384" s="4">
        <v>25</v>
      </c>
      <c r="J2384" s="4">
        <v>3</v>
      </c>
      <c r="K2384" s="4">
        <f t="shared" si="342"/>
        <v>0</v>
      </c>
      <c r="L2384" s="4">
        <f t="shared" si="342"/>
        <v>0</v>
      </c>
      <c r="M2384" s="4">
        <f t="shared" si="342"/>
        <v>0</v>
      </c>
      <c r="N2384" s="4">
        <f t="shared" si="342"/>
        <v>0</v>
      </c>
      <c r="O2384" s="4">
        <f t="shared" si="343"/>
        <v>0</v>
      </c>
      <c r="P2384" s="4">
        <f t="shared" si="344"/>
        <v>0</v>
      </c>
      <c r="Q2384" s="4">
        <f t="shared" si="345"/>
        <v>0</v>
      </c>
      <c r="R2384" s="4">
        <f t="shared" si="346"/>
        <v>0</v>
      </c>
      <c r="S2384" s="4">
        <f>IF(AND(VLOOKUP(G2384,Dados!$D:$L,2,0)=VLOOKUP(I2384,Dados!$S:$V,2,0),VLOOKUP(G2384,Dados!$D:$L,3,0)=VLOOKUP(I2384,Dados!$S:$V,3,0)),0,1)</f>
        <v>0</v>
      </c>
      <c r="T2384" s="4">
        <f>IF(AND(VLOOKUP(G2384,Dados!$D:$L,3,0)&lt;=VLOOKUP(H2384,Dados!$X:$AB,2,0),VLOOKUP(G2384,Dados!$D:$L,4,0)&gt;=VLOOKUP(H2384,Dados!$X:$AB,3,0),VLOOKUP(G2384,Dados!$D:$L,4,0)&lt;=VLOOKUP(H2384,Dados!$X:$AB,4,0)),0,1)</f>
        <v>0</v>
      </c>
      <c r="U2384" s="4">
        <f>IF(COUNTIFS(F:F,F2384,H:H,H2384)&lt;=VLOOKUP(H2384,Dados!$X:$AB,5,0),0,1)</f>
        <v>0</v>
      </c>
    </row>
    <row r="2385" spans="6:21">
      <c r="F2385" s="4">
        <v>1043</v>
      </c>
      <c r="G2385" s="4">
        <v>64</v>
      </c>
      <c r="H2385" s="4">
        <v>2</v>
      </c>
      <c r="I2385" s="4">
        <v>25</v>
      </c>
      <c r="J2385" s="4">
        <v>1</v>
      </c>
      <c r="K2385" s="4">
        <f t="shared" si="342"/>
        <v>0</v>
      </c>
      <c r="L2385" s="4">
        <f t="shared" si="342"/>
        <v>0</v>
      </c>
      <c r="M2385" s="4">
        <f t="shared" si="342"/>
        <v>0</v>
      </c>
      <c r="N2385" s="4">
        <f t="shared" si="342"/>
        <v>0</v>
      </c>
      <c r="O2385" s="4">
        <f t="shared" si="343"/>
        <v>0</v>
      </c>
      <c r="P2385" s="4">
        <f t="shared" si="344"/>
        <v>0</v>
      </c>
      <c r="Q2385" s="4">
        <f t="shared" si="345"/>
        <v>0</v>
      </c>
      <c r="R2385" s="4">
        <f t="shared" si="346"/>
        <v>0</v>
      </c>
      <c r="S2385" s="4">
        <f>IF(AND(VLOOKUP(G2385,Dados!$D:$L,2,0)=VLOOKUP(I2385,Dados!$S:$V,2,0),VLOOKUP(G2385,Dados!$D:$L,3,0)=VLOOKUP(I2385,Dados!$S:$V,3,0)),0,1)</f>
        <v>0</v>
      </c>
      <c r="T2385" s="4">
        <f>IF(AND(VLOOKUP(G2385,Dados!$D:$L,3,0)&lt;=VLOOKUP(H2385,Dados!$X:$AB,2,0),VLOOKUP(G2385,Dados!$D:$L,4,0)&gt;=VLOOKUP(H2385,Dados!$X:$AB,3,0),VLOOKUP(G2385,Dados!$D:$L,4,0)&lt;=VLOOKUP(H2385,Dados!$X:$AB,4,0)),0,1)</f>
        <v>0</v>
      </c>
      <c r="U2385" s="4">
        <f>IF(COUNTIFS(F:F,F2385,H:H,H2385)&lt;=VLOOKUP(H2385,Dados!$X:$AB,5,0),0,1)</f>
        <v>0</v>
      </c>
    </row>
    <row r="2386" spans="6:21">
      <c r="F2386" s="4">
        <v>1043</v>
      </c>
      <c r="G2386" s="4">
        <v>67</v>
      </c>
      <c r="H2386" s="4">
        <v>2</v>
      </c>
      <c r="I2386" s="4">
        <v>25</v>
      </c>
      <c r="J2386" s="4">
        <v>4</v>
      </c>
      <c r="K2386" s="4">
        <f t="shared" si="342"/>
        <v>0</v>
      </c>
      <c r="L2386" s="4">
        <f t="shared" si="342"/>
        <v>0</v>
      </c>
      <c r="M2386" s="4">
        <f t="shared" si="342"/>
        <v>0</v>
      </c>
      <c r="N2386" s="4">
        <f t="shared" si="342"/>
        <v>0</v>
      </c>
      <c r="O2386" s="4">
        <f t="shared" si="343"/>
        <v>0</v>
      </c>
      <c r="P2386" s="4">
        <f t="shared" si="344"/>
        <v>0</v>
      </c>
      <c r="Q2386" s="4">
        <f t="shared" si="345"/>
        <v>0</v>
      </c>
      <c r="R2386" s="4">
        <f t="shared" si="346"/>
        <v>0</v>
      </c>
      <c r="S2386" s="4">
        <f>IF(AND(VLOOKUP(G2386,Dados!$D:$L,2,0)=VLOOKUP(I2386,Dados!$S:$V,2,0),VLOOKUP(G2386,Dados!$D:$L,3,0)=VLOOKUP(I2386,Dados!$S:$V,3,0)),0,1)</f>
        <v>0</v>
      </c>
      <c r="T2386" s="4">
        <f>IF(AND(VLOOKUP(G2386,Dados!$D:$L,3,0)&lt;=VLOOKUP(H2386,Dados!$X:$AB,2,0),VLOOKUP(G2386,Dados!$D:$L,4,0)&gt;=VLOOKUP(H2386,Dados!$X:$AB,3,0),VLOOKUP(G2386,Dados!$D:$L,4,0)&lt;=VLOOKUP(H2386,Dados!$X:$AB,4,0)),0,1)</f>
        <v>0</v>
      </c>
      <c r="U2386" s="4">
        <f>IF(COUNTIFS(F:F,F2386,H:H,H2386)&lt;=VLOOKUP(H2386,Dados!$X:$AB,5,0),0,1)</f>
        <v>0</v>
      </c>
    </row>
    <row r="2387" spans="6:21">
      <c r="F2387" s="4">
        <v>1044</v>
      </c>
      <c r="G2387" s="4">
        <v>60</v>
      </c>
      <c r="H2387" s="4">
        <v>3</v>
      </c>
      <c r="I2387" s="4">
        <v>25</v>
      </c>
      <c r="J2387" s="4">
        <v>3</v>
      </c>
      <c r="K2387" s="4">
        <f t="shared" si="342"/>
        <v>0</v>
      </c>
      <c r="L2387" s="4">
        <f t="shared" si="342"/>
        <v>0</v>
      </c>
      <c r="M2387" s="4">
        <f t="shared" si="342"/>
        <v>0</v>
      </c>
      <c r="N2387" s="4">
        <f t="shared" si="342"/>
        <v>0</v>
      </c>
      <c r="O2387" s="4">
        <f t="shared" si="343"/>
        <v>0</v>
      </c>
      <c r="P2387" s="4">
        <f t="shared" si="344"/>
        <v>0</v>
      </c>
      <c r="Q2387" s="4">
        <f t="shared" si="345"/>
        <v>0</v>
      </c>
      <c r="R2387" s="4">
        <f t="shared" si="346"/>
        <v>0</v>
      </c>
      <c r="S2387" s="4">
        <f>IF(AND(VLOOKUP(G2387,Dados!$D:$L,2,0)=VLOOKUP(I2387,Dados!$S:$V,2,0),VLOOKUP(G2387,Dados!$D:$L,3,0)=VLOOKUP(I2387,Dados!$S:$V,3,0)),0,1)</f>
        <v>0</v>
      </c>
      <c r="T2387" s="4">
        <f>IF(AND(VLOOKUP(G2387,Dados!$D:$L,3,0)&lt;=VLOOKUP(H2387,Dados!$X:$AB,2,0),VLOOKUP(G2387,Dados!$D:$L,4,0)&gt;=VLOOKUP(H2387,Dados!$X:$AB,3,0),VLOOKUP(G2387,Dados!$D:$L,4,0)&lt;=VLOOKUP(H2387,Dados!$X:$AB,4,0)),0,1)</f>
        <v>0</v>
      </c>
      <c r="U2387" s="4">
        <f>IF(COUNTIFS(F:F,F2387,H:H,H2387)&lt;=VLOOKUP(H2387,Dados!$X:$AB,5,0),0,1)</f>
        <v>0</v>
      </c>
    </row>
    <row r="2388" spans="6:21">
      <c r="F2388" s="4">
        <v>1044</v>
      </c>
      <c r="G2388" s="4">
        <v>64</v>
      </c>
      <c r="H2388" s="4">
        <v>3</v>
      </c>
      <c r="I2388" s="4">
        <v>25</v>
      </c>
      <c r="J2388" s="4">
        <v>1</v>
      </c>
      <c r="K2388" s="4">
        <f t="shared" si="342"/>
        <v>0</v>
      </c>
      <c r="L2388" s="4">
        <f t="shared" si="342"/>
        <v>0</v>
      </c>
      <c r="M2388" s="4">
        <f t="shared" si="342"/>
        <v>0</v>
      </c>
      <c r="N2388" s="4">
        <f t="shared" si="342"/>
        <v>0</v>
      </c>
      <c r="O2388" s="4">
        <f t="shared" si="343"/>
        <v>0</v>
      </c>
      <c r="P2388" s="4">
        <f t="shared" si="344"/>
        <v>0</v>
      </c>
      <c r="Q2388" s="4">
        <f t="shared" si="345"/>
        <v>0</v>
      </c>
      <c r="R2388" s="4">
        <f t="shared" si="346"/>
        <v>0</v>
      </c>
      <c r="S2388" s="4">
        <f>IF(AND(VLOOKUP(G2388,Dados!$D:$L,2,0)=VLOOKUP(I2388,Dados!$S:$V,2,0),VLOOKUP(G2388,Dados!$D:$L,3,0)=VLOOKUP(I2388,Dados!$S:$V,3,0)),0,1)</f>
        <v>0</v>
      </c>
      <c r="T2388" s="4">
        <f>IF(AND(VLOOKUP(G2388,Dados!$D:$L,3,0)&lt;=VLOOKUP(H2388,Dados!$X:$AB,2,0),VLOOKUP(G2388,Dados!$D:$L,4,0)&gt;=VLOOKUP(H2388,Dados!$X:$AB,3,0),VLOOKUP(G2388,Dados!$D:$L,4,0)&lt;=VLOOKUP(H2388,Dados!$X:$AB,4,0)),0,1)</f>
        <v>0</v>
      </c>
      <c r="U2388" s="4">
        <f>IF(COUNTIFS(F:F,F2388,H:H,H2388)&lt;=VLOOKUP(H2388,Dados!$X:$AB,5,0),0,1)</f>
        <v>0</v>
      </c>
    </row>
    <row r="2389" spans="6:21">
      <c r="F2389" s="4">
        <v>1044</v>
      </c>
      <c r="G2389" s="4">
        <v>67</v>
      </c>
      <c r="H2389" s="4">
        <v>3</v>
      </c>
      <c r="I2389" s="4">
        <v>25</v>
      </c>
      <c r="J2389" s="4">
        <v>4</v>
      </c>
      <c r="K2389" s="4">
        <f t="shared" si="342"/>
        <v>0</v>
      </c>
      <c r="L2389" s="4">
        <f t="shared" si="342"/>
        <v>0</v>
      </c>
      <c r="M2389" s="4">
        <f t="shared" si="342"/>
        <v>0</v>
      </c>
      <c r="N2389" s="4">
        <f t="shared" si="342"/>
        <v>0</v>
      </c>
      <c r="O2389" s="4">
        <f t="shared" si="343"/>
        <v>0</v>
      </c>
      <c r="P2389" s="4">
        <f t="shared" si="344"/>
        <v>0</v>
      </c>
      <c r="Q2389" s="4">
        <f t="shared" si="345"/>
        <v>0</v>
      </c>
      <c r="R2389" s="4">
        <f t="shared" si="346"/>
        <v>0</v>
      </c>
      <c r="S2389" s="4">
        <f>IF(AND(VLOOKUP(G2389,Dados!$D:$L,2,0)=VLOOKUP(I2389,Dados!$S:$V,2,0),VLOOKUP(G2389,Dados!$D:$L,3,0)=VLOOKUP(I2389,Dados!$S:$V,3,0)),0,1)</f>
        <v>0</v>
      </c>
      <c r="T2389" s="4">
        <f>IF(AND(VLOOKUP(G2389,Dados!$D:$L,3,0)&lt;=VLOOKUP(H2389,Dados!$X:$AB,2,0),VLOOKUP(G2389,Dados!$D:$L,4,0)&gt;=VLOOKUP(H2389,Dados!$X:$AB,3,0),VLOOKUP(G2389,Dados!$D:$L,4,0)&lt;=VLOOKUP(H2389,Dados!$X:$AB,4,0)),0,1)</f>
        <v>0</v>
      </c>
      <c r="U2389" s="4">
        <f>IF(COUNTIFS(F:F,F2389,H:H,H2389)&lt;=VLOOKUP(H2389,Dados!$X:$AB,5,0),0,1)</f>
        <v>0</v>
      </c>
    </row>
    <row r="2390" spans="6:21">
      <c r="F2390" s="4">
        <v>1045</v>
      </c>
      <c r="G2390" s="4">
        <v>30</v>
      </c>
      <c r="H2390" s="4">
        <v>1</v>
      </c>
      <c r="I2390" s="4">
        <v>16</v>
      </c>
      <c r="J2390" s="4">
        <v>3</v>
      </c>
      <c r="K2390" s="4">
        <f t="shared" si="342"/>
        <v>0</v>
      </c>
      <c r="L2390" s="4">
        <f t="shared" si="342"/>
        <v>0</v>
      </c>
      <c r="M2390" s="4">
        <f t="shared" si="342"/>
        <v>0</v>
      </c>
      <c r="N2390" s="4">
        <f t="shared" si="342"/>
        <v>0</v>
      </c>
      <c r="O2390" s="4">
        <f t="shared" si="343"/>
        <v>0</v>
      </c>
      <c r="P2390" s="4">
        <f t="shared" si="344"/>
        <v>0</v>
      </c>
      <c r="Q2390" s="4">
        <f t="shared" si="345"/>
        <v>0</v>
      </c>
      <c r="R2390" s="4">
        <f t="shared" si="346"/>
        <v>0</v>
      </c>
      <c r="S2390" s="4">
        <f>IF(AND(VLOOKUP(G2390,Dados!$D:$L,2,0)=VLOOKUP(I2390,Dados!$S:$V,2,0),VLOOKUP(G2390,Dados!$D:$L,3,0)=VLOOKUP(I2390,Dados!$S:$V,3,0)),0,1)</f>
        <v>0</v>
      </c>
      <c r="T2390" s="4">
        <f>IF(AND(VLOOKUP(G2390,Dados!$D:$L,3,0)&lt;=VLOOKUP(H2390,Dados!$X:$AB,2,0),VLOOKUP(G2390,Dados!$D:$L,4,0)&gt;=VLOOKUP(H2390,Dados!$X:$AB,3,0),VLOOKUP(G2390,Dados!$D:$L,4,0)&lt;=VLOOKUP(H2390,Dados!$X:$AB,4,0)),0,1)</f>
        <v>0</v>
      </c>
      <c r="U2390" s="4">
        <f>IF(COUNTIFS(F:F,F2390,H:H,H2390)&lt;=VLOOKUP(H2390,Dados!$X:$AB,5,0),0,1)</f>
        <v>0</v>
      </c>
    </row>
    <row r="2391" spans="6:21">
      <c r="F2391" s="4">
        <v>1045</v>
      </c>
      <c r="G2391" s="4">
        <v>35</v>
      </c>
      <c r="H2391" s="4">
        <v>1</v>
      </c>
      <c r="I2391" s="4">
        <v>16</v>
      </c>
      <c r="J2391" s="4">
        <v>1</v>
      </c>
      <c r="K2391" s="4">
        <f t="shared" si="342"/>
        <v>0</v>
      </c>
      <c r="L2391" s="4">
        <f t="shared" si="342"/>
        <v>0</v>
      </c>
      <c r="M2391" s="4">
        <f t="shared" si="342"/>
        <v>0</v>
      </c>
      <c r="N2391" s="4">
        <f t="shared" si="342"/>
        <v>0</v>
      </c>
      <c r="O2391" s="4">
        <f t="shared" si="343"/>
        <v>0</v>
      </c>
      <c r="P2391" s="4">
        <f t="shared" si="344"/>
        <v>0</v>
      </c>
      <c r="Q2391" s="4">
        <f t="shared" si="345"/>
        <v>0</v>
      </c>
      <c r="R2391" s="4">
        <f t="shared" si="346"/>
        <v>0</v>
      </c>
      <c r="S2391" s="4">
        <f>IF(AND(VLOOKUP(G2391,Dados!$D:$L,2,0)=VLOOKUP(I2391,Dados!$S:$V,2,0),VLOOKUP(G2391,Dados!$D:$L,3,0)=VLOOKUP(I2391,Dados!$S:$V,3,0)),0,1)</f>
        <v>0</v>
      </c>
      <c r="T2391" s="4">
        <f>IF(AND(VLOOKUP(G2391,Dados!$D:$L,3,0)&lt;=VLOOKUP(H2391,Dados!$X:$AB,2,0),VLOOKUP(G2391,Dados!$D:$L,4,0)&gt;=VLOOKUP(H2391,Dados!$X:$AB,3,0),VLOOKUP(G2391,Dados!$D:$L,4,0)&lt;=VLOOKUP(H2391,Dados!$X:$AB,4,0)),0,1)</f>
        <v>0</v>
      </c>
      <c r="U2391" s="4">
        <f>IF(COUNTIFS(F:F,F2391,H:H,H2391)&lt;=VLOOKUP(H2391,Dados!$X:$AB,5,0),0,1)</f>
        <v>0</v>
      </c>
    </row>
    <row r="2392" spans="6:21">
      <c r="F2392" s="4">
        <v>1045</v>
      </c>
      <c r="G2392" s="4">
        <v>36</v>
      </c>
      <c r="H2392" s="4">
        <v>1</v>
      </c>
      <c r="I2392" s="4">
        <v>16</v>
      </c>
      <c r="J2392" s="4">
        <v>3</v>
      </c>
      <c r="K2392" s="4">
        <f t="shared" si="342"/>
        <v>0</v>
      </c>
      <c r="L2392" s="4">
        <f t="shared" si="342"/>
        <v>0</v>
      </c>
      <c r="M2392" s="4">
        <f t="shared" si="342"/>
        <v>0</v>
      </c>
      <c r="N2392" s="4">
        <f t="shared" si="342"/>
        <v>0</v>
      </c>
      <c r="O2392" s="4">
        <f t="shared" si="343"/>
        <v>0</v>
      </c>
      <c r="P2392" s="4">
        <f t="shared" si="344"/>
        <v>0</v>
      </c>
      <c r="Q2392" s="4">
        <f t="shared" si="345"/>
        <v>0</v>
      </c>
      <c r="R2392" s="4">
        <f t="shared" si="346"/>
        <v>0</v>
      </c>
      <c r="S2392" s="4">
        <f>IF(AND(VLOOKUP(G2392,Dados!$D:$L,2,0)=VLOOKUP(I2392,Dados!$S:$V,2,0),VLOOKUP(G2392,Dados!$D:$L,3,0)=VLOOKUP(I2392,Dados!$S:$V,3,0)),0,1)</f>
        <v>0</v>
      </c>
      <c r="T2392" s="4">
        <f>IF(AND(VLOOKUP(G2392,Dados!$D:$L,3,0)&lt;=VLOOKUP(H2392,Dados!$X:$AB,2,0),VLOOKUP(G2392,Dados!$D:$L,4,0)&gt;=VLOOKUP(H2392,Dados!$X:$AB,3,0),VLOOKUP(G2392,Dados!$D:$L,4,0)&lt;=VLOOKUP(H2392,Dados!$X:$AB,4,0)),0,1)</f>
        <v>0</v>
      </c>
      <c r="U2392" s="4">
        <f>IF(COUNTIFS(F:F,F2392,H:H,H2392)&lt;=VLOOKUP(H2392,Dados!$X:$AB,5,0),0,1)</f>
        <v>0</v>
      </c>
    </row>
    <row r="2393" spans="6:21">
      <c r="F2393" s="4">
        <v>1046</v>
      </c>
      <c r="G2393" s="4">
        <v>30</v>
      </c>
      <c r="H2393" s="4">
        <v>2</v>
      </c>
      <c r="I2393" s="4">
        <v>16</v>
      </c>
      <c r="J2393" s="4">
        <v>3</v>
      </c>
      <c r="K2393" s="4">
        <f t="shared" si="342"/>
        <v>0</v>
      </c>
      <c r="L2393" s="4">
        <f t="shared" si="342"/>
        <v>0</v>
      </c>
      <c r="M2393" s="4">
        <f t="shared" si="342"/>
        <v>0</v>
      </c>
      <c r="N2393" s="4">
        <f t="shared" si="342"/>
        <v>0</v>
      </c>
      <c r="O2393" s="4">
        <f t="shared" si="343"/>
        <v>0</v>
      </c>
      <c r="P2393" s="4">
        <f t="shared" si="344"/>
        <v>0</v>
      </c>
      <c r="Q2393" s="4">
        <f t="shared" si="345"/>
        <v>0</v>
      </c>
      <c r="R2393" s="4">
        <f t="shared" si="346"/>
        <v>0</v>
      </c>
      <c r="S2393" s="4">
        <f>IF(AND(VLOOKUP(G2393,Dados!$D:$L,2,0)=VLOOKUP(I2393,Dados!$S:$V,2,0),VLOOKUP(G2393,Dados!$D:$L,3,0)=VLOOKUP(I2393,Dados!$S:$V,3,0)),0,1)</f>
        <v>0</v>
      </c>
      <c r="T2393" s="4">
        <f>IF(AND(VLOOKUP(G2393,Dados!$D:$L,3,0)&lt;=VLOOKUP(H2393,Dados!$X:$AB,2,0),VLOOKUP(G2393,Dados!$D:$L,4,0)&gt;=VLOOKUP(H2393,Dados!$X:$AB,3,0),VLOOKUP(G2393,Dados!$D:$L,4,0)&lt;=VLOOKUP(H2393,Dados!$X:$AB,4,0)),0,1)</f>
        <v>0</v>
      </c>
      <c r="U2393" s="4">
        <f>IF(COUNTIFS(F:F,F2393,H:H,H2393)&lt;=VLOOKUP(H2393,Dados!$X:$AB,5,0),0,1)</f>
        <v>0</v>
      </c>
    </row>
    <row r="2394" spans="6:21">
      <c r="F2394" s="4">
        <v>1046</v>
      </c>
      <c r="G2394" s="4">
        <v>35</v>
      </c>
      <c r="H2394" s="4">
        <v>2</v>
      </c>
      <c r="I2394" s="4">
        <v>16</v>
      </c>
      <c r="J2394" s="4">
        <v>1</v>
      </c>
      <c r="K2394" s="4">
        <f t="shared" si="342"/>
        <v>0</v>
      </c>
      <c r="L2394" s="4">
        <f t="shared" si="342"/>
        <v>0</v>
      </c>
      <c r="M2394" s="4">
        <f t="shared" si="342"/>
        <v>0</v>
      </c>
      <c r="N2394" s="4">
        <f t="shared" si="342"/>
        <v>0</v>
      </c>
      <c r="O2394" s="4">
        <f t="shared" si="343"/>
        <v>0</v>
      </c>
      <c r="P2394" s="4">
        <f t="shared" si="344"/>
        <v>0</v>
      </c>
      <c r="Q2394" s="4">
        <f t="shared" si="345"/>
        <v>0</v>
      </c>
      <c r="R2394" s="4">
        <f t="shared" si="346"/>
        <v>0</v>
      </c>
      <c r="S2394" s="4">
        <f>IF(AND(VLOOKUP(G2394,Dados!$D:$L,2,0)=VLOOKUP(I2394,Dados!$S:$V,2,0),VLOOKUP(G2394,Dados!$D:$L,3,0)=VLOOKUP(I2394,Dados!$S:$V,3,0)),0,1)</f>
        <v>0</v>
      </c>
      <c r="T2394" s="4">
        <f>IF(AND(VLOOKUP(G2394,Dados!$D:$L,3,0)&lt;=VLOOKUP(H2394,Dados!$X:$AB,2,0),VLOOKUP(G2394,Dados!$D:$L,4,0)&gt;=VLOOKUP(H2394,Dados!$X:$AB,3,0),VLOOKUP(G2394,Dados!$D:$L,4,0)&lt;=VLOOKUP(H2394,Dados!$X:$AB,4,0)),0,1)</f>
        <v>0</v>
      </c>
      <c r="U2394" s="4">
        <f>IF(COUNTIFS(F:F,F2394,H:H,H2394)&lt;=VLOOKUP(H2394,Dados!$X:$AB,5,0),0,1)</f>
        <v>0</v>
      </c>
    </row>
    <row r="2395" spans="6:21">
      <c r="F2395" s="4">
        <v>1046</v>
      </c>
      <c r="G2395" s="4">
        <v>36</v>
      </c>
      <c r="H2395" s="4">
        <v>2</v>
      </c>
      <c r="I2395" s="4">
        <v>16</v>
      </c>
      <c r="J2395" s="4">
        <v>3</v>
      </c>
      <c r="K2395" s="4">
        <f t="shared" si="342"/>
        <v>0</v>
      </c>
      <c r="L2395" s="4">
        <f t="shared" si="342"/>
        <v>0</v>
      </c>
      <c r="M2395" s="4">
        <f t="shared" si="342"/>
        <v>0</v>
      </c>
      <c r="N2395" s="4">
        <f t="shared" si="342"/>
        <v>0</v>
      </c>
      <c r="O2395" s="4">
        <f t="shared" si="343"/>
        <v>0</v>
      </c>
      <c r="P2395" s="4">
        <f t="shared" si="344"/>
        <v>0</v>
      </c>
      <c r="Q2395" s="4">
        <f t="shared" si="345"/>
        <v>0</v>
      </c>
      <c r="R2395" s="4">
        <f t="shared" si="346"/>
        <v>0</v>
      </c>
      <c r="S2395" s="4">
        <f>IF(AND(VLOOKUP(G2395,Dados!$D:$L,2,0)=VLOOKUP(I2395,Dados!$S:$V,2,0),VLOOKUP(G2395,Dados!$D:$L,3,0)=VLOOKUP(I2395,Dados!$S:$V,3,0)),0,1)</f>
        <v>0</v>
      </c>
      <c r="T2395" s="4">
        <f>IF(AND(VLOOKUP(G2395,Dados!$D:$L,3,0)&lt;=VLOOKUP(H2395,Dados!$X:$AB,2,0),VLOOKUP(G2395,Dados!$D:$L,4,0)&gt;=VLOOKUP(H2395,Dados!$X:$AB,3,0),VLOOKUP(G2395,Dados!$D:$L,4,0)&lt;=VLOOKUP(H2395,Dados!$X:$AB,4,0)),0,1)</f>
        <v>0</v>
      </c>
      <c r="U2395" s="4">
        <f>IF(COUNTIFS(F:F,F2395,H:H,H2395)&lt;=VLOOKUP(H2395,Dados!$X:$AB,5,0),0,1)</f>
        <v>0</v>
      </c>
    </row>
    <row r="2396" spans="6:21">
      <c r="F2396" s="4">
        <v>1047</v>
      </c>
      <c r="G2396" s="4">
        <v>30</v>
      </c>
      <c r="H2396" s="4">
        <v>3</v>
      </c>
      <c r="I2396" s="4">
        <v>16</v>
      </c>
      <c r="J2396" s="4">
        <v>1</v>
      </c>
      <c r="K2396" s="4">
        <f t="shared" si="342"/>
        <v>0</v>
      </c>
      <c r="L2396" s="4">
        <f t="shared" si="342"/>
        <v>0</v>
      </c>
      <c r="M2396" s="4">
        <f t="shared" si="342"/>
        <v>0</v>
      </c>
      <c r="N2396" s="4">
        <f t="shared" si="342"/>
        <v>0</v>
      </c>
      <c r="O2396" s="4">
        <f t="shared" si="343"/>
        <v>0</v>
      </c>
      <c r="P2396" s="4">
        <f t="shared" si="344"/>
        <v>0</v>
      </c>
      <c r="Q2396" s="4">
        <f t="shared" si="345"/>
        <v>0</v>
      </c>
      <c r="R2396" s="4">
        <f t="shared" si="346"/>
        <v>0</v>
      </c>
      <c r="S2396" s="4">
        <f>IF(AND(VLOOKUP(G2396,Dados!$D:$L,2,0)=VLOOKUP(I2396,Dados!$S:$V,2,0),VLOOKUP(G2396,Dados!$D:$L,3,0)=VLOOKUP(I2396,Dados!$S:$V,3,0)),0,1)</f>
        <v>0</v>
      </c>
      <c r="T2396" s="4">
        <f>IF(AND(VLOOKUP(G2396,Dados!$D:$L,3,0)&lt;=VLOOKUP(H2396,Dados!$X:$AB,2,0),VLOOKUP(G2396,Dados!$D:$L,4,0)&gt;=VLOOKUP(H2396,Dados!$X:$AB,3,0),VLOOKUP(G2396,Dados!$D:$L,4,0)&lt;=VLOOKUP(H2396,Dados!$X:$AB,4,0)),0,1)</f>
        <v>0</v>
      </c>
      <c r="U2396" s="4">
        <f>IF(COUNTIFS(F:F,F2396,H:H,H2396)&lt;=VLOOKUP(H2396,Dados!$X:$AB,5,0),0,1)</f>
        <v>0</v>
      </c>
    </row>
    <row r="2397" spans="6:21">
      <c r="F2397" s="4">
        <v>1047</v>
      </c>
      <c r="G2397" s="4">
        <v>32</v>
      </c>
      <c r="H2397" s="4">
        <v>3</v>
      </c>
      <c r="I2397" s="4">
        <v>16</v>
      </c>
      <c r="J2397" s="4">
        <v>1</v>
      </c>
      <c r="K2397" s="4">
        <f t="shared" ref="K2397:N2460" si="347">SUMIFS($X:$X,$W:$W,$F2397,$Z:$Z,$I2397,$AA:$AA,$H2397,$AB:$AB,K$2)</f>
        <v>0</v>
      </c>
      <c r="L2397" s="4">
        <f t="shared" si="347"/>
        <v>0</v>
      </c>
      <c r="M2397" s="4">
        <f t="shared" si="347"/>
        <v>0</v>
      </c>
      <c r="N2397" s="4">
        <f t="shared" si="347"/>
        <v>0</v>
      </c>
      <c r="O2397" s="4">
        <f t="shared" si="343"/>
        <v>0</v>
      </c>
      <c r="P2397" s="4">
        <f t="shared" si="344"/>
        <v>0</v>
      </c>
      <c r="Q2397" s="4">
        <f t="shared" si="345"/>
        <v>0</v>
      </c>
      <c r="R2397" s="4">
        <f t="shared" si="346"/>
        <v>0</v>
      </c>
      <c r="S2397" s="4">
        <f>IF(AND(VLOOKUP(G2397,Dados!$D:$L,2,0)=VLOOKUP(I2397,Dados!$S:$V,2,0),VLOOKUP(G2397,Dados!$D:$L,3,0)=VLOOKUP(I2397,Dados!$S:$V,3,0)),0,1)</f>
        <v>0</v>
      </c>
      <c r="T2397" s="4">
        <f>IF(AND(VLOOKUP(G2397,Dados!$D:$L,3,0)&lt;=VLOOKUP(H2397,Dados!$X:$AB,2,0),VLOOKUP(G2397,Dados!$D:$L,4,0)&gt;=VLOOKUP(H2397,Dados!$X:$AB,3,0),VLOOKUP(G2397,Dados!$D:$L,4,0)&lt;=VLOOKUP(H2397,Dados!$X:$AB,4,0)),0,1)</f>
        <v>0</v>
      </c>
      <c r="U2397" s="4">
        <f>IF(COUNTIFS(F:F,F2397,H:H,H2397)&lt;=VLOOKUP(H2397,Dados!$X:$AB,5,0),0,1)</f>
        <v>0</v>
      </c>
    </row>
    <row r="2398" spans="6:21">
      <c r="F2398" s="4">
        <v>1047</v>
      </c>
      <c r="G2398" s="4">
        <v>34</v>
      </c>
      <c r="H2398" s="4">
        <v>3</v>
      </c>
      <c r="I2398" s="4">
        <v>16</v>
      </c>
      <c r="J2398" s="4">
        <v>2</v>
      </c>
      <c r="K2398" s="4">
        <f t="shared" si="347"/>
        <v>0</v>
      </c>
      <c r="L2398" s="4">
        <f t="shared" si="347"/>
        <v>0</v>
      </c>
      <c r="M2398" s="4">
        <f t="shared" si="347"/>
        <v>0</v>
      </c>
      <c r="N2398" s="4">
        <f t="shared" si="347"/>
        <v>0</v>
      </c>
      <c r="O2398" s="4">
        <f t="shared" si="343"/>
        <v>0</v>
      </c>
      <c r="P2398" s="4">
        <f t="shared" si="344"/>
        <v>0</v>
      </c>
      <c r="Q2398" s="4">
        <f t="shared" si="345"/>
        <v>0</v>
      </c>
      <c r="R2398" s="4">
        <f t="shared" si="346"/>
        <v>0</v>
      </c>
      <c r="S2398" s="4">
        <f>IF(AND(VLOOKUP(G2398,Dados!$D:$L,2,0)=VLOOKUP(I2398,Dados!$S:$V,2,0),VLOOKUP(G2398,Dados!$D:$L,3,0)=VLOOKUP(I2398,Dados!$S:$V,3,0)),0,1)</f>
        <v>0</v>
      </c>
      <c r="T2398" s="4">
        <f>IF(AND(VLOOKUP(G2398,Dados!$D:$L,3,0)&lt;=VLOOKUP(H2398,Dados!$X:$AB,2,0),VLOOKUP(G2398,Dados!$D:$L,4,0)&gt;=VLOOKUP(H2398,Dados!$X:$AB,3,0),VLOOKUP(G2398,Dados!$D:$L,4,0)&lt;=VLOOKUP(H2398,Dados!$X:$AB,4,0)),0,1)</f>
        <v>0</v>
      </c>
      <c r="U2398" s="4">
        <f>IF(COUNTIFS(F:F,F2398,H:H,H2398)&lt;=VLOOKUP(H2398,Dados!$X:$AB,5,0),0,1)</f>
        <v>0</v>
      </c>
    </row>
    <row r="2399" spans="6:21">
      <c r="F2399" s="4">
        <v>1047</v>
      </c>
      <c r="G2399" s="4">
        <v>36</v>
      </c>
      <c r="H2399" s="4">
        <v>3</v>
      </c>
      <c r="I2399" s="4">
        <v>16</v>
      </c>
      <c r="J2399" s="4">
        <v>3</v>
      </c>
      <c r="K2399" s="4">
        <f t="shared" si="347"/>
        <v>0</v>
      </c>
      <c r="L2399" s="4">
        <f t="shared" si="347"/>
        <v>0</v>
      </c>
      <c r="M2399" s="4">
        <f t="shared" si="347"/>
        <v>0</v>
      </c>
      <c r="N2399" s="4">
        <f t="shared" si="347"/>
        <v>0</v>
      </c>
      <c r="O2399" s="4">
        <f t="shared" si="343"/>
        <v>0</v>
      </c>
      <c r="P2399" s="4">
        <f t="shared" si="344"/>
        <v>0</v>
      </c>
      <c r="Q2399" s="4">
        <f t="shared" si="345"/>
        <v>0</v>
      </c>
      <c r="R2399" s="4">
        <f t="shared" si="346"/>
        <v>0</v>
      </c>
      <c r="S2399" s="4">
        <f>IF(AND(VLOOKUP(G2399,Dados!$D:$L,2,0)=VLOOKUP(I2399,Dados!$S:$V,2,0),VLOOKUP(G2399,Dados!$D:$L,3,0)=VLOOKUP(I2399,Dados!$S:$V,3,0)),0,1)</f>
        <v>0</v>
      </c>
      <c r="T2399" s="4">
        <f>IF(AND(VLOOKUP(G2399,Dados!$D:$L,3,0)&lt;=VLOOKUP(H2399,Dados!$X:$AB,2,0),VLOOKUP(G2399,Dados!$D:$L,4,0)&gt;=VLOOKUP(H2399,Dados!$X:$AB,3,0),VLOOKUP(G2399,Dados!$D:$L,4,0)&lt;=VLOOKUP(H2399,Dados!$X:$AB,4,0)),0,1)</f>
        <v>0</v>
      </c>
      <c r="U2399" s="4">
        <f>IF(COUNTIFS(F:F,F2399,H:H,H2399)&lt;=VLOOKUP(H2399,Dados!$X:$AB,5,0),0,1)</f>
        <v>0</v>
      </c>
    </row>
    <row r="2400" spans="6:21">
      <c r="F2400" s="4">
        <v>1048</v>
      </c>
      <c r="G2400" s="4">
        <v>40</v>
      </c>
      <c r="H2400" s="4">
        <v>3</v>
      </c>
      <c r="I2400" s="4">
        <v>17</v>
      </c>
      <c r="J2400" s="4">
        <v>2</v>
      </c>
      <c r="K2400" s="4">
        <f t="shared" si="347"/>
        <v>0</v>
      </c>
      <c r="L2400" s="4">
        <f t="shared" si="347"/>
        <v>0</v>
      </c>
      <c r="M2400" s="4">
        <f t="shared" si="347"/>
        <v>0</v>
      </c>
      <c r="N2400" s="4">
        <f t="shared" si="347"/>
        <v>0</v>
      </c>
      <c r="O2400" s="4">
        <f t="shared" si="343"/>
        <v>0</v>
      </c>
      <c r="P2400" s="4">
        <f t="shared" si="344"/>
        <v>0</v>
      </c>
      <c r="Q2400" s="4">
        <f t="shared" si="345"/>
        <v>0</v>
      </c>
      <c r="R2400" s="4">
        <f t="shared" si="346"/>
        <v>0</v>
      </c>
      <c r="S2400" s="4">
        <f>IF(AND(VLOOKUP(G2400,Dados!$D:$L,2,0)=VLOOKUP(I2400,Dados!$S:$V,2,0),VLOOKUP(G2400,Dados!$D:$L,3,0)=VLOOKUP(I2400,Dados!$S:$V,3,0)),0,1)</f>
        <v>0</v>
      </c>
      <c r="T2400" s="4">
        <f>IF(AND(VLOOKUP(G2400,Dados!$D:$L,3,0)&lt;=VLOOKUP(H2400,Dados!$X:$AB,2,0),VLOOKUP(G2400,Dados!$D:$L,4,0)&gt;=VLOOKUP(H2400,Dados!$X:$AB,3,0),VLOOKUP(G2400,Dados!$D:$L,4,0)&lt;=VLOOKUP(H2400,Dados!$X:$AB,4,0)),0,1)</f>
        <v>0</v>
      </c>
      <c r="U2400" s="4">
        <f>IF(COUNTIFS(F:F,F2400,H:H,H2400)&lt;=VLOOKUP(H2400,Dados!$X:$AB,5,0),0,1)</f>
        <v>0</v>
      </c>
    </row>
    <row r="2401" spans="6:21">
      <c r="F2401" s="4">
        <v>1048</v>
      </c>
      <c r="G2401" s="4">
        <v>41</v>
      </c>
      <c r="H2401" s="4">
        <v>3</v>
      </c>
      <c r="I2401" s="4">
        <v>17</v>
      </c>
      <c r="J2401" s="4">
        <v>2</v>
      </c>
      <c r="K2401" s="4">
        <f t="shared" si="347"/>
        <v>0</v>
      </c>
      <c r="L2401" s="4">
        <f t="shared" si="347"/>
        <v>0</v>
      </c>
      <c r="M2401" s="4">
        <f t="shared" si="347"/>
        <v>0</v>
      </c>
      <c r="N2401" s="4">
        <f t="shared" si="347"/>
        <v>0</v>
      </c>
      <c r="O2401" s="4">
        <f t="shared" si="343"/>
        <v>0</v>
      </c>
      <c r="P2401" s="4">
        <f t="shared" si="344"/>
        <v>0</v>
      </c>
      <c r="Q2401" s="4">
        <f t="shared" si="345"/>
        <v>0</v>
      </c>
      <c r="R2401" s="4">
        <f t="shared" si="346"/>
        <v>0</v>
      </c>
      <c r="S2401" s="4">
        <f>IF(AND(VLOOKUP(G2401,Dados!$D:$L,2,0)=VLOOKUP(I2401,Dados!$S:$V,2,0),VLOOKUP(G2401,Dados!$D:$L,3,0)=VLOOKUP(I2401,Dados!$S:$V,3,0)),0,1)</f>
        <v>0</v>
      </c>
      <c r="T2401" s="4">
        <f>IF(AND(VLOOKUP(G2401,Dados!$D:$L,3,0)&lt;=VLOOKUP(H2401,Dados!$X:$AB,2,0),VLOOKUP(G2401,Dados!$D:$L,4,0)&gt;=VLOOKUP(H2401,Dados!$X:$AB,3,0),VLOOKUP(G2401,Dados!$D:$L,4,0)&lt;=VLOOKUP(H2401,Dados!$X:$AB,4,0)),0,1)</f>
        <v>0</v>
      </c>
      <c r="U2401" s="4">
        <f>IF(COUNTIFS(F:F,F2401,H:H,H2401)&lt;=VLOOKUP(H2401,Dados!$X:$AB,5,0),0,1)</f>
        <v>0</v>
      </c>
    </row>
    <row r="2402" spans="6:21">
      <c r="F2402" s="4">
        <v>1048</v>
      </c>
      <c r="G2402" s="4">
        <v>43</v>
      </c>
      <c r="H2402" s="4">
        <v>3</v>
      </c>
      <c r="I2402" s="4">
        <v>17</v>
      </c>
      <c r="J2402" s="4">
        <v>1</v>
      </c>
      <c r="K2402" s="4">
        <f t="shared" si="347"/>
        <v>0</v>
      </c>
      <c r="L2402" s="4">
        <f t="shared" si="347"/>
        <v>0</v>
      </c>
      <c r="M2402" s="4">
        <f t="shared" si="347"/>
        <v>0</v>
      </c>
      <c r="N2402" s="4">
        <f t="shared" si="347"/>
        <v>0</v>
      </c>
      <c r="O2402" s="4">
        <f t="shared" si="343"/>
        <v>0</v>
      </c>
      <c r="P2402" s="4">
        <f t="shared" si="344"/>
        <v>0</v>
      </c>
      <c r="Q2402" s="4">
        <f t="shared" si="345"/>
        <v>0</v>
      </c>
      <c r="R2402" s="4">
        <f t="shared" si="346"/>
        <v>0</v>
      </c>
      <c r="S2402" s="4">
        <f>IF(AND(VLOOKUP(G2402,Dados!$D:$L,2,0)=VLOOKUP(I2402,Dados!$S:$V,2,0),VLOOKUP(G2402,Dados!$D:$L,3,0)=VLOOKUP(I2402,Dados!$S:$V,3,0)),0,1)</f>
        <v>0</v>
      </c>
      <c r="T2402" s="4">
        <f>IF(AND(VLOOKUP(G2402,Dados!$D:$L,3,0)&lt;=VLOOKUP(H2402,Dados!$X:$AB,2,0),VLOOKUP(G2402,Dados!$D:$L,4,0)&gt;=VLOOKUP(H2402,Dados!$X:$AB,3,0),VLOOKUP(G2402,Dados!$D:$L,4,0)&lt;=VLOOKUP(H2402,Dados!$X:$AB,4,0)),0,1)</f>
        <v>0</v>
      </c>
      <c r="U2402" s="4">
        <f>IF(COUNTIFS(F:F,F2402,H:H,H2402)&lt;=VLOOKUP(H2402,Dados!$X:$AB,5,0),0,1)</f>
        <v>0</v>
      </c>
    </row>
    <row r="2403" spans="6:21">
      <c r="F2403" s="4">
        <v>1048</v>
      </c>
      <c r="G2403" s="4">
        <v>45</v>
      </c>
      <c r="H2403" s="4">
        <v>3</v>
      </c>
      <c r="I2403" s="4">
        <v>17</v>
      </c>
      <c r="J2403" s="4">
        <v>3</v>
      </c>
      <c r="K2403" s="4">
        <f t="shared" si="347"/>
        <v>0</v>
      </c>
      <c r="L2403" s="4">
        <f t="shared" si="347"/>
        <v>0</v>
      </c>
      <c r="M2403" s="4">
        <f t="shared" si="347"/>
        <v>0</v>
      </c>
      <c r="N2403" s="4">
        <f t="shared" si="347"/>
        <v>0</v>
      </c>
      <c r="O2403" s="4">
        <f t="shared" si="343"/>
        <v>0</v>
      </c>
      <c r="P2403" s="4">
        <f t="shared" si="344"/>
        <v>0</v>
      </c>
      <c r="Q2403" s="4">
        <f t="shared" si="345"/>
        <v>0</v>
      </c>
      <c r="R2403" s="4">
        <f t="shared" si="346"/>
        <v>0</v>
      </c>
      <c r="S2403" s="4">
        <f>IF(AND(VLOOKUP(G2403,Dados!$D:$L,2,0)=VLOOKUP(I2403,Dados!$S:$V,2,0),VLOOKUP(G2403,Dados!$D:$L,3,0)=VLOOKUP(I2403,Dados!$S:$V,3,0)),0,1)</f>
        <v>0</v>
      </c>
      <c r="T2403" s="4">
        <f>IF(AND(VLOOKUP(G2403,Dados!$D:$L,3,0)&lt;=VLOOKUP(H2403,Dados!$X:$AB,2,0),VLOOKUP(G2403,Dados!$D:$L,4,0)&gt;=VLOOKUP(H2403,Dados!$X:$AB,3,0),VLOOKUP(G2403,Dados!$D:$L,4,0)&lt;=VLOOKUP(H2403,Dados!$X:$AB,4,0)),0,1)</f>
        <v>0</v>
      </c>
      <c r="U2403" s="4">
        <f>IF(COUNTIFS(F:F,F2403,H:H,H2403)&lt;=VLOOKUP(H2403,Dados!$X:$AB,5,0),0,1)</f>
        <v>0</v>
      </c>
    </row>
    <row r="2404" spans="6:21">
      <c r="F2404" s="4">
        <v>1049</v>
      </c>
      <c r="G2404" s="4">
        <v>62</v>
      </c>
      <c r="H2404" s="4">
        <v>1</v>
      </c>
      <c r="I2404" s="4">
        <v>21</v>
      </c>
      <c r="J2404" s="4">
        <v>2</v>
      </c>
      <c r="K2404" s="4">
        <f t="shared" si="347"/>
        <v>0</v>
      </c>
      <c r="L2404" s="4">
        <f t="shared" si="347"/>
        <v>0</v>
      </c>
      <c r="M2404" s="4">
        <f t="shared" si="347"/>
        <v>0</v>
      </c>
      <c r="N2404" s="4">
        <f t="shared" si="347"/>
        <v>0</v>
      </c>
      <c r="O2404" s="4">
        <f t="shared" si="343"/>
        <v>0</v>
      </c>
      <c r="P2404" s="4">
        <f t="shared" si="344"/>
        <v>0</v>
      </c>
      <c r="Q2404" s="4">
        <f t="shared" si="345"/>
        <v>0</v>
      </c>
      <c r="R2404" s="4">
        <f t="shared" si="346"/>
        <v>0</v>
      </c>
      <c r="S2404" s="4">
        <f>IF(AND(VLOOKUP(G2404,Dados!$D:$L,2,0)=VLOOKUP(I2404,Dados!$S:$V,2,0),VLOOKUP(G2404,Dados!$D:$L,3,0)=VLOOKUP(I2404,Dados!$S:$V,3,0)),0,1)</f>
        <v>0</v>
      </c>
      <c r="T2404" s="4">
        <f>IF(AND(VLOOKUP(G2404,Dados!$D:$L,3,0)&lt;=VLOOKUP(H2404,Dados!$X:$AB,2,0),VLOOKUP(G2404,Dados!$D:$L,4,0)&gt;=VLOOKUP(H2404,Dados!$X:$AB,3,0),VLOOKUP(G2404,Dados!$D:$L,4,0)&lt;=VLOOKUP(H2404,Dados!$X:$AB,4,0)),0,1)</f>
        <v>0</v>
      </c>
      <c r="U2404" s="4">
        <f>IF(COUNTIFS(F:F,F2404,H:H,H2404)&lt;=VLOOKUP(H2404,Dados!$X:$AB,5,0),0,1)</f>
        <v>0</v>
      </c>
    </row>
    <row r="2405" spans="6:21">
      <c r="F2405" s="4">
        <v>1049</v>
      </c>
      <c r="G2405" s="4">
        <v>64</v>
      </c>
      <c r="H2405" s="4">
        <v>1</v>
      </c>
      <c r="I2405" s="4">
        <v>21</v>
      </c>
      <c r="J2405" s="4">
        <v>6</v>
      </c>
      <c r="K2405" s="4">
        <f t="shared" si="347"/>
        <v>0</v>
      </c>
      <c r="L2405" s="4">
        <f t="shared" si="347"/>
        <v>0</v>
      </c>
      <c r="M2405" s="4">
        <f t="shared" si="347"/>
        <v>0</v>
      </c>
      <c r="N2405" s="4">
        <f t="shared" si="347"/>
        <v>0</v>
      </c>
      <c r="O2405" s="4">
        <f t="shared" si="343"/>
        <v>0</v>
      </c>
      <c r="P2405" s="4">
        <f t="shared" si="344"/>
        <v>0</v>
      </c>
      <c r="Q2405" s="4">
        <f t="shared" si="345"/>
        <v>0</v>
      </c>
      <c r="R2405" s="4">
        <f t="shared" si="346"/>
        <v>0</v>
      </c>
      <c r="S2405" s="4">
        <f>IF(AND(VLOOKUP(G2405,Dados!$D:$L,2,0)=VLOOKUP(I2405,Dados!$S:$V,2,0),VLOOKUP(G2405,Dados!$D:$L,3,0)=VLOOKUP(I2405,Dados!$S:$V,3,0)),0,1)</f>
        <v>0</v>
      </c>
      <c r="T2405" s="4">
        <f>IF(AND(VLOOKUP(G2405,Dados!$D:$L,3,0)&lt;=VLOOKUP(H2405,Dados!$X:$AB,2,0),VLOOKUP(G2405,Dados!$D:$L,4,0)&gt;=VLOOKUP(H2405,Dados!$X:$AB,3,0),VLOOKUP(G2405,Dados!$D:$L,4,0)&lt;=VLOOKUP(H2405,Dados!$X:$AB,4,0)),0,1)</f>
        <v>0</v>
      </c>
      <c r="U2405" s="4">
        <f>IF(COUNTIFS(F:F,F2405,H:H,H2405)&lt;=VLOOKUP(H2405,Dados!$X:$AB,5,0),0,1)</f>
        <v>0</v>
      </c>
    </row>
    <row r="2406" spans="6:21">
      <c r="F2406" s="4">
        <v>1050</v>
      </c>
      <c r="G2406" s="4">
        <v>62</v>
      </c>
      <c r="H2406" s="4">
        <v>2</v>
      </c>
      <c r="I2406" s="4">
        <v>21</v>
      </c>
      <c r="J2406" s="4">
        <v>2</v>
      </c>
      <c r="K2406" s="4">
        <f t="shared" si="347"/>
        <v>0</v>
      </c>
      <c r="L2406" s="4">
        <f t="shared" si="347"/>
        <v>0</v>
      </c>
      <c r="M2406" s="4">
        <f t="shared" si="347"/>
        <v>0</v>
      </c>
      <c r="N2406" s="4">
        <f t="shared" si="347"/>
        <v>0</v>
      </c>
      <c r="O2406" s="4">
        <f t="shared" si="343"/>
        <v>0</v>
      </c>
      <c r="P2406" s="4">
        <f t="shared" si="344"/>
        <v>0</v>
      </c>
      <c r="Q2406" s="4">
        <f t="shared" si="345"/>
        <v>0</v>
      </c>
      <c r="R2406" s="4">
        <f t="shared" si="346"/>
        <v>0</v>
      </c>
      <c r="S2406" s="4">
        <f>IF(AND(VLOOKUP(G2406,Dados!$D:$L,2,0)=VLOOKUP(I2406,Dados!$S:$V,2,0),VLOOKUP(G2406,Dados!$D:$L,3,0)=VLOOKUP(I2406,Dados!$S:$V,3,0)),0,1)</f>
        <v>0</v>
      </c>
      <c r="T2406" s="4">
        <f>IF(AND(VLOOKUP(G2406,Dados!$D:$L,3,0)&lt;=VLOOKUP(H2406,Dados!$X:$AB,2,0),VLOOKUP(G2406,Dados!$D:$L,4,0)&gt;=VLOOKUP(H2406,Dados!$X:$AB,3,0),VLOOKUP(G2406,Dados!$D:$L,4,0)&lt;=VLOOKUP(H2406,Dados!$X:$AB,4,0)),0,1)</f>
        <v>0</v>
      </c>
      <c r="U2406" s="4">
        <f>IF(COUNTIFS(F:F,F2406,H:H,H2406)&lt;=VLOOKUP(H2406,Dados!$X:$AB,5,0),0,1)</f>
        <v>0</v>
      </c>
    </row>
    <row r="2407" spans="6:21">
      <c r="F2407" s="4">
        <v>1050</v>
      </c>
      <c r="G2407" s="4">
        <v>64</v>
      </c>
      <c r="H2407" s="4">
        <v>2</v>
      </c>
      <c r="I2407" s="4">
        <v>21</v>
      </c>
      <c r="J2407" s="4">
        <v>6</v>
      </c>
      <c r="K2407" s="4">
        <f t="shared" si="347"/>
        <v>0</v>
      </c>
      <c r="L2407" s="4">
        <f t="shared" si="347"/>
        <v>0</v>
      </c>
      <c r="M2407" s="4">
        <f t="shared" si="347"/>
        <v>0</v>
      </c>
      <c r="N2407" s="4">
        <f t="shared" si="347"/>
        <v>0</v>
      </c>
      <c r="O2407" s="4">
        <f t="shared" ref="O2407:O2470" si="348">$J2407*K2407</f>
        <v>0</v>
      </c>
      <c r="P2407" s="4">
        <f t="shared" ref="P2407:P2470" si="349">$J2407*L2407</f>
        <v>0</v>
      </c>
      <c r="Q2407" s="4">
        <f t="shared" ref="Q2407:Q2470" si="350">$J2407*M2407</f>
        <v>0</v>
      </c>
      <c r="R2407" s="4">
        <f t="shared" ref="R2407:R2470" si="351">$J2407*N2407</f>
        <v>0</v>
      </c>
      <c r="S2407" s="4">
        <f>IF(AND(VLOOKUP(G2407,Dados!$D:$L,2,0)=VLOOKUP(I2407,Dados!$S:$V,2,0),VLOOKUP(G2407,Dados!$D:$L,3,0)=VLOOKUP(I2407,Dados!$S:$V,3,0)),0,1)</f>
        <v>0</v>
      </c>
      <c r="T2407" s="4">
        <f>IF(AND(VLOOKUP(G2407,Dados!$D:$L,3,0)&lt;=VLOOKUP(H2407,Dados!$X:$AB,2,0),VLOOKUP(G2407,Dados!$D:$L,4,0)&gt;=VLOOKUP(H2407,Dados!$X:$AB,3,0),VLOOKUP(G2407,Dados!$D:$L,4,0)&lt;=VLOOKUP(H2407,Dados!$X:$AB,4,0)),0,1)</f>
        <v>0</v>
      </c>
      <c r="U2407" s="4">
        <f>IF(COUNTIFS(F:F,F2407,H:H,H2407)&lt;=VLOOKUP(H2407,Dados!$X:$AB,5,0),0,1)</f>
        <v>0</v>
      </c>
    </row>
    <row r="2408" spans="6:21">
      <c r="F2408" s="4">
        <v>1051</v>
      </c>
      <c r="G2408" s="4">
        <v>62</v>
      </c>
      <c r="H2408" s="4">
        <v>3</v>
      </c>
      <c r="I2408" s="4">
        <v>21</v>
      </c>
      <c r="J2408" s="4">
        <v>2</v>
      </c>
      <c r="K2408" s="4">
        <f t="shared" si="347"/>
        <v>0</v>
      </c>
      <c r="L2408" s="4">
        <f t="shared" si="347"/>
        <v>0</v>
      </c>
      <c r="M2408" s="4">
        <f t="shared" si="347"/>
        <v>0</v>
      </c>
      <c r="N2408" s="4">
        <f t="shared" si="347"/>
        <v>0</v>
      </c>
      <c r="O2408" s="4">
        <f t="shared" si="348"/>
        <v>0</v>
      </c>
      <c r="P2408" s="4">
        <f t="shared" si="349"/>
        <v>0</v>
      </c>
      <c r="Q2408" s="4">
        <f t="shared" si="350"/>
        <v>0</v>
      </c>
      <c r="R2408" s="4">
        <f t="shared" si="351"/>
        <v>0</v>
      </c>
      <c r="S2408" s="4">
        <f>IF(AND(VLOOKUP(G2408,Dados!$D:$L,2,0)=VLOOKUP(I2408,Dados!$S:$V,2,0),VLOOKUP(G2408,Dados!$D:$L,3,0)=VLOOKUP(I2408,Dados!$S:$V,3,0)),0,1)</f>
        <v>0</v>
      </c>
      <c r="T2408" s="4">
        <f>IF(AND(VLOOKUP(G2408,Dados!$D:$L,3,0)&lt;=VLOOKUP(H2408,Dados!$X:$AB,2,0),VLOOKUP(G2408,Dados!$D:$L,4,0)&gt;=VLOOKUP(H2408,Dados!$X:$AB,3,0),VLOOKUP(G2408,Dados!$D:$L,4,0)&lt;=VLOOKUP(H2408,Dados!$X:$AB,4,0)),0,1)</f>
        <v>0</v>
      </c>
      <c r="U2408" s="4">
        <f>IF(COUNTIFS(F:F,F2408,H:H,H2408)&lt;=VLOOKUP(H2408,Dados!$X:$AB,5,0),0,1)</f>
        <v>0</v>
      </c>
    </row>
    <row r="2409" spans="6:21">
      <c r="F2409" s="4">
        <v>1051</v>
      </c>
      <c r="G2409" s="4">
        <v>64</v>
      </c>
      <c r="H2409" s="4">
        <v>3</v>
      </c>
      <c r="I2409" s="4">
        <v>21</v>
      </c>
      <c r="J2409" s="4">
        <v>6</v>
      </c>
      <c r="K2409" s="4">
        <f t="shared" si="347"/>
        <v>0</v>
      </c>
      <c r="L2409" s="4">
        <f t="shared" si="347"/>
        <v>0</v>
      </c>
      <c r="M2409" s="4">
        <f t="shared" si="347"/>
        <v>0</v>
      </c>
      <c r="N2409" s="4">
        <f t="shared" si="347"/>
        <v>0</v>
      </c>
      <c r="O2409" s="4">
        <f t="shared" si="348"/>
        <v>0</v>
      </c>
      <c r="P2409" s="4">
        <f t="shared" si="349"/>
        <v>0</v>
      </c>
      <c r="Q2409" s="4">
        <f t="shared" si="350"/>
        <v>0</v>
      </c>
      <c r="R2409" s="4">
        <f t="shared" si="351"/>
        <v>0</v>
      </c>
      <c r="S2409" s="4">
        <f>IF(AND(VLOOKUP(G2409,Dados!$D:$L,2,0)=VLOOKUP(I2409,Dados!$S:$V,2,0),VLOOKUP(G2409,Dados!$D:$L,3,0)=VLOOKUP(I2409,Dados!$S:$V,3,0)),0,1)</f>
        <v>0</v>
      </c>
      <c r="T2409" s="4">
        <f>IF(AND(VLOOKUP(G2409,Dados!$D:$L,3,0)&lt;=VLOOKUP(H2409,Dados!$X:$AB,2,0),VLOOKUP(G2409,Dados!$D:$L,4,0)&gt;=VLOOKUP(H2409,Dados!$X:$AB,3,0),VLOOKUP(G2409,Dados!$D:$L,4,0)&lt;=VLOOKUP(H2409,Dados!$X:$AB,4,0)),0,1)</f>
        <v>0</v>
      </c>
      <c r="U2409" s="4">
        <f>IF(COUNTIFS(F:F,F2409,H:H,H2409)&lt;=VLOOKUP(H2409,Dados!$X:$AB,5,0),0,1)</f>
        <v>0</v>
      </c>
    </row>
    <row r="2410" spans="6:21">
      <c r="F2410" s="4">
        <v>1052</v>
      </c>
      <c r="G2410" s="4">
        <v>61</v>
      </c>
      <c r="H2410" s="4">
        <v>1</v>
      </c>
      <c r="I2410" s="4">
        <v>22</v>
      </c>
      <c r="J2410" s="4">
        <v>3</v>
      </c>
      <c r="K2410" s="4">
        <f t="shared" si="347"/>
        <v>0</v>
      </c>
      <c r="L2410" s="4">
        <f t="shared" si="347"/>
        <v>0</v>
      </c>
      <c r="M2410" s="4">
        <f t="shared" si="347"/>
        <v>0</v>
      </c>
      <c r="N2410" s="4">
        <f t="shared" si="347"/>
        <v>0</v>
      </c>
      <c r="O2410" s="4">
        <f t="shared" si="348"/>
        <v>0</v>
      </c>
      <c r="P2410" s="4">
        <f t="shared" si="349"/>
        <v>0</v>
      </c>
      <c r="Q2410" s="4">
        <f t="shared" si="350"/>
        <v>0</v>
      </c>
      <c r="R2410" s="4">
        <f t="shared" si="351"/>
        <v>0</v>
      </c>
      <c r="S2410" s="4">
        <f>IF(AND(VLOOKUP(G2410,Dados!$D:$L,2,0)=VLOOKUP(I2410,Dados!$S:$V,2,0),VLOOKUP(G2410,Dados!$D:$L,3,0)=VLOOKUP(I2410,Dados!$S:$V,3,0)),0,1)</f>
        <v>0</v>
      </c>
      <c r="T2410" s="4">
        <f>IF(AND(VLOOKUP(G2410,Dados!$D:$L,3,0)&lt;=VLOOKUP(H2410,Dados!$X:$AB,2,0),VLOOKUP(G2410,Dados!$D:$L,4,0)&gt;=VLOOKUP(H2410,Dados!$X:$AB,3,0),VLOOKUP(G2410,Dados!$D:$L,4,0)&lt;=VLOOKUP(H2410,Dados!$X:$AB,4,0)),0,1)</f>
        <v>0</v>
      </c>
      <c r="U2410" s="4">
        <f>IF(COUNTIFS(F:F,F2410,H:H,H2410)&lt;=VLOOKUP(H2410,Dados!$X:$AB,5,0),0,1)</f>
        <v>0</v>
      </c>
    </row>
    <row r="2411" spans="6:21">
      <c r="F2411" s="4">
        <v>1052</v>
      </c>
      <c r="G2411" s="4">
        <v>64</v>
      </c>
      <c r="H2411" s="4">
        <v>1</v>
      </c>
      <c r="I2411" s="4">
        <v>22</v>
      </c>
      <c r="J2411" s="4">
        <v>2</v>
      </c>
      <c r="K2411" s="4">
        <f t="shared" si="347"/>
        <v>0</v>
      </c>
      <c r="L2411" s="4">
        <f t="shared" si="347"/>
        <v>0</v>
      </c>
      <c r="M2411" s="4">
        <f t="shared" si="347"/>
        <v>0</v>
      </c>
      <c r="N2411" s="4">
        <f t="shared" si="347"/>
        <v>0</v>
      </c>
      <c r="O2411" s="4">
        <f t="shared" si="348"/>
        <v>0</v>
      </c>
      <c r="P2411" s="4">
        <f t="shared" si="349"/>
        <v>0</v>
      </c>
      <c r="Q2411" s="4">
        <f t="shared" si="350"/>
        <v>0</v>
      </c>
      <c r="R2411" s="4">
        <f t="shared" si="351"/>
        <v>0</v>
      </c>
      <c r="S2411" s="4">
        <f>IF(AND(VLOOKUP(G2411,Dados!$D:$L,2,0)=VLOOKUP(I2411,Dados!$S:$V,2,0),VLOOKUP(G2411,Dados!$D:$L,3,0)=VLOOKUP(I2411,Dados!$S:$V,3,0)),0,1)</f>
        <v>0</v>
      </c>
      <c r="T2411" s="4">
        <f>IF(AND(VLOOKUP(G2411,Dados!$D:$L,3,0)&lt;=VLOOKUP(H2411,Dados!$X:$AB,2,0),VLOOKUP(G2411,Dados!$D:$L,4,0)&gt;=VLOOKUP(H2411,Dados!$X:$AB,3,0),VLOOKUP(G2411,Dados!$D:$L,4,0)&lt;=VLOOKUP(H2411,Dados!$X:$AB,4,0)),0,1)</f>
        <v>0</v>
      </c>
      <c r="U2411" s="4">
        <f>IF(COUNTIFS(F:F,F2411,H:H,H2411)&lt;=VLOOKUP(H2411,Dados!$X:$AB,5,0),0,1)</f>
        <v>0</v>
      </c>
    </row>
    <row r="2412" spans="6:21">
      <c r="F2412" s="4">
        <v>1052</v>
      </c>
      <c r="G2412" s="4">
        <v>66</v>
      </c>
      <c r="H2412" s="4">
        <v>1</v>
      </c>
      <c r="I2412" s="4">
        <v>22</v>
      </c>
      <c r="J2412" s="4">
        <v>1</v>
      </c>
      <c r="K2412" s="4">
        <f t="shared" si="347"/>
        <v>0</v>
      </c>
      <c r="L2412" s="4">
        <f t="shared" si="347"/>
        <v>0</v>
      </c>
      <c r="M2412" s="4">
        <f t="shared" si="347"/>
        <v>0</v>
      </c>
      <c r="N2412" s="4">
        <f t="shared" si="347"/>
        <v>0</v>
      </c>
      <c r="O2412" s="4">
        <f t="shared" si="348"/>
        <v>0</v>
      </c>
      <c r="P2412" s="4">
        <f t="shared" si="349"/>
        <v>0</v>
      </c>
      <c r="Q2412" s="4">
        <f t="shared" si="350"/>
        <v>0</v>
      </c>
      <c r="R2412" s="4">
        <f t="shared" si="351"/>
        <v>0</v>
      </c>
      <c r="S2412" s="4">
        <f>IF(AND(VLOOKUP(G2412,Dados!$D:$L,2,0)=VLOOKUP(I2412,Dados!$S:$V,2,0),VLOOKUP(G2412,Dados!$D:$L,3,0)=VLOOKUP(I2412,Dados!$S:$V,3,0)),0,1)</f>
        <v>0</v>
      </c>
      <c r="T2412" s="4">
        <f>IF(AND(VLOOKUP(G2412,Dados!$D:$L,3,0)&lt;=VLOOKUP(H2412,Dados!$X:$AB,2,0),VLOOKUP(G2412,Dados!$D:$L,4,0)&gt;=VLOOKUP(H2412,Dados!$X:$AB,3,0),VLOOKUP(G2412,Dados!$D:$L,4,0)&lt;=VLOOKUP(H2412,Dados!$X:$AB,4,0)),0,1)</f>
        <v>0</v>
      </c>
      <c r="U2412" s="4">
        <f>IF(COUNTIFS(F:F,F2412,H:H,H2412)&lt;=VLOOKUP(H2412,Dados!$X:$AB,5,0),0,1)</f>
        <v>0</v>
      </c>
    </row>
    <row r="2413" spans="6:21">
      <c r="F2413" s="4">
        <v>1053</v>
      </c>
      <c r="G2413" s="4">
        <v>61</v>
      </c>
      <c r="H2413" s="4">
        <v>2</v>
      </c>
      <c r="I2413" s="4">
        <v>22</v>
      </c>
      <c r="J2413" s="4">
        <v>3</v>
      </c>
      <c r="K2413" s="4">
        <f t="shared" si="347"/>
        <v>0</v>
      </c>
      <c r="L2413" s="4">
        <f t="shared" si="347"/>
        <v>0</v>
      </c>
      <c r="M2413" s="4">
        <f t="shared" si="347"/>
        <v>0</v>
      </c>
      <c r="N2413" s="4">
        <f t="shared" si="347"/>
        <v>0</v>
      </c>
      <c r="O2413" s="4">
        <f t="shared" si="348"/>
        <v>0</v>
      </c>
      <c r="P2413" s="4">
        <f t="shared" si="349"/>
        <v>0</v>
      </c>
      <c r="Q2413" s="4">
        <f t="shared" si="350"/>
        <v>0</v>
      </c>
      <c r="R2413" s="4">
        <f t="shared" si="351"/>
        <v>0</v>
      </c>
      <c r="S2413" s="4">
        <f>IF(AND(VLOOKUP(G2413,Dados!$D:$L,2,0)=VLOOKUP(I2413,Dados!$S:$V,2,0),VLOOKUP(G2413,Dados!$D:$L,3,0)=VLOOKUP(I2413,Dados!$S:$V,3,0)),0,1)</f>
        <v>0</v>
      </c>
      <c r="T2413" s="4">
        <f>IF(AND(VLOOKUP(G2413,Dados!$D:$L,3,0)&lt;=VLOOKUP(H2413,Dados!$X:$AB,2,0),VLOOKUP(G2413,Dados!$D:$L,4,0)&gt;=VLOOKUP(H2413,Dados!$X:$AB,3,0),VLOOKUP(G2413,Dados!$D:$L,4,0)&lt;=VLOOKUP(H2413,Dados!$X:$AB,4,0)),0,1)</f>
        <v>0</v>
      </c>
      <c r="U2413" s="4">
        <f>IF(COUNTIFS(F:F,F2413,H:H,H2413)&lt;=VLOOKUP(H2413,Dados!$X:$AB,5,0),0,1)</f>
        <v>0</v>
      </c>
    </row>
    <row r="2414" spans="6:21">
      <c r="F2414" s="4">
        <v>1053</v>
      </c>
      <c r="G2414" s="4">
        <v>64</v>
      </c>
      <c r="H2414" s="4">
        <v>2</v>
      </c>
      <c r="I2414" s="4">
        <v>22</v>
      </c>
      <c r="J2414" s="4">
        <v>2</v>
      </c>
      <c r="K2414" s="4">
        <f t="shared" si="347"/>
        <v>0</v>
      </c>
      <c r="L2414" s="4">
        <f t="shared" si="347"/>
        <v>0</v>
      </c>
      <c r="M2414" s="4">
        <f t="shared" si="347"/>
        <v>0</v>
      </c>
      <c r="N2414" s="4">
        <f t="shared" si="347"/>
        <v>0</v>
      </c>
      <c r="O2414" s="4">
        <f t="shared" si="348"/>
        <v>0</v>
      </c>
      <c r="P2414" s="4">
        <f t="shared" si="349"/>
        <v>0</v>
      </c>
      <c r="Q2414" s="4">
        <f t="shared" si="350"/>
        <v>0</v>
      </c>
      <c r="R2414" s="4">
        <f t="shared" si="351"/>
        <v>0</v>
      </c>
      <c r="S2414" s="4">
        <f>IF(AND(VLOOKUP(G2414,Dados!$D:$L,2,0)=VLOOKUP(I2414,Dados!$S:$V,2,0),VLOOKUP(G2414,Dados!$D:$L,3,0)=VLOOKUP(I2414,Dados!$S:$V,3,0)),0,1)</f>
        <v>0</v>
      </c>
      <c r="T2414" s="4">
        <f>IF(AND(VLOOKUP(G2414,Dados!$D:$L,3,0)&lt;=VLOOKUP(H2414,Dados!$X:$AB,2,0),VLOOKUP(G2414,Dados!$D:$L,4,0)&gt;=VLOOKUP(H2414,Dados!$X:$AB,3,0),VLOOKUP(G2414,Dados!$D:$L,4,0)&lt;=VLOOKUP(H2414,Dados!$X:$AB,4,0)),0,1)</f>
        <v>0</v>
      </c>
      <c r="U2414" s="4">
        <f>IF(COUNTIFS(F:F,F2414,H:H,H2414)&lt;=VLOOKUP(H2414,Dados!$X:$AB,5,0),0,1)</f>
        <v>0</v>
      </c>
    </row>
    <row r="2415" spans="6:21">
      <c r="F2415" s="4">
        <v>1053</v>
      </c>
      <c r="G2415" s="4">
        <v>66</v>
      </c>
      <c r="H2415" s="4">
        <v>2</v>
      </c>
      <c r="I2415" s="4">
        <v>22</v>
      </c>
      <c r="J2415" s="4">
        <v>1</v>
      </c>
      <c r="K2415" s="4">
        <f t="shared" si="347"/>
        <v>0</v>
      </c>
      <c r="L2415" s="4">
        <f t="shared" si="347"/>
        <v>0</v>
      </c>
      <c r="M2415" s="4">
        <f t="shared" si="347"/>
        <v>0</v>
      </c>
      <c r="N2415" s="4">
        <f t="shared" si="347"/>
        <v>0</v>
      </c>
      <c r="O2415" s="4">
        <f t="shared" si="348"/>
        <v>0</v>
      </c>
      <c r="P2415" s="4">
        <f t="shared" si="349"/>
        <v>0</v>
      </c>
      <c r="Q2415" s="4">
        <f t="shared" si="350"/>
        <v>0</v>
      </c>
      <c r="R2415" s="4">
        <f t="shared" si="351"/>
        <v>0</v>
      </c>
      <c r="S2415" s="4">
        <f>IF(AND(VLOOKUP(G2415,Dados!$D:$L,2,0)=VLOOKUP(I2415,Dados!$S:$V,2,0),VLOOKUP(G2415,Dados!$D:$L,3,0)=VLOOKUP(I2415,Dados!$S:$V,3,0)),0,1)</f>
        <v>0</v>
      </c>
      <c r="T2415" s="4">
        <f>IF(AND(VLOOKUP(G2415,Dados!$D:$L,3,0)&lt;=VLOOKUP(H2415,Dados!$X:$AB,2,0),VLOOKUP(G2415,Dados!$D:$L,4,0)&gt;=VLOOKUP(H2415,Dados!$X:$AB,3,0),VLOOKUP(G2415,Dados!$D:$L,4,0)&lt;=VLOOKUP(H2415,Dados!$X:$AB,4,0)),0,1)</f>
        <v>0</v>
      </c>
      <c r="U2415" s="4">
        <f>IF(COUNTIFS(F:F,F2415,H:H,H2415)&lt;=VLOOKUP(H2415,Dados!$X:$AB,5,0),0,1)</f>
        <v>0</v>
      </c>
    </row>
    <row r="2416" spans="6:21">
      <c r="F2416" s="4">
        <v>1054</v>
      </c>
      <c r="G2416" s="4">
        <v>61</v>
      </c>
      <c r="H2416" s="4">
        <v>3</v>
      </c>
      <c r="I2416" s="4">
        <v>22</v>
      </c>
      <c r="J2416" s="4">
        <v>3</v>
      </c>
      <c r="K2416" s="4">
        <f t="shared" si="347"/>
        <v>0</v>
      </c>
      <c r="L2416" s="4">
        <f t="shared" si="347"/>
        <v>0</v>
      </c>
      <c r="M2416" s="4">
        <f t="shared" si="347"/>
        <v>0</v>
      </c>
      <c r="N2416" s="4">
        <f t="shared" si="347"/>
        <v>0</v>
      </c>
      <c r="O2416" s="4">
        <f t="shared" si="348"/>
        <v>0</v>
      </c>
      <c r="P2416" s="4">
        <f t="shared" si="349"/>
        <v>0</v>
      </c>
      <c r="Q2416" s="4">
        <f t="shared" si="350"/>
        <v>0</v>
      </c>
      <c r="R2416" s="4">
        <f t="shared" si="351"/>
        <v>0</v>
      </c>
      <c r="S2416" s="4">
        <f>IF(AND(VLOOKUP(G2416,Dados!$D:$L,2,0)=VLOOKUP(I2416,Dados!$S:$V,2,0),VLOOKUP(G2416,Dados!$D:$L,3,0)=VLOOKUP(I2416,Dados!$S:$V,3,0)),0,1)</f>
        <v>0</v>
      </c>
      <c r="T2416" s="4">
        <f>IF(AND(VLOOKUP(G2416,Dados!$D:$L,3,0)&lt;=VLOOKUP(H2416,Dados!$X:$AB,2,0),VLOOKUP(G2416,Dados!$D:$L,4,0)&gt;=VLOOKUP(H2416,Dados!$X:$AB,3,0),VLOOKUP(G2416,Dados!$D:$L,4,0)&lt;=VLOOKUP(H2416,Dados!$X:$AB,4,0)),0,1)</f>
        <v>0</v>
      </c>
      <c r="U2416" s="4">
        <f>IF(COUNTIFS(F:F,F2416,H:H,H2416)&lt;=VLOOKUP(H2416,Dados!$X:$AB,5,0),0,1)</f>
        <v>0</v>
      </c>
    </row>
    <row r="2417" spans="6:21">
      <c r="F2417" s="4">
        <v>1054</v>
      </c>
      <c r="G2417" s="4">
        <v>64</v>
      </c>
      <c r="H2417" s="4">
        <v>3</v>
      </c>
      <c r="I2417" s="4">
        <v>22</v>
      </c>
      <c r="J2417" s="4">
        <v>2</v>
      </c>
      <c r="K2417" s="4">
        <f t="shared" si="347"/>
        <v>0</v>
      </c>
      <c r="L2417" s="4">
        <f t="shared" si="347"/>
        <v>0</v>
      </c>
      <c r="M2417" s="4">
        <f t="shared" si="347"/>
        <v>0</v>
      </c>
      <c r="N2417" s="4">
        <f t="shared" si="347"/>
        <v>0</v>
      </c>
      <c r="O2417" s="4">
        <f t="shared" si="348"/>
        <v>0</v>
      </c>
      <c r="P2417" s="4">
        <f t="shared" si="349"/>
        <v>0</v>
      </c>
      <c r="Q2417" s="4">
        <f t="shared" si="350"/>
        <v>0</v>
      </c>
      <c r="R2417" s="4">
        <f t="shared" si="351"/>
        <v>0</v>
      </c>
      <c r="S2417" s="4">
        <f>IF(AND(VLOOKUP(G2417,Dados!$D:$L,2,0)=VLOOKUP(I2417,Dados!$S:$V,2,0),VLOOKUP(G2417,Dados!$D:$L,3,0)=VLOOKUP(I2417,Dados!$S:$V,3,0)),0,1)</f>
        <v>0</v>
      </c>
      <c r="T2417" s="4">
        <f>IF(AND(VLOOKUP(G2417,Dados!$D:$L,3,0)&lt;=VLOOKUP(H2417,Dados!$X:$AB,2,0),VLOOKUP(G2417,Dados!$D:$L,4,0)&gt;=VLOOKUP(H2417,Dados!$X:$AB,3,0),VLOOKUP(G2417,Dados!$D:$L,4,0)&lt;=VLOOKUP(H2417,Dados!$X:$AB,4,0)),0,1)</f>
        <v>0</v>
      </c>
      <c r="U2417" s="4">
        <f>IF(COUNTIFS(F:F,F2417,H:H,H2417)&lt;=VLOOKUP(H2417,Dados!$X:$AB,5,0),0,1)</f>
        <v>0</v>
      </c>
    </row>
    <row r="2418" spans="6:21">
      <c r="F2418" s="4">
        <v>1054</v>
      </c>
      <c r="G2418" s="4">
        <v>66</v>
      </c>
      <c r="H2418" s="4">
        <v>3</v>
      </c>
      <c r="I2418" s="4">
        <v>22</v>
      </c>
      <c r="J2418" s="4">
        <v>1</v>
      </c>
      <c r="K2418" s="4">
        <f t="shared" si="347"/>
        <v>0</v>
      </c>
      <c r="L2418" s="4">
        <f t="shared" si="347"/>
        <v>0</v>
      </c>
      <c r="M2418" s="4">
        <f t="shared" si="347"/>
        <v>0</v>
      </c>
      <c r="N2418" s="4">
        <f t="shared" si="347"/>
        <v>0</v>
      </c>
      <c r="O2418" s="4">
        <f t="shared" si="348"/>
        <v>0</v>
      </c>
      <c r="P2418" s="4">
        <f t="shared" si="349"/>
        <v>0</v>
      </c>
      <c r="Q2418" s="4">
        <f t="shared" si="350"/>
        <v>0</v>
      </c>
      <c r="R2418" s="4">
        <f t="shared" si="351"/>
        <v>0</v>
      </c>
      <c r="S2418" s="4">
        <f>IF(AND(VLOOKUP(G2418,Dados!$D:$L,2,0)=VLOOKUP(I2418,Dados!$S:$V,2,0),VLOOKUP(G2418,Dados!$D:$L,3,0)=VLOOKUP(I2418,Dados!$S:$V,3,0)),0,1)</f>
        <v>0</v>
      </c>
      <c r="T2418" s="4">
        <f>IF(AND(VLOOKUP(G2418,Dados!$D:$L,3,0)&lt;=VLOOKUP(H2418,Dados!$X:$AB,2,0),VLOOKUP(G2418,Dados!$D:$L,4,0)&gt;=VLOOKUP(H2418,Dados!$X:$AB,3,0),VLOOKUP(G2418,Dados!$D:$L,4,0)&lt;=VLOOKUP(H2418,Dados!$X:$AB,4,0)),0,1)</f>
        <v>0</v>
      </c>
      <c r="U2418" s="4">
        <f>IF(COUNTIFS(F:F,F2418,H:H,H2418)&lt;=VLOOKUP(H2418,Dados!$X:$AB,5,0),0,1)</f>
        <v>0</v>
      </c>
    </row>
    <row r="2419" spans="6:21">
      <c r="F2419" s="4">
        <v>1055</v>
      </c>
      <c r="G2419" s="4">
        <v>61</v>
      </c>
      <c r="H2419" s="4">
        <v>1</v>
      </c>
      <c r="I2419" s="4">
        <v>24</v>
      </c>
      <c r="J2419" s="4">
        <v>2</v>
      </c>
      <c r="K2419" s="4">
        <f t="shared" si="347"/>
        <v>0</v>
      </c>
      <c r="L2419" s="4">
        <f t="shared" si="347"/>
        <v>0</v>
      </c>
      <c r="M2419" s="4">
        <f t="shared" si="347"/>
        <v>0</v>
      </c>
      <c r="N2419" s="4">
        <f t="shared" si="347"/>
        <v>0</v>
      </c>
      <c r="O2419" s="4">
        <f t="shared" si="348"/>
        <v>0</v>
      </c>
      <c r="P2419" s="4">
        <f t="shared" si="349"/>
        <v>0</v>
      </c>
      <c r="Q2419" s="4">
        <f t="shared" si="350"/>
        <v>0</v>
      </c>
      <c r="R2419" s="4">
        <f t="shared" si="351"/>
        <v>0</v>
      </c>
      <c r="S2419" s="4">
        <f>IF(AND(VLOOKUP(G2419,Dados!$D:$L,2,0)=VLOOKUP(I2419,Dados!$S:$V,2,0),VLOOKUP(G2419,Dados!$D:$L,3,0)=VLOOKUP(I2419,Dados!$S:$V,3,0)),0,1)</f>
        <v>0</v>
      </c>
      <c r="T2419" s="4">
        <f>IF(AND(VLOOKUP(G2419,Dados!$D:$L,3,0)&lt;=VLOOKUP(H2419,Dados!$X:$AB,2,0),VLOOKUP(G2419,Dados!$D:$L,4,0)&gt;=VLOOKUP(H2419,Dados!$X:$AB,3,0),VLOOKUP(G2419,Dados!$D:$L,4,0)&lt;=VLOOKUP(H2419,Dados!$X:$AB,4,0)),0,1)</f>
        <v>0</v>
      </c>
      <c r="U2419" s="4">
        <f>IF(COUNTIFS(F:F,F2419,H:H,H2419)&lt;=VLOOKUP(H2419,Dados!$X:$AB,5,0),0,1)</f>
        <v>0</v>
      </c>
    </row>
    <row r="2420" spans="6:21">
      <c r="F2420" s="4">
        <v>1055</v>
      </c>
      <c r="G2420" s="4">
        <v>64</v>
      </c>
      <c r="H2420" s="4">
        <v>1</v>
      </c>
      <c r="I2420" s="4">
        <v>24</v>
      </c>
      <c r="J2420" s="4">
        <v>2</v>
      </c>
      <c r="K2420" s="4">
        <f t="shared" si="347"/>
        <v>0</v>
      </c>
      <c r="L2420" s="4">
        <f t="shared" si="347"/>
        <v>0</v>
      </c>
      <c r="M2420" s="4">
        <f t="shared" si="347"/>
        <v>0</v>
      </c>
      <c r="N2420" s="4">
        <f t="shared" si="347"/>
        <v>0</v>
      </c>
      <c r="O2420" s="4">
        <f t="shared" si="348"/>
        <v>0</v>
      </c>
      <c r="P2420" s="4">
        <f t="shared" si="349"/>
        <v>0</v>
      </c>
      <c r="Q2420" s="4">
        <f t="shared" si="350"/>
        <v>0</v>
      </c>
      <c r="R2420" s="4">
        <f t="shared" si="351"/>
        <v>0</v>
      </c>
      <c r="S2420" s="4">
        <f>IF(AND(VLOOKUP(G2420,Dados!$D:$L,2,0)=VLOOKUP(I2420,Dados!$S:$V,2,0),VLOOKUP(G2420,Dados!$D:$L,3,0)=VLOOKUP(I2420,Dados!$S:$V,3,0)),0,1)</f>
        <v>0</v>
      </c>
      <c r="T2420" s="4">
        <f>IF(AND(VLOOKUP(G2420,Dados!$D:$L,3,0)&lt;=VLOOKUP(H2420,Dados!$X:$AB,2,0),VLOOKUP(G2420,Dados!$D:$L,4,0)&gt;=VLOOKUP(H2420,Dados!$X:$AB,3,0),VLOOKUP(G2420,Dados!$D:$L,4,0)&lt;=VLOOKUP(H2420,Dados!$X:$AB,4,0)),0,1)</f>
        <v>0</v>
      </c>
      <c r="U2420" s="4">
        <f>IF(COUNTIFS(F:F,F2420,H:H,H2420)&lt;=VLOOKUP(H2420,Dados!$X:$AB,5,0),0,1)</f>
        <v>0</v>
      </c>
    </row>
    <row r="2421" spans="6:21">
      <c r="F2421" s="4">
        <v>1055</v>
      </c>
      <c r="G2421" s="4">
        <v>66</v>
      </c>
      <c r="H2421" s="4">
        <v>1</v>
      </c>
      <c r="I2421" s="4">
        <v>24</v>
      </c>
      <c r="J2421" s="4">
        <v>2</v>
      </c>
      <c r="K2421" s="4">
        <f t="shared" si="347"/>
        <v>0</v>
      </c>
      <c r="L2421" s="4">
        <f t="shared" si="347"/>
        <v>0</v>
      </c>
      <c r="M2421" s="4">
        <f t="shared" si="347"/>
        <v>0</v>
      </c>
      <c r="N2421" s="4">
        <f t="shared" si="347"/>
        <v>0</v>
      </c>
      <c r="O2421" s="4">
        <f t="shared" si="348"/>
        <v>0</v>
      </c>
      <c r="P2421" s="4">
        <f t="shared" si="349"/>
        <v>0</v>
      </c>
      <c r="Q2421" s="4">
        <f t="shared" si="350"/>
        <v>0</v>
      </c>
      <c r="R2421" s="4">
        <f t="shared" si="351"/>
        <v>0</v>
      </c>
      <c r="S2421" s="4">
        <f>IF(AND(VLOOKUP(G2421,Dados!$D:$L,2,0)=VLOOKUP(I2421,Dados!$S:$V,2,0),VLOOKUP(G2421,Dados!$D:$L,3,0)=VLOOKUP(I2421,Dados!$S:$V,3,0)),0,1)</f>
        <v>0</v>
      </c>
      <c r="T2421" s="4">
        <f>IF(AND(VLOOKUP(G2421,Dados!$D:$L,3,0)&lt;=VLOOKUP(H2421,Dados!$X:$AB,2,0),VLOOKUP(G2421,Dados!$D:$L,4,0)&gt;=VLOOKUP(H2421,Dados!$X:$AB,3,0),VLOOKUP(G2421,Dados!$D:$L,4,0)&lt;=VLOOKUP(H2421,Dados!$X:$AB,4,0)),0,1)</f>
        <v>0</v>
      </c>
      <c r="U2421" s="4">
        <f>IF(COUNTIFS(F:F,F2421,H:H,H2421)&lt;=VLOOKUP(H2421,Dados!$X:$AB,5,0),0,1)</f>
        <v>0</v>
      </c>
    </row>
    <row r="2422" spans="6:21">
      <c r="F2422" s="4">
        <v>1056</v>
      </c>
      <c r="G2422" s="4">
        <v>61</v>
      </c>
      <c r="H2422" s="4">
        <v>2</v>
      </c>
      <c r="I2422" s="4">
        <v>24</v>
      </c>
      <c r="J2422" s="4">
        <v>2</v>
      </c>
      <c r="K2422" s="4">
        <f t="shared" si="347"/>
        <v>0</v>
      </c>
      <c r="L2422" s="4">
        <f t="shared" si="347"/>
        <v>0</v>
      </c>
      <c r="M2422" s="4">
        <f t="shared" si="347"/>
        <v>0</v>
      </c>
      <c r="N2422" s="4">
        <f t="shared" si="347"/>
        <v>0</v>
      </c>
      <c r="O2422" s="4">
        <f t="shared" si="348"/>
        <v>0</v>
      </c>
      <c r="P2422" s="4">
        <f t="shared" si="349"/>
        <v>0</v>
      </c>
      <c r="Q2422" s="4">
        <f t="shared" si="350"/>
        <v>0</v>
      </c>
      <c r="R2422" s="4">
        <f t="shared" si="351"/>
        <v>0</v>
      </c>
      <c r="S2422" s="4">
        <f>IF(AND(VLOOKUP(G2422,Dados!$D:$L,2,0)=VLOOKUP(I2422,Dados!$S:$V,2,0),VLOOKUP(G2422,Dados!$D:$L,3,0)=VLOOKUP(I2422,Dados!$S:$V,3,0)),0,1)</f>
        <v>0</v>
      </c>
      <c r="T2422" s="4">
        <f>IF(AND(VLOOKUP(G2422,Dados!$D:$L,3,0)&lt;=VLOOKUP(H2422,Dados!$X:$AB,2,0),VLOOKUP(G2422,Dados!$D:$L,4,0)&gt;=VLOOKUP(H2422,Dados!$X:$AB,3,0),VLOOKUP(G2422,Dados!$D:$L,4,0)&lt;=VLOOKUP(H2422,Dados!$X:$AB,4,0)),0,1)</f>
        <v>0</v>
      </c>
      <c r="U2422" s="4">
        <f>IF(COUNTIFS(F:F,F2422,H:H,H2422)&lt;=VLOOKUP(H2422,Dados!$X:$AB,5,0),0,1)</f>
        <v>0</v>
      </c>
    </row>
    <row r="2423" spans="6:21">
      <c r="F2423" s="4">
        <v>1056</v>
      </c>
      <c r="G2423" s="4">
        <v>64</v>
      </c>
      <c r="H2423" s="4">
        <v>2</v>
      </c>
      <c r="I2423" s="4">
        <v>24</v>
      </c>
      <c r="J2423" s="4">
        <v>2</v>
      </c>
      <c r="K2423" s="4">
        <f t="shared" si="347"/>
        <v>0</v>
      </c>
      <c r="L2423" s="4">
        <f t="shared" si="347"/>
        <v>0</v>
      </c>
      <c r="M2423" s="4">
        <f t="shared" si="347"/>
        <v>0</v>
      </c>
      <c r="N2423" s="4">
        <f t="shared" si="347"/>
        <v>0</v>
      </c>
      <c r="O2423" s="4">
        <f t="shared" si="348"/>
        <v>0</v>
      </c>
      <c r="P2423" s="4">
        <f t="shared" si="349"/>
        <v>0</v>
      </c>
      <c r="Q2423" s="4">
        <f t="shared" si="350"/>
        <v>0</v>
      </c>
      <c r="R2423" s="4">
        <f t="shared" si="351"/>
        <v>0</v>
      </c>
      <c r="S2423" s="4">
        <f>IF(AND(VLOOKUP(G2423,Dados!$D:$L,2,0)=VLOOKUP(I2423,Dados!$S:$V,2,0),VLOOKUP(G2423,Dados!$D:$L,3,0)=VLOOKUP(I2423,Dados!$S:$V,3,0)),0,1)</f>
        <v>0</v>
      </c>
      <c r="T2423" s="4">
        <f>IF(AND(VLOOKUP(G2423,Dados!$D:$L,3,0)&lt;=VLOOKUP(H2423,Dados!$X:$AB,2,0),VLOOKUP(G2423,Dados!$D:$L,4,0)&gt;=VLOOKUP(H2423,Dados!$X:$AB,3,0),VLOOKUP(G2423,Dados!$D:$L,4,0)&lt;=VLOOKUP(H2423,Dados!$X:$AB,4,0)),0,1)</f>
        <v>0</v>
      </c>
      <c r="U2423" s="4">
        <f>IF(COUNTIFS(F:F,F2423,H:H,H2423)&lt;=VLOOKUP(H2423,Dados!$X:$AB,5,0),0,1)</f>
        <v>0</v>
      </c>
    </row>
    <row r="2424" spans="6:21">
      <c r="F2424" s="4">
        <v>1056</v>
      </c>
      <c r="G2424" s="4">
        <v>66</v>
      </c>
      <c r="H2424" s="4">
        <v>2</v>
      </c>
      <c r="I2424" s="4">
        <v>24</v>
      </c>
      <c r="J2424" s="4">
        <v>2</v>
      </c>
      <c r="K2424" s="4">
        <f t="shared" si="347"/>
        <v>0</v>
      </c>
      <c r="L2424" s="4">
        <f t="shared" si="347"/>
        <v>0</v>
      </c>
      <c r="M2424" s="4">
        <f t="shared" si="347"/>
        <v>0</v>
      </c>
      <c r="N2424" s="4">
        <f t="shared" si="347"/>
        <v>0</v>
      </c>
      <c r="O2424" s="4">
        <f t="shared" si="348"/>
        <v>0</v>
      </c>
      <c r="P2424" s="4">
        <f t="shared" si="349"/>
        <v>0</v>
      </c>
      <c r="Q2424" s="4">
        <f t="shared" si="350"/>
        <v>0</v>
      </c>
      <c r="R2424" s="4">
        <f t="shared" si="351"/>
        <v>0</v>
      </c>
      <c r="S2424" s="4">
        <f>IF(AND(VLOOKUP(G2424,Dados!$D:$L,2,0)=VLOOKUP(I2424,Dados!$S:$V,2,0),VLOOKUP(G2424,Dados!$D:$L,3,0)=VLOOKUP(I2424,Dados!$S:$V,3,0)),0,1)</f>
        <v>0</v>
      </c>
      <c r="T2424" s="4">
        <f>IF(AND(VLOOKUP(G2424,Dados!$D:$L,3,0)&lt;=VLOOKUP(H2424,Dados!$X:$AB,2,0),VLOOKUP(G2424,Dados!$D:$L,4,0)&gt;=VLOOKUP(H2424,Dados!$X:$AB,3,0),VLOOKUP(G2424,Dados!$D:$L,4,0)&lt;=VLOOKUP(H2424,Dados!$X:$AB,4,0)),0,1)</f>
        <v>0</v>
      </c>
      <c r="U2424" s="4">
        <f>IF(COUNTIFS(F:F,F2424,H:H,H2424)&lt;=VLOOKUP(H2424,Dados!$X:$AB,5,0),0,1)</f>
        <v>0</v>
      </c>
    </row>
    <row r="2425" spans="6:21">
      <c r="F2425" s="4">
        <v>1057</v>
      </c>
      <c r="G2425" s="4">
        <v>61</v>
      </c>
      <c r="H2425" s="4">
        <v>3</v>
      </c>
      <c r="I2425" s="4">
        <v>24</v>
      </c>
      <c r="J2425" s="4">
        <v>2</v>
      </c>
      <c r="K2425" s="4">
        <f t="shared" si="347"/>
        <v>0</v>
      </c>
      <c r="L2425" s="4">
        <f t="shared" si="347"/>
        <v>0</v>
      </c>
      <c r="M2425" s="4">
        <f t="shared" si="347"/>
        <v>0</v>
      </c>
      <c r="N2425" s="4">
        <f t="shared" si="347"/>
        <v>0</v>
      </c>
      <c r="O2425" s="4">
        <f t="shared" si="348"/>
        <v>0</v>
      </c>
      <c r="P2425" s="4">
        <f t="shared" si="349"/>
        <v>0</v>
      </c>
      <c r="Q2425" s="4">
        <f t="shared" si="350"/>
        <v>0</v>
      </c>
      <c r="R2425" s="4">
        <f t="shared" si="351"/>
        <v>0</v>
      </c>
      <c r="S2425" s="4">
        <f>IF(AND(VLOOKUP(G2425,Dados!$D:$L,2,0)=VLOOKUP(I2425,Dados!$S:$V,2,0),VLOOKUP(G2425,Dados!$D:$L,3,0)=VLOOKUP(I2425,Dados!$S:$V,3,0)),0,1)</f>
        <v>0</v>
      </c>
      <c r="T2425" s="4">
        <f>IF(AND(VLOOKUP(G2425,Dados!$D:$L,3,0)&lt;=VLOOKUP(H2425,Dados!$X:$AB,2,0),VLOOKUP(G2425,Dados!$D:$L,4,0)&gt;=VLOOKUP(H2425,Dados!$X:$AB,3,0),VLOOKUP(G2425,Dados!$D:$L,4,0)&lt;=VLOOKUP(H2425,Dados!$X:$AB,4,0)),0,1)</f>
        <v>0</v>
      </c>
      <c r="U2425" s="4">
        <f>IF(COUNTIFS(F:F,F2425,H:H,H2425)&lt;=VLOOKUP(H2425,Dados!$X:$AB,5,0),0,1)</f>
        <v>0</v>
      </c>
    </row>
    <row r="2426" spans="6:21">
      <c r="F2426" s="4">
        <v>1057</v>
      </c>
      <c r="G2426" s="4">
        <v>64</v>
      </c>
      <c r="H2426" s="4">
        <v>3</v>
      </c>
      <c r="I2426" s="4">
        <v>24</v>
      </c>
      <c r="J2426" s="4">
        <v>2</v>
      </c>
      <c r="K2426" s="4">
        <f t="shared" si="347"/>
        <v>0</v>
      </c>
      <c r="L2426" s="4">
        <f t="shared" si="347"/>
        <v>0</v>
      </c>
      <c r="M2426" s="4">
        <f t="shared" si="347"/>
        <v>0</v>
      </c>
      <c r="N2426" s="4">
        <f t="shared" si="347"/>
        <v>0</v>
      </c>
      <c r="O2426" s="4">
        <f t="shared" si="348"/>
        <v>0</v>
      </c>
      <c r="P2426" s="4">
        <f t="shared" si="349"/>
        <v>0</v>
      </c>
      <c r="Q2426" s="4">
        <f t="shared" si="350"/>
        <v>0</v>
      </c>
      <c r="R2426" s="4">
        <f t="shared" si="351"/>
        <v>0</v>
      </c>
      <c r="S2426" s="4">
        <f>IF(AND(VLOOKUP(G2426,Dados!$D:$L,2,0)=VLOOKUP(I2426,Dados!$S:$V,2,0),VLOOKUP(G2426,Dados!$D:$L,3,0)=VLOOKUP(I2426,Dados!$S:$V,3,0)),0,1)</f>
        <v>0</v>
      </c>
      <c r="T2426" s="4">
        <f>IF(AND(VLOOKUP(G2426,Dados!$D:$L,3,0)&lt;=VLOOKUP(H2426,Dados!$X:$AB,2,0),VLOOKUP(G2426,Dados!$D:$L,4,0)&gt;=VLOOKUP(H2426,Dados!$X:$AB,3,0),VLOOKUP(G2426,Dados!$D:$L,4,0)&lt;=VLOOKUP(H2426,Dados!$X:$AB,4,0)),0,1)</f>
        <v>0</v>
      </c>
      <c r="U2426" s="4">
        <f>IF(COUNTIFS(F:F,F2426,H:H,H2426)&lt;=VLOOKUP(H2426,Dados!$X:$AB,5,0),0,1)</f>
        <v>0</v>
      </c>
    </row>
    <row r="2427" spans="6:21">
      <c r="F2427" s="4">
        <v>1057</v>
      </c>
      <c r="G2427" s="4">
        <v>66</v>
      </c>
      <c r="H2427" s="4">
        <v>3</v>
      </c>
      <c r="I2427" s="4">
        <v>24</v>
      </c>
      <c r="J2427" s="4">
        <v>2</v>
      </c>
      <c r="K2427" s="4">
        <f t="shared" si="347"/>
        <v>0</v>
      </c>
      <c r="L2427" s="4">
        <f t="shared" si="347"/>
        <v>0</v>
      </c>
      <c r="M2427" s="4">
        <f t="shared" si="347"/>
        <v>0</v>
      </c>
      <c r="N2427" s="4">
        <f t="shared" si="347"/>
        <v>0</v>
      </c>
      <c r="O2427" s="4">
        <f t="shared" si="348"/>
        <v>0</v>
      </c>
      <c r="P2427" s="4">
        <f t="shared" si="349"/>
        <v>0</v>
      </c>
      <c r="Q2427" s="4">
        <f t="shared" si="350"/>
        <v>0</v>
      </c>
      <c r="R2427" s="4">
        <f t="shared" si="351"/>
        <v>0</v>
      </c>
      <c r="S2427" s="4">
        <f>IF(AND(VLOOKUP(G2427,Dados!$D:$L,2,0)=VLOOKUP(I2427,Dados!$S:$V,2,0),VLOOKUP(G2427,Dados!$D:$L,3,0)=VLOOKUP(I2427,Dados!$S:$V,3,0)),0,1)</f>
        <v>0</v>
      </c>
      <c r="T2427" s="4">
        <f>IF(AND(VLOOKUP(G2427,Dados!$D:$L,3,0)&lt;=VLOOKUP(H2427,Dados!$X:$AB,2,0),VLOOKUP(G2427,Dados!$D:$L,4,0)&gt;=VLOOKUP(H2427,Dados!$X:$AB,3,0),VLOOKUP(G2427,Dados!$D:$L,4,0)&lt;=VLOOKUP(H2427,Dados!$X:$AB,4,0)),0,1)</f>
        <v>0</v>
      </c>
      <c r="U2427" s="4">
        <f>IF(COUNTIFS(F:F,F2427,H:H,H2427)&lt;=VLOOKUP(H2427,Dados!$X:$AB,5,0),0,1)</f>
        <v>0</v>
      </c>
    </row>
    <row r="2428" spans="6:21">
      <c r="F2428" s="4">
        <v>1058</v>
      </c>
      <c r="G2428" s="4">
        <v>61</v>
      </c>
      <c r="H2428" s="4">
        <v>1</v>
      </c>
      <c r="I2428" s="4">
        <v>25</v>
      </c>
      <c r="J2428" s="4">
        <v>3</v>
      </c>
      <c r="K2428" s="4">
        <f t="shared" si="347"/>
        <v>0</v>
      </c>
      <c r="L2428" s="4">
        <f t="shared" si="347"/>
        <v>0</v>
      </c>
      <c r="M2428" s="4">
        <f t="shared" si="347"/>
        <v>0</v>
      </c>
      <c r="N2428" s="4">
        <f t="shared" si="347"/>
        <v>0</v>
      </c>
      <c r="O2428" s="4">
        <f t="shared" si="348"/>
        <v>0</v>
      </c>
      <c r="P2428" s="4">
        <f t="shared" si="349"/>
        <v>0</v>
      </c>
      <c r="Q2428" s="4">
        <f t="shared" si="350"/>
        <v>0</v>
      </c>
      <c r="R2428" s="4">
        <f t="shared" si="351"/>
        <v>0</v>
      </c>
      <c r="S2428" s="4">
        <f>IF(AND(VLOOKUP(G2428,Dados!$D:$L,2,0)=VLOOKUP(I2428,Dados!$S:$V,2,0),VLOOKUP(G2428,Dados!$D:$L,3,0)=VLOOKUP(I2428,Dados!$S:$V,3,0)),0,1)</f>
        <v>0</v>
      </c>
      <c r="T2428" s="4">
        <f>IF(AND(VLOOKUP(G2428,Dados!$D:$L,3,0)&lt;=VLOOKUP(H2428,Dados!$X:$AB,2,0),VLOOKUP(G2428,Dados!$D:$L,4,0)&gt;=VLOOKUP(H2428,Dados!$X:$AB,3,0),VLOOKUP(G2428,Dados!$D:$L,4,0)&lt;=VLOOKUP(H2428,Dados!$X:$AB,4,0)),0,1)</f>
        <v>0</v>
      </c>
      <c r="U2428" s="4">
        <f>IF(COUNTIFS(F:F,F2428,H:H,H2428)&lt;=VLOOKUP(H2428,Dados!$X:$AB,5,0),0,1)</f>
        <v>0</v>
      </c>
    </row>
    <row r="2429" spans="6:21">
      <c r="F2429" s="4">
        <v>1058</v>
      </c>
      <c r="G2429" s="4">
        <v>64</v>
      </c>
      <c r="H2429" s="4">
        <v>1</v>
      </c>
      <c r="I2429" s="4">
        <v>25</v>
      </c>
      <c r="J2429" s="4">
        <v>2</v>
      </c>
      <c r="K2429" s="4">
        <f t="shared" si="347"/>
        <v>0</v>
      </c>
      <c r="L2429" s="4">
        <f t="shared" si="347"/>
        <v>0</v>
      </c>
      <c r="M2429" s="4">
        <f t="shared" si="347"/>
        <v>0</v>
      </c>
      <c r="N2429" s="4">
        <f t="shared" si="347"/>
        <v>0</v>
      </c>
      <c r="O2429" s="4">
        <f t="shared" si="348"/>
        <v>0</v>
      </c>
      <c r="P2429" s="4">
        <f t="shared" si="349"/>
        <v>0</v>
      </c>
      <c r="Q2429" s="4">
        <f t="shared" si="350"/>
        <v>0</v>
      </c>
      <c r="R2429" s="4">
        <f t="shared" si="351"/>
        <v>0</v>
      </c>
      <c r="S2429" s="4">
        <f>IF(AND(VLOOKUP(G2429,Dados!$D:$L,2,0)=VLOOKUP(I2429,Dados!$S:$V,2,0),VLOOKUP(G2429,Dados!$D:$L,3,0)=VLOOKUP(I2429,Dados!$S:$V,3,0)),0,1)</f>
        <v>0</v>
      </c>
      <c r="T2429" s="4">
        <f>IF(AND(VLOOKUP(G2429,Dados!$D:$L,3,0)&lt;=VLOOKUP(H2429,Dados!$X:$AB,2,0),VLOOKUP(G2429,Dados!$D:$L,4,0)&gt;=VLOOKUP(H2429,Dados!$X:$AB,3,0),VLOOKUP(G2429,Dados!$D:$L,4,0)&lt;=VLOOKUP(H2429,Dados!$X:$AB,4,0)),0,1)</f>
        <v>0</v>
      </c>
      <c r="U2429" s="4">
        <f>IF(COUNTIFS(F:F,F2429,H:H,H2429)&lt;=VLOOKUP(H2429,Dados!$X:$AB,5,0),0,1)</f>
        <v>0</v>
      </c>
    </row>
    <row r="2430" spans="6:21">
      <c r="F2430" s="4">
        <v>1058</v>
      </c>
      <c r="G2430" s="4">
        <v>66</v>
      </c>
      <c r="H2430" s="4">
        <v>1</v>
      </c>
      <c r="I2430" s="4">
        <v>25</v>
      </c>
      <c r="J2430" s="4">
        <v>2</v>
      </c>
      <c r="K2430" s="4">
        <f t="shared" si="347"/>
        <v>0</v>
      </c>
      <c r="L2430" s="4">
        <f t="shared" si="347"/>
        <v>0</v>
      </c>
      <c r="M2430" s="4">
        <f t="shared" si="347"/>
        <v>0</v>
      </c>
      <c r="N2430" s="4">
        <f t="shared" si="347"/>
        <v>0</v>
      </c>
      <c r="O2430" s="4">
        <f t="shared" si="348"/>
        <v>0</v>
      </c>
      <c r="P2430" s="4">
        <f t="shared" si="349"/>
        <v>0</v>
      </c>
      <c r="Q2430" s="4">
        <f t="shared" si="350"/>
        <v>0</v>
      </c>
      <c r="R2430" s="4">
        <f t="shared" si="351"/>
        <v>0</v>
      </c>
      <c r="S2430" s="4">
        <f>IF(AND(VLOOKUP(G2430,Dados!$D:$L,2,0)=VLOOKUP(I2430,Dados!$S:$V,2,0),VLOOKUP(G2430,Dados!$D:$L,3,0)=VLOOKUP(I2430,Dados!$S:$V,3,0)),0,1)</f>
        <v>0</v>
      </c>
      <c r="T2430" s="4">
        <f>IF(AND(VLOOKUP(G2430,Dados!$D:$L,3,0)&lt;=VLOOKUP(H2430,Dados!$X:$AB,2,0),VLOOKUP(G2430,Dados!$D:$L,4,0)&gt;=VLOOKUP(H2430,Dados!$X:$AB,3,0),VLOOKUP(G2430,Dados!$D:$L,4,0)&lt;=VLOOKUP(H2430,Dados!$X:$AB,4,0)),0,1)</f>
        <v>0</v>
      </c>
      <c r="U2430" s="4">
        <f>IF(COUNTIFS(F:F,F2430,H:H,H2430)&lt;=VLOOKUP(H2430,Dados!$X:$AB,5,0),0,1)</f>
        <v>0</v>
      </c>
    </row>
    <row r="2431" spans="6:21">
      <c r="F2431" s="4">
        <v>1059</v>
      </c>
      <c r="G2431" s="4">
        <v>61</v>
      </c>
      <c r="H2431" s="4">
        <v>2</v>
      </c>
      <c r="I2431" s="4">
        <v>25</v>
      </c>
      <c r="J2431" s="4">
        <v>3</v>
      </c>
      <c r="K2431" s="4">
        <f t="shared" si="347"/>
        <v>0</v>
      </c>
      <c r="L2431" s="4">
        <f t="shared" si="347"/>
        <v>0</v>
      </c>
      <c r="M2431" s="4">
        <f t="shared" si="347"/>
        <v>0</v>
      </c>
      <c r="N2431" s="4">
        <f t="shared" si="347"/>
        <v>0</v>
      </c>
      <c r="O2431" s="4">
        <f t="shared" si="348"/>
        <v>0</v>
      </c>
      <c r="P2431" s="4">
        <f t="shared" si="349"/>
        <v>0</v>
      </c>
      <c r="Q2431" s="4">
        <f t="shared" si="350"/>
        <v>0</v>
      </c>
      <c r="R2431" s="4">
        <f t="shared" si="351"/>
        <v>0</v>
      </c>
      <c r="S2431" s="4">
        <f>IF(AND(VLOOKUP(G2431,Dados!$D:$L,2,0)=VLOOKUP(I2431,Dados!$S:$V,2,0),VLOOKUP(G2431,Dados!$D:$L,3,0)=VLOOKUP(I2431,Dados!$S:$V,3,0)),0,1)</f>
        <v>0</v>
      </c>
      <c r="T2431" s="4">
        <f>IF(AND(VLOOKUP(G2431,Dados!$D:$L,3,0)&lt;=VLOOKUP(H2431,Dados!$X:$AB,2,0),VLOOKUP(G2431,Dados!$D:$L,4,0)&gt;=VLOOKUP(H2431,Dados!$X:$AB,3,0),VLOOKUP(G2431,Dados!$D:$L,4,0)&lt;=VLOOKUP(H2431,Dados!$X:$AB,4,0)),0,1)</f>
        <v>0</v>
      </c>
      <c r="U2431" s="4">
        <f>IF(COUNTIFS(F:F,F2431,H:H,H2431)&lt;=VLOOKUP(H2431,Dados!$X:$AB,5,0),0,1)</f>
        <v>0</v>
      </c>
    </row>
    <row r="2432" spans="6:21">
      <c r="F2432" s="4">
        <v>1059</v>
      </c>
      <c r="G2432" s="4">
        <v>64</v>
      </c>
      <c r="H2432" s="4">
        <v>2</v>
      </c>
      <c r="I2432" s="4">
        <v>25</v>
      </c>
      <c r="J2432" s="4">
        <v>2</v>
      </c>
      <c r="K2432" s="4">
        <f t="shared" si="347"/>
        <v>0</v>
      </c>
      <c r="L2432" s="4">
        <f t="shared" si="347"/>
        <v>0</v>
      </c>
      <c r="M2432" s="4">
        <f t="shared" si="347"/>
        <v>0</v>
      </c>
      <c r="N2432" s="4">
        <f t="shared" si="347"/>
        <v>0</v>
      </c>
      <c r="O2432" s="4">
        <f t="shared" si="348"/>
        <v>0</v>
      </c>
      <c r="P2432" s="4">
        <f t="shared" si="349"/>
        <v>0</v>
      </c>
      <c r="Q2432" s="4">
        <f t="shared" si="350"/>
        <v>0</v>
      </c>
      <c r="R2432" s="4">
        <f t="shared" si="351"/>
        <v>0</v>
      </c>
      <c r="S2432" s="4">
        <f>IF(AND(VLOOKUP(G2432,Dados!$D:$L,2,0)=VLOOKUP(I2432,Dados!$S:$V,2,0),VLOOKUP(G2432,Dados!$D:$L,3,0)=VLOOKUP(I2432,Dados!$S:$V,3,0)),0,1)</f>
        <v>0</v>
      </c>
      <c r="T2432" s="4">
        <f>IF(AND(VLOOKUP(G2432,Dados!$D:$L,3,0)&lt;=VLOOKUP(H2432,Dados!$X:$AB,2,0),VLOOKUP(G2432,Dados!$D:$L,4,0)&gt;=VLOOKUP(H2432,Dados!$X:$AB,3,0),VLOOKUP(G2432,Dados!$D:$L,4,0)&lt;=VLOOKUP(H2432,Dados!$X:$AB,4,0)),0,1)</f>
        <v>0</v>
      </c>
      <c r="U2432" s="4">
        <f>IF(COUNTIFS(F:F,F2432,H:H,H2432)&lt;=VLOOKUP(H2432,Dados!$X:$AB,5,0),0,1)</f>
        <v>0</v>
      </c>
    </row>
    <row r="2433" spans="6:21">
      <c r="F2433" s="4">
        <v>1059</v>
      </c>
      <c r="G2433" s="4">
        <v>66</v>
      </c>
      <c r="H2433" s="4">
        <v>2</v>
      </c>
      <c r="I2433" s="4">
        <v>25</v>
      </c>
      <c r="J2433" s="4">
        <v>2</v>
      </c>
      <c r="K2433" s="4">
        <f t="shared" si="347"/>
        <v>0</v>
      </c>
      <c r="L2433" s="4">
        <f t="shared" si="347"/>
        <v>0</v>
      </c>
      <c r="M2433" s="4">
        <f t="shared" si="347"/>
        <v>0</v>
      </c>
      <c r="N2433" s="4">
        <f t="shared" si="347"/>
        <v>0</v>
      </c>
      <c r="O2433" s="4">
        <f t="shared" si="348"/>
        <v>0</v>
      </c>
      <c r="P2433" s="4">
        <f t="shared" si="349"/>
        <v>0</v>
      </c>
      <c r="Q2433" s="4">
        <f t="shared" si="350"/>
        <v>0</v>
      </c>
      <c r="R2433" s="4">
        <f t="shared" si="351"/>
        <v>0</v>
      </c>
      <c r="S2433" s="4">
        <f>IF(AND(VLOOKUP(G2433,Dados!$D:$L,2,0)=VLOOKUP(I2433,Dados!$S:$V,2,0),VLOOKUP(G2433,Dados!$D:$L,3,0)=VLOOKUP(I2433,Dados!$S:$V,3,0)),0,1)</f>
        <v>0</v>
      </c>
      <c r="T2433" s="4">
        <f>IF(AND(VLOOKUP(G2433,Dados!$D:$L,3,0)&lt;=VLOOKUP(H2433,Dados!$X:$AB,2,0),VLOOKUP(G2433,Dados!$D:$L,4,0)&gt;=VLOOKUP(H2433,Dados!$X:$AB,3,0),VLOOKUP(G2433,Dados!$D:$L,4,0)&lt;=VLOOKUP(H2433,Dados!$X:$AB,4,0)),0,1)</f>
        <v>0</v>
      </c>
      <c r="U2433" s="4">
        <f>IF(COUNTIFS(F:F,F2433,H:H,H2433)&lt;=VLOOKUP(H2433,Dados!$X:$AB,5,0),0,1)</f>
        <v>0</v>
      </c>
    </row>
    <row r="2434" spans="6:21">
      <c r="F2434" s="4">
        <v>1060</v>
      </c>
      <c r="G2434" s="4">
        <v>61</v>
      </c>
      <c r="H2434" s="4">
        <v>3</v>
      </c>
      <c r="I2434" s="4">
        <v>25</v>
      </c>
      <c r="J2434" s="4">
        <v>3</v>
      </c>
      <c r="K2434" s="4">
        <f t="shared" si="347"/>
        <v>0</v>
      </c>
      <c r="L2434" s="4">
        <f t="shared" si="347"/>
        <v>0</v>
      </c>
      <c r="M2434" s="4">
        <f t="shared" si="347"/>
        <v>0</v>
      </c>
      <c r="N2434" s="4">
        <f t="shared" si="347"/>
        <v>0</v>
      </c>
      <c r="O2434" s="4">
        <f t="shared" si="348"/>
        <v>0</v>
      </c>
      <c r="P2434" s="4">
        <f t="shared" si="349"/>
        <v>0</v>
      </c>
      <c r="Q2434" s="4">
        <f t="shared" si="350"/>
        <v>0</v>
      </c>
      <c r="R2434" s="4">
        <f t="shared" si="351"/>
        <v>0</v>
      </c>
      <c r="S2434" s="4">
        <f>IF(AND(VLOOKUP(G2434,Dados!$D:$L,2,0)=VLOOKUP(I2434,Dados!$S:$V,2,0),VLOOKUP(G2434,Dados!$D:$L,3,0)=VLOOKUP(I2434,Dados!$S:$V,3,0)),0,1)</f>
        <v>0</v>
      </c>
      <c r="T2434" s="4">
        <f>IF(AND(VLOOKUP(G2434,Dados!$D:$L,3,0)&lt;=VLOOKUP(H2434,Dados!$X:$AB,2,0),VLOOKUP(G2434,Dados!$D:$L,4,0)&gt;=VLOOKUP(H2434,Dados!$X:$AB,3,0),VLOOKUP(G2434,Dados!$D:$L,4,0)&lt;=VLOOKUP(H2434,Dados!$X:$AB,4,0)),0,1)</f>
        <v>0</v>
      </c>
      <c r="U2434" s="4">
        <f>IF(COUNTIFS(F:F,F2434,H:H,H2434)&lt;=VLOOKUP(H2434,Dados!$X:$AB,5,0),0,1)</f>
        <v>0</v>
      </c>
    </row>
    <row r="2435" spans="6:21">
      <c r="F2435" s="4">
        <v>1060</v>
      </c>
      <c r="G2435" s="4">
        <v>64</v>
      </c>
      <c r="H2435" s="4">
        <v>3</v>
      </c>
      <c r="I2435" s="4">
        <v>25</v>
      </c>
      <c r="J2435" s="4">
        <v>2</v>
      </c>
      <c r="K2435" s="4">
        <f t="shared" si="347"/>
        <v>0</v>
      </c>
      <c r="L2435" s="4">
        <f t="shared" si="347"/>
        <v>0</v>
      </c>
      <c r="M2435" s="4">
        <f t="shared" si="347"/>
        <v>0</v>
      </c>
      <c r="N2435" s="4">
        <f t="shared" si="347"/>
        <v>0</v>
      </c>
      <c r="O2435" s="4">
        <f t="shared" si="348"/>
        <v>0</v>
      </c>
      <c r="P2435" s="4">
        <f t="shared" si="349"/>
        <v>0</v>
      </c>
      <c r="Q2435" s="4">
        <f t="shared" si="350"/>
        <v>0</v>
      </c>
      <c r="R2435" s="4">
        <f t="shared" si="351"/>
        <v>0</v>
      </c>
      <c r="S2435" s="4">
        <f>IF(AND(VLOOKUP(G2435,Dados!$D:$L,2,0)=VLOOKUP(I2435,Dados!$S:$V,2,0),VLOOKUP(G2435,Dados!$D:$L,3,0)=VLOOKUP(I2435,Dados!$S:$V,3,0)),0,1)</f>
        <v>0</v>
      </c>
      <c r="T2435" s="4">
        <f>IF(AND(VLOOKUP(G2435,Dados!$D:$L,3,0)&lt;=VLOOKUP(H2435,Dados!$X:$AB,2,0),VLOOKUP(G2435,Dados!$D:$L,4,0)&gt;=VLOOKUP(H2435,Dados!$X:$AB,3,0),VLOOKUP(G2435,Dados!$D:$L,4,0)&lt;=VLOOKUP(H2435,Dados!$X:$AB,4,0)),0,1)</f>
        <v>0</v>
      </c>
      <c r="U2435" s="4">
        <f>IF(COUNTIFS(F:F,F2435,H:H,H2435)&lt;=VLOOKUP(H2435,Dados!$X:$AB,5,0),0,1)</f>
        <v>0</v>
      </c>
    </row>
    <row r="2436" spans="6:21">
      <c r="F2436" s="4">
        <v>1060</v>
      </c>
      <c r="G2436" s="4">
        <v>66</v>
      </c>
      <c r="H2436" s="4">
        <v>3</v>
      </c>
      <c r="I2436" s="4">
        <v>25</v>
      </c>
      <c r="J2436" s="4">
        <v>2</v>
      </c>
      <c r="K2436" s="4">
        <f t="shared" si="347"/>
        <v>0</v>
      </c>
      <c r="L2436" s="4">
        <f t="shared" si="347"/>
        <v>0</v>
      </c>
      <c r="M2436" s="4">
        <f t="shared" si="347"/>
        <v>0</v>
      </c>
      <c r="N2436" s="4">
        <f t="shared" si="347"/>
        <v>0</v>
      </c>
      <c r="O2436" s="4">
        <f t="shared" si="348"/>
        <v>0</v>
      </c>
      <c r="P2436" s="4">
        <f t="shared" si="349"/>
        <v>0</v>
      </c>
      <c r="Q2436" s="4">
        <f t="shared" si="350"/>
        <v>0</v>
      </c>
      <c r="R2436" s="4">
        <f t="shared" si="351"/>
        <v>0</v>
      </c>
      <c r="S2436" s="4">
        <f>IF(AND(VLOOKUP(G2436,Dados!$D:$L,2,0)=VLOOKUP(I2436,Dados!$S:$V,2,0),VLOOKUP(G2436,Dados!$D:$L,3,0)=VLOOKUP(I2436,Dados!$S:$V,3,0)),0,1)</f>
        <v>0</v>
      </c>
      <c r="T2436" s="4">
        <f>IF(AND(VLOOKUP(G2436,Dados!$D:$L,3,0)&lt;=VLOOKUP(H2436,Dados!$X:$AB,2,0),VLOOKUP(G2436,Dados!$D:$L,4,0)&gt;=VLOOKUP(H2436,Dados!$X:$AB,3,0),VLOOKUP(G2436,Dados!$D:$L,4,0)&lt;=VLOOKUP(H2436,Dados!$X:$AB,4,0)),0,1)</f>
        <v>0</v>
      </c>
      <c r="U2436" s="4">
        <f>IF(COUNTIFS(F:F,F2436,H:H,H2436)&lt;=VLOOKUP(H2436,Dados!$X:$AB,5,0),0,1)</f>
        <v>0</v>
      </c>
    </row>
    <row r="2437" spans="6:21">
      <c r="F2437" s="4">
        <v>1061</v>
      </c>
      <c r="G2437" s="4">
        <v>59</v>
      </c>
      <c r="H2437" s="4">
        <v>1</v>
      </c>
      <c r="I2437" s="4">
        <v>27</v>
      </c>
      <c r="J2437" s="4">
        <v>1</v>
      </c>
      <c r="K2437" s="4">
        <f t="shared" si="347"/>
        <v>0</v>
      </c>
      <c r="L2437" s="4">
        <f t="shared" si="347"/>
        <v>0</v>
      </c>
      <c r="M2437" s="4">
        <f t="shared" si="347"/>
        <v>0</v>
      </c>
      <c r="N2437" s="4">
        <f t="shared" si="347"/>
        <v>0</v>
      </c>
      <c r="O2437" s="4">
        <f t="shared" si="348"/>
        <v>0</v>
      </c>
      <c r="P2437" s="4">
        <f t="shared" si="349"/>
        <v>0</v>
      </c>
      <c r="Q2437" s="4">
        <f t="shared" si="350"/>
        <v>0</v>
      </c>
      <c r="R2437" s="4">
        <f t="shared" si="351"/>
        <v>0</v>
      </c>
      <c r="S2437" s="4">
        <f>IF(AND(VLOOKUP(G2437,Dados!$D:$L,2,0)=VLOOKUP(I2437,Dados!$S:$V,2,0),VLOOKUP(G2437,Dados!$D:$L,3,0)=VLOOKUP(I2437,Dados!$S:$V,3,0)),0,1)</f>
        <v>0</v>
      </c>
      <c r="T2437" s="4">
        <f>IF(AND(VLOOKUP(G2437,Dados!$D:$L,3,0)&lt;=VLOOKUP(H2437,Dados!$X:$AB,2,0),VLOOKUP(G2437,Dados!$D:$L,4,0)&gt;=VLOOKUP(H2437,Dados!$X:$AB,3,0),VLOOKUP(G2437,Dados!$D:$L,4,0)&lt;=VLOOKUP(H2437,Dados!$X:$AB,4,0)),0,1)</f>
        <v>0</v>
      </c>
      <c r="U2437" s="4">
        <f>IF(COUNTIFS(F:F,F2437,H:H,H2437)&lt;=VLOOKUP(H2437,Dados!$X:$AB,5,0),0,1)</f>
        <v>0</v>
      </c>
    </row>
    <row r="2438" spans="6:21">
      <c r="F2438" s="4">
        <v>1061</v>
      </c>
      <c r="G2438" s="4">
        <v>64</v>
      </c>
      <c r="H2438" s="4">
        <v>1</v>
      </c>
      <c r="I2438" s="4">
        <v>27</v>
      </c>
      <c r="J2438" s="4">
        <v>6</v>
      </c>
      <c r="K2438" s="4">
        <f t="shared" si="347"/>
        <v>0</v>
      </c>
      <c r="L2438" s="4">
        <f t="shared" si="347"/>
        <v>0</v>
      </c>
      <c r="M2438" s="4">
        <f t="shared" si="347"/>
        <v>0</v>
      </c>
      <c r="N2438" s="4">
        <f t="shared" si="347"/>
        <v>0</v>
      </c>
      <c r="O2438" s="4">
        <f t="shared" si="348"/>
        <v>0</v>
      </c>
      <c r="P2438" s="4">
        <f t="shared" si="349"/>
        <v>0</v>
      </c>
      <c r="Q2438" s="4">
        <f t="shared" si="350"/>
        <v>0</v>
      </c>
      <c r="R2438" s="4">
        <f t="shared" si="351"/>
        <v>0</v>
      </c>
      <c r="S2438" s="4">
        <f>IF(AND(VLOOKUP(G2438,Dados!$D:$L,2,0)=VLOOKUP(I2438,Dados!$S:$V,2,0),VLOOKUP(G2438,Dados!$D:$L,3,0)=VLOOKUP(I2438,Dados!$S:$V,3,0)),0,1)</f>
        <v>0</v>
      </c>
      <c r="T2438" s="4">
        <f>IF(AND(VLOOKUP(G2438,Dados!$D:$L,3,0)&lt;=VLOOKUP(H2438,Dados!$X:$AB,2,0),VLOOKUP(G2438,Dados!$D:$L,4,0)&gt;=VLOOKUP(H2438,Dados!$X:$AB,3,0),VLOOKUP(G2438,Dados!$D:$L,4,0)&lt;=VLOOKUP(H2438,Dados!$X:$AB,4,0)),0,1)</f>
        <v>0</v>
      </c>
      <c r="U2438" s="4">
        <f>IF(COUNTIFS(F:F,F2438,H:H,H2438)&lt;=VLOOKUP(H2438,Dados!$X:$AB,5,0),0,1)</f>
        <v>0</v>
      </c>
    </row>
    <row r="2439" spans="6:21">
      <c r="F2439" s="4">
        <v>1061</v>
      </c>
      <c r="G2439" s="4">
        <v>66</v>
      </c>
      <c r="H2439" s="4">
        <v>1</v>
      </c>
      <c r="I2439" s="4">
        <v>27</v>
      </c>
      <c r="J2439" s="4">
        <v>1</v>
      </c>
      <c r="K2439" s="4">
        <f t="shared" si="347"/>
        <v>0</v>
      </c>
      <c r="L2439" s="4">
        <f t="shared" si="347"/>
        <v>0</v>
      </c>
      <c r="M2439" s="4">
        <f t="shared" si="347"/>
        <v>0</v>
      </c>
      <c r="N2439" s="4">
        <f t="shared" si="347"/>
        <v>0</v>
      </c>
      <c r="O2439" s="4">
        <f t="shared" si="348"/>
        <v>0</v>
      </c>
      <c r="P2439" s="4">
        <f t="shared" si="349"/>
        <v>0</v>
      </c>
      <c r="Q2439" s="4">
        <f t="shared" si="350"/>
        <v>0</v>
      </c>
      <c r="R2439" s="4">
        <f t="shared" si="351"/>
        <v>0</v>
      </c>
      <c r="S2439" s="4">
        <f>IF(AND(VLOOKUP(G2439,Dados!$D:$L,2,0)=VLOOKUP(I2439,Dados!$S:$V,2,0),VLOOKUP(G2439,Dados!$D:$L,3,0)=VLOOKUP(I2439,Dados!$S:$V,3,0)),0,1)</f>
        <v>0</v>
      </c>
      <c r="T2439" s="4">
        <f>IF(AND(VLOOKUP(G2439,Dados!$D:$L,3,0)&lt;=VLOOKUP(H2439,Dados!$X:$AB,2,0),VLOOKUP(G2439,Dados!$D:$L,4,0)&gt;=VLOOKUP(H2439,Dados!$X:$AB,3,0),VLOOKUP(G2439,Dados!$D:$L,4,0)&lt;=VLOOKUP(H2439,Dados!$X:$AB,4,0)),0,1)</f>
        <v>0</v>
      </c>
      <c r="U2439" s="4">
        <f>IF(COUNTIFS(F:F,F2439,H:H,H2439)&lt;=VLOOKUP(H2439,Dados!$X:$AB,5,0),0,1)</f>
        <v>0</v>
      </c>
    </row>
    <row r="2440" spans="6:21">
      <c r="F2440" s="4">
        <v>1062</v>
      </c>
      <c r="G2440" s="4">
        <v>59</v>
      </c>
      <c r="H2440" s="4">
        <v>2</v>
      </c>
      <c r="I2440" s="4">
        <v>27</v>
      </c>
      <c r="J2440" s="4">
        <v>1</v>
      </c>
      <c r="K2440" s="4">
        <f t="shared" si="347"/>
        <v>0</v>
      </c>
      <c r="L2440" s="4">
        <f t="shared" si="347"/>
        <v>0</v>
      </c>
      <c r="M2440" s="4">
        <f t="shared" si="347"/>
        <v>0</v>
      </c>
      <c r="N2440" s="4">
        <f t="shared" si="347"/>
        <v>0</v>
      </c>
      <c r="O2440" s="4">
        <f t="shared" si="348"/>
        <v>0</v>
      </c>
      <c r="P2440" s="4">
        <f t="shared" si="349"/>
        <v>0</v>
      </c>
      <c r="Q2440" s="4">
        <f t="shared" si="350"/>
        <v>0</v>
      </c>
      <c r="R2440" s="4">
        <f t="shared" si="351"/>
        <v>0</v>
      </c>
      <c r="S2440" s="4">
        <f>IF(AND(VLOOKUP(G2440,Dados!$D:$L,2,0)=VLOOKUP(I2440,Dados!$S:$V,2,0),VLOOKUP(G2440,Dados!$D:$L,3,0)=VLOOKUP(I2440,Dados!$S:$V,3,0)),0,1)</f>
        <v>0</v>
      </c>
      <c r="T2440" s="4">
        <f>IF(AND(VLOOKUP(G2440,Dados!$D:$L,3,0)&lt;=VLOOKUP(H2440,Dados!$X:$AB,2,0),VLOOKUP(G2440,Dados!$D:$L,4,0)&gt;=VLOOKUP(H2440,Dados!$X:$AB,3,0),VLOOKUP(G2440,Dados!$D:$L,4,0)&lt;=VLOOKUP(H2440,Dados!$X:$AB,4,0)),0,1)</f>
        <v>0</v>
      </c>
      <c r="U2440" s="4">
        <f>IF(COUNTIFS(F:F,F2440,H:H,H2440)&lt;=VLOOKUP(H2440,Dados!$X:$AB,5,0),0,1)</f>
        <v>0</v>
      </c>
    </row>
    <row r="2441" spans="6:21">
      <c r="F2441" s="4">
        <v>1062</v>
      </c>
      <c r="G2441" s="4">
        <v>64</v>
      </c>
      <c r="H2441" s="4">
        <v>2</v>
      </c>
      <c r="I2441" s="4">
        <v>27</v>
      </c>
      <c r="J2441" s="4">
        <v>6</v>
      </c>
      <c r="K2441" s="4">
        <f t="shared" si="347"/>
        <v>0</v>
      </c>
      <c r="L2441" s="4">
        <f t="shared" si="347"/>
        <v>0</v>
      </c>
      <c r="M2441" s="4">
        <f t="shared" si="347"/>
        <v>0</v>
      </c>
      <c r="N2441" s="4">
        <f t="shared" si="347"/>
        <v>0</v>
      </c>
      <c r="O2441" s="4">
        <f t="shared" si="348"/>
        <v>0</v>
      </c>
      <c r="P2441" s="4">
        <f t="shared" si="349"/>
        <v>0</v>
      </c>
      <c r="Q2441" s="4">
        <f t="shared" si="350"/>
        <v>0</v>
      </c>
      <c r="R2441" s="4">
        <f t="shared" si="351"/>
        <v>0</v>
      </c>
      <c r="S2441" s="4">
        <f>IF(AND(VLOOKUP(G2441,Dados!$D:$L,2,0)=VLOOKUP(I2441,Dados!$S:$V,2,0),VLOOKUP(G2441,Dados!$D:$L,3,0)=VLOOKUP(I2441,Dados!$S:$V,3,0)),0,1)</f>
        <v>0</v>
      </c>
      <c r="T2441" s="4">
        <f>IF(AND(VLOOKUP(G2441,Dados!$D:$L,3,0)&lt;=VLOOKUP(H2441,Dados!$X:$AB,2,0),VLOOKUP(G2441,Dados!$D:$L,4,0)&gt;=VLOOKUP(H2441,Dados!$X:$AB,3,0),VLOOKUP(G2441,Dados!$D:$L,4,0)&lt;=VLOOKUP(H2441,Dados!$X:$AB,4,0)),0,1)</f>
        <v>0</v>
      </c>
      <c r="U2441" s="4">
        <f>IF(COUNTIFS(F:F,F2441,H:H,H2441)&lt;=VLOOKUP(H2441,Dados!$X:$AB,5,0),0,1)</f>
        <v>0</v>
      </c>
    </row>
    <row r="2442" spans="6:21">
      <c r="F2442" s="4">
        <v>1062</v>
      </c>
      <c r="G2442" s="4">
        <v>66</v>
      </c>
      <c r="H2442" s="4">
        <v>2</v>
      </c>
      <c r="I2442" s="4">
        <v>27</v>
      </c>
      <c r="J2442" s="4">
        <v>1</v>
      </c>
      <c r="K2442" s="4">
        <f t="shared" si="347"/>
        <v>0</v>
      </c>
      <c r="L2442" s="4">
        <f t="shared" si="347"/>
        <v>0</v>
      </c>
      <c r="M2442" s="4">
        <f t="shared" si="347"/>
        <v>0</v>
      </c>
      <c r="N2442" s="4">
        <f t="shared" si="347"/>
        <v>0</v>
      </c>
      <c r="O2442" s="4">
        <f t="shared" si="348"/>
        <v>0</v>
      </c>
      <c r="P2442" s="4">
        <f t="shared" si="349"/>
        <v>0</v>
      </c>
      <c r="Q2442" s="4">
        <f t="shared" si="350"/>
        <v>0</v>
      </c>
      <c r="R2442" s="4">
        <f t="shared" si="351"/>
        <v>0</v>
      </c>
      <c r="S2442" s="4">
        <f>IF(AND(VLOOKUP(G2442,Dados!$D:$L,2,0)=VLOOKUP(I2442,Dados!$S:$V,2,0),VLOOKUP(G2442,Dados!$D:$L,3,0)=VLOOKUP(I2442,Dados!$S:$V,3,0)),0,1)</f>
        <v>0</v>
      </c>
      <c r="T2442" s="4">
        <f>IF(AND(VLOOKUP(G2442,Dados!$D:$L,3,0)&lt;=VLOOKUP(H2442,Dados!$X:$AB,2,0),VLOOKUP(G2442,Dados!$D:$L,4,0)&gt;=VLOOKUP(H2442,Dados!$X:$AB,3,0),VLOOKUP(G2442,Dados!$D:$L,4,0)&lt;=VLOOKUP(H2442,Dados!$X:$AB,4,0)),0,1)</f>
        <v>0</v>
      </c>
      <c r="U2442" s="4">
        <f>IF(COUNTIFS(F:F,F2442,H:H,H2442)&lt;=VLOOKUP(H2442,Dados!$X:$AB,5,0),0,1)</f>
        <v>0</v>
      </c>
    </row>
    <row r="2443" spans="6:21">
      <c r="F2443" s="4">
        <v>1063</v>
      </c>
      <c r="G2443" s="4">
        <v>59</v>
      </c>
      <c r="H2443" s="4">
        <v>3</v>
      </c>
      <c r="I2443" s="4">
        <v>27</v>
      </c>
      <c r="J2443" s="4">
        <v>1</v>
      </c>
      <c r="K2443" s="4">
        <f t="shared" si="347"/>
        <v>0</v>
      </c>
      <c r="L2443" s="4">
        <f t="shared" si="347"/>
        <v>0</v>
      </c>
      <c r="M2443" s="4">
        <f t="shared" si="347"/>
        <v>0</v>
      </c>
      <c r="N2443" s="4">
        <f t="shared" si="347"/>
        <v>0</v>
      </c>
      <c r="O2443" s="4">
        <f t="shared" si="348"/>
        <v>0</v>
      </c>
      <c r="P2443" s="4">
        <f t="shared" si="349"/>
        <v>0</v>
      </c>
      <c r="Q2443" s="4">
        <f t="shared" si="350"/>
        <v>0</v>
      </c>
      <c r="R2443" s="4">
        <f t="shared" si="351"/>
        <v>0</v>
      </c>
      <c r="S2443" s="4">
        <f>IF(AND(VLOOKUP(G2443,Dados!$D:$L,2,0)=VLOOKUP(I2443,Dados!$S:$V,2,0),VLOOKUP(G2443,Dados!$D:$L,3,0)=VLOOKUP(I2443,Dados!$S:$V,3,0)),0,1)</f>
        <v>0</v>
      </c>
      <c r="T2443" s="4">
        <f>IF(AND(VLOOKUP(G2443,Dados!$D:$L,3,0)&lt;=VLOOKUP(H2443,Dados!$X:$AB,2,0),VLOOKUP(G2443,Dados!$D:$L,4,0)&gt;=VLOOKUP(H2443,Dados!$X:$AB,3,0),VLOOKUP(G2443,Dados!$D:$L,4,0)&lt;=VLOOKUP(H2443,Dados!$X:$AB,4,0)),0,1)</f>
        <v>0</v>
      </c>
      <c r="U2443" s="4">
        <f>IF(COUNTIFS(F:F,F2443,H:H,H2443)&lt;=VLOOKUP(H2443,Dados!$X:$AB,5,0),0,1)</f>
        <v>0</v>
      </c>
    </row>
    <row r="2444" spans="6:21">
      <c r="F2444" s="4">
        <v>1063</v>
      </c>
      <c r="G2444" s="4">
        <v>64</v>
      </c>
      <c r="H2444" s="4">
        <v>3</v>
      </c>
      <c r="I2444" s="4">
        <v>27</v>
      </c>
      <c r="J2444" s="4">
        <v>6</v>
      </c>
      <c r="K2444" s="4">
        <f t="shared" si="347"/>
        <v>0</v>
      </c>
      <c r="L2444" s="4">
        <f t="shared" si="347"/>
        <v>0</v>
      </c>
      <c r="M2444" s="4">
        <f t="shared" si="347"/>
        <v>0</v>
      </c>
      <c r="N2444" s="4">
        <f t="shared" si="347"/>
        <v>0</v>
      </c>
      <c r="O2444" s="4">
        <f t="shared" si="348"/>
        <v>0</v>
      </c>
      <c r="P2444" s="4">
        <f t="shared" si="349"/>
        <v>0</v>
      </c>
      <c r="Q2444" s="4">
        <f t="shared" si="350"/>
        <v>0</v>
      </c>
      <c r="R2444" s="4">
        <f t="shared" si="351"/>
        <v>0</v>
      </c>
      <c r="S2444" s="4">
        <f>IF(AND(VLOOKUP(G2444,Dados!$D:$L,2,0)=VLOOKUP(I2444,Dados!$S:$V,2,0),VLOOKUP(G2444,Dados!$D:$L,3,0)=VLOOKUP(I2444,Dados!$S:$V,3,0)),0,1)</f>
        <v>0</v>
      </c>
      <c r="T2444" s="4">
        <f>IF(AND(VLOOKUP(G2444,Dados!$D:$L,3,0)&lt;=VLOOKUP(H2444,Dados!$X:$AB,2,0),VLOOKUP(G2444,Dados!$D:$L,4,0)&gt;=VLOOKUP(H2444,Dados!$X:$AB,3,0),VLOOKUP(G2444,Dados!$D:$L,4,0)&lt;=VLOOKUP(H2444,Dados!$X:$AB,4,0)),0,1)</f>
        <v>0</v>
      </c>
      <c r="U2444" s="4">
        <f>IF(COUNTIFS(F:F,F2444,H:H,H2444)&lt;=VLOOKUP(H2444,Dados!$X:$AB,5,0),0,1)</f>
        <v>0</v>
      </c>
    </row>
    <row r="2445" spans="6:21">
      <c r="F2445" s="4">
        <v>1063</v>
      </c>
      <c r="G2445" s="4">
        <v>66</v>
      </c>
      <c r="H2445" s="4">
        <v>3</v>
      </c>
      <c r="I2445" s="4">
        <v>27</v>
      </c>
      <c r="J2445" s="4">
        <v>1</v>
      </c>
      <c r="K2445" s="4">
        <f t="shared" si="347"/>
        <v>0</v>
      </c>
      <c r="L2445" s="4">
        <f t="shared" si="347"/>
        <v>0</v>
      </c>
      <c r="M2445" s="4">
        <f t="shared" si="347"/>
        <v>0</v>
      </c>
      <c r="N2445" s="4">
        <f t="shared" si="347"/>
        <v>0</v>
      </c>
      <c r="O2445" s="4">
        <f t="shared" si="348"/>
        <v>0</v>
      </c>
      <c r="P2445" s="4">
        <f t="shared" si="349"/>
        <v>0</v>
      </c>
      <c r="Q2445" s="4">
        <f t="shared" si="350"/>
        <v>0</v>
      </c>
      <c r="R2445" s="4">
        <f t="shared" si="351"/>
        <v>0</v>
      </c>
      <c r="S2445" s="4">
        <f>IF(AND(VLOOKUP(G2445,Dados!$D:$L,2,0)=VLOOKUP(I2445,Dados!$S:$V,2,0),VLOOKUP(G2445,Dados!$D:$L,3,0)=VLOOKUP(I2445,Dados!$S:$V,3,0)),0,1)</f>
        <v>0</v>
      </c>
      <c r="T2445" s="4">
        <f>IF(AND(VLOOKUP(G2445,Dados!$D:$L,3,0)&lt;=VLOOKUP(H2445,Dados!$X:$AB,2,0),VLOOKUP(G2445,Dados!$D:$L,4,0)&gt;=VLOOKUP(H2445,Dados!$X:$AB,3,0),VLOOKUP(G2445,Dados!$D:$L,4,0)&lt;=VLOOKUP(H2445,Dados!$X:$AB,4,0)),0,1)</f>
        <v>0</v>
      </c>
      <c r="U2445" s="4">
        <f>IF(COUNTIFS(F:F,F2445,H:H,H2445)&lt;=VLOOKUP(H2445,Dados!$X:$AB,5,0),0,1)</f>
        <v>0</v>
      </c>
    </row>
    <row r="2446" spans="6:21">
      <c r="F2446" s="4">
        <v>1064</v>
      </c>
      <c r="G2446" s="4">
        <v>59</v>
      </c>
      <c r="H2446" s="4">
        <v>3</v>
      </c>
      <c r="I2446" s="4">
        <v>28</v>
      </c>
      <c r="J2446" s="4">
        <v>4</v>
      </c>
      <c r="K2446" s="4">
        <f t="shared" si="347"/>
        <v>0</v>
      </c>
      <c r="L2446" s="4">
        <f t="shared" si="347"/>
        <v>0</v>
      </c>
      <c r="M2446" s="4">
        <f t="shared" si="347"/>
        <v>0</v>
      </c>
      <c r="N2446" s="4">
        <f t="shared" si="347"/>
        <v>0</v>
      </c>
      <c r="O2446" s="4">
        <f t="shared" si="348"/>
        <v>0</v>
      </c>
      <c r="P2446" s="4">
        <f t="shared" si="349"/>
        <v>0</v>
      </c>
      <c r="Q2446" s="4">
        <f t="shared" si="350"/>
        <v>0</v>
      </c>
      <c r="R2446" s="4">
        <f t="shared" si="351"/>
        <v>0</v>
      </c>
      <c r="S2446" s="4">
        <f>IF(AND(VLOOKUP(G2446,Dados!$D:$L,2,0)=VLOOKUP(I2446,Dados!$S:$V,2,0),VLOOKUP(G2446,Dados!$D:$L,3,0)=VLOOKUP(I2446,Dados!$S:$V,3,0)),0,1)</f>
        <v>0</v>
      </c>
      <c r="T2446" s="4">
        <f>IF(AND(VLOOKUP(G2446,Dados!$D:$L,3,0)&lt;=VLOOKUP(H2446,Dados!$X:$AB,2,0),VLOOKUP(G2446,Dados!$D:$L,4,0)&gt;=VLOOKUP(H2446,Dados!$X:$AB,3,0),VLOOKUP(G2446,Dados!$D:$L,4,0)&lt;=VLOOKUP(H2446,Dados!$X:$AB,4,0)),0,1)</f>
        <v>0</v>
      </c>
      <c r="U2446" s="4">
        <f>IF(COUNTIFS(F:F,F2446,H:H,H2446)&lt;=VLOOKUP(H2446,Dados!$X:$AB,5,0),0,1)</f>
        <v>0</v>
      </c>
    </row>
    <row r="2447" spans="6:21">
      <c r="F2447" s="4">
        <v>1064</v>
      </c>
      <c r="G2447" s="4">
        <v>61</v>
      </c>
      <c r="H2447" s="4">
        <v>3</v>
      </c>
      <c r="I2447" s="4">
        <v>28</v>
      </c>
      <c r="J2447" s="4">
        <v>1</v>
      </c>
      <c r="K2447" s="4">
        <f t="shared" si="347"/>
        <v>0</v>
      </c>
      <c r="L2447" s="4">
        <f t="shared" si="347"/>
        <v>0</v>
      </c>
      <c r="M2447" s="4">
        <f t="shared" si="347"/>
        <v>0</v>
      </c>
      <c r="N2447" s="4">
        <f t="shared" si="347"/>
        <v>0</v>
      </c>
      <c r="O2447" s="4">
        <f t="shared" si="348"/>
        <v>0</v>
      </c>
      <c r="P2447" s="4">
        <f t="shared" si="349"/>
        <v>0</v>
      </c>
      <c r="Q2447" s="4">
        <f t="shared" si="350"/>
        <v>0</v>
      </c>
      <c r="R2447" s="4">
        <f t="shared" si="351"/>
        <v>0</v>
      </c>
      <c r="S2447" s="4">
        <f>IF(AND(VLOOKUP(G2447,Dados!$D:$L,2,0)=VLOOKUP(I2447,Dados!$S:$V,2,0),VLOOKUP(G2447,Dados!$D:$L,3,0)=VLOOKUP(I2447,Dados!$S:$V,3,0)),0,1)</f>
        <v>0</v>
      </c>
      <c r="T2447" s="4">
        <f>IF(AND(VLOOKUP(G2447,Dados!$D:$L,3,0)&lt;=VLOOKUP(H2447,Dados!$X:$AB,2,0),VLOOKUP(G2447,Dados!$D:$L,4,0)&gt;=VLOOKUP(H2447,Dados!$X:$AB,3,0),VLOOKUP(G2447,Dados!$D:$L,4,0)&lt;=VLOOKUP(H2447,Dados!$X:$AB,4,0)),0,1)</f>
        <v>0</v>
      </c>
      <c r="U2447" s="4">
        <f>IF(COUNTIFS(F:F,F2447,H:H,H2447)&lt;=VLOOKUP(H2447,Dados!$X:$AB,5,0),0,1)</f>
        <v>0</v>
      </c>
    </row>
    <row r="2448" spans="6:21">
      <c r="F2448" s="4">
        <v>1064</v>
      </c>
      <c r="G2448" s="4">
        <v>62</v>
      </c>
      <c r="H2448" s="4">
        <v>3</v>
      </c>
      <c r="I2448" s="4">
        <v>28</v>
      </c>
      <c r="J2448" s="4">
        <v>1</v>
      </c>
      <c r="K2448" s="4">
        <f t="shared" si="347"/>
        <v>0</v>
      </c>
      <c r="L2448" s="4">
        <f t="shared" si="347"/>
        <v>0</v>
      </c>
      <c r="M2448" s="4">
        <f t="shared" si="347"/>
        <v>0</v>
      </c>
      <c r="N2448" s="4">
        <f t="shared" si="347"/>
        <v>0</v>
      </c>
      <c r="O2448" s="4">
        <f t="shared" si="348"/>
        <v>0</v>
      </c>
      <c r="P2448" s="4">
        <f t="shared" si="349"/>
        <v>0</v>
      </c>
      <c r="Q2448" s="4">
        <f t="shared" si="350"/>
        <v>0</v>
      </c>
      <c r="R2448" s="4">
        <f t="shared" si="351"/>
        <v>0</v>
      </c>
      <c r="S2448" s="4">
        <f>IF(AND(VLOOKUP(G2448,Dados!$D:$L,2,0)=VLOOKUP(I2448,Dados!$S:$V,2,0),VLOOKUP(G2448,Dados!$D:$L,3,0)=VLOOKUP(I2448,Dados!$S:$V,3,0)),0,1)</f>
        <v>0</v>
      </c>
      <c r="T2448" s="4">
        <f>IF(AND(VLOOKUP(G2448,Dados!$D:$L,3,0)&lt;=VLOOKUP(H2448,Dados!$X:$AB,2,0),VLOOKUP(G2448,Dados!$D:$L,4,0)&gt;=VLOOKUP(H2448,Dados!$X:$AB,3,0),VLOOKUP(G2448,Dados!$D:$L,4,0)&lt;=VLOOKUP(H2448,Dados!$X:$AB,4,0)),0,1)</f>
        <v>0</v>
      </c>
      <c r="U2448" s="4">
        <f>IF(COUNTIFS(F:F,F2448,H:H,H2448)&lt;=VLOOKUP(H2448,Dados!$X:$AB,5,0),0,1)</f>
        <v>0</v>
      </c>
    </row>
    <row r="2449" spans="6:21">
      <c r="F2449" s="4">
        <v>1064</v>
      </c>
      <c r="G2449" s="4">
        <v>64</v>
      </c>
      <c r="H2449" s="4">
        <v>3</v>
      </c>
      <c r="I2449" s="4">
        <v>28</v>
      </c>
      <c r="J2449" s="4">
        <v>3</v>
      </c>
      <c r="K2449" s="4">
        <f t="shared" si="347"/>
        <v>0</v>
      </c>
      <c r="L2449" s="4">
        <f t="shared" si="347"/>
        <v>0</v>
      </c>
      <c r="M2449" s="4">
        <f t="shared" si="347"/>
        <v>0</v>
      </c>
      <c r="N2449" s="4">
        <f t="shared" si="347"/>
        <v>0</v>
      </c>
      <c r="O2449" s="4">
        <f t="shared" si="348"/>
        <v>0</v>
      </c>
      <c r="P2449" s="4">
        <f t="shared" si="349"/>
        <v>0</v>
      </c>
      <c r="Q2449" s="4">
        <f t="shared" si="350"/>
        <v>0</v>
      </c>
      <c r="R2449" s="4">
        <f t="shared" si="351"/>
        <v>0</v>
      </c>
      <c r="S2449" s="4">
        <f>IF(AND(VLOOKUP(G2449,Dados!$D:$L,2,0)=VLOOKUP(I2449,Dados!$S:$V,2,0),VLOOKUP(G2449,Dados!$D:$L,3,0)=VLOOKUP(I2449,Dados!$S:$V,3,0)),0,1)</f>
        <v>0</v>
      </c>
      <c r="T2449" s="4">
        <f>IF(AND(VLOOKUP(G2449,Dados!$D:$L,3,0)&lt;=VLOOKUP(H2449,Dados!$X:$AB,2,0),VLOOKUP(G2449,Dados!$D:$L,4,0)&gt;=VLOOKUP(H2449,Dados!$X:$AB,3,0),VLOOKUP(G2449,Dados!$D:$L,4,0)&lt;=VLOOKUP(H2449,Dados!$X:$AB,4,0)),0,1)</f>
        <v>0</v>
      </c>
      <c r="U2449" s="4">
        <f>IF(COUNTIFS(F:F,F2449,H:H,H2449)&lt;=VLOOKUP(H2449,Dados!$X:$AB,5,0),0,1)</f>
        <v>0</v>
      </c>
    </row>
    <row r="2450" spans="6:21">
      <c r="F2450" s="4">
        <v>1065</v>
      </c>
      <c r="G2450" s="4">
        <v>59</v>
      </c>
      <c r="H2450" s="4">
        <v>3</v>
      </c>
      <c r="I2450" s="4">
        <v>29</v>
      </c>
      <c r="J2450" s="4">
        <v>1</v>
      </c>
      <c r="K2450" s="4">
        <f t="shared" si="347"/>
        <v>0</v>
      </c>
      <c r="L2450" s="4">
        <f t="shared" si="347"/>
        <v>0</v>
      </c>
      <c r="M2450" s="4">
        <f t="shared" si="347"/>
        <v>0</v>
      </c>
      <c r="N2450" s="4">
        <f t="shared" si="347"/>
        <v>0</v>
      </c>
      <c r="O2450" s="4">
        <f t="shared" si="348"/>
        <v>0</v>
      </c>
      <c r="P2450" s="4">
        <f t="shared" si="349"/>
        <v>0</v>
      </c>
      <c r="Q2450" s="4">
        <f t="shared" si="350"/>
        <v>0</v>
      </c>
      <c r="R2450" s="4">
        <f t="shared" si="351"/>
        <v>0</v>
      </c>
      <c r="S2450" s="4">
        <f>IF(AND(VLOOKUP(G2450,Dados!$D:$L,2,0)=VLOOKUP(I2450,Dados!$S:$V,2,0),VLOOKUP(G2450,Dados!$D:$L,3,0)=VLOOKUP(I2450,Dados!$S:$V,3,0)),0,1)</f>
        <v>0</v>
      </c>
      <c r="T2450" s="4">
        <f>IF(AND(VLOOKUP(G2450,Dados!$D:$L,3,0)&lt;=VLOOKUP(H2450,Dados!$X:$AB,2,0),VLOOKUP(G2450,Dados!$D:$L,4,0)&gt;=VLOOKUP(H2450,Dados!$X:$AB,3,0),VLOOKUP(G2450,Dados!$D:$L,4,0)&lt;=VLOOKUP(H2450,Dados!$X:$AB,4,0)),0,1)</f>
        <v>0</v>
      </c>
      <c r="U2450" s="4">
        <f>IF(COUNTIFS(F:F,F2450,H:H,H2450)&lt;=VLOOKUP(H2450,Dados!$X:$AB,5,0),0,1)</f>
        <v>0</v>
      </c>
    </row>
    <row r="2451" spans="6:21">
      <c r="F2451" s="4">
        <v>1065</v>
      </c>
      <c r="G2451" s="4">
        <v>60</v>
      </c>
      <c r="H2451" s="4">
        <v>3</v>
      </c>
      <c r="I2451" s="4">
        <v>29</v>
      </c>
      <c r="J2451" s="4">
        <v>1</v>
      </c>
      <c r="K2451" s="4">
        <f t="shared" si="347"/>
        <v>0</v>
      </c>
      <c r="L2451" s="4">
        <f t="shared" si="347"/>
        <v>0</v>
      </c>
      <c r="M2451" s="4">
        <f t="shared" si="347"/>
        <v>0</v>
      </c>
      <c r="N2451" s="4">
        <f t="shared" si="347"/>
        <v>0</v>
      </c>
      <c r="O2451" s="4">
        <f t="shared" si="348"/>
        <v>0</v>
      </c>
      <c r="P2451" s="4">
        <f t="shared" si="349"/>
        <v>0</v>
      </c>
      <c r="Q2451" s="4">
        <f t="shared" si="350"/>
        <v>0</v>
      </c>
      <c r="R2451" s="4">
        <f t="shared" si="351"/>
        <v>0</v>
      </c>
      <c r="S2451" s="4">
        <f>IF(AND(VLOOKUP(G2451,Dados!$D:$L,2,0)=VLOOKUP(I2451,Dados!$S:$V,2,0),VLOOKUP(G2451,Dados!$D:$L,3,0)=VLOOKUP(I2451,Dados!$S:$V,3,0)),0,1)</f>
        <v>0</v>
      </c>
      <c r="T2451" s="4">
        <f>IF(AND(VLOOKUP(G2451,Dados!$D:$L,3,0)&lt;=VLOOKUP(H2451,Dados!$X:$AB,2,0),VLOOKUP(G2451,Dados!$D:$L,4,0)&gt;=VLOOKUP(H2451,Dados!$X:$AB,3,0),VLOOKUP(G2451,Dados!$D:$L,4,0)&lt;=VLOOKUP(H2451,Dados!$X:$AB,4,0)),0,1)</f>
        <v>0</v>
      </c>
      <c r="U2451" s="4">
        <f>IF(COUNTIFS(F:F,F2451,H:H,H2451)&lt;=VLOOKUP(H2451,Dados!$X:$AB,5,0),0,1)</f>
        <v>0</v>
      </c>
    </row>
    <row r="2452" spans="6:21">
      <c r="F2452" s="4">
        <v>1065</v>
      </c>
      <c r="G2452" s="4">
        <v>64</v>
      </c>
      <c r="H2452" s="4">
        <v>3</v>
      </c>
      <c r="I2452" s="4">
        <v>29</v>
      </c>
      <c r="J2452" s="4">
        <v>5</v>
      </c>
      <c r="K2452" s="4">
        <f t="shared" si="347"/>
        <v>0</v>
      </c>
      <c r="L2452" s="4">
        <f t="shared" si="347"/>
        <v>0</v>
      </c>
      <c r="M2452" s="4">
        <f t="shared" si="347"/>
        <v>0</v>
      </c>
      <c r="N2452" s="4">
        <f t="shared" si="347"/>
        <v>0</v>
      </c>
      <c r="O2452" s="4">
        <f t="shared" si="348"/>
        <v>0</v>
      </c>
      <c r="P2452" s="4">
        <f t="shared" si="349"/>
        <v>0</v>
      </c>
      <c r="Q2452" s="4">
        <f t="shared" si="350"/>
        <v>0</v>
      </c>
      <c r="R2452" s="4">
        <f t="shared" si="351"/>
        <v>0</v>
      </c>
      <c r="S2452" s="4">
        <f>IF(AND(VLOOKUP(G2452,Dados!$D:$L,2,0)=VLOOKUP(I2452,Dados!$S:$V,2,0),VLOOKUP(G2452,Dados!$D:$L,3,0)=VLOOKUP(I2452,Dados!$S:$V,3,0)),0,1)</f>
        <v>0</v>
      </c>
      <c r="T2452" s="4">
        <f>IF(AND(VLOOKUP(G2452,Dados!$D:$L,3,0)&lt;=VLOOKUP(H2452,Dados!$X:$AB,2,0),VLOOKUP(G2452,Dados!$D:$L,4,0)&gt;=VLOOKUP(H2452,Dados!$X:$AB,3,0),VLOOKUP(G2452,Dados!$D:$L,4,0)&lt;=VLOOKUP(H2452,Dados!$X:$AB,4,0)),0,1)</f>
        <v>0</v>
      </c>
      <c r="U2452" s="4">
        <f>IF(COUNTIFS(F:F,F2452,H:H,H2452)&lt;=VLOOKUP(H2452,Dados!$X:$AB,5,0),0,1)</f>
        <v>0</v>
      </c>
    </row>
    <row r="2453" spans="6:21">
      <c r="F2453" s="4">
        <v>1065</v>
      </c>
      <c r="G2453" s="4">
        <v>66</v>
      </c>
      <c r="H2453" s="4">
        <v>3</v>
      </c>
      <c r="I2453" s="4">
        <v>29</v>
      </c>
      <c r="J2453" s="4">
        <v>1</v>
      </c>
      <c r="K2453" s="4">
        <f t="shared" si="347"/>
        <v>0</v>
      </c>
      <c r="L2453" s="4">
        <f t="shared" si="347"/>
        <v>0</v>
      </c>
      <c r="M2453" s="4">
        <f t="shared" si="347"/>
        <v>0</v>
      </c>
      <c r="N2453" s="4">
        <f t="shared" si="347"/>
        <v>0</v>
      </c>
      <c r="O2453" s="4">
        <f t="shared" si="348"/>
        <v>0</v>
      </c>
      <c r="P2453" s="4">
        <f t="shared" si="349"/>
        <v>0</v>
      </c>
      <c r="Q2453" s="4">
        <f t="shared" si="350"/>
        <v>0</v>
      </c>
      <c r="R2453" s="4">
        <f t="shared" si="351"/>
        <v>0</v>
      </c>
      <c r="S2453" s="4">
        <f>IF(AND(VLOOKUP(G2453,Dados!$D:$L,2,0)=VLOOKUP(I2453,Dados!$S:$V,2,0),VLOOKUP(G2453,Dados!$D:$L,3,0)=VLOOKUP(I2453,Dados!$S:$V,3,0)),0,1)</f>
        <v>0</v>
      </c>
      <c r="T2453" s="4">
        <f>IF(AND(VLOOKUP(G2453,Dados!$D:$L,3,0)&lt;=VLOOKUP(H2453,Dados!$X:$AB,2,0),VLOOKUP(G2453,Dados!$D:$L,4,0)&gt;=VLOOKUP(H2453,Dados!$X:$AB,3,0),VLOOKUP(G2453,Dados!$D:$L,4,0)&lt;=VLOOKUP(H2453,Dados!$X:$AB,4,0)),0,1)</f>
        <v>0</v>
      </c>
      <c r="U2453" s="4">
        <f>IF(COUNTIFS(F:F,F2453,H:H,H2453)&lt;=VLOOKUP(H2453,Dados!$X:$AB,5,0),0,1)</f>
        <v>0</v>
      </c>
    </row>
    <row r="2454" spans="6:21">
      <c r="F2454" s="4">
        <v>1066</v>
      </c>
      <c r="G2454" s="4">
        <v>1</v>
      </c>
      <c r="H2454" s="4">
        <v>1</v>
      </c>
      <c r="I2454" s="4">
        <v>1</v>
      </c>
      <c r="J2454" s="4">
        <v>3</v>
      </c>
      <c r="K2454" s="4">
        <f t="shared" si="347"/>
        <v>0</v>
      </c>
      <c r="L2454" s="4">
        <f t="shared" si="347"/>
        <v>0</v>
      </c>
      <c r="M2454" s="4">
        <f t="shared" si="347"/>
        <v>0</v>
      </c>
      <c r="N2454" s="4">
        <f t="shared" si="347"/>
        <v>0</v>
      </c>
      <c r="O2454" s="4">
        <f t="shared" si="348"/>
        <v>0</v>
      </c>
      <c r="P2454" s="4">
        <f t="shared" si="349"/>
        <v>0</v>
      </c>
      <c r="Q2454" s="4">
        <f t="shared" si="350"/>
        <v>0</v>
      </c>
      <c r="R2454" s="4">
        <f t="shared" si="351"/>
        <v>0</v>
      </c>
      <c r="S2454" s="4">
        <f>IF(AND(VLOOKUP(G2454,Dados!$D:$L,2,0)=VLOOKUP(I2454,Dados!$S:$V,2,0),VLOOKUP(G2454,Dados!$D:$L,3,0)=VLOOKUP(I2454,Dados!$S:$V,3,0)),0,1)</f>
        <v>0</v>
      </c>
      <c r="T2454" s="4">
        <f>IF(AND(VLOOKUP(G2454,Dados!$D:$L,3,0)&lt;=VLOOKUP(H2454,Dados!$X:$AB,2,0),VLOOKUP(G2454,Dados!$D:$L,4,0)&gt;=VLOOKUP(H2454,Dados!$X:$AB,3,0),VLOOKUP(G2454,Dados!$D:$L,4,0)&lt;=VLOOKUP(H2454,Dados!$X:$AB,4,0)),0,1)</f>
        <v>0</v>
      </c>
      <c r="U2454" s="4">
        <f>IF(COUNTIFS(F:F,F2454,H:H,H2454)&lt;=VLOOKUP(H2454,Dados!$X:$AB,5,0),0,1)</f>
        <v>0</v>
      </c>
    </row>
    <row r="2455" spans="6:21">
      <c r="F2455" s="4">
        <v>1066</v>
      </c>
      <c r="G2455" s="4">
        <v>4</v>
      </c>
      <c r="H2455" s="4">
        <v>1</v>
      </c>
      <c r="I2455" s="4">
        <v>1</v>
      </c>
      <c r="J2455" s="4">
        <v>3</v>
      </c>
      <c r="K2455" s="4">
        <f t="shared" si="347"/>
        <v>0</v>
      </c>
      <c r="L2455" s="4">
        <f t="shared" si="347"/>
        <v>0</v>
      </c>
      <c r="M2455" s="4">
        <f t="shared" si="347"/>
        <v>0</v>
      </c>
      <c r="N2455" s="4">
        <f t="shared" si="347"/>
        <v>0</v>
      </c>
      <c r="O2455" s="4">
        <f t="shared" si="348"/>
        <v>0</v>
      </c>
      <c r="P2455" s="4">
        <f t="shared" si="349"/>
        <v>0</v>
      </c>
      <c r="Q2455" s="4">
        <f t="shared" si="350"/>
        <v>0</v>
      </c>
      <c r="R2455" s="4">
        <f t="shared" si="351"/>
        <v>0</v>
      </c>
      <c r="S2455" s="4">
        <f>IF(AND(VLOOKUP(G2455,Dados!$D:$L,2,0)=VLOOKUP(I2455,Dados!$S:$V,2,0),VLOOKUP(G2455,Dados!$D:$L,3,0)=VLOOKUP(I2455,Dados!$S:$V,3,0)),0,1)</f>
        <v>0</v>
      </c>
      <c r="T2455" s="4">
        <f>IF(AND(VLOOKUP(G2455,Dados!$D:$L,3,0)&lt;=VLOOKUP(H2455,Dados!$X:$AB,2,0),VLOOKUP(G2455,Dados!$D:$L,4,0)&gt;=VLOOKUP(H2455,Dados!$X:$AB,3,0),VLOOKUP(G2455,Dados!$D:$L,4,0)&lt;=VLOOKUP(H2455,Dados!$X:$AB,4,0)),0,1)</f>
        <v>0</v>
      </c>
      <c r="U2455" s="4">
        <f>IF(COUNTIFS(F:F,F2455,H:H,H2455)&lt;=VLOOKUP(H2455,Dados!$X:$AB,5,0),0,1)</f>
        <v>0</v>
      </c>
    </row>
    <row r="2456" spans="6:21">
      <c r="F2456" s="4">
        <v>1067</v>
      </c>
      <c r="G2456" s="4">
        <v>1</v>
      </c>
      <c r="H2456" s="4">
        <v>2</v>
      </c>
      <c r="I2456" s="4">
        <v>1</v>
      </c>
      <c r="J2456" s="4">
        <v>3</v>
      </c>
      <c r="K2456" s="4">
        <f t="shared" si="347"/>
        <v>0</v>
      </c>
      <c r="L2456" s="4">
        <f t="shared" si="347"/>
        <v>0</v>
      </c>
      <c r="M2456" s="4">
        <f t="shared" si="347"/>
        <v>0</v>
      </c>
      <c r="N2456" s="4">
        <f t="shared" si="347"/>
        <v>4</v>
      </c>
      <c r="O2456" s="4">
        <f t="shared" si="348"/>
        <v>0</v>
      </c>
      <c r="P2456" s="4">
        <f t="shared" si="349"/>
        <v>0</v>
      </c>
      <c r="Q2456" s="4">
        <f t="shared" si="350"/>
        <v>0</v>
      </c>
      <c r="R2456" s="4">
        <f t="shared" si="351"/>
        <v>12</v>
      </c>
      <c r="S2456" s="4">
        <f>IF(AND(VLOOKUP(G2456,Dados!$D:$L,2,0)=VLOOKUP(I2456,Dados!$S:$V,2,0),VLOOKUP(G2456,Dados!$D:$L,3,0)=VLOOKUP(I2456,Dados!$S:$V,3,0)),0,1)</f>
        <v>0</v>
      </c>
      <c r="T2456" s="4">
        <f>IF(AND(VLOOKUP(G2456,Dados!$D:$L,3,0)&lt;=VLOOKUP(H2456,Dados!$X:$AB,2,0),VLOOKUP(G2456,Dados!$D:$L,4,0)&gt;=VLOOKUP(H2456,Dados!$X:$AB,3,0),VLOOKUP(G2456,Dados!$D:$L,4,0)&lt;=VLOOKUP(H2456,Dados!$X:$AB,4,0)),0,1)</f>
        <v>0</v>
      </c>
      <c r="U2456" s="4">
        <f>IF(COUNTIFS(F:F,F2456,H:H,H2456)&lt;=VLOOKUP(H2456,Dados!$X:$AB,5,0),0,1)</f>
        <v>0</v>
      </c>
    </row>
    <row r="2457" spans="6:21">
      <c r="F2457" s="4">
        <v>1067</v>
      </c>
      <c r="G2457" s="4">
        <v>4</v>
      </c>
      <c r="H2457" s="4">
        <v>2</v>
      </c>
      <c r="I2457" s="4">
        <v>1</v>
      </c>
      <c r="J2457" s="4">
        <v>3</v>
      </c>
      <c r="K2457" s="4">
        <f t="shared" si="347"/>
        <v>0</v>
      </c>
      <c r="L2457" s="4">
        <f t="shared" si="347"/>
        <v>0</v>
      </c>
      <c r="M2457" s="4">
        <f t="shared" si="347"/>
        <v>0</v>
      </c>
      <c r="N2457" s="4">
        <f t="shared" si="347"/>
        <v>4</v>
      </c>
      <c r="O2457" s="4">
        <f t="shared" si="348"/>
        <v>0</v>
      </c>
      <c r="P2457" s="4">
        <f t="shared" si="349"/>
        <v>0</v>
      </c>
      <c r="Q2457" s="4">
        <f t="shared" si="350"/>
        <v>0</v>
      </c>
      <c r="R2457" s="4">
        <f t="shared" si="351"/>
        <v>12</v>
      </c>
      <c r="S2457" s="4">
        <f>IF(AND(VLOOKUP(G2457,Dados!$D:$L,2,0)=VLOOKUP(I2457,Dados!$S:$V,2,0),VLOOKUP(G2457,Dados!$D:$L,3,0)=VLOOKUP(I2457,Dados!$S:$V,3,0)),0,1)</f>
        <v>0</v>
      </c>
      <c r="T2457" s="4">
        <f>IF(AND(VLOOKUP(G2457,Dados!$D:$L,3,0)&lt;=VLOOKUP(H2457,Dados!$X:$AB,2,0),VLOOKUP(G2457,Dados!$D:$L,4,0)&gt;=VLOOKUP(H2457,Dados!$X:$AB,3,0),VLOOKUP(G2457,Dados!$D:$L,4,0)&lt;=VLOOKUP(H2457,Dados!$X:$AB,4,0)),0,1)</f>
        <v>0</v>
      </c>
      <c r="U2457" s="4">
        <f>IF(COUNTIFS(F:F,F2457,H:H,H2457)&lt;=VLOOKUP(H2457,Dados!$X:$AB,5,0),0,1)</f>
        <v>0</v>
      </c>
    </row>
    <row r="2458" spans="6:21">
      <c r="F2458" s="4">
        <v>1068</v>
      </c>
      <c r="G2458" s="4">
        <v>1</v>
      </c>
      <c r="H2458" s="4">
        <v>3</v>
      </c>
      <c r="I2458" s="4">
        <v>1</v>
      </c>
      <c r="J2458" s="4">
        <v>3</v>
      </c>
      <c r="K2458" s="4">
        <f t="shared" si="347"/>
        <v>0</v>
      </c>
      <c r="L2458" s="4">
        <f t="shared" si="347"/>
        <v>0</v>
      </c>
      <c r="M2458" s="4">
        <f t="shared" si="347"/>
        <v>0</v>
      </c>
      <c r="N2458" s="4">
        <f t="shared" si="347"/>
        <v>0</v>
      </c>
      <c r="O2458" s="4">
        <f t="shared" si="348"/>
        <v>0</v>
      </c>
      <c r="P2458" s="4">
        <f t="shared" si="349"/>
        <v>0</v>
      </c>
      <c r="Q2458" s="4">
        <f t="shared" si="350"/>
        <v>0</v>
      </c>
      <c r="R2458" s="4">
        <f t="shared" si="351"/>
        <v>0</v>
      </c>
      <c r="S2458" s="4">
        <f>IF(AND(VLOOKUP(G2458,Dados!$D:$L,2,0)=VLOOKUP(I2458,Dados!$S:$V,2,0),VLOOKUP(G2458,Dados!$D:$L,3,0)=VLOOKUP(I2458,Dados!$S:$V,3,0)),0,1)</f>
        <v>0</v>
      </c>
      <c r="T2458" s="4">
        <f>IF(AND(VLOOKUP(G2458,Dados!$D:$L,3,0)&lt;=VLOOKUP(H2458,Dados!$X:$AB,2,0),VLOOKUP(G2458,Dados!$D:$L,4,0)&gt;=VLOOKUP(H2458,Dados!$X:$AB,3,0),VLOOKUP(G2458,Dados!$D:$L,4,0)&lt;=VLOOKUP(H2458,Dados!$X:$AB,4,0)),0,1)</f>
        <v>0</v>
      </c>
      <c r="U2458" s="4">
        <f>IF(COUNTIFS(F:F,F2458,H:H,H2458)&lt;=VLOOKUP(H2458,Dados!$X:$AB,5,0),0,1)</f>
        <v>0</v>
      </c>
    </row>
    <row r="2459" spans="6:21">
      <c r="F2459" s="4">
        <v>1068</v>
      </c>
      <c r="G2459" s="4">
        <v>4</v>
      </c>
      <c r="H2459" s="4">
        <v>3</v>
      </c>
      <c r="I2459" s="4">
        <v>1</v>
      </c>
      <c r="J2459" s="4">
        <v>3</v>
      </c>
      <c r="K2459" s="4">
        <f t="shared" si="347"/>
        <v>0</v>
      </c>
      <c r="L2459" s="4">
        <f t="shared" si="347"/>
        <v>0</v>
      </c>
      <c r="M2459" s="4">
        <f t="shared" si="347"/>
        <v>0</v>
      </c>
      <c r="N2459" s="4">
        <f t="shared" si="347"/>
        <v>0</v>
      </c>
      <c r="O2459" s="4">
        <f t="shared" si="348"/>
        <v>0</v>
      </c>
      <c r="P2459" s="4">
        <f t="shared" si="349"/>
        <v>0</v>
      </c>
      <c r="Q2459" s="4">
        <f t="shared" si="350"/>
        <v>0</v>
      </c>
      <c r="R2459" s="4">
        <f t="shared" si="351"/>
        <v>0</v>
      </c>
      <c r="S2459" s="4">
        <f>IF(AND(VLOOKUP(G2459,Dados!$D:$L,2,0)=VLOOKUP(I2459,Dados!$S:$V,2,0),VLOOKUP(G2459,Dados!$D:$L,3,0)=VLOOKUP(I2459,Dados!$S:$V,3,0)),0,1)</f>
        <v>0</v>
      </c>
      <c r="T2459" s="4">
        <f>IF(AND(VLOOKUP(G2459,Dados!$D:$L,3,0)&lt;=VLOOKUP(H2459,Dados!$X:$AB,2,0),VLOOKUP(G2459,Dados!$D:$L,4,0)&gt;=VLOOKUP(H2459,Dados!$X:$AB,3,0),VLOOKUP(G2459,Dados!$D:$L,4,0)&lt;=VLOOKUP(H2459,Dados!$X:$AB,4,0)),0,1)</f>
        <v>0</v>
      </c>
      <c r="U2459" s="4">
        <f>IF(COUNTIFS(F:F,F2459,H:H,H2459)&lt;=VLOOKUP(H2459,Dados!$X:$AB,5,0),0,1)</f>
        <v>0</v>
      </c>
    </row>
    <row r="2460" spans="6:21">
      <c r="F2460" s="4">
        <v>1069</v>
      </c>
      <c r="G2460" s="4">
        <v>31</v>
      </c>
      <c r="H2460" s="4">
        <v>1</v>
      </c>
      <c r="I2460" s="4">
        <v>16</v>
      </c>
      <c r="J2460" s="4">
        <v>4</v>
      </c>
      <c r="K2460" s="4">
        <f t="shared" si="347"/>
        <v>0</v>
      </c>
      <c r="L2460" s="4">
        <f t="shared" si="347"/>
        <v>0</v>
      </c>
      <c r="M2460" s="4">
        <f t="shared" si="347"/>
        <v>0</v>
      </c>
      <c r="N2460" s="4">
        <f t="shared" ref="K2460:N2523" si="352">SUMIFS($X:$X,$W:$W,$F2460,$Z:$Z,$I2460,$AA:$AA,$H2460,$AB:$AB,N$2)</f>
        <v>0</v>
      </c>
      <c r="O2460" s="4">
        <f t="shared" si="348"/>
        <v>0</v>
      </c>
      <c r="P2460" s="4">
        <f t="shared" si="349"/>
        <v>0</v>
      </c>
      <c r="Q2460" s="4">
        <f t="shared" si="350"/>
        <v>0</v>
      </c>
      <c r="R2460" s="4">
        <f t="shared" si="351"/>
        <v>0</v>
      </c>
      <c r="S2460" s="4">
        <f>IF(AND(VLOOKUP(G2460,Dados!$D:$L,2,0)=VLOOKUP(I2460,Dados!$S:$V,2,0),VLOOKUP(G2460,Dados!$D:$L,3,0)=VLOOKUP(I2460,Dados!$S:$V,3,0)),0,1)</f>
        <v>0</v>
      </c>
      <c r="T2460" s="4">
        <f>IF(AND(VLOOKUP(G2460,Dados!$D:$L,3,0)&lt;=VLOOKUP(H2460,Dados!$X:$AB,2,0),VLOOKUP(G2460,Dados!$D:$L,4,0)&gt;=VLOOKUP(H2460,Dados!$X:$AB,3,0),VLOOKUP(G2460,Dados!$D:$L,4,0)&lt;=VLOOKUP(H2460,Dados!$X:$AB,4,0)),0,1)</f>
        <v>0</v>
      </c>
      <c r="U2460" s="4">
        <f>IF(COUNTIFS(F:F,F2460,H:H,H2460)&lt;=VLOOKUP(H2460,Dados!$X:$AB,5,0),0,1)</f>
        <v>0</v>
      </c>
    </row>
    <row r="2461" spans="6:21">
      <c r="F2461" s="4">
        <v>1069</v>
      </c>
      <c r="G2461" s="4">
        <v>35</v>
      </c>
      <c r="H2461" s="4">
        <v>1</v>
      </c>
      <c r="I2461" s="4">
        <v>16</v>
      </c>
      <c r="J2461" s="4">
        <v>4</v>
      </c>
      <c r="K2461" s="4">
        <f t="shared" si="352"/>
        <v>0</v>
      </c>
      <c r="L2461" s="4">
        <f t="shared" si="352"/>
        <v>0</v>
      </c>
      <c r="M2461" s="4">
        <f t="shared" si="352"/>
        <v>0</v>
      </c>
      <c r="N2461" s="4">
        <f t="shared" si="352"/>
        <v>0</v>
      </c>
      <c r="O2461" s="4">
        <f t="shared" si="348"/>
        <v>0</v>
      </c>
      <c r="P2461" s="4">
        <f t="shared" si="349"/>
        <v>0</v>
      </c>
      <c r="Q2461" s="4">
        <f t="shared" si="350"/>
        <v>0</v>
      </c>
      <c r="R2461" s="4">
        <f t="shared" si="351"/>
        <v>0</v>
      </c>
      <c r="S2461" s="4">
        <f>IF(AND(VLOOKUP(G2461,Dados!$D:$L,2,0)=VLOOKUP(I2461,Dados!$S:$V,2,0),VLOOKUP(G2461,Dados!$D:$L,3,0)=VLOOKUP(I2461,Dados!$S:$V,3,0)),0,1)</f>
        <v>0</v>
      </c>
      <c r="T2461" s="4">
        <f>IF(AND(VLOOKUP(G2461,Dados!$D:$L,3,0)&lt;=VLOOKUP(H2461,Dados!$X:$AB,2,0),VLOOKUP(G2461,Dados!$D:$L,4,0)&gt;=VLOOKUP(H2461,Dados!$X:$AB,3,0),VLOOKUP(G2461,Dados!$D:$L,4,0)&lt;=VLOOKUP(H2461,Dados!$X:$AB,4,0)),0,1)</f>
        <v>0</v>
      </c>
      <c r="U2461" s="4">
        <f>IF(COUNTIFS(F:F,F2461,H:H,H2461)&lt;=VLOOKUP(H2461,Dados!$X:$AB,5,0),0,1)</f>
        <v>0</v>
      </c>
    </row>
    <row r="2462" spans="6:21">
      <c r="F2462" s="4">
        <v>1070</v>
      </c>
      <c r="G2462" s="4">
        <v>31</v>
      </c>
      <c r="H2462" s="4">
        <v>2</v>
      </c>
      <c r="I2462" s="4">
        <v>16</v>
      </c>
      <c r="J2462" s="4">
        <v>4</v>
      </c>
      <c r="K2462" s="4">
        <f t="shared" si="352"/>
        <v>0</v>
      </c>
      <c r="L2462" s="4">
        <f t="shared" si="352"/>
        <v>0</v>
      </c>
      <c r="M2462" s="4">
        <f t="shared" si="352"/>
        <v>0</v>
      </c>
      <c r="N2462" s="4">
        <f t="shared" si="352"/>
        <v>0</v>
      </c>
      <c r="O2462" s="4">
        <f t="shared" si="348"/>
        <v>0</v>
      </c>
      <c r="P2462" s="4">
        <f t="shared" si="349"/>
        <v>0</v>
      </c>
      <c r="Q2462" s="4">
        <f t="shared" si="350"/>
        <v>0</v>
      </c>
      <c r="R2462" s="4">
        <f t="shared" si="351"/>
        <v>0</v>
      </c>
      <c r="S2462" s="4">
        <f>IF(AND(VLOOKUP(G2462,Dados!$D:$L,2,0)=VLOOKUP(I2462,Dados!$S:$V,2,0),VLOOKUP(G2462,Dados!$D:$L,3,0)=VLOOKUP(I2462,Dados!$S:$V,3,0)),0,1)</f>
        <v>0</v>
      </c>
      <c r="T2462" s="4">
        <f>IF(AND(VLOOKUP(G2462,Dados!$D:$L,3,0)&lt;=VLOOKUP(H2462,Dados!$X:$AB,2,0),VLOOKUP(G2462,Dados!$D:$L,4,0)&gt;=VLOOKUP(H2462,Dados!$X:$AB,3,0),VLOOKUP(G2462,Dados!$D:$L,4,0)&lt;=VLOOKUP(H2462,Dados!$X:$AB,4,0)),0,1)</f>
        <v>0</v>
      </c>
      <c r="U2462" s="4">
        <f>IF(COUNTIFS(F:F,F2462,H:H,H2462)&lt;=VLOOKUP(H2462,Dados!$X:$AB,5,0),0,1)</f>
        <v>0</v>
      </c>
    </row>
    <row r="2463" spans="6:21">
      <c r="F2463" s="4">
        <v>1070</v>
      </c>
      <c r="G2463" s="4">
        <v>35</v>
      </c>
      <c r="H2463" s="4">
        <v>2</v>
      </c>
      <c r="I2463" s="4">
        <v>16</v>
      </c>
      <c r="J2463" s="4">
        <v>4</v>
      </c>
      <c r="K2463" s="4">
        <f t="shared" si="352"/>
        <v>0</v>
      </c>
      <c r="L2463" s="4">
        <f t="shared" si="352"/>
        <v>0</v>
      </c>
      <c r="M2463" s="4">
        <f t="shared" si="352"/>
        <v>0</v>
      </c>
      <c r="N2463" s="4">
        <f t="shared" si="352"/>
        <v>0</v>
      </c>
      <c r="O2463" s="4">
        <f t="shared" si="348"/>
        <v>0</v>
      </c>
      <c r="P2463" s="4">
        <f t="shared" si="349"/>
        <v>0</v>
      </c>
      <c r="Q2463" s="4">
        <f t="shared" si="350"/>
        <v>0</v>
      </c>
      <c r="R2463" s="4">
        <f t="shared" si="351"/>
        <v>0</v>
      </c>
      <c r="S2463" s="4">
        <f>IF(AND(VLOOKUP(G2463,Dados!$D:$L,2,0)=VLOOKUP(I2463,Dados!$S:$V,2,0),VLOOKUP(G2463,Dados!$D:$L,3,0)=VLOOKUP(I2463,Dados!$S:$V,3,0)),0,1)</f>
        <v>0</v>
      </c>
      <c r="T2463" s="4">
        <f>IF(AND(VLOOKUP(G2463,Dados!$D:$L,3,0)&lt;=VLOOKUP(H2463,Dados!$X:$AB,2,0),VLOOKUP(G2463,Dados!$D:$L,4,0)&gt;=VLOOKUP(H2463,Dados!$X:$AB,3,0),VLOOKUP(G2463,Dados!$D:$L,4,0)&lt;=VLOOKUP(H2463,Dados!$X:$AB,4,0)),0,1)</f>
        <v>0</v>
      </c>
      <c r="U2463" s="4">
        <f>IF(COUNTIFS(F:F,F2463,H:H,H2463)&lt;=VLOOKUP(H2463,Dados!$X:$AB,5,0),0,1)</f>
        <v>0</v>
      </c>
    </row>
    <row r="2464" spans="6:21">
      <c r="F2464" s="4">
        <v>1071</v>
      </c>
      <c r="G2464" s="4">
        <v>31</v>
      </c>
      <c r="H2464" s="4">
        <v>3</v>
      </c>
      <c r="I2464" s="4">
        <v>16</v>
      </c>
      <c r="J2464" s="4">
        <v>4</v>
      </c>
      <c r="K2464" s="4">
        <f t="shared" si="352"/>
        <v>0</v>
      </c>
      <c r="L2464" s="4">
        <f t="shared" si="352"/>
        <v>0</v>
      </c>
      <c r="M2464" s="4">
        <f t="shared" si="352"/>
        <v>0</v>
      </c>
      <c r="N2464" s="4">
        <f t="shared" si="352"/>
        <v>1</v>
      </c>
      <c r="O2464" s="4">
        <f t="shared" si="348"/>
        <v>0</v>
      </c>
      <c r="P2464" s="4">
        <f t="shared" si="349"/>
        <v>0</v>
      </c>
      <c r="Q2464" s="4">
        <f t="shared" si="350"/>
        <v>0</v>
      </c>
      <c r="R2464" s="4">
        <f t="shared" si="351"/>
        <v>4</v>
      </c>
      <c r="S2464" s="4">
        <f>IF(AND(VLOOKUP(G2464,Dados!$D:$L,2,0)=VLOOKUP(I2464,Dados!$S:$V,2,0),VLOOKUP(G2464,Dados!$D:$L,3,0)=VLOOKUP(I2464,Dados!$S:$V,3,0)),0,1)</f>
        <v>0</v>
      </c>
      <c r="T2464" s="4">
        <f>IF(AND(VLOOKUP(G2464,Dados!$D:$L,3,0)&lt;=VLOOKUP(H2464,Dados!$X:$AB,2,0),VLOOKUP(G2464,Dados!$D:$L,4,0)&gt;=VLOOKUP(H2464,Dados!$X:$AB,3,0),VLOOKUP(G2464,Dados!$D:$L,4,0)&lt;=VLOOKUP(H2464,Dados!$X:$AB,4,0)),0,1)</f>
        <v>0</v>
      </c>
      <c r="U2464" s="4">
        <f>IF(COUNTIFS(F:F,F2464,H:H,H2464)&lt;=VLOOKUP(H2464,Dados!$X:$AB,5,0),0,1)</f>
        <v>0</v>
      </c>
    </row>
    <row r="2465" spans="6:21">
      <c r="F2465" s="4">
        <v>1071</v>
      </c>
      <c r="G2465" s="4">
        <v>35</v>
      </c>
      <c r="H2465" s="4">
        <v>3</v>
      </c>
      <c r="I2465" s="4">
        <v>16</v>
      </c>
      <c r="J2465" s="4">
        <v>4</v>
      </c>
      <c r="K2465" s="4">
        <f t="shared" si="352"/>
        <v>0</v>
      </c>
      <c r="L2465" s="4">
        <f t="shared" si="352"/>
        <v>0</v>
      </c>
      <c r="M2465" s="4">
        <f t="shared" si="352"/>
        <v>0</v>
      </c>
      <c r="N2465" s="4">
        <f t="shared" si="352"/>
        <v>1</v>
      </c>
      <c r="O2465" s="4">
        <f t="shared" si="348"/>
        <v>0</v>
      </c>
      <c r="P2465" s="4">
        <f t="shared" si="349"/>
        <v>0</v>
      </c>
      <c r="Q2465" s="4">
        <f t="shared" si="350"/>
        <v>0</v>
      </c>
      <c r="R2465" s="4">
        <f t="shared" si="351"/>
        <v>4</v>
      </c>
      <c r="S2465" s="4">
        <f>IF(AND(VLOOKUP(G2465,Dados!$D:$L,2,0)=VLOOKUP(I2465,Dados!$S:$V,2,0),VLOOKUP(G2465,Dados!$D:$L,3,0)=VLOOKUP(I2465,Dados!$S:$V,3,0)),0,1)</f>
        <v>0</v>
      </c>
      <c r="T2465" s="4">
        <f>IF(AND(VLOOKUP(G2465,Dados!$D:$L,3,0)&lt;=VLOOKUP(H2465,Dados!$X:$AB,2,0),VLOOKUP(G2465,Dados!$D:$L,4,0)&gt;=VLOOKUP(H2465,Dados!$X:$AB,3,0),VLOOKUP(G2465,Dados!$D:$L,4,0)&lt;=VLOOKUP(H2465,Dados!$X:$AB,4,0)),0,1)</f>
        <v>0</v>
      </c>
      <c r="U2465" s="4">
        <f>IF(COUNTIFS(F:F,F2465,H:H,H2465)&lt;=VLOOKUP(H2465,Dados!$X:$AB,5,0),0,1)</f>
        <v>0</v>
      </c>
    </row>
    <row r="2466" spans="6:21">
      <c r="F2466" s="4">
        <v>1072</v>
      </c>
      <c r="G2466" s="4">
        <v>39</v>
      </c>
      <c r="H2466" s="4">
        <v>1</v>
      </c>
      <c r="I2466" s="4">
        <v>17</v>
      </c>
      <c r="J2466" s="4">
        <v>2</v>
      </c>
      <c r="K2466" s="4">
        <f t="shared" si="352"/>
        <v>0</v>
      </c>
      <c r="L2466" s="4">
        <f t="shared" si="352"/>
        <v>0</v>
      </c>
      <c r="M2466" s="4">
        <f t="shared" si="352"/>
        <v>0</v>
      </c>
      <c r="N2466" s="4">
        <f t="shared" si="352"/>
        <v>0</v>
      </c>
      <c r="O2466" s="4">
        <f t="shared" si="348"/>
        <v>0</v>
      </c>
      <c r="P2466" s="4">
        <f t="shared" si="349"/>
        <v>0</v>
      </c>
      <c r="Q2466" s="4">
        <f t="shared" si="350"/>
        <v>0</v>
      </c>
      <c r="R2466" s="4">
        <f t="shared" si="351"/>
        <v>0</v>
      </c>
      <c r="S2466" s="4">
        <f>IF(AND(VLOOKUP(G2466,Dados!$D:$L,2,0)=VLOOKUP(I2466,Dados!$S:$V,2,0),VLOOKUP(G2466,Dados!$D:$L,3,0)=VLOOKUP(I2466,Dados!$S:$V,3,0)),0,1)</f>
        <v>0</v>
      </c>
      <c r="T2466" s="4">
        <f>IF(AND(VLOOKUP(G2466,Dados!$D:$L,3,0)&lt;=VLOOKUP(H2466,Dados!$X:$AB,2,0),VLOOKUP(G2466,Dados!$D:$L,4,0)&gt;=VLOOKUP(H2466,Dados!$X:$AB,3,0),VLOOKUP(G2466,Dados!$D:$L,4,0)&lt;=VLOOKUP(H2466,Dados!$X:$AB,4,0)),0,1)</f>
        <v>0</v>
      </c>
      <c r="U2466" s="4">
        <f>IF(COUNTIFS(F:F,F2466,H:H,H2466)&lt;=VLOOKUP(H2466,Dados!$X:$AB,5,0),0,1)</f>
        <v>0</v>
      </c>
    </row>
    <row r="2467" spans="6:21">
      <c r="F2467" s="4">
        <v>1072</v>
      </c>
      <c r="G2467" s="4">
        <v>42</v>
      </c>
      <c r="H2467" s="4">
        <v>1</v>
      </c>
      <c r="I2467" s="4">
        <v>17</v>
      </c>
      <c r="J2467" s="4">
        <v>4</v>
      </c>
      <c r="K2467" s="4">
        <f t="shared" si="352"/>
        <v>0</v>
      </c>
      <c r="L2467" s="4">
        <f t="shared" si="352"/>
        <v>0</v>
      </c>
      <c r="M2467" s="4">
        <f t="shared" si="352"/>
        <v>0</v>
      </c>
      <c r="N2467" s="4">
        <f t="shared" si="352"/>
        <v>0</v>
      </c>
      <c r="O2467" s="4">
        <f t="shared" si="348"/>
        <v>0</v>
      </c>
      <c r="P2467" s="4">
        <f t="shared" si="349"/>
        <v>0</v>
      </c>
      <c r="Q2467" s="4">
        <f t="shared" si="350"/>
        <v>0</v>
      </c>
      <c r="R2467" s="4">
        <f t="shared" si="351"/>
        <v>0</v>
      </c>
      <c r="S2467" s="4">
        <f>IF(AND(VLOOKUP(G2467,Dados!$D:$L,2,0)=VLOOKUP(I2467,Dados!$S:$V,2,0),VLOOKUP(G2467,Dados!$D:$L,3,0)=VLOOKUP(I2467,Dados!$S:$V,3,0)),0,1)</f>
        <v>0</v>
      </c>
      <c r="T2467" s="4">
        <f>IF(AND(VLOOKUP(G2467,Dados!$D:$L,3,0)&lt;=VLOOKUP(H2467,Dados!$X:$AB,2,0),VLOOKUP(G2467,Dados!$D:$L,4,0)&gt;=VLOOKUP(H2467,Dados!$X:$AB,3,0),VLOOKUP(G2467,Dados!$D:$L,4,0)&lt;=VLOOKUP(H2467,Dados!$X:$AB,4,0)),0,1)</f>
        <v>0</v>
      </c>
      <c r="U2467" s="4">
        <f>IF(COUNTIFS(F:F,F2467,H:H,H2467)&lt;=VLOOKUP(H2467,Dados!$X:$AB,5,0),0,1)</f>
        <v>0</v>
      </c>
    </row>
    <row r="2468" spans="6:21">
      <c r="F2468" s="4">
        <v>1072</v>
      </c>
      <c r="G2468" s="4">
        <v>45</v>
      </c>
      <c r="H2468" s="4">
        <v>1</v>
      </c>
      <c r="I2468" s="4">
        <v>17</v>
      </c>
      <c r="J2468" s="4">
        <v>1</v>
      </c>
      <c r="K2468" s="4">
        <f t="shared" si="352"/>
        <v>0</v>
      </c>
      <c r="L2468" s="4">
        <f t="shared" si="352"/>
        <v>0</v>
      </c>
      <c r="M2468" s="4">
        <f t="shared" si="352"/>
        <v>0</v>
      </c>
      <c r="N2468" s="4">
        <f t="shared" si="352"/>
        <v>0</v>
      </c>
      <c r="O2468" s="4">
        <f t="shared" si="348"/>
        <v>0</v>
      </c>
      <c r="P2468" s="4">
        <f t="shared" si="349"/>
        <v>0</v>
      </c>
      <c r="Q2468" s="4">
        <f t="shared" si="350"/>
        <v>0</v>
      </c>
      <c r="R2468" s="4">
        <f t="shared" si="351"/>
        <v>0</v>
      </c>
      <c r="S2468" s="4">
        <f>IF(AND(VLOOKUP(G2468,Dados!$D:$L,2,0)=VLOOKUP(I2468,Dados!$S:$V,2,0),VLOOKUP(G2468,Dados!$D:$L,3,0)=VLOOKUP(I2468,Dados!$S:$V,3,0)),0,1)</f>
        <v>0</v>
      </c>
      <c r="T2468" s="4">
        <f>IF(AND(VLOOKUP(G2468,Dados!$D:$L,3,0)&lt;=VLOOKUP(H2468,Dados!$X:$AB,2,0),VLOOKUP(G2468,Dados!$D:$L,4,0)&gt;=VLOOKUP(H2468,Dados!$X:$AB,3,0),VLOOKUP(G2468,Dados!$D:$L,4,0)&lt;=VLOOKUP(H2468,Dados!$X:$AB,4,0)),0,1)</f>
        <v>0</v>
      </c>
      <c r="U2468" s="4">
        <f>IF(COUNTIFS(F:F,F2468,H:H,H2468)&lt;=VLOOKUP(H2468,Dados!$X:$AB,5,0),0,1)</f>
        <v>0</v>
      </c>
    </row>
    <row r="2469" spans="6:21">
      <c r="F2469" s="4">
        <v>1073</v>
      </c>
      <c r="G2469" s="4">
        <v>39</v>
      </c>
      <c r="H2469" s="4">
        <v>2</v>
      </c>
      <c r="I2469" s="4">
        <v>17</v>
      </c>
      <c r="J2469" s="4">
        <v>2</v>
      </c>
      <c r="K2469" s="4">
        <f t="shared" si="352"/>
        <v>0</v>
      </c>
      <c r="L2469" s="4">
        <f t="shared" si="352"/>
        <v>0</v>
      </c>
      <c r="M2469" s="4">
        <f t="shared" si="352"/>
        <v>0</v>
      </c>
      <c r="N2469" s="4">
        <f t="shared" si="352"/>
        <v>1</v>
      </c>
      <c r="O2469" s="4">
        <f t="shared" si="348"/>
        <v>0</v>
      </c>
      <c r="P2469" s="4">
        <f t="shared" si="349"/>
        <v>0</v>
      </c>
      <c r="Q2469" s="4">
        <f t="shared" si="350"/>
        <v>0</v>
      </c>
      <c r="R2469" s="4">
        <f t="shared" si="351"/>
        <v>2</v>
      </c>
      <c r="S2469" s="4">
        <f>IF(AND(VLOOKUP(G2469,Dados!$D:$L,2,0)=VLOOKUP(I2469,Dados!$S:$V,2,0),VLOOKUP(G2469,Dados!$D:$L,3,0)=VLOOKUP(I2469,Dados!$S:$V,3,0)),0,1)</f>
        <v>0</v>
      </c>
      <c r="T2469" s="4">
        <f>IF(AND(VLOOKUP(G2469,Dados!$D:$L,3,0)&lt;=VLOOKUP(H2469,Dados!$X:$AB,2,0),VLOOKUP(G2469,Dados!$D:$L,4,0)&gt;=VLOOKUP(H2469,Dados!$X:$AB,3,0),VLOOKUP(G2469,Dados!$D:$L,4,0)&lt;=VLOOKUP(H2469,Dados!$X:$AB,4,0)),0,1)</f>
        <v>0</v>
      </c>
      <c r="U2469" s="4">
        <f>IF(COUNTIFS(F:F,F2469,H:H,H2469)&lt;=VLOOKUP(H2469,Dados!$X:$AB,5,0),0,1)</f>
        <v>0</v>
      </c>
    </row>
    <row r="2470" spans="6:21">
      <c r="F2470" s="4">
        <v>1073</v>
      </c>
      <c r="G2470" s="4">
        <v>42</v>
      </c>
      <c r="H2470" s="4">
        <v>2</v>
      </c>
      <c r="I2470" s="4">
        <v>17</v>
      </c>
      <c r="J2470" s="4">
        <v>4</v>
      </c>
      <c r="K2470" s="4">
        <f t="shared" si="352"/>
        <v>0</v>
      </c>
      <c r="L2470" s="4">
        <f t="shared" si="352"/>
        <v>0</v>
      </c>
      <c r="M2470" s="4">
        <f t="shared" si="352"/>
        <v>0</v>
      </c>
      <c r="N2470" s="4">
        <f t="shared" si="352"/>
        <v>1</v>
      </c>
      <c r="O2470" s="4">
        <f t="shared" si="348"/>
        <v>0</v>
      </c>
      <c r="P2470" s="4">
        <f t="shared" si="349"/>
        <v>0</v>
      </c>
      <c r="Q2470" s="4">
        <f t="shared" si="350"/>
        <v>0</v>
      </c>
      <c r="R2470" s="4">
        <f t="shared" si="351"/>
        <v>4</v>
      </c>
      <c r="S2470" s="4">
        <f>IF(AND(VLOOKUP(G2470,Dados!$D:$L,2,0)=VLOOKUP(I2470,Dados!$S:$V,2,0),VLOOKUP(G2470,Dados!$D:$L,3,0)=VLOOKUP(I2470,Dados!$S:$V,3,0)),0,1)</f>
        <v>0</v>
      </c>
      <c r="T2470" s="4">
        <f>IF(AND(VLOOKUP(G2470,Dados!$D:$L,3,0)&lt;=VLOOKUP(H2470,Dados!$X:$AB,2,0),VLOOKUP(G2470,Dados!$D:$L,4,0)&gt;=VLOOKUP(H2470,Dados!$X:$AB,3,0),VLOOKUP(G2470,Dados!$D:$L,4,0)&lt;=VLOOKUP(H2470,Dados!$X:$AB,4,0)),0,1)</f>
        <v>0</v>
      </c>
      <c r="U2470" s="4">
        <f>IF(COUNTIFS(F:F,F2470,H:H,H2470)&lt;=VLOOKUP(H2470,Dados!$X:$AB,5,0),0,1)</f>
        <v>0</v>
      </c>
    </row>
    <row r="2471" spans="6:21">
      <c r="F2471" s="4">
        <v>1073</v>
      </c>
      <c r="G2471" s="4">
        <v>45</v>
      </c>
      <c r="H2471" s="4">
        <v>2</v>
      </c>
      <c r="I2471" s="4">
        <v>17</v>
      </c>
      <c r="J2471" s="4">
        <v>1</v>
      </c>
      <c r="K2471" s="4">
        <f t="shared" si="352"/>
        <v>0</v>
      </c>
      <c r="L2471" s="4">
        <f t="shared" si="352"/>
        <v>0</v>
      </c>
      <c r="M2471" s="4">
        <f t="shared" si="352"/>
        <v>0</v>
      </c>
      <c r="N2471" s="4">
        <f t="shared" si="352"/>
        <v>1</v>
      </c>
      <c r="O2471" s="4">
        <f t="shared" ref="O2471:O2534" si="353">$J2471*K2471</f>
        <v>0</v>
      </c>
      <c r="P2471" s="4">
        <f t="shared" ref="P2471:P2534" si="354">$J2471*L2471</f>
        <v>0</v>
      </c>
      <c r="Q2471" s="4">
        <f t="shared" ref="Q2471:Q2534" si="355">$J2471*M2471</f>
        <v>0</v>
      </c>
      <c r="R2471" s="4">
        <f t="shared" ref="R2471:R2534" si="356">$J2471*N2471</f>
        <v>1</v>
      </c>
      <c r="S2471" s="4">
        <f>IF(AND(VLOOKUP(G2471,Dados!$D:$L,2,0)=VLOOKUP(I2471,Dados!$S:$V,2,0),VLOOKUP(G2471,Dados!$D:$L,3,0)=VLOOKUP(I2471,Dados!$S:$V,3,0)),0,1)</f>
        <v>0</v>
      </c>
      <c r="T2471" s="4">
        <f>IF(AND(VLOOKUP(G2471,Dados!$D:$L,3,0)&lt;=VLOOKUP(H2471,Dados!$X:$AB,2,0),VLOOKUP(G2471,Dados!$D:$L,4,0)&gt;=VLOOKUP(H2471,Dados!$X:$AB,3,0),VLOOKUP(G2471,Dados!$D:$L,4,0)&lt;=VLOOKUP(H2471,Dados!$X:$AB,4,0)),0,1)</f>
        <v>0</v>
      </c>
      <c r="U2471" s="4">
        <f>IF(COUNTIFS(F:F,F2471,H:H,H2471)&lt;=VLOOKUP(H2471,Dados!$X:$AB,5,0),0,1)</f>
        <v>0</v>
      </c>
    </row>
    <row r="2472" spans="6:21">
      <c r="F2472" s="4">
        <v>1074</v>
      </c>
      <c r="G2472" s="4">
        <v>39</v>
      </c>
      <c r="H2472" s="4">
        <v>3</v>
      </c>
      <c r="I2472" s="4">
        <v>17</v>
      </c>
      <c r="J2472" s="4">
        <v>2</v>
      </c>
      <c r="K2472" s="4">
        <f t="shared" si="352"/>
        <v>0</v>
      </c>
      <c r="L2472" s="4">
        <f t="shared" si="352"/>
        <v>0</v>
      </c>
      <c r="M2472" s="4">
        <f t="shared" si="352"/>
        <v>0</v>
      </c>
      <c r="N2472" s="4">
        <f t="shared" si="352"/>
        <v>0</v>
      </c>
      <c r="O2472" s="4">
        <f t="shared" si="353"/>
        <v>0</v>
      </c>
      <c r="P2472" s="4">
        <f t="shared" si="354"/>
        <v>0</v>
      </c>
      <c r="Q2472" s="4">
        <f t="shared" si="355"/>
        <v>0</v>
      </c>
      <c r="R2472" s="4">
        <f t="shared" si="356"/>
        <v>0</v>
      </c>
      <c r="S2472" s="4">
        <f>IF(AND(VLOOKUP(G2472,Dados!$D:$L,2,0)=VLOOKUP(I2472,Dados!$S:$V,2,0),VLOOKUP(G2472,Dados!$D:$L,3,0)=VLOOKUP(I2472,Dados!$S:$V,3,0)),0,1)</f>
        <v>0</v>
      </c>
      <c r="T2472" s="4">
        <f>IF(AND(VLOOKUP(G2472,Dados!$D:$L,3,0)&lt;=VLOOKUP(H2472,Dados!$X:$AB,2,0),VLOOKUP(G2472,Dados!$D:$L,4,0)&gt;=VLOOKUP(H2472,Dados!$X:$AB,3,0),VLOOKUP(G2472,Dados!$D:$L,4,0)&lt;=VLOOKUP(H2472,Dados!$X:$AB,4,0)),0,1)</f>
        <v>0</v>
      </c>
      <c r="U2472" s="4">
        <f>IF(COUNTIFS(F:F,F2472,H:H,H2472)&lt;=VLOOKUP(H2472,Dados!$X:$AB,5,0),0,1)</f>
        <v>0</v>
      </c>
    </row>
    <row r="2473" spans="6:21">
      <c r="F2473" s="4">
        <v>1074</v>
      </c>
      <c r="G2473" s="4">
        <v>40</v>
      </c>
      <c r="H2473" s="4">
        <v>3</v>
      </c>
      <c r="I2473" s="4">
        <v>17</v>
      </c>
      <c r="J2473" s="4">
        <v>1</v>
      </c>
      <c r="K2473" s="4">
        <f t="shared" si="352"/>
        <v>0</v>
      </c>
      <c r="L2473" s="4">
        <f t="shared" si="352"/>
        <v>0</v>
      </c>
      <c r="M2473" s="4">
        <f t="shared" si="352"/>
        <v>0</v>
      </c>
      <c r="N2473" s="4">
        <f t="shared" si="352"/>
        <v>0</v>
      </c>
      <c r="O2473" s="4">
        <f t="shared" si="353"/>
        <v>0</v>
      </c>
      <c r="P2473" s="4">
        <f t="shared" si="354"/>
        <v>0</v>
      </c>
      <c r="Q2473" s="4">
        <f t="shared" si="355"/>
        <v>0</v>
      </c>
      <c r="R2473" s="4">
        <f t="shared" si="356"/>
        <v>0</v>
      </c>
      <c r="S2473" s="4">
        <f>IF(AND(VLOOKUP(G2473,Dados!$D:$L,2,0)=VLOOKUP(I2473,Dados!$S:$V,2,0),VLOOKUP(G2473,Dados!$D:$L,3,0)=VLOOKUP(I2473,Dados!$S:$V,3,0)),0,1)</f>
        <v>0</v>
      </c>
      <c r="T2473" s="4">
        <f>IF(AND(VLOOKUP(G2473,Dados!$D:$L,3,0)&lt;=VLOOKUP(H2473,Dados!$X:$AB,2,0),VLOOKUP(G2473,Dados!$D:$L,4,0)&gt;=VLOOKUP(H2473,Dados!$X:$AB,3,0),VLOOKUP(G2473,Dados!$D:$L,4,0)&lt;=VLOOKUP(H2473,Dados!$X:$AB,4,0)),0,1)</f>
        <v>0</v>
      </c>
      <c r="U2473" s="4">
        <f>IF(COUNTIFS(F:F,F2473,H:H,H2473)&lt;=VLOOKUP(H2473,Dados!$X:$AB,5,0),0,1)</f>
        <v>0</v>
      </c>
    </row>
    <row r="2474" spans="6:21">
      <c r="F2474" s="4">
        <v>1074</v>
      </c>
      <c r="G2474" s="4">
        <v>42</v>
      </c>
      <c r="H2474" s="4">
        <v>3</v>
      </c>
      <c r="I2474" s="4">
        <v>17</v>
      </c>
      <c r="J2474" s="4">
        <v>3</v>
      </c>
      <c r="K2474" s="4">
        <f t="shared" si="352"/>
        <v>0</v>
      </c>
      <c r="L2474" s="4">
        <f t="shared" si="352"/>
        <v>0</v>
      </c>
      <c r="M2474" s="4">
        <f t="shared" si="352"/>
        <v>0</v>
      </c>
      <c r="N2474" s="4">
        <f t="shared" si="352"/>
        <v>0</v>
      </c>
      <c r="O2474" s="4">
        <f t="shared" si="353"/>
        <v>0</v>
      </c>
      <c r="P2474" s="4">
        <f t="shared" si="354"/>
        <v>0</v>
      </c>
      <c r="Q2474" s="4">
        <f t="shared" si="355"/>
        <v>0</v>
      </c>
      <c r="R2474" s="4">
        <f t="shared" si="356"/>
        <v>0</v>
      </c>
      <c r="S2474" s="4">
        <f>IF(AND(VLOOKUP(G2474,Dados!$D:$L,2,0)=VLOOKUP(I2474,Dados!$S:$V,2,0),VLOOKUP(G2474,Dados!$D:$L,3,0)=VLOOKUP(I2474,Dados!$S:$V,3,0)),0,1)</f>
        <v>0</v>
      </c>
      <c r="T2474" s="4">
        <f>IF(AND(VLOOKUP(G2474,Dados!$D:$L,3,0)&lt;=VLOOKUP(H2474,Dados!$X:$AB,2,0),VLOOKUP(G2474,Dados!$D:$L,4,0)&gt;=VLOOKUP(H2474,Dados!$X:$AB,3,0),VLOOKUP(G2474,Dados!$D:$L,4,0)&lt;=VLOOKUP(H2474,Dados!$X:$AB,4,0)),0,1)</f>
        <v>0</v>
      </c>
      <c r="U2474" s="4">
        <f>IF(COUNTIFS(F:F,F2474,H:H,H2474)&lt;=VLOOKUP(H2474,Dados!$X:$AB,5,0),0,1)</f>
        <v>0</v>
      </c>
    </row>
    <row r="2475" spans="6:21">
      <c r="F2475" s="4">
        <v>1074</v>
      </c>
      <c r="G2475" s="4">
        <v>44</v>
      </c>
      <c r="H2475" s="4">
        <v>3</v>
      </c>
      <c r="I2475" s="4">
        <v>17</v>
      </c>
      <c r="J2475" s="4">
        <v>1</v>
      </c>
      <c r="K2475" s="4">
        <f t="shared" si="352"/>
        <v>0</v>
      </c>
      <c r="L2475" s="4">
        <f t="shared" si="352"/>
        <v>0</v>
      </c>
      <c r="M2475" s="4">
        <f t="shared" si="352"/>
        <v>0</v>
      </c>
      <c r="N2475" s="4">
        <f t="shared" si="352"/>
        <v>0</v>
      </c>
      <c r="O2475" s="4">
        <f t="shared" si="353"/>
        <v>0</v>
      </c>
      <c r="P2475" s="4">
        <f t="shared" si="354"/>
        <v>0</v>
      </c>
      <c r="Q2475" s="4">
        <f t="shared" si="355"/>
        <v>0</v>
      </c>
      <c r="R2475" s="4">
        <f t="shared" si="356"/>
        <v>0</v>
      </c>
      <c r="S2475" s="4">
        <f>IF(AND(VLOOKUP(G2475,Dados!$D:$L,2,0)=VLOOKUP(I2475,Dados!$S:$V,2,0),VLOOKUP(G2475,Dados!$D:$L,3,0)=VLOOKUP(I2475,Dados!$S:$V,3,0)),0,1)</f>
        <v>0</v>
      </c>
      <c r="T2475" s="4">
        <f>IF(AND(VLOOKUP(G2475,Dados!$D:$L,3,0)&lt;=VLOOKUP(H2475,Dados!$X:$AB,2,0),VLOOKUP(G2475,Dados!$D:$L,4,0)&gt;=VLOOKUP(H2475,Dados!$X:$AB,3,0),VLOOKUP(G2475,Dados!$D:$L,4,0)&lt;=VLOOKUP(H2475,Dados!$X:$AB,4,0)),0,1)</f>
        <v>0</v>
      </c>
      <c r="U2475" s="4">
        <f>IF(COUNTIFS(F:F,F2475,H:H,H2475)&lt;=VLOOKUP(H2475,Dados!$X:$AB,5,0),0,1)</f>
        <v>0</v>
      </c>
    </row>
    <row r="2476" spans="6:21">
      <c r="F2476" s="4">
        <v>1075</v>
      </c>
      <c r="G2476" s="4">
        <v>50</v>
      </c>
      <c r="H2476" s="4">
        <v>1</v>
      </c>
      <c r="I2476" s="4">
        <v>19</v>
      </c>
      <c r="J2476" s="4">
        <v>2</v>
      </c>
      <c r="K2476" s="4">
        <f t="shared" si="352"/>
        <v>0</v>
      </c>
      <c r="L2476" s="4">
        <f t="shared" si="352"/>
        <v>0</v>
      </c>
      <c r="M2476" s="4">
        <f t="shared" si="352"/>
        <v>0</v>
      </c>
      <c r="N2476" s="4">
        <f t="shared" si="352"/>
        <v>0</v>
      </c>
      <c r="O2476" s="4">
        <f t="shared" si="353"/>
        <v>0</v>
      </c>
      <c r="P2476" s="4">
        <f t="shared" si="354"/>
        <v>0</v>
      </c>
      <c r="Q2476" s="4">
        <f t="shared" si="355"/>
        <v>0</v>
      </c>
      <c r="R2476" s="4">
        <f t="shared" si="356"/>
        <v>0</v>
      </c>
      <c r="S2476" s="4">
        <f>IF(AND(VLOOKUP(G2476,Dados!$D:$L,2,0)=VLOOKUP(I2476,Dados!$S:$V,2,0),VLOOKUP(G2476,Dados!$D:$L,3,0)=VLOOKUP(I2476,Dados!$S:$V,3,0)),0,1)</f>
        <v>0</v>
      </c>
      <c r="T2476" s="4">
        <f>IF(AND(VLOOKUP(G2476,Dados!$D:$L,3,0)&lt;=VLOOKUP(H2476,Dados!$X:$AB,2,0),VLOOKUP(G2476,Dados!$D:$L,4,0)&gt;=VLOOKUP(H2476,Dados!$X:$AB,3,0),VLOOKUP(G2476,Dados!$D:$L,4,0)&lt;=VLOOKUP(H2476,Dados!$X:$AB,4,0)),0,1)</f>
        <v>0</v>
      </c>
      <c r="U2476" s="4">
        <f>IF(COUNTIFS(F:F,F2476,H:H,H2476)&lt;=VLOOKUP(H2476,Dados!$X:$AB,5,0),0,1)</f>
        <v>0</v>
      </c>
    </row>
    <row r="2477" spans="6:21">
      <c r="F2477" s="4">
        <v>1075</v>
      </c>
      <c r="G2477" s="4">
        <v>51</v>
      </c>
      <c r="H2477" s="4">
        <v>1</v>
      </c>
      <c r="I2477" s="4">
        <v>19</v>
      </c>
      <c r="J2477" s="4">
        <v>2</v>
      </c>
      <c r="K2477" s="4">
        <f t="shared" si="352"/>
        <v>0</v>
      </c>
      <c r="L2477" s="4">
        <f t="shared" si="352"/>
        <v>0</v>
      </c>
      <c r="M2477" s="4">
        <f t="shared" si="352"/>
        <v>0</v>
      </c>
      <c r="N2477" s="4">
        <f t="shared" si="352"/>
        <v>0</v>
      </c>
      <c r="O2477" s="4">
        <f t="shared" si="353"/>
        <v>0</v>
      </c>
      <c r="P2477" s="4">
        <f t="shared" si="354"/>
        <v>0</v>
      </c>
      <c r="Q2477" s="4">
        <f t="shared" si="355"/>
        <v>0</v>
      </c>
      <c r="R2477" s="4">
        <f t="shared" si="356"/>
        <v>0</v>
      </c>
      <c r="S2477" s="4">
        <f>IF(AND(VLOOKUP(G2477,Dados!$D:$L,2,0)=VLOOKUP(I2477,Dados!$S:$V,2,0),VLOOKUP(G2477,Dados!$D:$L,3,0)=VLOOKUP(I2477,Dados!$S:$V,3,0)),0,1)</f>
        <v>0</v>
      </c>
      <c r="T2477" s="4">
        <f>IF(AND(VLOOKUP(G2477,Dados!$D:$L,3,0)&lt;=VLOOKUP(H2477,Dados!$X:$AB,2,0),VLOOKUP(G2477,Dados!$D:$L,4,0)&gt;=VLOOKUP(H2477,Dados!$X:$AB,3,0),VLOOKUP(G2477,Dados!$D:$L,4,0)&lt;=VLOOKUP(H2477,Dados!$X:$AB,4,0)),0,1)</f>
        <v>0</v>
      </c>
      <c r="U2477" s="4">
        <f>IF(COUNTIFS(F:F,F2477,H:H,H2477)&lt;=VLOOKUP(H2477,Dados!$X:$AB,5,0),0,1)</f>
        <v>0</v>
      </c>
    </row>
    <row r="2478" spans="6:21">
      <c r="F2478" s="4">
        <v>1075</v>
      </c>
      <c r="G2478" s="4">
        <v>52</v>
      </c>
      <c r="H2478" s="4">
        <v>1</v>
      </c>
      <c r="I2478" s="4">
        <v>19</v>
      </c>
      <c r="J2478" s="4">
        <v>5</v>
      </c>
      <c r="K2478" s="4">
        <f t="shared" si="352"/>
        <v>0</v>
      </c>
      <c r="L2478" s="4">
        <f t="shared" si="352"/>
        <v>0</v>
      </c>
      <c r="M2478" s="4">
        <f t="shared" si="352"/>
        <v>0</v>
      </c>
      <c r="N2478" s="4">
        <f t="shared" si="352"/>
        <v>0</v>
      </c>
      <c r="O2478" s="4">
        <f t="shared" si="353"/>
        <v>0</v>
      </c>
      <c r="P2478" s="4">
        <f t="shared" si="354"/>
        <v>0</v>
      </c>
      <c r="Q2478" s="4">
        <f t="shared" si="355"/>
        <v>0</v>
      </c>
      <c r="R2478" s="4">
        <f t="shared" si="356"/>
        <v>0</v>
      </c>
      <c r="S2478" s="4">
        <f>IF(AND(VLOOKUP(G2478,Dados!$D:$L,2,0)=VLOOKUP(I2478,Dados!$S:$V,2,0),VLOOKUP(G2478,Dados!$D:$L,3,0)=VLOOKUP(I2478,Dados!$S:$V,3,0)),0,1)</f>
        <v>0</v>
      </c>
      <c r="T2478" s="4">
        <f>IF(AND(VLOOKUP(G2478,Dados!$D:$L,3,0)&lt;=VLOOKUP(H2478,Dados!$X:$AB,2,0),VLOOKUP(G2478,Dados!$D:$L,4,0)&gt;=VLOOKUP(H2478,Dados!$X:$AB,3,0),VLOOKUP(G2478,Dados!$D:$L,4,0)&lt;=VLOOKUP(H2478,Dados!$X:$AB,4,0)),0,1)</f>
        <v>0</v>
      </c>
      <c r="U2478" s="4">
        <f>IF(COUNTIFS(F:F,F2478,H:H,H2478)&lt;=VLOOKUP(H2478,Dados!$X:$AB,5,0),0,1)</f>
        <v>0</v>
      </c>
    </row>
    <row r="2479" spans="6:21">
      <c r="F2479" s="4">
        <v>1076</v>
      </c>
      <c r="G2479" s="4">
        <v>48</v>
      </c>
      <c r="H2479" s="4">
        <v>3</v>
      </c>
      <c r="I2479" s="4">
        <v>19</v>
      </c>
      <c r="J2479" s="4">
        <v>3</v>
      </c>
      <c r="K2479" s="4">
        <f t="shared" si="352"/>
        <v>0</v>
      </c>
      <c r="L2479" s="4">
        <f t="shared" si="352"/>
        <v>0</v>
      </c>
      <c r="M2479" s="4">
        <f t="shared" si="352"/>
        <v>0</v>
      </c>
      <c r="N2479" s="4">
        <f t="shared" si="352"/>
        <v>0</v>
      </c>
      <c r="O2479" s="4">
        <f t="shared" si="353"/>
        <v>0</v>
      </c>
      <c r="P2479" s="4">
        <f t="shared" si="354"/>
        <v>0</v>
      </c>
      <c r="Q2479" s="4">
        <f t="shared" si="355"/>
        <v>0</v>
      </c>
      <c r="R2479" s="4">
        <f t="shared" si="356"/>
        <v>0</v>
      </c>
      <c r="S2479" s="4">
        <f>IF(AND(VLOOKUP(G2479,Dados!$D:$L,2,0)=VLOOKUP(I2479,Dados!$S:$V,2,0),VLOOKUP(G2479,Dados!$D:$L,3,0)=VLOOKUP(I2479,Dados!$S:$V,3,0)),0,1)</f>
        <v>0</v>
      </c>
      <c r="T2479" s="4">
        <f>IF(AND(VLOOKUP(G2479,Dados!$D:$L,3,0)&lt;=VLOOKUP(H2479,Dados!$X:$AB,2,0),VLOOKUP(G2479,Dados!$D:$L,4,0)&gt;=VLOOKUP(H2479,Dados!$X:$AB,3,0),VLOOKUP(G2479,Dados!$D:$L,4,0)&lt;=VLOOKUP(H2479,Dados!$X:$AB,4,0)),0,1)</f>
        <v>0</v>
      </c>
      <c r="U2479" s="4">
        <f>IF(COUNTIFS(F:F,F2479,H:H,H2479)&lt;=VLOOKUP(H2479,Dados!$X:$AB,5,0),0,1)</f>
        <v>0</v>
      </c>
    </row>
    <row r="2480" spans="6:21">
      <c r="F2480" s="4">
        <v>1076</v>
      </c>
      <c r="G2480" s="4">
        <v>49</v>
      </c>
      <c r="H2480" s="4">
        <v>3</v>
      </c>
      <c r="I2480" s="4">
        <v>19</v>
      </c>
      <c r="J2480" s="4">
        <v>1</v>
      </c>
      <c r="K2480" s="4">
        <f t="shared" si="352"/>
        <v>0</v>
      </c>
      <c r="L2480" s="4">
        <f t="shared" si="352"/>
        <v>0</v>
      </c>
      <c r="M2480" s="4">
        <f t="shared" si="352"/>
        <v>0</v>
      </c>
      <c r="N2480" s="4">
        <f t="shared" si="352"/>
        <v>0</v>
      </c>
      <c r="O2480" s="4">
        <f t="shared" si="353"/>
        <v>0</v>
      </c>
      <c r="P2480" s="4">
        <f t="shared" si="354"/>
        <v>0</v>
      </c>
      <c r="Q2480" s="4">
        <f t="shared" si="355"/>
        <v>0</v>
      </c>
      <c r="R2480" s="4">
        <f t="shared" si="356"/>
        <v>0</v>
      </c>
      <c r="S2480" s="4">
        <f>IF(AND(VLOOKUP(G2480,Dados!$D:$L,2,0)=VLOOKUP(I2480,Dados!$S:$V,2,0),VLOOKUP(G2480,Dados!$D:$L,3,0)=VLOOKUP(I2480,Dados!$S:$V,3,0)),0,1)</f>
        <v>0</v>
      </c>
      <c r="T2480" s="4">
        <f>IF(AND(VLOOKUP(G2480,Dados!$D:$L,3,0)&lt;=VLOOKUP(H2480,Dados!$X:$AB,2,0),VLOOKUP(G2480,Dados!$D:$L,4,0)&gt;=VLOOKUP(H2480,Dados!$X:$AB,3,0),VLOOKUP(G2480,Dados!$D:$L,4,0)&lt;=VLOOKUP(H2480,Dados!$X:$AB,4,0)),0,1)</f>
        <v>0</v>
      </c>
      <c r="U2480" s="4">
        <f>IF(COUNTIFS(F:F,F2480,H:H,H2480)&lt;=VLOOKUP(H2480,Dados!$X:$AB,5,0),0,1)</f>
        <v>0</v>
      </c>
    </row>
    <row r="2481" spans="6:21">
      <c r="F2481" s="4">
        <v>1076</v>
      </c>
      <c r="G2481" s="4">
        <v>50</v>
      </c>
      <c r="H2481" s="4">
        <v>3</v>
      </c>
      <c r="I2481" s="4">
        <v>19</v>
      </c>
      <c r="J2481" s="4">
        <v>1</v>
      </c>
      <c r="K2481" s="4">
        <f t="shared" si="352"/>
        <v>0</v>
      </c>
      <c r="L2481" s="4">
        <f t="shared" si="352"/>
        <v>0</v>
      </c>
      <c r="M2481" s="4">
        <f t="shared" si="352"/>
        <v>0</v>
      </c>
      <c r="N2481" s="4">
        <f t="shared" si="352"/>
        <v>0</v>
      </c>
      <c r="O2481" s="4">
        <f t="shared" si="353"/>
        <v>0</v>
      </c>
      <c r="P2481" s="4">
        <f t="shared" si="354"/>
        <v>0</v>
      </c>
      <c r="Q2481" s="4">
        <f t="shared" si="355"/>
        <v>0</v>
      </c>
      <c r="R2481" s="4">
        <f t="shared" si="356"/>
        <v>0</v>
      </c>
      <c r="S2481" s="4">
        <f>IF(AND(VLOOKUP(G2481,Dados!$D:$L,2,0)=VLOOKUP(I2481,Dados!$S:$V,2,0),VLOOKUP(G2481,Dados!$D:$L,3,0)=VLOOKUP(I2481,Dados!$S:$V,3,0)),0,1)</f>
        <v>0</v>
      </c>
      <c r="T2481" s="4">
        <f>IF(AND(VLOOKUP(G2481,Dados!$D:$L,3,0)&lt;=VLOOKUP(H2481,Dados!$X:$AB,2,0),VLOOKUP(G2481,Dados!$D:$L,4,0)&gt;=VLOOKUP(H2481,Dados!$X:$AB,3,0),VLOOKUP(G2481,Dados!$D:$L,4,0)&lt;=VLOOKUP(H2481,Dados!$X:$AB,4,0)),0,1)</f>
        <v>0</v>
      </c>
      <c r="U2481" s="4">
        <f>IF(COUNTIFS(F:F,F2481,H:H,H2481)&lt;=VLOOKUP(H2481,Dados!$X:$AB,5,0),0,1)</f>
        <v>0</v>
      </c>
    </row>
    <row r="2482" spans="6:21">
      <c r="F2482" s="4">
        <v>1076</v>
      </c>
      <c r="G2482" s="4">
        <v>51</v>
      </c>
      <c r="H2482" s="4">
        <v>3</v>
      </c>
      <c r="I2482" s="4">
        <v>19</v>
      </c>
      <c r="J2482" s="4">
        <v>3</v>
      </c>
      <c r="K2482" s="4">
        <f t="shared" si="352"/>
        <v>0</v>
      </c>
      <c r="L2482" s="4">
        <f t="shared" si="352"/>
        <v>0</v>
      </c>
      <c r="M2482" s="4">
        <f t="shared" si="352"/>
        <v>0</v>
      </c>
      <c r="N2482" s="4">
        <f t="shared" si="352"/>
        <v>0</v>
      </c>
      <c r="O2482" s="4">
        <f t="shared" si="353"/>
        <v>0</v>
      </c>
      <c r="P2482" s="4">
        <f t="shared" si="354"/>
        <v>0</v>
      </c>
      <c r="Q2482" s="4">
        <f t="shared" si="355"/>
        <v>0</v>
      </c>
      <c r="R2482" s="4">
        <f t="shared" si="356"/>
        <v>0</v>
      </c>
      <c r="S2482" s="4">
        <f>IF(AND(VLOOKUP(G2482,Dados!$D:$L,2,0)=VLOOKUP(I2482,Dados!$S:$V,2,0),VLOOKUP(G2482,Dados!$D:$L,3,0)=VLOOKUP(I2482,Dados!$S:$V,3,0)),0,1)</f>
        <v>0</v>
      </c>
      <c r="T2482" s="4">
        <f>IF(AND(VLOOKUP(G2482,Dados!$D:$L,3,0)&lt;=VLOOKUP(H2482,Dados!$X:$AB,2,0),VLOOKUP(G2482,Dados!$D:$L,4,0)&gt;=VLOOKUP(H2482,Dados!$X:$AB,3,0),VLOOKUP(G2482,Dados!$D:$L,4,0)&lt;=VLOOKUP(H2482,Dados!$X:$AB,4,0)),0,1)</f>
        <v>0</v>
      </c>
      <c r="U2482" s="4">
        <f>IF(COUNTIFS(F:F,F2482,H:H,H2482)&lt;=VLOOKUP(H2482,Dados!$X:$AB,5,0),0,1)</f>
        <v>0</v>
      </c>
    </row>
    <row r="2483" spans="6:21">
      <c r="F2483" s="4">
        <v>1077</v>
      </c>
      <c r="G2483" s="4">
        <v>30</v>
      </c>
      <c r="H2483" s="4">
        <v>1</v>
      </c>
      <c r="I2483" s="4">
        <v>16</v>
      </c>
      <c r="J2483" s="4">
        <v>4</v>
      </c>
      <c r="K2483" s="4">
        <f t="shared" si="352"/>
        <v>0</v>
      </c>
      <c r="L2483" s="4">
        <f t="shared" si="352"/>
        <v>0</v>
      </c>
      <c r="M2483" s="4">
        <f t="shared" si="352"/>
        <v>0</v>
      </c>
      <c r="N2483" s="4">
        <f t="shared" si="352"/>
        <v>0</v>
      </c>
      <c r="O2483" s="4">
        <f t="shared" si="353"/>
        <v>0</v>
      </c>
      <c r="P2483" s="4">
        <f t="shared" si="354"/>
        <v>0</v>
      </c>
      <c r="Q2483" s="4">
        <f t="shared" si="355"/>
        <v>0</v>
      </c>
      <c r="R2483" s="4">
        <f t="shared" si="356"/>
        <v>0</v>
      </c>
      <c r="S2483" s="4">
        <f>IF(AND(VLOOKUP(G2483,Dados!$D:$L,2,0)=VLOOKUP(I2483,Dados!$S:$V,2,0),VLOOKUP(G2483,Dados!$D:$L,3,0)=VLOOKUP(I2483,Dados!$S:$V,3,0)),0,1)</f>
        <v>0</v>
      </c>
      <c r="T2483" s="4">
        <f>IF(AND(VLOOKUP(G2483,Dados!$D:$L,3,0)&lt;=VLOOKUP(H2483,Dados!$X:$AB,2,0),VLOOKUP(G2483,Dados!$D:$L,4,0)&gt;=VLOOKUP(H2483,Dados!$X:$AB,3,0),VLOOKUP(G2483,Dados!$D:$L,4,0)&lt;=VLOOKUP(H2483,Dados!$X:$AB,4,0)),0,1)</f>
        <v>0</v>
      </c>
      <c r="U2483" s="4">
        <f>IF(COUNTIFS(F:F,F2483,H:H,H2483)&lt;=VLOOKUP(H2483,Dados!$X:$AB,5,0),0,1)</f>
        <v>0</v>
      </c>
    </row>
    <row r="2484" spans="6:21">
      <c r="F2484" s="4">
        <v>1077</v>
      </c>
      <c r="G2484" s="4">
        <v>33</v>
      </c>
      <c r="H2484" s="4">
        <v>1</v>
      </c>
      <c r="I2484" s="4">
        <v>16</v>
      </c>
      <c r="J2484" s="4">
        <v>1</v>
      </c>
      <c r="K2484" s="4">
        <f t="shared" si="352"/>
        <v>0</v>
      </c>
      <c r="L2484" s="4">
        <f t="shared" si="352"/>
        <v>0</v>
      </c>
      <c r="M2484" s="4">
        <f t="shared" si="352"/>
        <v>0</v>
      </c>
      <c r="N2484" s="4">
        <f t="shared" si="352"/>
        <v>0</v>
      </c>
      <c r="O2484" s="4">
        <f t="shared" si="353"/>
        <v>0</v>
      </c>
      <c r="P2484" s="4">
        <f t="shared" si="354"/>
        <v>0</v>
      </c>
      <c r="Q2484" s="4">
        <f t="shared" si="355"/>
        <v>0</v>
      </c>
      <c r="R2484" s="4">
        <f t="shared" si="356"/>
        <v>0</v>
      </c>
      <c r="S2484" s="4">
        <f>IF(AND(VLOOKUP(G2484,Dados!$D:$L,2,0)=VLOOKUP(I2484,Dados!$S:$V,2,0),VLOOKUP(G2484,Dados!$D:$L,3,0)=VLOOKUP(I2484,Dados!$S:$V,3,0)),0,1)</f>
        <v>0</v>
      </c>
      <c r="T2484" s="4">
        <f>IF(AND(VLOOKUP(G2484,Dados!$D:$L,3,0)&lt;=VLOOKUP(H2484,Dados!$X:$AB,2,0),VLOOKUP(G2484,Dados!$D:$L,4,0)&gt;=VLOOKUP(H2484,Dados!$X:$AB,3,0),VLOOKUP(G2484,Dados!$D:$L,4,0)&lt;=VLOOKUP(H2484,Dados!$X:$AB,4,0)),0,1)</f>
        <v>0</v>
      </c>
      <c r="U2484" s="4">
        <f>IF(COUNTIFS(F:F,F2484,H:H,H2484)&lt;=VLOOKUP(H2484,Dados!$X:$AB,5,0),0,1)</f>
        <v>0</v>
      </c>
    </row>
    <row r="2485" spans="6:21">
      <c r="F2485" s="4">
        <v>1077</v>
      </c>
      <c r="G2485" s="4">
        <v>38</v>
      </c>
      <c r="H2485" s="4">
        <v>1</v>
      </c>
      <c r="I2485" s="4">
        <v>16</v>
      </c>
      <c r="J2485" s="4">
        <v>2</v>
      </c>
      <c r="K2485" s="4">
        <f t="shared" si="352"/>
        <v>0</v>
      </c>
      <c r="L2485" s="4">
        <f t="shared" si="352"/>
        <v>0</v>
      </c>
      <c r="M2485" s="4">
        <f t="shared" si="352"/>
        <v>0</v>
      </c>
      <c r="N2485" s="4">
        <f t="shared" si="352"/>
        <v>0</v>
      </c>
      <c r="O2485" s="4">
        <f t="shared" si="353"/>
        <v>0</v>
      </c>
      <c r="P2485" s="4">
        <f t="shared" si="354"/>
        <v>0</v>
      </c>
      <c r="Q2485" s="4">
        <f t="shared" si="355"/>
        <v>0</v>
      </c>
      <c r="R2485" s="4">
        <f t="shared" si="356"/>
        <v>0</v>
      </c>
      <c r="S2485" s="4">
        <f>IF(AND(VLOOKUP(G2485,Dados!$D:$L,2,0)=VLOOKUP(I2485,Dados!$S:$V,2,0),VLOOKUP(G2485,Dados!$D:$L,3,0)=VLOOKUP(I2485,Dados!$S:$V,3,0)),0,1)</f>
        <v>0</v>
      </c>
      <c r="T2485" s="4">
        <f>IF(AND(VLOOKUP(G2485,Dados!$D:$L,3,0)&lt;=VLOOKUP(H2485,Dados!$X:$AB,2,0),VLOOKUP(G2485,Dados!$D:$L,4,0)&gt;=VLOOKUP(H2485,Dados!$X:$AB,3,0),VLOOKUP(G2485,Dados!$D:$L,4,0)&lt;=VLOOKUP(H2485,Dados!$X:$AB,4,0)),0,1)</f>
        <v>0</v>
      </c>
      <c r="U2485" s="4">
        <f>IF(COUNTIFS(F:F,F2485,H:H,H2485)&lt;=VLOOKUP(H2485,Dados!$X:$AB,5,0),0,1)</f>
        <v>0</v>
      </c>
    </row>
    <row r="2486" spans="6:21">
      <c r="F2486" s="4">
        <v>1078</v>
      </c>
      <c r="G2486" s="4">
        <v>30</v>
      </c>
      <c r="H2486" s="4">
        <v>2</v>
      </c>
      <c r="I2486" s="4">
        <v>16</v>
      </c>
      <c r="J2486" s="4">
        <v>4</v>
      </c>
      <c r="K2486" s="4">
        <f t="shared" si="352"/>
        <v>3</v>
      </c>
      <c r="L2486" s="4">
        <f t="shared" si="352"/>
        <v>0</v>
      </c>
      <c r="M2486" s="4">
        <f t="shared" si="352"/>
        <v>0</v>
      </c>
      <c r="N2486" s="4">
        <f t="shared" si="352"/>
        <v>0</v>
      </c>
      <c r="O2486" s="4">
        <f t="shared" si="353"/>
        <v>12</v>
      </c>
      <c r="P2486" s="4">
        <f t="shared" si="354"/>
        <v>0</v>
      </c>
      <c r="Q2486" s="4">
        <f t="shared" si="355"/>
        <v>0</v>
      </c>
      <c r="R2486" s="4">
        <f t="shared" si="356"/>
        <v>0</v>
      </c>
      <c r="S2486" s="4">
        <f>IF(AND(VLOOKUP(G2486,Dados!$D:$L,2,0)=VLOOKUP(I2486,Dados!$S:$V,2,0),VLOOKUP(G2486,Dados!$D:$L,3,0)=VLOOKUP(I2486,Dados!$S:$V,3,0)),0,1)</f>
        <v>0</v>
      </c>
      <c r="T2486" s="4">
        <f>IF(AND(VLOOKUP(G2486,Dados!$D:$L,3,0)&lt;=VLOOKUP(H2486,Dados!$X:$AB,2,0),VLOOKUP(G2486,Dados!$D:$L,4,0)&gt;=VLOOKUP(H2486,Dados!$X:$AB,3,0),VLOOKUP(G2486,Dados!$D:$L,4,0)&lt;=VLOOKUP(H2486,Dados!$X:$AB,4,0)),0,1)</f>
        <v>0</v>
      </c>
      <c r="U2486" s="4">
        <f>IF(COUNTIFS(F:F,F2486,H:H,H2486)&lt;=VLOOKUP(H2486,Dados!$X:$AB,5,0),0,1)</f>
        <v>0</v>
      </c>
    </row>
    <row r="2487" spans="6:21">
      <c r="F2487" s="4">
        <v>1078</v>
      </c>
      <c r="G2487" s="4">
        <v>33</v>
      </c>
      <c r="H2487" s="4">
        <v>2</v>
      </c>
      <c r="I2487" s="4">
        <v>16</v>
      </c>
      <c r="J2487" s="4">
        <v>1</v>
      </c>
      <c r="K2487" s="4">
        <f t="shared" si="352"/>
        <v>3</v>
      </c>
      <c r="L2487" s="4">
        <f t="shared" si="352"/>
        <v>0</v>
      </c>
      <c r="M2487" s="4">
        <f t="shared" si="352"/>
        <v>0</v>
      </c>
      <c r="N2487" s="4">
        <f t="shared" si="352"/>
        <v>0</v>
      </c>
      <c r="O2487" s="4">
        <f t="shared" si="353"/>
        <v>3</v>
      </c>
      <c r="P2487" s="4">
        <f t="shared" si="354"/>
        <v>0</v>
      </c>
      <c r="Q2487" s="4">
        <f t="shared" si="355"/>
        <v>0</v>
      </c>
      <c r="R2487" s="4">
        <f t="shared" si="356"/>
        <v>0</v>
      </c>
      <c r="S2487" s="4">
        <f>IF(AND(VLOOKUP(G2487,Dados!$D:$L,2,0)=VLOOKUP(I2487,Dados!$S:$V,2,0),VLOOKUP(G2487,Dados!$D:$L,3,0)=VLOOKUP(I2487,Dados!$S:$V,3,0)),0,1)</f>
        <v>0</v>
      </c>
      <c r="T2487" s="4">
        <f>IF(AND(VLOOKUP(G2487,Dados!$D:$L,3,0)&lt;=VLOOKUP(H2487,Dados!$X:$AB,2,0),VLOOKUP(G2487,Dados!$D:$L,4,0)&gt;=VLOOKUP(H2487,Dados!$X:$AB,3,0),VLOOKUP(G2487,Dados!$D:$L,4,0)&lt;=VLOOKUP(H2487,Dados!$X:$AB,4,0)),0,1)</f>
        <v>0</v>
      </c>
      <c r="U2487" s="4">
        <f>IF(COUNTIFS(F:F,F2487,H:H,H2487)&lt;=VLOOKUP(H2487,Dados!$X:$AB,5,0),0,1)</f>
        <v>0</v>
      </c>
    </row>
    <row r="2488" spans="6:21">
      <c r="F2488" s="4">
        <v>1078</v>
      </c>
      <c r="G2488" s="4">
        <v>38</v>
      </c>
      <c r="H2488" s="4">
        <v>2</v>
      </c>
      <c r="I2488" s="4">
        <v>16</v>
      </c>
      <c r="J2488" s="4">
        <v>2</v>
      </c>
      <c r="K2488" s="4">
        <f t="shared" si="352"/>
        <v>3</v>
      </c>
      <c r="L2488" s="4">
        <f t="shared" si="352"/>
        <v>0</v>
      </c>
      <c r="M2488" s="4">
        <f t="shared" si="352"/>
        <v>0</v>
      </c>
      <c r="N2488" s="4">
        <f t="shared" si="352"/>
        <v>0</v>
      </c>
      <c r="O2488" s="4">
        <f t="shared" si="353"/>
        <v>6</v>
      </c>
      <c r="P2488" s="4">
        <f t="shared" si="354"/>
        <v>0</v>
      </c>
      <c r="Q2488" s="4">
        <f t="shared" si="355"/>
        <v>0</v>
      </c>
      <c r="R2488" s="4">
        <f t="shared" si="356"/>
        <v>0</v>
      </c>
      <c r="S2488" s="4">
        <f>IF(AND(VLOOKUP(G2488,Dados!$D:$L,2,0)=VLOOKUP(I2488,Dados!$S:$V,2,0),VLOOKUP(G2488,Dados!$D:$L,3,0)=VLOOKUP(I2488,Dados!$S:$V,3,0)),0,1)</f>
        <v>0</v>
      </c>
      <c r="T2488" s="4">
        <f>IF(AND(VLOOKUP(G2488,Dados!$D:$L,3,0)&lt;=VLOOKUP(H2488,Dados!$X:$AB,2,0),VLOOKUP(G2488,Dados!$D:$L,4,0)&gt;=VLOOKUP(H2488,Dados!$X:$AB,3,0),VLOOKUP(G2488,Dados!$D:$L,4,0)&lt;=VLOOKUP(H2488,Dados!$X:$AB,4,0)),0,1)</f>
        <v>0</v>
      </c>
      <c r="U2488" s="4">
        <f>IF(COUNTIFS(F:F,F2488,H:H,H2488)&lt;=VLOOKUP(H2488,Dados!$X:$AB,5,0),0,1)</f>
        <v>0</v>
      </c>
    </row>
    <row r="2489" spans="6:21">
      <c r="F2489" s="4">
        <v>1079</v>
      </c>
      <c r="G2489" s="4">
        <v>30</v>
      </c>
      <c r="H2489" s="4">
        <v>3</v>
      </c>
      <c r="I2489" s="4">
        <v>16</v>
      </c>
      <c r="J2489" s="4">
        <v>4</v>
      </c>
      <c r="K2489" s="4">
        <f t="shared" si="352"/>
        <v>0</v>
      </c>
      <c r="L2489" s="4">
        <f t="shared" si="352"/>
        <v>0</v>
      </c>
      <c r="M2489" s="4">
        <f t="shared" si="352"/>
        <v>0</v>
      </c>
      <c r="N2489" s="4">
        <f t="shared" si="352"/>
        <v>0</v>
      </c>
      <c r="O2489" s="4">
        <f t="shared" si="353"/>
        <v>0</v>
      </c>
      <c r="P2489" s="4">
        <f t="shared" si="354"/>
        <v>0</v>
      </c>
      <c r="Q2489" s="4">
        <f t="shared" si="355"/>
        <v>0</v>
      </c>
      <c r="R2489" s="4">
        <f t="shared" si="356"/>
        <v>0</v>
      </c>
      <c r="S2489" s="4">
        <f>IF(AND(VLOOKUP(G2489,Dados!$D:$L,2,0)=VLOOKUP(I2489,Dados!$S:$V,2,0),VLOOKUP(G2489,Dados!$D:$L,3,0)=VLOOKUP(I2489,Dados!$S:$V,3,0)),0,1)</f>
        <v>0</v>
      </c>
      <c r="T2489" s="4">
        <f>IF(AND(VLOOKUP(G2489,Dados!$D:$L,3,0)&lt;=VLOOKUP(H2489,Dados!$X:$AB,2,0),VLOOKUP(G2489,Dados!$D:$L,4,0)&gt;=VLOOKUP(H2489,Dados!$X:$AB,3,0),VLOOKUP(G2489,Dados!$D:$L,4,0)&lt;=VLOOKUP(H2489,Dados!$X:$AB,4,0)),0,1)</f>
        <v>0</v>
      </c>
      <c r="U2489" s="4">
        <f>IF(COUNTIFS(F:F,F2489,H:H,H2489)&lt;=VLOOKUP(H2489,Dados!$X:$AB,5,0),0,1)</f>
        <v>0</v>
      </c>
    </row>
    <row r="2490" spans="6:21">
      <c r="F2490" s="4">
        <v>1079</v>
      </c>
      <c r="G2490" s="4">
        <v>33</v>
      </c>
      <c r="H2490" s="4">
        <v>3</v>
      </c>
      <c r="I2490" s="4">
        <v>16</v>
      </c>
      <c r="J2490" s="4">
        <v>1</v>
      </c>
      <c r="K2490" s="4">
        <f t="shared" si="352"/>
        <v>0</v>
      </c>
      <c r="L2490" s="4">
        <f t="shared" si="352"/>
        <v>0</v>
      </c>
      <c r="M2490" s="4">
        <f t="shared" si="352"/>
        <v>0</v>
      </c>
      <c r="N2490" s="4">
        <f t="shared" si="352"/>
        <v>0</v>
      </c>
      <c r="O2490" s="4">
        <f t="shared" si="353"/>
        <v>0</v>
      </c>
      <c r="P2490" s="4">
        <f t="shared" si="354"/>
        <v>0</v>
      </c>
      <c r="Q2490" s="4">
        <f t="shared" si="355"/>
        <v>0</v>
      </c>
      <c r="R2490" s="4">
        <f t="shared" si="356"/>
        <v>0</v>
      </c>
      <c r="S2490" s="4">
        <f>IF(AND(VLOOKUP(G2490,Dados!$D:$L,2,0)=VLOOKUP(I2490,Dados!$S:$V,2,0),VLOOKUP(G2490,Dados!$D:$L,3,0)=VLOOKUP(I2490,Dados!$S:$V,3,0)),0,1)</f>
        <v>0</v>
      </c>
      <c r="T2490" s="4">
        <f>IF(AND(VLOOKUP(G2490,Dados!$D:$L,3,0)&lt;=VLOOKUP(H2490,Dados!$X:$AB,2,0),VLOOKUP(G2490,Dados!$D:$L,4,0)&gt;=VLOOKUP(H2490,Dados!$X:$AB,3,0),VLOOKUP(G2490,Dados!$D:$L,4,0)&lt;=VLOOKUP(H2490,Dados!$X:$AB,4,0)),0,1)</f>
        <v>0</v>
      </c>
      <c r="U2490" s="4">
        <f>IF(COUNTIFS(F:F,F2490,H:H,H2490)&lt;=VLOOKUP(H2490,Dados!$X:$AB,5,0),0,1)</f>
        <v>0</v>
      </c>
    </row>
    <row r="2491" spans="6:21">
      <c r="F2491" s="4">
        <v>1079</v>
      </c>
      <c r="G2491" s="4">
        <v>38</v>
      </c>
      <c r="H2491" s="4">
        <v>3</v>
      </c>
      <c r="I2491" s="4">
        <v>16</v>
      </c>
      <c r="J2491" s="4">
        <v>2</v>
      </c>
      <c r="K2491" s="4">
        <f t="shared" si="352"/>
        <v>0</v>
      </c>
      <c r="L2491" s="4">
        <f t="shared" si="352"/>
        <v>0</v>
      </c>
      <c r="M2491" s="4">
        <f t="shared" si="352"/>
        <v>0</v>
      </c>
      <c r="N2491" s="4">
        <f t="shared" si="352"/>
        <v>0</v>
      </c>
      <c r="O2491" s="4">
        <f t="shared" si="353"/>
        <v>0</v>
      </c>
      <c r="P2491" s="4">
        <f t="shared" si="354"/>
        <v>0</v>
      </c>
      <c r="Q2491" s="4">
        <f t="shared" si="355"/>
        <v>0</v>
      </c>
      <c r="R2491" s="4">
        <f t="shared" si="356"/>
        <v>0</v>
      </c>
      <c r="S2491" s="4">
        <f>IF(AND(VLOOKUP(G2491,Dados!$D:$L,2,0)=VLOOKUP(I2491,Dados!$S:$V,2,0),VLOOKUP(G2491,Dados!$D:$L,3,0)=VLOOKUP(I2491,Dados!$S:$V,3,0)),0,1)</f>
        <v>0</v>
      </c>
      <c r="T2491" s="4">
        <f>IF(AND(VLOOKUP(G2491,Dados!$D:$L,3,0)&lt;=VLOOKUP(H2491,Dados!$X:$AB,2,0),VLOOKUP(G2491,Dados!$D:$L,4,0)&gt;=VLOOKUP(H2491,Dados!$X:$AB,3,0),VLOOKUP(G2491,Dados!$D:$L,4,0)&lt;=VLOOKUP(H2491,Dados!$X:$AB,4,0)),0,1)</f>
        <v>0</v>
      </c>
      <c r="U2491" s="4">
        <f>IF(COUNTIFS(F:F,F2491,H:H,H2491)&lt;=VLOOKUP(H2491,Dados!$X:$AB,5,0),0,1)</f>
        <v>0</v>
      </c>
    </row>
    <row r="2492" spans="6:21">
      <c r="F2492" s="4">
        <v>1080</v>
      </c>
      <c r="G2492" s="4">
        <v>39</v>
      </c>
      <c r="H2492" s="4">
        <v>3</v>
      </c>
      <c r="I2492" s="4">
        <v>17</v>
      </c>
      <c r="J2492" s="4">
        <v>1</v>
      </c>
      <c r="K2492" s="4">
        <f t="shared" si="352"/>
        <v>0</v>
      </c>
      <c r="L2492" s="4">
        <f t="shared" si="352"/>
        <v>1</v>
      </c>
      <c r="M2492" s="4">
        <f t="shared" si="352"/>
        <v>0</v>
      </c>
      <c r="N2492" s="4">
        <f t="shared" si="352"/>
        <v>0</v>
      </c>
      <c r="O2492" s="4">
        <f t="shared" si="353"/>
        <v>0</v>
      </c>
      <c r="P2492" s="4">
        <f t="shared" si="354"/>
        <v>1</v>
      </c>
      <c r="Q2492" s="4">
        <f t="shared" si="355"/>
        <v>0</v>
      </c>
      <c r="R2492" s="4">
        <f t="shared" si="356"/>
        <v>0</v>
      </c>
      <c r="S2492" s="4">
        <f>IF(AND(VLOOKUP(G2492,Dados!$D:$L,2,0)=VLOOKUP(I2492,Dados!$S:$V,2,0),VLOOKUP(G2492,Dados!$D:$L,3,0)=VLOOKUP(I2492,Dados!$S:$V,3,0)),0,1)</f>
        <v>0</v>
      </c>
      <c r="T2492" s="4">
        <f>IF(AND(VLOOKUP(G2492,Dados!$D:$L,3,0)&lt;=VLOOKUP(H2492,Dados!$X:$AB,2,0),VLOOKUP(G2492,Dados!$D:$L,4,0)&gt;=VLOOKUP(H2492,Dados!$X:$AB,3,0),VLOOKUP(G2492,Dados!$D:$L,4,0)&lt;=VLOOKUP(H2492,Dados!$X:$AB,4,0)),0,1)</f>
        <v>0</v>
      </c>
      <c r="U2492" s="4">
        <f>IF(COUNTIFS(F:F,F2492,H:H,H2492)&lt;=VLOOKUP(H2492,Dados!$X:$AB,5,0),0,1)</f>
        <v>0</v>
      </c>
    </row>
    <row r="2493" spans="6:21">
      <c r="F2493" s="4">
        <v>1080</v>
      </c>
      <c r="G2493" s="4">
        <v>41</v>
      </c>
      <c r="H2493" s="4">
        <v>3</v>
      </c>
      <c r="I2493" s="4">
        <v>17</v>
      </c>
      <c r="J2493" s="4">
        <v>4</v>
      </c>
      <c r="K2493" s="4">
        <f t="shared" si="352"/>
        <v>0</v>
      </c>
      <c r="L2493" s="4">
        <f t="shared" si="352"/>
        <v>1</v>
      </c>
      <c r="M2493" s="4">
        <f t="shared" si="352"/>
        <v>0</v>
      </c>
      <c r="N2493" s="4">
        <f t="shared" si="352"/>
        <v>0</v>
      </c>
      <c r="O2493" s="4">
        <f t="shared" si="353"/>
        <v>0</v>
      </c>
      <c r="P2493" s="4">
        <f t="shared" si="354"/>
        <v>4</v>
      </c>
      <c r="Q2493" s="4">
        <f t="shared" si="355"/>
        <v>0</v>
      </c>
      <c r="R2493" s="4">
        <f t="shared" si="356"/>
        <v>0</v>
      </c>
      <c r="S2493" s="4">
        <f>IF(AND(VLOOKUP(G2493,Dados!$D:$L,2,0)=VLOOKUP(I2493,Dados!$S:$V,2,0),VLOOKUP(G2493,Dados!$D:$L,3,0)=VLOOKUP(I2493,Dados!$S:$V,3,0)),0,1)</f>
        <v>0</v>
      </c>
      <c r="T2493" s="4">
        <f>IF(AND(VLOOKUP(G2493,Dados!$D:$L,3,0)&lt;=VLOOKUP(H2493,Dados!$X:$AB,2,0),VLOOKUP(G2493,Dados!$D:$L,4,0)&gt;=VLOOKUP(H2493,Dados!$X:$AB,3,0),VLOOKUP(G2493,Dados!$D:$L,4,0)&lt;=VLOOKUP(H2493,Dados!$X:$AB,4,0)),0,1)</f>
        <v>0</v>
      </c>
      <c r="U2493" s="4">
        <f>IF(COUNTIFS(F:F,F2493,H:H,H2493)&lt;=VLOOKUP(H2493,Dados!$X:$AB,5,0),0,1)</f>
        <v>0</v>
      </c>
    </row>
    <row r="2494" spans="6:21">
      <c r="F2494" s="4">
        <v>1080</v>
      </c>
      <c r="G2494" s="4">
        <v>43</v>
      </c>
      <c r="H2494" s="4">
        <v>3</v>
      </c>
      <c r="I2494" s="4">
        <v>17</v>
      </c>
      <c r="J2494" s="4">
        <v>1</v>
      </c>
      <c r="K2494" s="4">
        <f t="shared" si="352"/>
        <v>0</v>
      </c>
      <c r="L2494" s="4">
        <f t="shared" si="352"/>
        <v>1</v>
      </c>
      <c r="M2494" s="4">
        <f t="shared" si="352"/>
        <v>0</v>
      </c>
      <c r="N2494" s="4">
        <f t="shared" si="352"/>
        <v>0</v>
      </c>
      <c r="O2494" s="4">
        <f t="shared" si="353"/>
        <v>0</v>
      </c>
      <c r="P2494" s="4">
        <f t="shared" si="354"/>
        <v>1</v>
      </c>
      <c r="Q2494" s="4">
        <f t="shared" si="355"/>
        <v>0</v>
      </c>
      <c r="R2494" s="4">
        <f t="shared" si="356"/>
        <v>0</v>
      </c>
      <c r="S2494" s="4">
        <f>IF(AND(VLOOKUP(G2494,Dados!$D:$L,2,0)=VLOOKUP(I2494,Dados!$S:$V,2,0),VLOOKUP(G2494,Dados!$D:$L,3,0)=VLOOKUP(I2494,Dados!$S:$V,3,0)),0,1)</f>
        <v>0</v>
      </c>
      <c r="T2494" s="4">
        <f>IF(AND(VLOOKUP(G2494,Dados!$D:$L,3,0)&lt;=VLOOKUP(H2494,Dados!$X:$AB,2,0),VLOOKUP(G2494,Dados!$D:$L,4,0)&gt;=VLOOKUP(H2494,Dados!$X:$AB,3,0),VLOOKUP(G2494,Dados!$D:$L,4,0)&lt;=VLOOKUP(H2494,Dados!$X:$AB,4,0)),0,1)</f>
        <v>0</v>
      </c>
      <c r="U2494" s="4">
        <f>IF(COUNTIFS(F:F,F2494,H:H,H2494)&lt;=VLOOKUP(H2494,Dados!$X:$AB,5,0),0,1)</f>
        <v>0</v>
      </c>
    </row>
    <row r="2495" spans="6:21">
      <c r="F2495" s="4">
        <v>1080</v>
      </c>
      <c r="G2495" s="4">
        <v>45</v>
      </c>
      <c r="H2495" s="4">
        <v>3</v>
      </c>
      <c r="I2495" s="4">
        <v>17</v>
      </c>
      <c r="J2495" s="4">
        <v>2</v>
      </c>
      <c r="K2495" s="4">
        <f t="shared" si="352"/>
        <v>0</v>
      </c>
      <c r="L2495" s="4">
        <f t="shared" si="352"/>
        <v>1</v>
      </c>
      <c r="M2495" s="4">
        <f t="shared" si="352"/>
        <v>0</v>
      </c>
      <c r="N2495" s="4">
        <f t="shared" si="352"/>
        <v>0</v>
      </c>
      <c r="O2495" s="4">
        <f t="shared" si="353"/>
        <v>0</v>
      </c>
      <c r="P2495" s="4">
        <f t="shared" si="354"/>
        <v>2</v>
      </c>
      <c r="Q2495" s="4">
        <f t="shared" si="355"/>
        <v>0</v>
      </c>
      <c r="R2495" s="4">
        <f t="shared" si="356"/>
        <v>0</v>
      </c>
      <c r="S2495" s="4">
        <f>IF(AND(VLOOKUP(G2495,Dados!$D:$L,2,0)=VLOOKUP(I2495,Dados!$S:$V,2,0),VLOOKUP(G2495,Dados!$D:$L,3,0)=VLOOKUP(I2495,Dados!$S:$V,3,0)),0,1)</f>
        <v>0</v>
      </c>
      <c r="T2495" s="4">
        <f>IF(AND(VLOOKUP(G2495,Dados!$D:$L,3,0)&lt;=VLOOKUP(H2495,Dados!$X:$AB,2,0),VLOOKUP(G2495,Dados!$D:$L,4,0)&gt;=VLOOKUP(H2495,Dados!$X:$AB,3,0),VLOOKUP(G2495,Dados!$D:$L,4,0)&lt;=VLOOKUP(H2495,Dados!$X:$AB,4,0)),0,1)</f>
        <v>0</v>
      </c>
      <c r="U2495" s="4">
        <f>IF(COUNTIFS(F:F,F2495,H:H,H2495)&lt;=VLOOKUP(H2495,Dados!$X:$AB,5,0),0,1)</f>
        <v>0</v>
      </c>
    </row>
    <row r="2496" spans="6:21">
      <c r="F2496" s="4">
        <v>1081</v>
      </c>
      <c r="G2496" s="4">
        <v>32</v>
      </c>
      <c r="H2496" s="4">
        <v>1</v>
      </c>
      <c r="I2496" s="4">
        <v>16</v>
      </c>
      <c r="J2496" s="4">
        <v>4</v>
      </c>
      <c r="K2496" s="4">
        <f t="shared" si="352"/>
        <v>0</v>
      </c>
      <c r="L2496" s="4">
        <f t="shared" si="352"/>
        <v>0</v>
      </c>
      <c r="M2496" s="4">
        <f t="shared" si="352"/>
        <v>0</v>
      </c>
      <c r="N2496" s="4">
        <f t="shared" si="352"/>
        <v>0</v>
      </c>
      <c r="O2496" s="4">
        <f t="shared" si="353"/>
        <v>0</v>
      </c>
      <c r="P2496" s="4">
        <f t="shared" si="354"/>
        <v>0</v>
      </c>
      <c r="Q2496" s="4">
        <f t="shared" si="355"/>
        <v>0</v>
      </c>
      <c r="R2496" s="4">
        <f t="shared" si="356"/>
        <v>0</v>
      </c>
      <c r="S2496" s="4">
        <f>IF(AND(VLOOKUP(G2496,Dados!$D:$L,2,0)=VLOOKUP(I2496,Dados!$S:$V,2,0),VLOOKUP(G2496,Dados!$D:$L,3,0)=VLOOKUP(I2496,Dados!$S:$V,3,0)),0,1)</f>
        <v>0</v>
      </c>
      <c r="T2496" s="4">
        <f>IF(AND(VLOOKUP(G2496,Dados!$D:$L,3,0)&lt;=VLOOKUP(H2496,Dados!$X:$AB,2,0),VLOOKUP(G2496,Dados!$D:$L,4,0)&gt;=VLOOKUP(H2496,Dados!$X:$AB,3,0),VLOOKUP(G2496,Dados!$D:$L,4,0)&lt;=VLOOKUP(H2496,Dados!$X:$AB,4,0)),0,1)</f>
        <v>0</v>
      </c>
      <c r="U2496" s="4">
        <f>IF(COUNTIFS(F:F,F2496,H:H,H2496)&lt;=VLOOKUP(H2496,Dados!$X:$AB,5,0),0,1)</f>
        <v>0</v>
      </c>
    </row>
    <row r="2497" spans="6:21">
      <c r="F2497" s="4">
        <v>1081</v>
      </c>
      <c r="G2497" s="4">
        <v>33</v>
      </c>
      <c r="H2497" s="4">
        <v>1</v>
      </c>
      <c r="I2497" s="4">
        <v>16</v>
      </c>
      <c r="J2497" s="4">
        <v>2</v>
      </c>
      <c r="K2497" s="4">
        <f t="shared" si="352"/>
        <v>0</v>
      </c>
      <c r="L2497" s="4">
        <f t="shared" si="352"/>
        <v>0</v>
      </c>
      <c r="M2497" s="4">
        <f t="shared" si="352"/>
        <v>0</v>
      </c>
      <c r="N2497" s="4">
        <f t="shared" si="352"/>
        <v>0</v>
      </c>
      <c r="O2497" s="4">
        <f t="shared" si="353"/>
        <v>0</v>
      </c>
      <c r="P2497" s="4">
        <f t="shared" si="354"/>
        <v>0</v>
      </c>
      <c r="Q2497" s="4">
        <f t="shared" si="355"/>
        <v>0</v>
      </c>
      <c r="R2497" s="4">
        <f t="shared" si="356"/>
        <v>0</v>
      </c>
      <c r="S2497" s="4">
        <f>IF(AND(VLOOKUP(G2497,Dados!$D:$L,2,0)=VLOOKUP(I2497,Dados!$S:$V,2,0),VLOOKUP(G2497,Dados!$D:$L,3,0)=VLOOKUP(I2497,Dados!$S:$V,3,0)),0,1)</f>
        <v>0</v>
      </c>
      <c r="T2497" s="4">
        <f>IF(AND(VLOOKUP(G2497,Dados!$D:$L,3,0)&lt;=VLOOKUP(H2497,Dados!$X:$AB,2,0),VLOOKUP(G2497,Dados!$D:$L,4,0)&gt;=VLOOKUP(H2497,Dados!$X:$AB,3,0),VLOOKUP(G2497,Dados!$D:$L,4,0)&lt;=VLOOKUP(H2497,Dados!$X:$AB,4,0)),0,1)</f>
        <v>0</v>
      </c>
      <c r="U2497" s="4">
        <f>IF(COUNTIFS(F:F,F2497,H:H,H2497)&lt;=VLOOKUP(H2497,Dados!$X:$AB,5,0),0,1)</f>
        <v>0</v>
      </c>
    </row>
    <row r="2498" spans="6:21">
      <c r="F2498" s="4">
        <v>1082</v>
      </c>
      <c r="G2498" s="4">
        <v>32</v>
      </c>
      <c r="H2498" s="4">
        <v>2</v>
      </c>
      <c r="I2498" s="4">
        <v>16</v>
      </c>
      <c r="J2498" s="4">
        <v>4</v>
      </c>
      <c r="K2498" s="4">
        <f t="shared" si="352"/>
        <v>0</v>
      </c>
      <c r="L2498" s="4">
        <f t="shared" si="352"/>
        <v>29</v>
      </c>
      <c r="M2498" s="4">
        <f t="shared" si="352"/>
        <v>0</v>
      </c>
      <c r="N2498" s="4">
        <f t="shared" si="352"/>
        <v>0</v>
      </c>
      <c r="O2498" s="4">
        <f t="shared" si="353"/>
        <v>0</v>
      </c>
      <c r="P2498" s="4">
        <f t="shared" si="354"/>
        <v>116</v>
      </c>
      <c r="Q2498" s="4">
        <f t="shared" si="355"/>
        <v>0</v>
      </c>
      <c r="R2498" s="4">
        <f t="shared" si="356"/>
        <v>0</v>
      </c>
      <c r="S2498" s="4">
        <f>IF(AND(VLOOKUP(G2498,Dados!$D:$L,2,0)=VLOOKUP(I2498,Dados!$S:$V,2,0),VLOOKUP(G2498,Dados!$D:$L,3,0)=VLOOKUP(I2498,Dados!$S:$V,3,0)),0,1)</f>
        <v>0</v>
      </c>
      <c r="T2498" s="4">
        <f>IF(AND(VLOOKUP(G2498,Dados!$D:$L,3,0)&lt;=VLOOKUP(H2498,Dados!$X:$AB,2,0),VLOOKUP(G2498,Dados!$D:$L,4,0)&gt;=VLOOKUP(H2498,Dados!$X:$AB,3,0),VLOOKUP(G2498,Dados!$D:$L,4,0)&lt;=VLOOKUP(H2498,Dados!$X:$AB,4,0)),0,1)</f>
        <v>0</v>
      </c>
      <c r="U2498" s="4">
        <f>IF(COUNTIFS(F:F,F2498,H:H,H2498)&lt;=VLOOKUP(H2498,Dados!$X:$AB,5,0),0,1)</f>
        <v>0</v>
      </c>
    </row>
    <row r="2499" spans="6:21">
      <c r="F2499" s="4">
        <v>1082</v>
      </c>
      <c r="G2499" s="4">
        <v>33</v>
      </c>
      <c r="H2499" s="4">
        <v>2</v>
      </c>
      <c r="I2499" s="4">
        <v>16</v>
      </c>
      <c r="J2499" s="4">
        <v>2</v>
      </c>
      <c r="K2499" s="4">
        <f t="shared" si="352"/>
        <v>0</v>
      </c>
      <c r="L2499" s="4">
        <f t="shared" si="352"/>
        <v>29</v>
      </c>
      <c r="M2499" s="4">
        <f t="shared" si="352"/>
        <v>0</v>
      </c>
      <c r="N2499" s="4">
        <f t="shared" si="352"/>
        <v>0</v>
      </c>
      <c r="O2499" s="4">
        <f t="shared" si="353"/>
        <v>0</v>
      </c>
      <c r="P2499" s="4">
        <f t="shared" si="354"/>
        <v>58</v>
      </c>
      <c r="Q2499" s="4">
        <f t="shared" si="355"/>
        <v>0</v>
      </c>
      <c r="R2499" s="4">
        <f t="shared" si="356"/>
        <v>0</v>
      </c>
      <c r="S2499" s="4">
        <f>IF(AND(VLOOKUP(G2499,Dados!$D:$L,2,0)=VLOOKUP(I2499,Dados!$S:$V,2,0),VLOOKUP(G2499,Dados!$D:$L,3,0)=VLOOKUP(I2499,Dados!$S:$V,3,0)),0,1)</f>
        <v>0</v>
      </c>
      <c r="T2499" s="4">
        <f>IF(AND(VLOOKUP(G2499,Dados!$D:$L,3,0)&lt;=VLOOKUP(H2499,Dados!$X:$AB,2,0),VLOOKUP(G2499,Dados!$D:$L,4,0)&gt;=VLOOKUP(H2499,Dados!$X:$AB,3,0),VLOOKUP(G2499,Dados!$D:$L,4,0)&lt;=VLOOKUP(H2499,Dados!$X:$AB,4,0)),0,1)</f>
        <v>0</v>
      </c>
      <c r="U2499" s="4">
        <f>IF(COUNTIFS(F:F,F2499,H:H,H2499)&lt;=VLOOKUP(H2499,Dados!$X:$AB,5,0),0,1)</f>
        <v>0</v>
      </c>
    </row>
    <row r="2500" spans="6:21">
      <c r="F2500" s="4">
        <v>1083</v>
      </c>
      <c r="G2500" s="4">
        <v>32</v>
      </c>
      <c r="H2500" s="4">
        <v>3</v>
      </c>
      <c r="I2500" s="4">
        <v>16</v>
      </c>
      <c r="J2500" s="4">
        <v>4</v>
      </c>
      <c r="K2500" s="4">
        <f t="shared" si="352"/>
        <v>0</v>
      </c>
      <c r="L2500" s="4">
        <f t="shared" si="352"/>
        <v>0</v>
      </c>
      <c r="M2500" s="4">
        <f t="shared" si="352"/>
        <v>0</v>
      </c>
      <c r="N2500" s="4">
        <f t="shared" si="352"/>
        <v>0</v>
      </c>
      <c r="O2500" s="4">
        <f t="shared" si="353"/>
        <v>0</v>
      </c>
      <c r="P2500" s="4">
        <f t="shared" si="354"/>
        <v>0</v>
      </c>
      <c r="Q2500" s="4">
        <f t="shared" si="355"/>
        <v>0</v>
      </c>
      <c r="R2500" s="4">
        <f t="shared" si="356"/>
        <v>0</v>
      </c>
      <c r="S2500" s="4">
        <f>IF(AND(VLOOKUP(G2500,Dados!$D:$L,2,0)=VLOOKUP(I2500,Dados!$S:$V,2,0),VLOOKUP(G2500,Dados!$D:$L,3,0)=VLOOKUP(I2500,Dados!$S:$V,3,0)),0,1)</f>
        <v>0</v>
      </c>
      <c r="T2500" s="4">
        <f>IF(AND(VLOOKUP(G2500,Dados!$D:$L,3,0)&lt;=VLOOKUP(H2500,Dados!$X:$AB,2,0),VLOOKUP(G2500,Dados!$D:$L,4,0)&gt;=VLOOKUP(H2500,Dados!$X:$AB,3,0),VLOOKUP(G2500,Dados!$D:$L,4,0)&lt;=VLOOKUP(H2500,Dados!$X:$AB,4,0)),0,1)</f>
        <v>0</v>
      </c>
      <c r="U2500" s="4">
        <f>IF(COUNTIFS(F:F,F2500,H:H,H2500)&lt;=VLOOKUP(H2500,Dados!$X:$AB,5,0),0,1)</f>
        <v>0</v>
      </c>
    </row>
    <row r="2501" spans="6:21">
      <c r="F2501" s="4">
        <v>1083</v>
      </c>
      <c r="G2501" s="4">
        <v>33</v>
      </c>
      <c r="H2501" s="4">
        <v>3</v>
      </c>
      <c r="I2501" s="4">
        <v>16</v>
      </c>
      <c r="J2501" s="4">
        <v>2</v>
      </c>
      <c r="K2501" s="4">
        <f t="shared" si="352"/>
        <v>0</v>
      </c>
      <c r="L2501" s="4">
        <f t="shared" si="352"/>
        <v>0</v>
      </c>
      <c r="M2501" s="4">
        <f t="shared" si="352"/>
        <v>0</v>
      </c>
      <c r="N2501" s="4">
        <f t="shared" si="352"/>
        <v>0</v>
      </c>
      <c r="O2501" s="4">
        <f t="shared" si="353"/>
        <v>0</v>
      </c>
      <c r="P2501" s="4">
        <f t="shared" si="354"/>
        <v>0</v>
      </c>
      <c r="Q2501" s="4">
        <f t="shared" si="355"/>
        <v>0</v>
      </c>
      <c r="R2501" s="4">
        <f t="shared" si="356"/>
        <v>0</v>
      </c>
      <c r="S2501" s="4">
        <f>IF(AND(VLOOKUP(G2501,Dados!$D:$L,2,0)=VLOOKUP(I2501,Dados!$S:$V,2,0),VLOOKUP(G2501,Dados!$D:$L,3,0)=VLOOKUP(I2501,Dados!$S:$V,3,0)),0,1)</f>
        <v>0</v>
      </c>
      <c r="T2501" s="4">
        <f>IF(AND(VLOOKUP(G2501,Dados!$D:$L,3,0)&lt;=VLOOKUP(H2501,Dados!$X:$AB,2,0),VLOOKUP(G2501,Dados!$D:$L,4,0)&gt;=VLOOKUP(H2501,Dados!$X:$AB,3,0),VLOOKUP(G2501,Dados!$D:$L,4,0)&lt;=VLOOKUP(H2501,Dados!$X:$AB,4,0)),0,1)</f>
        <v>0</v>
      </c>
      <c r="U2501" s="4">
        <f>IF(COUNTIFS(F:F,F2501,H:H,H2501)&lt;=VLOOKUP(H2501,Dados!$X:$AB,5,0),0,1)</f>
        <v>0</v>
      </c>
    </row>
    <row r="2502" spans="6:21">
      <c r="F2502" s="4">
        <v>1084</v>
      </c>
      <c r="G2502" s="4">
        <v>40</v>
      </c>
      <c r="H2502" s="4">
        <v>1</v>
      </c>
      <c r="I2502" s="4">
        <v>17</v>
      </c>
      <c r="J2502" s="4">
        <v>1</v>
      </c>
      <c r="K2502" s="4">
        <f t="shared" si="352"/>
        <v>0</v>
      </c>
      <c r="L2502" s="4">
        <f t="shared" si="352"/>
        <v>0</v>
      </c>
      <c r="M2502" s="4">
        <f t="shared" si="352"/>
        <v>0</v>
      </c>
      <c r="N2502" s="4">
        <f t="shared" si="352"/>
        <v>0</v>
      </c>
      <c r="O2502" s="4">
        <f t="shared" si="353"/>
        <v>0</v>
      </c>
      <c r="P2502" s="4">
        <f t="shared" si="354"/>
        <v>0</v>
      </c>
      <c r="Q2502" s="4">
        <f t="shared" si="355"/>
        <v>0</v>
      </c>
      <c r="R2502" s="4">
        <f t="shared" si="356"/>
        <v>0</v>
      </c>
      <c r="S2502" s="4">
        <f>IF(AND(VLOOKUP(G2502,Dados!$D:$L,2,0)=VLOOKUP(I2502,Dados!$S:$V,2,0),VLOOKUP(G2502,Dados!$D:$L,3,0)=VLOOKUP(I2502,Dados!$S:$V,3,0)),0,1)</f>
        <v>0</v>
      </c>
      <c r="T2502" s="4">
        <f>IF(AND(VLOOKUP(G2502,Dados!$D:$L,3,0)&lt;=VLOOKUP(H2502,Dados!$X:$AB,2,0),VLOOKUP(G2502,Dados!$D:$L,4,0)&gt;=VLOOKUP(H2502,Dados!$X:$AB,3,0),VLOOKUP(G2502,Dados!$D:$L,4,0)&lt;=VLOOKUP(H2502,Dados!$X:$AB,4,0)),0,1)</f>
        <v>0</v>
      </c>
      <c r="U2502" s="4">
        <f>IF(COUNTIFS(F:F,F2502,H:H,H2502)&lt;=VLOOKUP(H2502,Dados!$X:$AB,5,0),0,1)</f>
        <v>0</v>
      </c>
    </row>
    <row r="2503" spans="6:21">
      <c r="F2503" s="4">
        <v>1084</v>
      </c>
      <c r="G2503" s="4">
        <v>42</v>
      </c>
      <c r="H2503" s="4">
        <v>1</v>
      </c>
      <c r="I2503" s="4">
        <v>17</v>
      </c>
      <c r="J2503" s="4">
        <v>6</v>
      </c>
      <c r="K2503" s="4">
        <f t="shared" si="352"/>
        <v>0</v>
      </c>
      <c r="L2503" s="4">
        <f t="shared" si="352"/>
        <v>0</v>
      </c>
      <c r="M2503" s="4">
        <f t="shared" si="352"/>
        <v>0</v>
      </c>
      <c r="N2503" s="4">
        <f t="shared" si="352"/>
        <v>0</v>
      </c>
      <c r="O2503" s="4">
        <f t="shared" si="353"/>
        <v>0</v>
      </c>
      <c r="P2503" s="4">
        <f t="shared" si="354"/>
        <v>0</v>
      </c>
      <c r="Q2503" s="4">
        <f t="shared" si="355"/>
        <v>0</v>
      </c>
      <c r="R2503" s="4">
        <f t="shared" si="356"/>
        <v>0</v>
      </c>
      <c r="S2503" s="4">
        <f>IF(AND(VLOOKUP(G2503,Dados!$D:$L,2,0)=VLOOKUP(I2503,Dados!$S:$V,2,0),VLOOKUP(G2503,Dados!$D:$L,3,0)=VLOOKUP(I2503,Dados!$S:$V,3,0)),0,1)</f>
        <v>0</v>
      </c>
      <c r="T2503" s="4">
        <f>IF(AND(VLOOKUP(G2503,Dados!$D:$L,3,0)&lt;=VLOOKUP(H2503,Dados!$X:$AB,2,0),VLOOKUP(G2503,Dados!$D:$L,4,0)&gt;=VLOOKUP(H2503,Dados!$X:$AB,3,0),VLOOKUP(G2503,Dados!$D:$L,4,0)&lt;=VLOOKUP(H2503,Dados!$X:$AB,4,0)),0,1)</f>
        <v>0</v>
      </c>
      <c r="U2503" s="4">
        <f>IF(COUNTIFS(F:F,F2503,H:H,H2503)&lt;=VLOOKUP(H2503,Dados!$X:$AB,5,0),0,1)</f>
        <v>0</v>
      </c>
    </row>
    <row r="2504" spans="6:21">
      <c r="F2504" s="4">
        <v>1085</v>
      </c>
      <c r="G2504" s="4">
        <v>40</v>
      </c>
      <c r="H2504" s="4">
        <v>2</v>
      </c>
      <c r="I2504" s="4">
        <v>17</v>
      </c>
      <c r="J2504" s="4">
        <v>1</v>
      </c>
      <c r="K2504" s="4">
        <f t="shared" si="352"/>
        <v>0</v>
      </c>
      <c r="L2504" s="4">
        <f t="shared" si="352"/>
        <v>0</v>
      </c>
      <c r="M2504" s="4">
        <f t="shared" si="352"/>
        <v>0</v>
      </c>
      <c r="N2504" s="4">
        <f t="shared" si="352"/>
        <v>0</v>
      </c>
      <c r="O2504" s="4">
        <f t="shared" si="353"/>
        <v>0</v>
      </c>
      <c r="P2504" s="4">
        <f t="shared" si="354"/>
        <v>0</v>
      </c>
      <c r="Q2504" s="4">
        <f t="shared" si="355"/>
        <v>0</v>
      </c>
      <c r="R2504" s="4">
        <f t="shared" si="356"/>
        <v>0</v>
      </c>
      <c r="S2504" s="4">
        <f>IF(AND(VLOOKUP(G2504,Dados!$D:$L,2,0)=VLOOKUP(I2504,Dados!$S:$V,2,0),VLOOKUP(G2504,Dados!$D:$L,3,0)=VLOOKUP(I2504,Dados!$S:$V,3,0)),0,1)</f>
        <v>0</v>
      </c>
      <c r="T2504" s="4">
        <f>IF(AND(VLOOKUP(G2504,Dados!$D:$L,3,0)&lt;=VLOOKUP(H2504,Dados!$X:$AB,2,0),VLOOKUP(G2504,Dados!$D:$L,4,0)&gt;=VLOOKUP(H2504,Dados!$X:$AB,3,0),VLOOKUP(G2504,Dados!$D:$L,4,0)&lt;=VLOOKUP(H2504,Dados!$X:$AB,4,0)),0,1)</f>
        <v>0</v>
      </c>
      <c r="U2504" s="4">
        <f>IF(COUNTIFS(F:F,F2504,H:H,H2504)&lt;=VLOOKUP(H2504,Dados!$X:$AB,5,0),0,1)</f>
        <v>0</v>
      </c>
    </row>
    <row r="2505" spans="6:21">
      <c r="F2505" s="4">
        <v>1085</v>
      </c>
      <c r="G2505" s="4">
        <v>42</v>
      </c>
      <c r="H2505" s="4">
        <v>2</v>
      </c>
      <c r="I2505" s="4">
        <v>17</v>
      </c>
      <c r="J2505" s="4">
        <v>6</v>
      </c>
      <c r="K2505" s="4">
        <f t="shared" si="352"/>
        <v>0</v>
      </c>
      <c r="L2505" s="4">
        <f t="shared" si="352"/>
        <v>0</v>
      </c>
      <c r="M2505" s="4">
        <f t="shared" si="352"/>
        <v>0</v>
      </c>
      <c r="N2505" s="4">
        <f t="shared" si="352"/>
        <v>0</v>
      </c>
      <c r="O2505" s="4">
        <f t="shared" si="353"/>
        <v>0</v>
      </c>
      <c r="P2505" s="4">
        <f t="shared" si="354"/>
        <v>0</v>
      </c>
      <c r="Q2505" s="4">
        <f t="shared" si="355"/>
        <v>0</v>
      </c>
      <c r="R2505" s="4">
        <f t="shared" si="356"/>
        <v>0</v>
      </c>
      <c r="S2505" s="4">
        <f>IF(AND(VLOOKUP(G2505,Dados!$D:$L,2,0)=VLOOKUP(I2505,Dados!$S:$V,2,0),VLOOKUP(G2505,Dados!$D:$L,3,0)=VLOOKUP(I2505,Dados!$S:$V,3,0)),0,1)</f>
        <v>0</v>
      </c>
      <c r="T2505" s="4">
        <f>IF(AND(VLOOKUP(G2505,Dados!$D:$L,3,0)&lt;=VLOOKUP(H2505,Dados!$X:$AB,2,0),VLOOKUP(G2505,Dados!$D:$L,4,0)&gt;=VLOOKUP(H2505,Dados!$X:$AB,3,0),VLOOKUP(G2505,Dados!$D:$L,4,0)&lt;=VLOOKUP(H2505,Dados!$X:$AB,4,0)),0,1)</f>
        <v>0</v>
      </c>
      <c r="U2505" s="4">
        <f>IF(COUNTIFS(F:F,F2505,H:H,H2505)&lt;=VLOOKUP(H2505,Dados!$X:$AB,5,0),0,1)</f>
        <v>0</v>
      </c>
    </row>
    <row r="2506" spans="6:21">
      <c r="F2506" s="4">
        <v>1086</v>
      </c>
      <c r="G2506" s="4">
        <v>40</v>
      </c>
      <c r="H2506" s="4">
        <v>3</v>
      </c>
      <c r="I2506" s="4">
        <v>17</v>
      </c>
      <c r="J2506" s="4">
        <v>1</v>
      </c>
      <c r="K2506" s="4">
        <f t="shared" si="352"/>
        <v>0</v>
      </c>
      <c r="L2506" s="4">
        <f t="shared" si="352"/>
        <v>0</v>
      </c>
      <c r="M2506" s="4">
        <f t="shared" si="352"/>
        <v>0</v>
      </c>
      <c r="N2506" s="4">
        <f t="shared" si="352"/>
        <v>0</v>
      </c>
      <c r="O2506" s="4">
        <f t="shared" si="353"/>
        <v>0</v>
      </c>
      <c r="P2506" s="4">
        <f t="shared" si="354"/>
        <v>0</v>
      </c>
      <c r="Q2506" s="4">
        <f t="shared" si="355"/>
        <v>0</v>
      </c>
      <c r="R2506" s="4">
        <f t="shared" si="356"/>
        <v>0</v>
      </c>
      <c r="S2506" s="4">
        <f>IF(AND(VLOOKUP(G2506,Dados!$D:$L,2,0)=VLOOKUP(I2506,Dados!$S:$V,2,0),VLOOKUP(G2506,Dados!$D:$L,3,0)=VLOOKUP(I2506,Dados!$S:$V,3,0)),0,1)</f>
        <v>0</v>
      </c>
      <c r="T2506" s="4">
        <f>IF(AND(VLOOKUP(G2506,Dados!$D:$L,3,0)&lt;=VLOOKUP(H2506,Dados!$X:$AB,2,0),VLOOKUP(G2506,Dados!$D:$L,4,0)&gt;=VLOOKUP(H2506,Dados!$X:$AB,3,0),VLOOKUP(G2506,Dados!$D:$L,4,0)&lt;=VLOOKUP(H2506,Dados!$X:$AB,4,0)),0,1)</f>
        <v>0</v>
      </c>
      <c r="U2506" s="4">
        <f>IF(COUNTIFS(F:F,F2506,H:H,H2506)&lt;=VLOOKUP(H2506,Dados!$X:$AB,5,0),0,1)</f>
        <v>0</v>
      </c>
    </row>
    <row r="2507" spans="6:21">
      <c r="F2507" s="4">
        <v>1086</v>
      </c>
      <c r="G2507" s="4">
        <v>42</v>
      </c>
      <c r="H2507" s="4">
        <v>3</v>
      </c>
      <c r="I2507" s="4">
        <v>17</v>
      </c>
      <c r="J2507" s="4">
        <v>6</v>
      </c>
      <c r="K2507" s="4">
        <f t="shared" si="352"/>
        <v>0</v>
      </c>
      <c r="L2507" s="4">
        <f t="shared" si="352"/>
        <v>0</v>
      </c>
      <c r="M2507" s="4">
        <f t="shared" si="352"/>
        <v>0</v>
      </c>
      <c r="N2507" s="4">
        <f t="shared" si="352"/>
        <v>0</v>
      </c>
      <c r="O2507" s="4">
        <f t="shared" si="353"/>
        <v>0</v>
      </c>
      <c r="P2507" s="4">
        <f t="shared" si="354"/>
        <v>0</v>
      </c>
      <c r="Q2507" s="4">
        <f t="shared" si="355"/>
        <v>0</v>
      </c>
      <c r="R2507" s="4">
        <f t="shared" si="356"/>
        <v>0</v>
      </c>
      <c r="S2507" s="4">
        <f>IF(AND(VLOOKUP(G2507,Dados!$D:$L,2,0)=VLOOKUP(I2507,Dados!$S:$V,2,0),VLOOKUP(G2507,Dados!$D:$L,3,0)=VLOOKUP(I2507,Dados!$S:$V,3,0)),0,1)</f>
        <v>0</v>
      </c>
      <c r="T2507" s="4">
        <f>IF(AND(VLOOKUP(G2507,Dados!$D:$L,3,0)&lt;=VLOOKUP(H2507,Dados!$X:$AB,2,0),VLOOKUP(G2507,Dados!$D:$L,4,0)&gt;=VLOOKUP(H2507,Dados!$X:$AB,3,0),VLOOKUP(G2507,Dados!$D:$L,4,0)&lt;=VLOOKUP(H2507,Dados!$X:$AB,4,0)),0,1)</f>
        <v>0</v>
      </c>
      <c r="U2507" s="4">
        <f>IF(COUNTIFS(F:F,F2507,H:H,H2507)&lt;=VLOOKUP(H2507,Dados!$X:$AB,5,0),0,1)</f>
        <v>0</v>
      </c>
    </row>
    <row r="2508" spans="6:21">
      <c r="F2508" s="4">
        <v>1087</v>
      </c>
      <c r="G2508" s="4">
        <v>59</v>
      </c>
      <c r="H2508" s="4">
        <v>3</v>
      </c>
      <c r="I2508" s="4">
        <v>21</v>
      </c>
      <c r="J2508" s="4">
        <v>1</v>
      </c>
      <c r="K2508" s="4">
        <f t="shared" si="352"/>
        <v>0</v>
      </c>
      <c r="L2508" s="4">
        <f t="shared" si="352"/>
        <v>0</v>
      </c>
      <c r="M2508" s="4">
        <f t="shared" si="352"/>
        <v>0</v>
      </c>
      <c r="N2508" s="4">
        <f t="shared" si="352"/>
        <v>0</v>
      </c>
      <c r="O2508" s="4">
        <f t="shared" si="353"/>
        <v>0</v>
      </c>
      <c r="P2508" s="4">
        <f t="shared" si="354"/>
        <v>0</v>
      </c>
      <c r="Q2508" s="4">
        <f t="shared" si="355"/>
        <v>0</v>
      </c>
      <c r="R2508" s="4">
        <f t="shared" si="356"/>
        <v>0</v>
      </c>
      <c r="S2508" s="4">
        <f>IF(AND(VLOOKUP(G2508,Dados!$D:$L,2,0)=VLOOKUP(I2508,Dados!$S:$V,2,0),VLOOKUP(G2508,Dados!$D:$L,3,0)=VLOOKUP(I2508,Dados!$S:$V,3,0)),0,1)</f>
        <v>0</v>
      </c>
      <c r="T2508" s="4">
        <f>IF(AND(VLOOKUP(G2508,Dados!$D:$L,3,0)&lt;=VLOOKUP(H2508,Dados!$X:$AB,2,0),VLOOKUP(G2508,Dados!$D:$L,4,0)&gt;=VLOOKUP(H2508,Dados!$X:$AB,3,0),VLOOKUP(G2508,Dados!$D:$L,4,0)&lt;=VLOOKUP(H2508,Dados!$X:$AB,4,0)),0,1)</f>
        <v>0</v>
      </c>
      <c r="U2508" s="4">
        <f>IF(COUNTIFS(F:F,F2508,H:H,H2508)&lt;=VLOOKUP(H2508,Dados!$X:$AB,5,0),0,1)</f>
        <v>0</v>
      </c>
    </row>
    <row r="2509" spans="6:21">
      <c r="F2509" s="4">
        <v>1087</v>
      </c>
      <c r="G2509" s="4">
        <v>60</v>
      </c>
      <c r="H2509" s="4">
        <v>3</v>
      </c>
      <c r="I2509" s="4">
        <v>21</v>
      </c>
      <c r="J2509" s="4">
        <v>1</v>
      </c>
      <c r="K2509" s="4">
        <f t="shared" si="352"/>
        <v>0</v>
      </c>
      <c r="L2509" s="4">
        <f t="shared" si="352"/>
        <v>0</v>
      </c>
      <c r="M2509" s="4">
        <f t="shared" si="352"/>
        <v>0</v>
      </c>
      <c r="N2509" s="4">
        <f t="shared" si="352"/>
        <v>0</v>
      </c>
      <c r="O2509" s="4">
        <f t="shared" si="353"/>
        <v>0</v>
      </c>
      <c r="P2509" s="4">
        <f t="shared" si="354"/>
        <v>0</v>
      </c>
      <c r="Q2509" s="4">
        <f t="shared" si="355"/>
        <v>0</v>
      </c>
      <c r="R2509" s="4">
        <f t="shared" si="356"/>
        <v>0</v>
      </c>
      <c r="S2509" s="4">
        <f>IF(AND(VLOOKUP(G2509,Dados!$D:$L,2,0)=VLOOKUP(I2509,Dados!$S:$V,2,0),VLOOKUP(G2509,Dados!$D:$L,3,0)=VLOOKUP(I2509,Dados!$S:$V,3,0)),0,1)</f>
        <v>0</v>
      </c>
      <c r="T2509" s="4">
        <f>IF(AND(VLOOKUP(G2509,Dados!$D:$L,3,0)&lt;=VLOOKUP(H2509,Dados!$X:$AB,2,0),VLOOKUP(G2509,Dados!$D:$L,4,0)&gt;=VLOOKUP(H2509,Dados!$X:$AB,3,0),VLOOKUP(G2509,Dados!$D:$L,4,0)&lt;=VLOOKUP(H2509,Dados!$X:$AB,4,0)),0,1)</f>
        <v>0</v>
      </c>
      <c r="U2509" s="4">
        <f>IF(COUNTIFS(F:F,F2509,H:H,H2509)&lt;=VLOOKUP(H2509,Dados!$X:$AB,5,0),0,1)</f>
        <v>0</v>
      </c>
    </row>
    <row r="2510" spans="6:21">
      <c r="F2510" s="4">
        <v>1087</v>
      </c>
      <c r="G2510" s="4">
        <v>61</v>
      </c>
      <c r="H2510" s="4">
        <v>3</v>
      </c>
      <c r="I2510" s="4">
        <v>21</v>
      </c>
      <c r="J2510" s="4">
        <v>1</v>
      </c>
      <c r="K2510" s="4">
        <f t="shared" si="352"/>
        <v>0</v>
      </c>
      <c r="L2510" s="4">
        <f t="shared" si="352"/>
        <v>0</v>
      </c>
      <c r="M2510" s="4">
        <f t="shared" si="352"/>
        <v>0</v>
      </c>
      <c r="N2510" s="4">
        <f t="shared" si="352"/>
        <v>0</v>
      </c>
      <c r="O2510" s="4">
        <f t="shared" si="353"/>
        <v>0</v>
      </c>
      <c r="P2510" s="4">
        <f t="shared" si="354"/>
        <v>0</v>
      </c>
      <c r="Q2510" s="4">
        <f t="shared" si="355"/>
        <v>0</v>
      </c>
      <c r="R2510" s="4">
        <f t="shared" si="356"/>
        <v>0</v>
      </c>
      <c r="S2510" s="4">
        <f>IF(AND(VLOOKUP(G2510,Dados!$D:$L,2,0)=VLOOKUP(I2510,Dados!$S:$V,2,0),VLOOKUP(G2510,Dados!$D:$L,3,0)=VLOOKUP(I2510,Dados!$S:$V,3,0)),0,1)</f>
        <v>0</v>
      </c>
      <c r="T2510" s="4">
        <f>IF(AND(VLOOKUP(G2510,Dados!$D:$L,3,0)&lt;=VLOOKUP(H2510,Dados!$X:$AB,2,0),VLOOKUP(G2510,Dados!$D:$L,4,0)&gt;=VLOOKUP(H2510,Dados!$X:$AB,3,0),VLOOKUP(G2510,Dados!$D:$L,4,0)&lt;=VLOOKUP(H2510,Dados!$X:$AB,4,0)),0,1)</f>
        <v>0</v>
      </c>
      <c r="U2510" s="4">
        <f>IF(COUNTIFS(F:F,F2510,H:H,H2510)&lt;=VLOOKUP(H2510,Dados!$X:$AB,5,0),0,1)</f>
        <v>0</v>
      </c>
    </row>
    <row r="2511" spans="6:21">
      <c r="F2511" s="4">
        <v>1087</v>
      </c>
      <c r="G2511" s="4">
        <v>66</v>
      </c>
      <c r="H2511" s="4">
        <v>3</v>
      </c>
      <c r="I2511" s="4">
        <v>21</v>
      </c>
      <c r="J2511" s="4">
        <v>5</v>
      </c>
      <c r="K2511" s="4">
        <f t="shared" si="352"/>
        <v>0</v>
      </c>
      <c r="L2511" s="4">
        <f t="shared" si="352"/>
        <v>0</v>
      </c>
      <c r="M2511" s="4">
        <f t="shared" si="352"/>
        <v>0</v>
      </c>
      <c r="N2511" s="4">
        <f t="shared" si="352"/>
        <v>0</v>
      </c>
      <c r="O2511" s="4">
        <f t="shared" si="353"/>
        <v>0</v>
      </c>
      <c r="P2511" s="4">
        <f t="shared" si="354"/>
        <v>0</v>
      </c>
      <c r="Q2511" s="4">
        <f t="shared" si="355"/>
        <v>0</v>
      </c>
      <c r="R2511" s="4">
        <f t="shared" si="356"/>
        <v>0</v>
      </c>
      <c r="S2511" s="4">
        <f>IF(AND(VLOOKUP(G2511,Dados!$D:$L,2,0)=VLOOKUP(I2511,Dados!$S:$V,2,0),VLOOKUP(G2511,Dados!$D:$L,3,0)=VLOOKUP(I2511,Dados!$S:$V,3,0)),0,1)</f>
        <v>0</v>
      </c>
      <c r="T2511" s="4">
        <f>IF(AND(VLOOKUP(G2511,Dados!$D:$L,3,0)&lt;=VLOOKUP(H2511,Dados!$X:$AB,2,0),VLOOKUP(G2511,Dados!$D:$L,4,0)&gt;=VLOOKUP(H2511,Dados!$X:$AB,3,0),VLOOKUP(G2511,Dados!$D:$L,4,0)&lt;=VLOOKUP(H2511,Dados!$X:$AB,4,0)),0,1)</f>
        <v>0</v>
      </c>
      <c r="U2511" s="4">
        <f>IF(COUNTIFS(F:F,F2511,H:H,H2511)&lt;=VLOOKUP(H2511,Dados!$X:$AB,5,0),0,1)</f>
        <v>0</v>
      </c>
    </row>
    <row r="2512" spans="6:21">
      <c r="F2512" s="4">
        <v>1088</v>
      </c>
      <c r="G2512" s="4">
        <v>61</v>
      </c>
      <c r="H2512" s="4">
        <v>1</v>
      </c>
      <c r="I2512" s="4">
        <v>25</v>
      </c>
      <c r="J2512" s="4">
        <v>2</v>
      </c>
      <c r="K2512" s="4">
        <f t="shared" si="352"/>
        <v>0</v>
      </c>
      <c r="L2512" s="4">
        <f t="shared" si="352"/>
        <v>0</v>
      </c>
      <c r="M2512" s="4">
        <f t="shared" si="352"/>
        <v>0</v>
      </c>
      <c r="N2512" s="4">
        <f t="shared" si="352"/>
        <v>0</v>
      </c>
      <c r="O2512" s="4">
        <f t="shared" si="353"/>
        <v>0</v>
      </c>
      <c r="P2512" s="4">
        <f t="shared" si="354"/>
        <v>0</v>
      </c>
      <c r="Q2512" s="4">
        <f t="shared" si="355"/>
        <v>0</v>
      </c>
      <c r="R2512" s="4">
        <f t="shared" si="356"/>
        <v>0</v>
      </c>
      <c r="S2512" s="4">
        <f>IF(AND(VLOOKUP(G2512,Dados!$D:$L,2,0)=VLOOKUP(I2512,Dados!$S:$V,2,0),VLOOKUP(G2512,Dados!$D:$L,3,0)=VLOOKUP(I2512,Dados!$S:$V,3,0)),0,1)</f>
        <v>0</v>
      </c>
      <c r="T2512" s="4">
        <f>IF(AND(VLOOKUP(G2512,Dados!$D:$L,3,0)&lt;=VLOOKUP(H2512,Dados!$X:$AB,2,0),VLOOKUP(G2512,Dados!$D:$L,4,0)&gt;=VLOOKUP(H2512,Dados!$X:$AB,3,0),VLOOKUP(G2512,Dados!$D:$L,4,0)&lt;=VLOOKUP(H2512,Dados!$X:$AB,4,0)),0,1)</f>
        <v>0</v>
      </c>
      <c r="U2512" s="4">
        <f>IF(COUNTIFS(F:F,F2512,H:H,H2512)&lt;=VLOOKUP(H2512,Dados!$X:$AB,5,0),0,1)</f>
        <v>0</v>
      </c>
    </row>
    <row r="2513" spans="6:21">
      <c r="F2513" s="4">
        <v>1088</v>
      </c>
      <c r="G2513" s="4">
        <v>66</v>
      </c>
      <c r="H2513" s="4">
        <v>1</v>
      </c>
      <c r="I2513" s="4">
        <v>25</v>
      </c>
      <c r="J2513" s="4">
        <v>5</v>
      </c>
      <c r="K2513" s="4">
        <f t="shared" si="352"/>
        <v>0</v>
      </c>
      <c r="L2513" s="4">
        <f t="shared" si="352"/>
        <v>0</v>
      </c>
      <c r="M2513" s="4">
        <f t="shared" si="352"/>
        <v>0</v>
      </c>
      <c r="N2513" s="4">
        <f t="shared" si="352"/>
        <v>0</v>
      </c>
      <c r="O2513" s="4">
        <f t="shared" si="353"/>
        <v>0</v>
      </c>
      <c r="P2513" s="4">
        <f t="shared" si="354"/>
        <v>0</v>
      </c>
      <c r="Q2513" s="4">
        <f t="shared" si="355"/>
        <v>0</v>
      </c>
      <c r="R2513" s="4">
        <f t="shared" si="356"/>
        <v>0</v>
      </c>
      <c r="S2513" s="4">
        <f>IF(AND(VLOOKUP(G2513,Dados!$D:$L,2,0)=VLOOKUP(I2513,Dados!$S:$V,2,0),VLOOKUP(G2513,Dados!$D:$L,3,0)=VLOOKUP(I2513,Dados!$S:$V,3,0)),0,1)</f>
        <v>0</v>
      </c>
      <c r="T2513" s="4">
        <f>IF(AND(VLOOKUP(G2513,Dados!$D:$L,3,0)&lt;=VLOOKUP(H2513,Dados!$X:$AB,2,0),VLOOKUP(G2513,Dados!$D:$L,4,0)&gt;=VLOOKUP(H2513,Dados!$X:$AB,3,0),VLOOKUP(G2513,Dados!$D:$L,4,0)&lt;=VLOOKUP(H2513,Dados!$X:$AB,4,0)),0,1)</f>
        <v>0</v>
      </c>
      <c r="U2513" s="4">
        <f>IF(COUNTIFS(F:F,F2513,H:H,H2513)&lt;=VLOOKUP(H2513,Dados!$X:$AB,5,0),0,1)</f>
        <v>0</v>
      </c>
    </row>
    <row r="2514" spans="6:21">
      <c r="F2514" s="4">
        <v>1089</v>
      </c>
      <c r="G2514" s="4">
        <v>61</v>
      </c>
      <c r="H2514" s="4">
        <v>2</v>
      </c>
      <c r="I2514" s="4">
        <v>25</v>
      </c>
      <c r="J2514" s="4">
        <v>2</v>
      </c>
      <c r="K2514" s="4">
        <f t="shared" si="352"/>
        <v>0</v>
      </c>
      <c r="L2514" s="4">
        <f t="shared" si="352"/>
        <v>0</v>
      </c>
      <c r="M2514" s="4">
        <f t="shared" si="352"/>
        <v>3</v>
      </c>
      <c r="N2514" s="4">
        <f t="shared" si="352"/>
        <v>0</v>
      </c>
      <c r="O2514" s="4">
        <f t="shared" si="353"/>
        <v>0</v>
      </c>
      <c r="P2514" s="4">
        <f t="shared" si="354"/>
        <v>0</v>
      </c>
      <c r="Q2514" s="4">
        <f t="shared" si="355"/>
        <v>6</v>
      </c>
      <c r="R2514" s="4">
        <f t="shared" si="356"/>
        <v>0</v>
      </c>
      <c r="S2514" s="4">
        <f>IF(AND(VLOOKUP(G2514,Dados!$D:$L,2,0)=VLOOKUP(I2514,Dados!$S:$V,2,0),VLOOKUP(G2514,Dados!$D:$L,3,0)=VLOOKUP(I2514,Dados!$S:$V,3,0)),0,1)</f>
        <v>0</v>
      </c>
      <c r="T2514" s="4">
        <f>IF(AND(VLOOKUP(G2514,Dados!$D:$L,3,0)&lt;=VLOOKUP(H2514,Dados!$X:$AB,2,0),VLOOKUP(G2514,Dados!$D:$L,4,0)&gt;=VLOOKUP(H2514,Dados!$X:$AB,3,0),VLOOKUP(G2514,Dados!$D:$L,4,0)&lt;=VLOOKUP(H2514,Dados!$X:$AB,4,0)),0,1)</f>
        <v>0</v>
      </c>
      <c r="U2514" s="4">
        <f>IF(COUNTIFS(F:F,F2514,H:H,H2514)&lt;=VLOOKUP(H2514,Dados!$X:$AB,5,0),0,1)</f>
        <v>0</v>
      </c>
    </row>
    <row r="2515" spans="6:21">
      <c r="F2515" s="4">
        <v>1089</v>
      </c>
      <c r="G2515" s="4">
        <v>66</v>
      </c>
      <c r="H2515" s="4">
        <v>2</v>
      </c>
      <c r="I2515" s="4">
        <v>25</v>
      </c>
      <c r="J2515" s="4">
        <v>5</v>
      </c>
      <c r="K2515" s="4">
        <f t="shared" si="352"/>
        <v>0</v>
      </c>
      <c r="L2515" s="4">
        <f t="shared" si="352"/>
        <v>0</v>
      </c>
      <c r="M2515" s="4">
        <f t="shared" si="352"/>
        <v>3</v>
      </c>
      <c r="N2515" s="4">
        <f t="shared" si="352"/>
        <v>0</v>
      </c>
      <c r="O2515" s="4">
        <f t="shared" si="353"/>
        <v>0</v>
      </c>
      <c r="P2515" s="4">
        <f t="shared" si="354"/>
        <v>0</v>
      </c>
      <c r="Q2515" s="4">
        <f t="shared" si="355"/>
        <v>15</v>
      </c>
      <c r="R2515" s="4">
        <f t="shared" si="356"/>
        <v>0</v>
      </c>
      <c r="S2515" s="4">
        <f>IF(AND(VLOOKUP(G2515,Dados!$D:$L,2,0)=VLOOKUP(I2515,Dados!$S:$V,2,0),VLOOKUP(G2515,Dados!$D:$L,3,0)=VLOOKUP(I2515,Dados!$S:$V,3,0)),0,1)</f>
        <v>0</v>
      </c>
      <c r="T2515" s="4">
        <f>IF(AND(VLOOKUP(G2515,Dados!$D:$L,3,0)&lt;=VLOOKUP(H2515,Dados!$X:$AB,2,0),VLOOKUP(G2515,Dados!$D:$L,4,0)&gt;=VLOOKUP(H2515,Dados!$X:$AB,3,0),VLOOKUP(G2515,Dados!$D:$L,4,0)&lt;=VLOOKUP(H2515,Dados!$X:$AB,4,0)),0,1)</f>
        <v>0</v>
      </c>
      <c r="U2515" s="4">
        <f>IF(COUNTIFS(F:F,F2515,H:H,H2515)&lt;=VLOOKUP(H2515,Dados!$X:$AB,5,0),0,1)</f>
        <v>0</v>
      </c>
    </row>
    <row r="2516" spans="6:21">
      <c r="F2516" s="4">
        <v>1090</v>
      </c>
      <c r="G2516" s="4">
        <v>61</v>
      </c>
      <c r="H2516" s="4">
        <v>3</v>
      </c>
      <c r="I2516" s="4">
        <v>25</v>
      </c>
      <c r="J2516" s="4">
        <v>2</v>
      </c>
      <c r="K2516" s="4">
        <f t="shared" si="352"/>
        <v>0</v>
      </c>
      <c r="L2516" s="4">
        <f t="shared" si="352"/>
        <v>0</v>
      </c>
      <c r="M2516" s="4">
        <f t="shared" si="352"/>
        <v>0</v>
      </c>
      <c r="N2516" s="4">
        <f t="shared" si="352"/>
        <v>0</v>
      </c>
      <c r="O2516" s="4">
        <f t="shared" si="353"/>
        <v>0</v>
      </c>
      <c r="P2516" s="4">
        <f t="shared" si="354"/>
        <v>0</v>
      </c>
      <c r="Q2516" s="4">
        <f t="shared" si="355"/>
        <v>0</v>
      </c>
      <c r="R2516" s="4">
        <f t="shared" si="356"/>
        <v>0</v>
      </c>
      <c r="S2516" s="4">
        <f>IF(AND(VLOOKUP(G2516,Dados!$D:$L,2,0)=VLOOKUP(I2516,Dados!$S:$V,2,0),VLOOKUP(G2516,Dados!$D:$L,3,0)=VLOOKUP(I2516,Dados!$S:$V,3,0)),0,1)</f>
        <v>0</v>
      </c>
      <c r="T2516" s="4">
        <f>IF(AND(VLOOKUP(G2516,Dados!$D:$L,3,0)&lt;=VLOOKUP(H2516,Dados!$X:$AB,2,0),VLOOKUP(G2516,Dados!$D:$L,4,0)&gt;=VLOOKUP(H2516,Dados!$X:$AB,3,0),VLOOKUP(G2516,Dados!$D:$L,4,0)&lt;=VLOOKUP(H2516,Dados!$X:$AB,4,0)),0,1)</f>
        <v>0</v>
      </c>
      <c r="U2516" s="4">
        <f>IF(COUNTIFS(F:F,F2516,H:H,H2516)&lt;=VLOOKUP(H2516,Dados!$X:$AB,5,0),0,1)</f>
        <v>0</v>
      </c>
    </row>
    <row r="2517" spans="6:21">
      <c r="F2517" s="4">
        <v>1090</v>
      </c>
      <c r="G2517" s="4">
        <v>66</v>
      </c>
      <c r="H2517" s="4">
        <v>3</v>
      </c>
      <c r="I2517" s="4">
        <v>25</v>
      </c>
      <c r="J2517" s="4">
        <v>5</v>
      </c>
      <c r="K2517" s="4">
        <f t="shared" si="352"/>
        <v>0</v>
      </c>
      <c r="L2517" s="4">
        <f t="shared" si="352"/>
        <v>0</v>
      </c>
      <c r="M2517" s="4">
        <f t="shared" si="352"/>
        <v>0</v>
      </c>
      <c r="N2517" s="4">
        <f t="shared" si="352"/>
        <v>0</v>
      </c>
      <c r="O2517" s="4">
        <f t="shared" si="353"/>
        <v>0</v>
      </c>
      <c r="P2517" s="4">
        <f t="shared" si="354"/>
        <v>0</v>
      </c>
      <c r="Q2517" s="4">
        <f t="shared" si="355"/>
        <v>0</v>
      </c>
      <c r="R2517" s="4">
        <f t="shared" si="356"/>
        <v>0</v>
      </c>
      <c r="S2517" s="4">
        <f>IF(AND(VLOOKUP(G2517,Dados!$D:$L,2,0)=VLOOKUP(I2517,Dados!$S:$V,2,0),VLOOKUP(G2517,Dados!$D:$L,3,0)=VLOOKUP(I2517,Dados!$S:$V,3,0)),0,1)</f>
        <v>0</v>
      </c>
      <c r="T2517" s="4">
        <f>IF(AND(VLOOKUP(G2517,Dados!$D:$L,3,0)&lt;=VLOOKUP(H2517,Dados!$X:$AB,2,0),VLOOKUP(G2517,Dados!$D:$L,4,0)&gt;=VLOOKUP(H2517,Dados!$X:$AB,3,0),VLOOKUP(G2517,Dados!$D:$L,4,0)&lt;=VLOOKUP(H2517,Dados!$X:$AB,4,0)),0,1)</f>
        <v>0</v>
      </c>
      <c r="U2517" s="4">
        <f>IF(COUNTIFS(F:F,F2517,H:H,H2517)&lt;=VLOOKUP(H2517,Dados!$X:$AB,5,0),0,1)</f>
        <v>0</v>
      </c>
    </row>
    <row r="2518" spans="6:21">
      <c r="F2518" s="4">
        <v>1091</v>
      </c>
      <c r="G2518" s="4">
        <v>63</v>
      </c>
      <c r="H2518" s="4">
        <v>1</v>
      </c>
      <c r="I2518" s="4">
        <v>27</v>
      </c>
      <c r="J2518" s="4">
        <v>1</v>
      </c>
      <c r="K2518" s="4">
        <f t="shared" si="352"/>
        <v>0</v>
      </c>
      <c r="L2518" s="4">
        <f t="shared" si="352"/>
        <v>0</v>
      </c>
      <c r="M2518" s="4">
        <f t="shared" si="352"/>
        <v>0</v>
      </c>
      <c r="N2518" s="4">
        <f t="shared" si="352"/>
        <v>0</v>
      </c>
      <c r="O2518" s="4">
        <f t="shared" si="353"/>
        <v>0</v>
      </c>
      <c r="P2518" s="4">
        <f t="shared" si="354"/>
        <v>0</v>
      </c>
      <c r="Q2518" s="4">
        <f t="shared" si="355"/>
        <v>0</v>
      </c>
      <c r="R2518" s="4">
        <f t="shared" si="356"/>
        <v>0</v>
      </c>
      <c r="S2518" s="4">
        <f>IF(AND(VLOOKUP(G2518,Dados!$D:$L,2,0)=VLOOKUP(I2518,Dados!$S:$V,2,0),VLOOKUP(G2518,Dados!$D:$L,3,0)=VLOOKUP(I2518,Dados!$S:$V,3,0)),0,1)</f>
        <v>0</v>
      </c>
      <c r="T2518" s="4">
        <f>IF(AND(VLOOKUP(G2518,Dados!$D:$L,3,0)&lt;=VLOOKUP(H2518,Dados!$X:$AB,2,0),VLOOKUP(G2518,Dados!$D:$L,4,0)&gt;=VLOOKUP(H2518,Dados!$X:$AB,3,0),VLOOKUP(G2518,Dados!$D:$L,4,0)&lt;=VLOOKUP(H2518,Dados!$X:$AB,4,0)),0,1)</f>
        <v>0</v>
      </c>
      <c r="U2518" s="4">
        <f>IF(COUNTIFS(F:F,F2518,H:H,H2518)&lt;=VLOOKUP(H2518,Dados!$X:$AB,5,0),0,1)</f>
        <v>0</v>
      </c>
    </row>
    <row r="2519" spans="6:21">
      <c r="F2519" s="4">
        <v>1091</v>
      </c>
      <c r="G2519" s="4">
        <v>64</v>
      </c>
      <c r="H2519" s="4">
        <v>1</v>
      </c>
      <c r="I2519" s="4">
        <v>27</v>
      </c>
      <c r="J2519" s="4">
        <v>3</v>
      </c>
      <c r="K2519" s="4">
        <f t="shared" si="352"/>
        <v>0</v>
      </c>
      <c r="L2519" s="4">
        <f t="shared" si="352"/>
        <v>0</v>
      </c>
      <c r="M2519" s="4">
        <f t="shared" si="352"/>
        <v>0</v>
      </c>
      <c r="N2519" s="4">
        <f t="shared" si="352"/>
        <v>0</v>
      </c>
      <c r="O2519" s="4">
        <f t="shared" si="353"/>
        <v>0</v>
      </c>
      <c r="P2519" s="4">
        <f t="shared" si="354"/>
        <v>0</v>
      </c>
      <c r="Q2519" s="4">
        <f t="shared" si="355"/>
        <v>0</v>
      </c>
      <c r="R2519" s="4">
        <f t="shared" si="356"/>
        <v>0</v>
      </c>
      <c r="S2519" s="4">
        <f>IF(AND(VLOOKUP(G2519,Dados!$D:$L,2,0)=VLOOKUP(I2519,Dados!$S:$V,2,0),VLOOKUP(G2519,Dados!$D:$L,3,0)=VLOOKUP(I2519,Dados!$S:$V,3,0)),0,1)</f>
        <v>0</v>
      </c>
      <c r="T2519" s="4">
        <f>IF(AND(VLOOKUP(G2519,Dados!$D:$L,3,0)&lt;=VLOOKUP(H2519,Dados!$X:$AB,2,0),VLOOKUP(G2519,Dados!$D:$L,4,0)&gt;=VLOOKUP(H2519,Dados!$X:$AB,3,0),VLOOKUP(G2519,Dados!$D:$L,4,0)&lt;=VLOOKUP(H2519,Dados!$X:$AB,4,0)),0,1)</f>
        <v>0</v>
      </c>
      <c r="U2519" s="4">
        <f>IF(COUNTIFS(F:F,F2519,H:H,H2519)&lt;=VLOOKUP(H2519,Dados!$X:$AB,5,0),0,1)</f>
        <v>0</v>
      </c>
    </row>
    <row r="2520" spans="6:21">
      <c r="F2520" s="4">
        <v>1091</v>
      </c>
      <c r="G2520" s="4">
        <v>66</v>
      </c>
      <c r="H2520" s="4">
        <v>1</v>
      </c>
      <c r="I2520" s="4">
        <v>27</v>
      </c>
      <c r="J2520" s="4">
        <v>4</v>
      </c>
      <c r="K2520" s="4">
        <f t="shared" si="352"/>
        <v>0</v>
      </c>
      <c r="L2520" s="4">
        <f t="shared" si="352"/>
        <v>0</v>
      </c>
      <c r="M2520" s="4">
        <f t="shared" si="352"/>
        <v>0</v>
      </c>
      <c r="N2520" s="4">
        <f t="shared" si="352"/>
        <v>0</v>
      </c>
      <c r="O2520" s="4">
        <f t="shared" si="353"/>
        <v>0</v>
      </c>
      <c r="P2520" s="4">
        <f t="shared" si="354"/>
        <v>0</v>
      </c>
      <c r="Q2520" s="4">
        <f t="shared" si="355"/>
        <v>0</v>
      </c>
      <c r="R2520" s="4">
        <f t="shared" si="356"/>
        <v>0</v>
      </c>
      <c r="S2520" s="4">
        <f>IF(AND(VLOOKUP(G2520,Dados!$D:$L,2,0)=VLOOKUP(I2520,Dados!$S:$V,2,0),VLOOKUP(G2520,Dados!$D:$L,3,0)=VLOOKUP(I2520,Dados!$S:$V,3,0)),0,1)</f>
        <v>0</v>
      </c>
      <c r="T2520" s="4">
        <f>IF(AND(VLOOKUP(G2520,Dados!$D:$L,3,0)&lt;=VLOOKUP(H2520,Dados!$X:$AB,2,0),VLOOKUP(G2520,Dados!$D:$L,4,0)&gt;=VLOOKUP(H2520,Dados!$X:$AB,3,0),VLOOKUP(G2520,Dados!$D:$L,4,0)&lt;=VLOOKUP(H2520,Dados!$X:$AB,4,0)),0,1)</f>
        <v>0</v>
      </c>
      <c r="U2520" s="4">
        <f>IF(COUNTIFS(F:F,F2520,H:H,H2520)&lt;=VLOOKUP(H2520,Dados!$X:$AB,5,0),0,1)</f>
        <v>0</v>
      </c>
    </row>
    <row r="2521" spans="6:21">
      <c r="F2521" s="4">
        <v>1092</v>
      </c>
      <c r="G2521" s="4">
        <v>63</v>
      </c>
      <c r="H2521" s="4">
        <v>2</v>
      </c>
      <c r="I2521" s="4">
        <v>27</v>
      </c>
      <c r="J2521" s="4">
        <v>1</v>
      </c>
      <c r="K2521" s="4">
        <f t="shared" si="352"/>
        <v>0</v>
      </c>
      <c r="L2521" s="4">
        <f t="shared" si="352"/>
        <v>0</v>
      </c>
      <c r="M2521" s="4">
        <f t="shared" si="352"/>
        <v>0</v>
      </c>
      <c r="N2521" s="4">
        <f t="shared" si="352"/>
        <v>0</v>
      </c>
      <c r="O2521" s="4">
        <f t="shared" si="353"/>
        <v>0</v>
      </c>
      <c r="P2521" s="4">
        <f t="shared" si="354"/>
        <v>0</v>
      </c>
      <c r="Q2521" s="4">
        <f t="shared" si="355"/>
        <v>0</v>
      </c>
      <c r="R2521" s="4">
        <f t="shared" si="356"/>
        <v>0</v>
      </c>
      <c r="S2521" s="4">
        <f>IF(AND(VLOOKUP(G2521,Dados!$D:$L,2,0)=VLOOKUP(I2521,Dados!$S:$V,2,0),VLOOKUP(G2521,Dados!$D:$L,3,0)=VLOOKUP(I2521,Dados!$S:$V,3,0)),0,1)</f>
        <v>0</v>
      </c>
      <c r="T2521" s="4">
        <f>IF(AND(VLOOKUP(G2521,Dados!$D:$L,3,0)&lt;=VLOOKUP(H2521,Dados!$X:$AB,2,0),VLOOKUP(G2521,Dados!$D:$L,4,0)&gt;=VLOOKUP(H2521,Dados!$X:$AB,3,0),VLOOKUP(G2521,Dados!$D:$L,4,0)&lt;=VLOOKUP(H2521,Dados!$X:$AB,4,0)),0,1)</f>
        <v>0</v>
      </c>
      <c r="U2521" s="4">
        <f>IF(COUNTIFS(F:F,F2521,H:H,H2521)&lt;=VLOOKUP(H2521,Dados!$X:$AB,5,0),0,1)</f>
        <v>0</v>
      </c>
    </row>
    <row r="2522" spans="6:21">
      <c r="F2522" s="4">
        <v>1092</v>
      </c>
      <c r="G2522" s="4">
        <v>64</v>
      </c>
      <c r="H2522" s="4">
        <v>2</v>
      </c>
      <c r="I2522" s="4">
        <v>27</v>
      </c>
      <c r="J2522" s="4">
        <v>3</v>
      </c>
      <c r="K2522" s="4">
        <f t="shared" si="352"/>
        <v>0</v>
      </c>
      <c r="L2522" s="4">
        <f t="shared" si="352"/>
        <v>0</v>
      </c>
      <c r="M2522" s="4">
        <f t="shared" si="352"/>
        <v>0</v>
      </c>
      <c r="N2522" s="4">
        <f t="shared" si="352"/>
        <v>0</v>
      </c>
      <c r="O2522" s="4">
        <f t="shared" si="353"/>
        <v>0</v>
      </c>
      <c r="P2522" s="4">
        <f t="shared" si="354"/>
        <v>0</v>
      </c>
      <c r="Q2522" s="4">
        <f t="shared" si="355"/>
        <v>0</v>
      </c>
      <c r="R2522" s="4">
        <f t="shared" si="356"/>
        <v>0</v>
      </c>
      <c r="S2522" s="4">
        <f>IF(AND(VLOOKUP(G2522,Dados!$D:$L,2,0)=VLOOKUP(I2522,Dados!$S:$V,2,0),VLOOKUP(G2522,Dados!$D:$L,3,0)=VLOOKUP(I2522,Dados!$S:$V,3,0)),0,1)</f>
        <v>0</v>
      </c>
      <c r="T2522" s="4">
        <f>IF(AND(VLOOKUP(G2522,Dados!$D:$L,3,0)&lt;=VLOOKUP(H2522,Dados!$X:$AB,2,0),VLOOKUP(G2522,Dados!$D:$L,4,0)&gt;=VLOOKUP(H2522,Dados!$X:$AB,3,0),VLOOKUP(G2522,Dados!$D:$L,4,0)&lt;=VLOOKUP(H2522,Dados!$X:$AB,4,0)),0,1)</f>
        <v>0</v>
      </c>
      <c r="U2522" s="4">
        <f>IF(COUNTIFS(F:F,F2522,H:H,H2522)&lt;=VLOOKUP(H2522,Dados!$X:$AB,5,0),0,1)</f>
        <v>0</v>
      </c>
    </row>
    <row r="2523" spans="6:21">
      <c r="F2523" s="4">
        <v>1092</v>
      </c>
      <c r="G2523" s="4">
        <v>66</v>
      </c>
      <c r="H2523" s="4">
        <v>2</v>
      </c>
      <c r="I2523" s="4">
        <v>27</v>
      </c>
      <c r="J2523" s="4">
        <v>4</v>
      </c>
      <c r="K2523" s="4">
        <f t="shared" si="352"/>
        <v>0</v>
      </c>
      <c r="L2523" s="4">
        <f t="shared" si="352"/>
        <v>0</v>
      </c>
      <c r="M2523" s="4">
        <f t="shared" si="352"/>
        <v>0</v>
      </c>
      <c r="N2523" s="4">
        <f t="shared" si="352"/>
        <v>0</v>
      </c>
      <c r="O2523" s="4">
        <f t="shared" si="353"/>
        <v>0</v>
      </c>
      <c r="P2523" s="4">
        <f t="shared" si="354"/>
        <v>0</v>
      </c>
      <c r="Q2523" s="4">
        <f t="shared" si="355"/>
        <v>0</v>
      </c>
      <c r="R2523" s="4">
        <f t="shared" si="356"/>
        <v>0</v>
      </c>
      <c r="S2523" s="4">
        <f>IF(AND(VLOOKUP(G2523,Dados!$D:$L,2,0)=VLOOKUP(I2523,Dados!$S:$V,2,0),VLOOKUP(G2523,Dados!$D:$L,3,0)=VLOOKUP(I2523,Dados!$S:$V,3,0)),0,1)</f>
        <v>0</v>
      </c>
      <c r="T2523" s="4">
        <f>IF(AND(VLOOKUP(G2523,Dados!$D:$L,3,0)&lt;=VLOOKUP(H2523,Dados!$X:$AB,2,0),VLOOKUP(G2523,Dados!$D:$L,4,0)&gt;=VLOOKUP(H2523,Dados!$X:$AB,3,0),VLOOKUP(G2523,Dados!$D:$L,4,0)&lt;=VLOOKUP(H2523,Dados!$X:$AB,4,0)),0,1)</f>
        <v>0</v>
      </c>
      <c r="U2523" s="4">
        <f>IF(COUNTIFS(F:F,F2523,H:H,H2523)&lt;=VLOOKUP(H2523,Dados!$X:$AB,5,0),0,1)</f>
        <v>0</v>
      </c>
    </row>
    <row r="2524" spans="6:21">
      <c r="F2524" s="4">
        <v>1093</v>
      </c>
      <c r="G2524" s="4">
        <v>63</v>
      </c>
      <c r="H2524" s="4">
        <v>3</v>
      </c>
      <c r="I2524" s="4">
        <v>27</v>
      </c>
      <c r="J2524" s="4">
        <v>1</v>
      </c>
      <c r="K2524" s="4">
        <f t="shared" ref="K2524:N2587" si="357">SUMIFS($X:$X,$W:$W,$F2524,$Z:$Z,$I2524,$AA:$AA,$H2524,$AB:$AB,K$2)</f>
        <v>0</v>
      </c>
      <c r="L2524" s="4">
        <f t="shared" si="357"/>
        <v>0</v>
      </c>
      <c r="M2524" s="4">
        <f t="shared" si="357"/>
        <v>0</v>
      </c>
      <c r="N2524" s="4">
        <f t="shared" si="357"/>
        <v>0</v>
      </c>
      <c r="O2524" s="4">
        <f t="shared" si="353"/>
        <v>0</v>
      </c>
      <c r="P2524" s="4">
        <f t="shared" si="354"/>
        <v>0</v>
      </c>
      <c r="Q2524" s="4">
        <f t="shared" si="355"/>
        <v>0</v>
      </c>
      <c r="R2524" s="4">
        <f t="shared" si="356"/>
        <v>0</v>
      </c>
      <c r="S2524" s="4">
        <f>IF(AND(VLOOKUP(G2524,Dados!$D:$L,2,0)=VLOOKUP(I2524,Dados!$S:$V,2,0),VLOOKUP(G2524,Dados!$D:$L,3,0)=VLOOKUP(I2524,Dados!$S:$V,3,0)),0,1)</f>
        <v>0</v>
      </c>
      <c r="T2524" s="4">
        <f>IF(AND(VLOOKUP(G2524,Dados!$D:$L,3,0)&lt;=VLOOKUP(H2524,Dados!$X:$AB,2,0),VLOOKUP(G2524,Dados!$D:$L,4,0)&gt;=VLOOKUP(H2524,Dados!$X:$AB,3,0),VLOOKUP(G2524,Dados!$D:$L,4,0)&lt;=VLOOKUP(H2524,Dados!$X:$AB,4,0)),0,1)</f>
        <v>0</v>
      </c>
      <c r="U2524" s="4">
        <f>IF(COUNTIFS(F:F,F2524,H:H,H2524)&lt;=VLOOKUP(H2524,Dados!$X:$AB,5,0),0,1)</f>
        <v>0</v>
      </c>
    </row>
    <row r="2525" spans="6:21">
      <c r="F2525" s="4">
        <v>1093</v>
      </c>
      <c r="G2525" s="4">
        <v>64</v>
      </c>
      <c r="H2525" s="4">
        <v>3</v>
      </c>
      <c r="I2525" s="4">
        <v>27</v>
      </c>
      <c r="J2525" s="4">
        <v>3</v>
      </c>
      <c r="K2525" s="4">
        <f t="shared" si="357"/>
        <v>0</v>
      </c>
      <c r="L2525" s="4">
        <f t="shared" si="357"/>
        <v>0</v>
      </c>
      <c r="M2525" s="4">
        <f t="shared" si="357"/>
        <v>0</v>
      </c>
      <c r="N2525" s="4">
        <f t="shared" si="357"/>
        <v>0</v>
      </c>
      <c r="O2525" s="4">
        <f t="shared" si="353"/>
        <v>0</v>
      </c>
      <c r="P2525" s="4">
        <f t="shared" si="354"/>
        <v>0</v>
      </c>
      <c r="Q2525" s="4">
        <f t="shared" si="355"/>
        <v>0</v>
      </c>
      <c r="R2525" s="4">
        <f t="shared" si="356"/>
        <v>0</v>
      </c>
      <c r="S2525" s="4">
        <f>IF(AND(VLOOKUP(G2525,Dados!$D:$L,2,0)=VLOOKUP(I2525,Dados!$S:$V,2,0),VLOOKUP(G2525,Dados!$D:$L,3,0)=VLOOKUP(I2525,Dados!$S:$V,3,0)),0,1)</f>
        <v>0</v>
      </c>
      <c r="T2525" s="4">
        <f>IF(AND(VLOOKUP(G2525,Dados!$D:$L,3,0)&lt;=VLOOKUP(H2525,Dados!$X:$AB,2,0),VLOOKUP(G2525,Dados!$D:$L,4,0)&gt;=VLOOKUP(H2525,Dados!$X:$AB,3,0),VLOOKUP(G2525,Dados!$D:$L,4,0)&lt;=VLOOKUP(H2525,Dados!$X:$AB,4,0)),0,1)</f>
        <v>0</v>
      </c>
      <c r="U2525" s="4">
        <f>IF(COUNTIFS(F:F,F2525,H:H,H2525)&lt;=VLOOKUP(H2525,Dados!$X:$AB,5,0),0,1)</f>
        <v>0</v>
      </c>
    </row>
    <row r="2526" spans="6:21">
      <c r="F2526" s="4">
        <v>1093</v>
      </c>
      <c r="G2526" s="4">
        <v>66</v>
      </c>
      <c r="H2526" s="4">
        <v>3</v>
      </c>
      <c r="I2526" s="4">
        <v>27</v>
      </c>
      <c r="J2526" s="4">
        <v>4</v>
      </c>
      <c r="K2526" s="4">
        <f t="shared" si="357"/>
        <v>0</v>
      </c>
      <c r="L2526" s="4">
        <f t="shared" si="357"/>
        <v>0</v>
      </c>
      <c r="M2526" s="4">
        <f t="shared" si="357"/>
        <v>0</v>
      </c>
      <c r="N2526" s="4">
        <f t="shared" si="357"/>
        <v>0</v>
      </c>
      <c r="O2526" s="4">
        <f t="shared" si="353"/>
        <v>0</v>
      </c>
      <c r="P2526" s="4">
        <f t="shared" si="354"/>
        <v>0</v>
      </c>
      <c r="Q2526" s="4">
        <f t="shared" si="355"/>
        <v>0</v>
      </c>
      <c r="R2526" s="4">
        <f t="shared" si="356"/>
        <v>0</v>
      </c>
      <c r="S2526" s="4">
        <f>IF(AND(VLOOKUP(G2526,Dados!$D:$L,2,0)=VLOOKUP(I2526,Dados!$S:$V,2,0),VLOOKUP(G2526,Dados!$D:$L,3,0)=VLOOKUP(I2526,Dados!$S:$V,3,0)),0,1)</f>
        <v>0</v>
      </c>
      <c r="T2526" s="4">
        <f>IF(AND(VLOOKUP(G2526,Dados!$D:$L,3,0)&lt;=VLOOKUP(H2526,Dados!$X:$AB,2,0),VLOOKUP(G2526,Dados!$D:$L,4,0)&gt;=VLOOKUP(H2526,Dados!$X:$AB,3,0),VLOOKUP(G2526,Dados!$D:$L,4,0)&lt;=VLOOKUP(H2526,Dados!$X:$AB,4,0)),0,1)</f>
        <v>0</v>
      </c>
      <c r="U2526" s="4">
        <f>IF(COUNTIFS(F:F,F2526,H:H,H2526)&lt;=VLOOKUP(H2526,Dados!$X:$AB,5,0),0,1)</f>
        <v>0</v>
      </c>
    </row>
    <row r="2527" spans="6:21">
      <c r="F2527" s="4">
        <v>1094</v>
      </c>
      <c r="G2527" s="4">
        <v>35</v>
      </c>
      <c r="H2527" s="4">
        <v>1</v>
      </c>
      <c r="I2527" s="4">
        <v>16</v>
      </c>
      <c r="J2527" s="4">
        <v>4</v>
      </c>
      <c r="K2527" s="4">
        <f t="shared" si="357"/>
        <v>0</v>
      </c>
      <c r="L2527" s="4">
        <f t="shared" si="357"/>
        <v>0</v>
      </c>
      <c r="M2527" s="4">
        <f t="shared" si="357"/>
        <v>0</v>
      </c>
      <c r="N2527" s="4">
        <f t="shared" si="357"/>
        <v>0</v>
      </c>
      <c r="O2527" s="4">
        <f t="shared" si="353"/>
        <v>0</v>
      </c>
      <c r="P2527" s="4">
        <f t="shared" si="354"/>
        <v>0</v>
      </c>
      <c r="Q2527" s="4">
        <f t="shared" si="355"/>
        <v>0</v>
      </c>
      <c r="R2527" s="4">
        <f t="shared" si="356"/>
        <v>0</v>
      </c>
      <c r="S2527" s="4">
        <f>IF(AND(VLOOKUP(G2527,Dados!$D:$L,2,0)=VLOOKUP(I2527,Dados!$S:$V,2,0),VLOOKUP(G2527,Dados!$D:$L,3,0)=VLOOKUP(I2527,Dados!$S:$V,3,0)),0,1)</f>
        <v>0</v>
      </c>
      <c r="T2527" s="4">
        <f>IF(AND(VLOOKUP(G2527,Dados!$D:$L,3,0)&lt;=VLOOKUP(H2527,Dados!$X:$AB,2,0),VLOOKUP(G2527,Dados!$D:$L,4,0)&gt;=VLOOKUP(H2527,Dados!$X:$AB,3,0),VLOOKUP(G2527,Dados!$D:$L,4,0)&lt;=VLOOKUP(H2527,Dados!$X:$AB,4,0)),0,1)</f>
        <v>0</v>
      </c>
      <c r="U2527" s="4">
        <f>IF(COUNTIFS(F:F,F2527,H:H,H2527)&lt;=VLOOKUP(H2527,Dados!$X:$AB,5,0),0,1)</f>
        <v>0</v>
      </c>
    </row>
    <row r="2528" spans="6:21">
      <c r="F2528" s="4">
        <v>1094</v>
      </c>
      <c r="G2528" s="4">
        <v>37</v>
      </c>
      <c r="H2528" s="4">
        <v>1</v>
      </c>
      <c r="I2528" s="4">
        <v>16</v>
      </c>
      <c r="J2528" s="4">
        <v>2</v>
      </c>
      <c r="K2528" s="4">
        <f t="shared" si="357"/>
        <v>0</v>
      </c>
      <c r="L2528" s="4">
        <f t="shared" si="357"/>
        <v>0</v>
      </c>
      <c r="M2528" s="4">
        <f t="shared" si="357"/>
        <v>0</v>
      </c>
      <c r="N2528" s="4">
        <f t="shared" si="357"/>
        <v>0</v>
      </c>
      <c r="O2528" s="4">
        <f t="shared" si="353"/>
        <v>0</v>
      </c>
      <c r="P2528" s="4">
        <f t="shared" si="354"/>
        <v>0</v>
      </c>
      <c r="Q2528" s="4">
        <f t="shared" si="355"/>
        <v>0</v>
      </c>
      <c r="R2528" s="4">
        <f t="shared" si="356"/>
        <v>0</v>
      </c>
      <c r="S2528" s="4">
        <f>IF(AND(VLOOKUP(G2528,Dados!$D:$L,2,0)=VLOOKUP(I2528,Dados!$S:$V,2,0),VLOOKUP(G2528,Dados!$D:$L,3,0)=VLOOKUP(I2528,Dados!$S:$V,3,0)),0,1)</f>
        <v>0</v>
      </c>
      <c r="T2528" s="4">
        <f>IF(AND(VLOOKUP(G2528,Dados!$D:$L,3,0)&lt;=VLOOKUP(H2528,Dados!$X:$AB,2,0),VLOOKUP(G2528,Dados!$D:$L,4,0)&gt;=VLOOKUP(H2528,Dados!$X:$AB,3,0),VLOOKUP(G2528,Dados!$D:$L,4,0)&lt;=VLOOKUP(H2528,Dados!$X:$AB,4,0)),0,1)</f>
        <v>0</v>
      </c>
      <c r="U2528" s="4">
        <f>IF(COUNTIFS(F:F,F2528,H:H,H2528)&lt;=VLOOKUP(H2528,Dados!$X:$AB,5,0),0,1)</f>
        <v>0</v>
      </c>
    </row>
    <row r="2529" spans="6:21">
      <c r="F2529" s="4">
        <v>1095</v>
      </c>
      <c r="G2529" s="4">
        <v>35</v>
      </c>
      <c r="H2529" s="4">
        <v>2</v>
      </c>
      <c r="I2529" s="4">
        <v>16</v>
      </c>
      <c r="J2529" s="4">
        <v>4</v>
      </c>
      <c r="K2529" s="4">
        <f t="shared" si="357"/>
        <v>0</v>
      </c>
      <c r="L2529" s="4">
        <f t="shared" si="357"/>
        <v>0</v>
      </c>
      <c r="M2529" s="4">
        <f t="shared" si="357"/>
        <v>0</v>
      </c>
      <c r="N2529" s="4">
        <f t="shared" si="357"/>
        <v>0</v>
      </c>
      <c r="O2529" s="4">
        <f t="shared" si="353"/>
        <v>0</v>
      </c>
      <c r="P2529" s="4">
        <f t="shared" si="354"/>
        <v>0</v>
      </c>
      <c r="Q2529" s="4">
        <f t="shared" si="355"/>
        <v>0</v>
      </c>
      <c r="R2529" s="4">
        <f t="shared" si="356"/>
        <v>0</v>
      </c>
      <c r="S2529" s="4">
        <f>IF(AND(VLOOKUP(G2529,Dados!$D:$L,2,0)=VLOOKUP(I2529,Dados!$S:$V,2,0),VLOOKUP(G2529,Dados!$D:$L,3,0)=VLOOKUP(I2529,Dados!$S:$V,3,0)),0,1)</f>
        <v>0</v>
      </c>
      <c r="T2529" s="4">
        <f>IF(AND(VLOOKUP(G2529,Dados!$D:$L,3,0)&lt;=VLOOKUP(H2529,Dados!$X:$AB,2,0),VLOOKUP(G2529,Dados!$D:$L,4,0)&gt;=VLOOKUP(H2529,Dados!$X:$AB,3,0),VLOOKUP(G2529,Dados!$D:$L,4,0)&lt;=VLOOKUP(H2529,Dados!$X:$AB,4,0)),0,1)</f>
        <v>0</v>
      </c>
      <c r="U2529" s="4">
        <f>IF(COUNTIFS(F:F,F2529,H:H,H2529)&lt;=VLOOKUP(H2529,Dados!$X:$AB,5,0),0,1)</f>
        <v>0</v>
      </c>
    </row>
    <row r="2530" spans="6:21">
      <c r="F2530" s="4">
        <v>1095</v>
      </c>
      <c r="G2530" s="4">
        <v>37</v>
      </c>
      <c r="H2530" s="4">
        <v>2</v>
      </c>
      <c r="I2530" s="4">
        <v>16</v>
      </c>
      <c r="J2530" s="4">
        <v>2</v>
      </c>
      <c r="K2530" s="4">
        <f t="shared" si="357"/>
        <v>0</v>
      </c>
      <c r="L2530" s="4">
        <f t="shared" si="357"/>
        <v>0</v>
      </c>
      <c r="M2530" s="4">
        <f t="shared" si="357"/>
        <v>0</v>
      </c>
      <c r="N2530" s="4">
        <f t="shared" si="357"/>
        <v>0</v>
      </c>
      <c r="O2530" s="4">
        <f t="shared" si="353"/>
        <v>0</v>
      </c>
      <c r="P2530" s="4">
        <f t="shared" si="354"/>
        <v>0</v>
      </c>
      <c r="Q2530" s="4">
        <f t="shared" si="355"/>
        <v>0</v>
      </c>
      <c r="R2530" s="4">
        <f t="shared" si="356"/>
        <v>0</v>
      </c>
      <c r="S2530" s="4">
        <f>IF(AND(VLOOKUP(G2530,Dados!$D:$L,2,0)=VLOOKUP(I2530,Dados!$S:$V,2,0),VLOOKUP(G2530,Dados!$D:$L,3,0)=VLOOKUP(I2530,Dados!$S:$V,3,0)),0,1)</f>
        <v>0</v>
      </c>
      <c r="T2530" s="4">
        <f>IF(AND(VLOOKUP(G2530,Dados!$D:$L,3,0)&lt;=VLOOKUP(H2530,Dados!$X:$AB,2,0),VLOOKUP(G2530,Dados!$D:$L,4,0)&gt;=VLOOKUP(H2530,Dados!$X:$AB,3,0),VLOOKUP(G2530,Dados!$D:$L,4,0)&lt;=VLOOKUP(H2530,Dados!$X:$AB,4,0)),0,1)</f>
        <v>0</v>
      </c>
      <c r="U2530" s="4">
        <f>IF(COUNTIFS(F:F,F2530,H:H,H2530)&lt;=VLOOKUP(H2530,Dados!$X:$AB,5,0),0,1)</f>
        <v>0</v>
      </c>
    </row>
    <row r="2531" spans="6:21">
      <c r="F2531" s="4">
        <v>1096</v>
      </c>
      <c r="G2531" s="4">
        <v>35</v>
      </c>
      <c r="H2531" s="4">
        <v>3</v>
      </c>
      <c r="I2531" s="4">
        <v>16</v>
      </c>
      <c r="J2531" s="4">
        <v>4</v>
      </c>
      <c r="K2531" s="4">
        <f t="shared" si="357"/>
        <v>0</v>
      </c>
      <c r="L2531" s="4">
        <f t="shared" si="357"/>
        <v>0</v>
      </c>
      <c r="M2531" s="4">
        <f t="shared" si="357"/>
        <v>0</v>
      </c>
      <c r="N2531" s="4">
        <f t="shared" si="357"/>
        <v>0</v>
      </c>
      <c r="O2531" s="4">
        <f t="shared" si="353"/>
        <v>0</v>
      </c>
      <c r="P2531" s="4">
        <f t="shared" si="354"/>
        <v>0</v>
      </c>
      <c r="Q2531" s="4">
        <f t="shared" si="355"/>
        <v>0</v>
      </c>
      <c r="R2531" s="4">
        <f t="shared" si="356"/>
        <v>0</v>
      </c>
      <c r="S2531" s="4">
        <f>IF(AND(VLOOKUP(G2531,Dados!$D:$L,2,0)=VLOOKUP(I2531,Dados!$S:$V,2,0),VLOOKUP(G2531,Dados!$D:$L,3,0)=VLOOKUP(I2531,Dados!$S:$V,3,0)),0,1)</f>
        <v>0</v>
      </c>
      <c r="T2531" s="4">
        <f>IF(AND(VLOOKUP(G2531,Dados!$D:$L,3,0)&lt;=VLOOKUP(H2531,Dados!$X:$AB,2,0),VLOOKUP(G2531,Dados!$D:$L,4,0)&gt;=VLOOKUP(H2531,Dados!$X:$AB,3,0),VLOOKUP(G2531,Dados!$D:$L,4,0)&lt;=VLOOKUP(H2531,Dados!$X:$AB,4,0)),0,1)</f>
        <v>0</v>
      </c>
      <c r="U2531" s="4">
        <f>IF(COUNTIFS(F:F,F2531,H:H,H2531)&lt;=VLOOKUP(H2531,Dados!$X:$AB,5,0),0,1)</f>
        <v>0</v>
      </c>
    </row>
    <row r="2532" spans="6:21">
      <c r="F2532" s="4">
        <v>1096</v>
      </c>
      <c r="G2532" s="4">
        <v>37</v>
      </c>
      <c r="H2532" s="4">
        <v>3</v>
      </c>
      <c r="I2532" s="4">
        <v>16</v>
      </c>
      <c r="J2532" s="4">
        <v>2</v>
      </c>
      <c r="K2532" s="4">
        <f t="shared" si="357"/>
        <v>0</v>
      </c>
      <c r="L2532" s="4">
        <f t="shared" si="357"/>
        <v>0</v>
      </c>
      <c r="M2532" s="4">
        <f t="shared" si="357"/>
        <v>0</v>
      </c>
      <c r="N2532" s="4">
        <f t="shared" si="357"/>
        <v>0</v>
      </c>
      <c r="O2532" s="4">
        <f t="shared" si="353"/>
        <v>0</v>
      </c>
      <c r="P2532" s="4">
        <f t="shared" si="354"/>
        <v>0</v>
      </c>
      <c r="Q2532" s="4">
        <f t="shared" si="355"/>
        <v>0</v>
      </c>
      <c r="R2532" s="4">
        <f t="shared" si="356"/>
        <v>0</v>
      </c>
      <c r="S2532" s="4">
        <f>IF(AND(VLOOKUP(G2532,Dados!$D:$L,2,0)=VLOOKUP(I2532,Dados!$S:$V,2,0),VLOOKUP(G2532,Dados!$D:$L,3,0)=VLOOKUP(I2532,Dados!$S:$V,3,0)),0,1)</f>
        <v>0</v>
      </c>
      <c r="T2532" s="4">
        <f>IF(AND(VLOOKUP(G2532,Dados!$D:$L,3,0)&lt;=VLOOKUP(H2532,Dados!$X:$AB,2,0),VLOOKUP(G2532,Dados!$D:$L,4,0)&gt;=VLOOKUP(H2532,Dados!$X:$AB,3,0),VLOOKUP(G2532,Dados!$D:$L,4,0)&lt;=VLOOKUP(H2532,Dados!$X:$AB,4,0)),0,1)</f>
        <v>0</v>
      </c>
      <c r="U2532" s="4">
        <f>IF(COUNTIFS(F:F,F2532,H:H,H2532)&lt;=VLOOKUP(H2532,Dados!$X:$AB,5,0),0,1)</f>
        <v>0</v>
      </c>
    </row>
    <row r="2533" spans="6:21">
      <c r="F2533" s="4">
        <v>1097</v>
      </c>
      <c r="G2533" s="4">
        <v>30</v>
      </c>
      <c r="H2533" s="4">
        <v>1</v>
      </c>
      <c r="I2533" s="4">
        <v>16</v>
      </c>
      <c r="J2533" s="4">
        <v>3</v>
      </c>
      <c r="K2533" s="4">
        <f t="shared" si="357"/>
        <v>0</v>
      </c>
      <c r="L2533" s="4">
        <f t="shared" si="357"/>
        <v>0</v>
      </c>
      <c r="M2533" s="4">
        <f t="shared" si="357"/>
        <v>0</v>
      </c>
      <c r="N2533" s="4">
        <f t="shared" si="357"/>
        <v>0</v>
      </c>
      <c r="O2533" s="4">
        <f t="shared" si="353"/>
        <v>0</v>
      </c>
      <c r="P2533" s="4">
        <f t="shared" si="354"/>
        <v>0</v>
      </c>
      <c r="Q2533" s="4">
        <f t="shared" si="355"/>
        <v>0</v>
      </c>
      <c r="R2533" s="4">
        <f t="shared" si="356"/>
        <v>0</v>
      </c>
      <c r="S2533" s="4">
        <f>IF(AND(VLOOKUP(G2533,Dados!$D:$L,2,0)=VLOOKUP(I2533,Dados!$S:$V,2,0),VLOOKUP(G2533,Dados!$D:$L,3,0)=VLOOKUP(I2533,Dados!$S:$V,3,0)),0,1)</f>
        <v>0</v>
      </c>
      <c r="T2533" s="4">
        <f>IF(AND(VLOOKUP(G2533,Dados!$D:$L,3,0)&lt;=VLOOKUP(H2533,Dados!$X:$AB,2,0),VLOOKUP(G2533,Dados!$D:$L,4,0)&gt;=VLOOKUP(H2533,Dados!$X:$AB,3,0),VLOOKUP(G2533,Dados!$D:$L,4,0)&lt;=VLOOKUP(H2533,Dados!$X:$AB,4,0)),0,1)</f>
        <v>0</v>
      </c>
      <c r="U2533" s="4">
        <f>IF(COUNTIFS(F:F,F2533,H:H,H2533)&lt;=VLOOKUP(H2533,Dados!$X:$AB,5,0),0,1)</f>
        <v>0</v>
      </c>
    </row>
    <row r="2534" spans="6:21">
      <c r="F2534" s="4">
        <v>1097</v>
      </c>
      <c r="G2534" s="4">
        <v>31</v>
      </c>
      <c r="H2534" s="4">
        <v>1</v>
      </c>
      <c r="I2534" s="4">
        <v>16</v>
      </c>
      <c r="J2534" s="4">
        <v>3</v>
      </c>
      <c r="K2534" s="4">
        <f t="shared" si="357"/>
        <v>0</v>
      </c>
      <c r="L2534" s="4">
        <f t="shared" si="357"/>
        <v>0</v>
      </c>
      <c r="M2534" s="4">
        <f t="shared" si="357"/>
        <v>0</v>
      </c>
      <c r="N2534" s="4">
        <f t="shared" si="357"/>
        <v>0</v>
      </c>
      <c r="O2534" s="4">
        <f t="shared" si="353"/>
        <v>0</v>
      </c>
      <c r="P2534" s="4">
        <f t="shared" si="354"/>
        <v>0</v>
      </c>
      <c r="Q2534" s="4">
        <f t="shared" si="355"/>
        <v>0</v>
      </c>
      <c r="R2534" s="4">
        <f t="shared" si="356"/>
        <v>0</v>
      </c>
      <c r="S2534" s="4">
        <f>IF(AND(VLOOKUP(G2534,Dados!$D:$L,2,0)=VLOOKUP(I2534,Dados!$S:$V,2,0),VLOOKUP(G2534,Dados!$D:$L,3,0)=VLOOKUP(I2534,Dados!$S:$V,3,0)),0,1)</f>
        <v>0</v>
      </c>
      <c r="T2534" s="4">
        <f>IF(AND(VLOOKUP(G2534,Dados!$D:$L,3,0)&lt;=VLOOKUP(H2534,Dados!$X:$AB,2,0),VLOOKUP(G2534,Dados!$D:$L,4,0)&gt;=VLOOKUP(H2534,Dados!$X:$AB,3,0),VLOOKUP(G2534,Dados!$D:$L,4,0)&lt;=VLOOKUP(H2534,Dados!$X:$AB,4,0)),0,1)</f>
        <v>0</v>
      </c>
      <c r="U2534" s="4">
        <f>IF(COUNTIFS(F:F,F2534,H:H,H2534)&lt;=VLOOKUP(H2534,Dados!$X:$AB,5,0),0,1)</f>
        <v>0</v>
      </c>
    </row>
    <row r="2535" spans="6:21">
      <c r="F2535" s="4">
        <v>1097</v>
      </c>
      <c r="G2535" s="4">
        <v>38</v>
      </c>
      <c r="H2535" s="4">
        <v>1</v>
      </c>
      <c r="I2535" s="4">
        <v>16</v>
      </c>
      <c r="J2535" s="4">
        <v>2</v>
      </c>
      <c r="K2535" s="4">
        <f t="shared" si="357"/>
        <v>0</v>
      </c>
      <c r="L2535" s="4">
        <f t="shared" si="357"/>
        <v>0</v>
      </c>
      <c r="M2535" s="4">
        <f t="shared" si="357"/>
        <v>0</v>
      </c>
      <c r="N2535" s="4">
        <f t="shared" si="357"/>
        <v>0</v>
      </c>
      <c r="O2535" s="4">
        <f t="shared" ref="O2535:O2598" si="358">$J2535*K2535</f>
        <v>0</v>
      </c>
      <c r="P2535" s="4">
        <f t="shared" ref="P2535:P2598" si="359">$J2535*L2535</f>
        <v>0</v>
      </c>
      <c r="Q2535" s="4">
        <f t="shared" ref="Q2535:Q2598" si="360">$J2535*M2535</f>
        <v>0</v>
      </c>
      <c r="R2535" s="4">
        <f t="shared" ref="R2535:R2598" si="361">$J2535*N2535</f>
        <v>0</v>
      </c>
      <c r="S2535" s="4">
        <f>IF(AND(VLOOKUP(G2535,Dados!$D:$L,2,0)=VLOOKUP(I2535,Dados!$S:$V,2,0),VLOOKUP(G2535,Dados!$D:$L,3,0)=VLOOKUP(I2535,Dados!$S:$V,3,0)),0,1)</f>
        <v>0</v>
      </c>
      <c r="T2535" s="4">
        <f>IF(AND(VLOOKUP(G2535,Dados!$D:$L,3,0)&lt;=VLOOKUP(H2535,Dados!$X:$AB,2,0),VLOOKUP(G2535,Dados!$D:$L,4,0)&gt;=VLOOKUP(H2535,Dados!$X:$AB,3,0),VLOOKUP(G2535,Dados!$D:$L,4,0)&lt;=VLOOKUP(H2535,Dados!$X:$AB,4,0)),0,1)</f>
        <v>0</v>
      </c>
      <c r="U2535" s="4">
        <f>IF(COUNTIFS(F:F,F2535,H:H,H2535)&lt;=VLOOKUP(H2535,Dados!$X:$AB,5,0),0,1)</f>
        <v>0</v>
      </c>
    </row>
    <row r="2536" spans="6:21">
      <c r="F2536" s="4">
        <v>1098</v>
      </c>
      <c r="G2536" s="4">
        <v>30</v>
      </c>
      <c r="H2536" s="4">
        <v>2</v>
      </c>
      <c r="I2536" s="4">
        <v>16</v>
      </c>
      <c r="J2536" s="4">
        <v>3</v>
      </c>
      <c r="K2536" s="4">
        <f t="shared" si="357"/>
        <v>3</v>
      </c>
      <c r="L2536" s="4">
        <f t="shared" si="357"/>
        <v>0</v>
      </c>
      <c r="M2536" s="4">
        <f t="shared" si="357"/>
        <v>0</v>
      </c>
      <c r="N2536" s="4">
        <f t="shared" si="357"/>
        <v>0</v>
      </c>
      <c r="O2536" s="4">
        <f t="shared" si="358"/>
        <v>9</v>
      </c>
      <c r="P2536" s="4">
        <f t="shared" si="359"/>
        <v>0</v>
      </c>
      <c r="Q2536" s="4">
        <f t="shared" si="360"/>
        <v>0</v>
      </c>
      <c r="R2536" s="4">
        <f t="shared" si="361"/>
        <v>0</v>
      </c>
      <c r="S2536" s="4">
        <f>IF(AND(VLOOKUP(G2536,Dados!$D:$L,2,0)=VLOOKUP(I2536,Dados!$S:$V,2,0),VLOOKUP(G2536,Dados!$D:$L,3,0)=VLOOKUP(I2536,Dados!$S:$V,3,0)),0,1)</f>
        <v>0</v>
      </c>
      <c r="T2536" s="4">
        <f>IF(AND(VLOOKUP(G2536,Dados!$D:$L,3,0)&lt;=VLOOKUP(H2536,Dados!$X:$AB,2,0),VLOOKUP(G2536,Dados!$D:$L,4,0)&gt;=VLOOKUP(H2536,Dados!$X:$AB,3,0),VLOOKUP(G2536,Dados!$D:$L,4,0)&lt;=VLOOKUP(H2536,Dados!$X:$AB,4,0)),0,1)</f>
        <v>0</v>
      </c>
      <c r="U2536" s="4">
        <f>IF(COUNTIFS(F:F,F2536,H:H,H2536)&lt;=VLOOKUP(H2536,Dados!$X:$AB,5,0),0,1)</f>
        <v>0</v>
      </c>
    </row>
    <row r="2537" spans="6:21">
      <c r="F2537" s="4">
        <v>1098</v>
      </c>
      <c r="G2537" s="4">
        <v>31</v>
      </c>
      <c r="H2537" s="4">
        <v>2</v>
      </c>
      <c r="I2537" s="4">
        <v>16</v>
      </c>
      <c r="J2537" s="4">
        <v>3</v>
      </c>
      <c r="K2537" s="4">
        <f t="shared" si="357"/>
        <v>3</v>
      </c>
      <c r="L2537" s="4">
        <f t="shared" si="357"/>
        <v>0</v>
      </c>
      <c r="M2537" s="4">
        <f t="shared" si="357"/>
        <v>0</v>
      </c>
      <c r="N2537" s="4">
        <f t="shared" si="357"/>
        <v>0</v>
      </c>
      <c r="O2537" s="4">
        <f t="shared" si="358"/>
        <v>9</v>
      </c>
      <c r="P2537" s="4">
        <f t="shared" si="359"/>
        <v>0</v>
      </c>
      <c r="Q2537" s="4">
        <f t="shared" si="360"/>
        <v>0</v>
      </c>
      <c r="R2537" s="4">
        <f t="shared" si="361"/>
        <v>0</v>
      </c>
      <c r="S2537" s="4">
        <f>IF(AND(VLOOKUP(G2537,Dados!$D:$L,2,0)=VLOOKUP(I2537,Dados!$S:$V,2,0),VLOOKUP(G2537,Dados!$D:$L,3,0)=VLOOKUP(I2537,Dados!$S:$V,3,0)),0,1)</f>
        <v>0</v>
      </c>
      <c r="T2537" s="4">
        <f>IF(AND(VLOOKUP(G2537,Dados!$D:$L,3,0)&lt;=VLOOKUP(H2537,Dados!$X:$AB,2,0),VLOOKUP(G2537,Dados!$D:$L,4,0)&gt;=VLOOKUP(H2537,Dados!$X:$AB,3,0),VLOOKUP(G2537,Dados!$D:$L,4,0)&lt;=VLOOKUP(H2537,Dados!$X:$AB,4,0)),0,1)</f>
        <v>0</v>
      </c>
      <c r="U2537" s="4">
        <f>IF(COUNTIFS(F:F,F2537,H:H,H2537)&lt;=VLOOKUP(H2537,Dados!$X:$AB,5,0),0,1)</f>
        <v>0</v>
      </c>
    </row>
    <row r="2538" spans="6:21">
      <c r="F2538" s="4">
        <v>1098</v>
      </c>
      <c r="G2538" s="4">
        <v>38</v>
      </c>
      <c r="H2538" s="4">
        <v>2</v>
      </c>
      <c r="I2538" s="4">
        <v>16</v>
      </c>
      <c r="J2538" s="4">
        <v>2</v>
      </c>
      <c r="K2538" s="4">
        <f t="shared" si="357"/>
        <v>3</v>
      </c>
      <c r="L2538" s="4">
        <f t="shared" si="357"/>
        <v>0</v>
      </c>
      <c r="M2538" s="4">
        <f t="shared" si="357"/>
        <v>0</v>
      </c>
      <c r="N2538" s="4">
        <f t="shared" si="357"/>
        <v>0</v>
      </c>
      <c r="O2538" s="4">
        <f t="shared" si="358"/>
        <v>6</v>
      </c>
      <c r="P2538" s="4">
        <f t="shared" si="359"/>
        <v>0</v>
      </c>
      <c r="Q2538" s="4">
        <f t="shared" si="360"/>
        <v>0</v>
      </c>
      <c r="R2538" s="4">
        <f t="shared" si="361"/>
        <v>0</v>
      </c>
      <c r="S2538" s="4">
        <f>IF(AND(VLOOKUP(G2538,Dados!$D:$L,2,0)=VLOOKUP(I2538,Dados!$S:$V,2,0),VLOOKUP(G2538,Dados!$D:$L,3,0)=VLOOKUP(I2538,Dados!$S:$V,3,0)),0,1)</f>
        <v>0</v>
      </c>
      <c r="T2538" s="4">
        <f>IF(AND(VLOOKUP(G2538,Dados!$D:$L,3,0)&lt;=VLOOKUP(H2538,Dados!$X:$AB,2,0),VLOOKUP(G2538,Dados!$D:$L,4,0)&gt;=VLOOKUP(H2538,Dados!$X:$AB,3,0),VLOOKUP(G2538,Dados!$D:$L,4,0)&lt;=VLOOKUP(H2538,Dados!$X:$AB,4,0)),0,1)</f>
        <v>0</v>
      </c>
      <c r="U2538" s="4">
        <f>IF(COUNTIFS(F:F,F2538,H:H,H2538)&lt;=VLOOKUP(H2538,Dados!$X:$AB,5,0),0,1)</f>
        <v>0</v>
      </c>
    </row>
    <row r="2539" spans="6:21">
      <c r="F2539" s="4">
        <v>1099</v>
      </c>
      <c r="G2539" s="4">
        <v>30</v>
      </c>
      <c r="H2539" s="4">
        <v>3</v>
      </c>
      <c r="I2539" s="4">
        <v>16</v>
      </c>
      <c r="J2539" s="4">
        <v>3</v>
      </c>
      <c r="K2539" s="4">
        <f t="shared" si="357"/>
        <v>0</v>
      </c>
      <c r="L2539" s="4">
        <f t="shared" si="357"/>
        <v>0</v>
      </c>
      <c r="M2539" s="4">
        <f t="shared" si="357"/>
        <v>0</v>
      </c>
      <c r="N2539" s="4">
        <f t="shared" si="357"/>
        <v>0</v>
      </c>
      <c r="O2539" s="4">
        <f t="shared" si="358"/>
        <v>0</v>
      </c>
      <c r="P2539" s="4">
        <f t="shared" si="359"/>
        <v>0</v>
      </c>
      <c r="Q2539" s="4">
        <f t="shared" si="360"/>
        <v>0</v>
      </c>
      <c r="R2539" s="4">
        <f t="shared" si="361"/>
        <v>0</v>
      </c>
      <c r="S2539" s="4">
        <f>IF(AND(VLOOKUP(G2539,Dados!$D:$L,2,0)=VLOOKUP(I2539,Dados!$S:$V,2,0),VLOOKUP(G2539,Dados!$D:$L,3,0)=VLOOKUP(I2539,Dados!$S:$V,3,0)),0,1)</f>
        <v>0</v>
      </c>
      <c r="T2539" s="4">
        <f>IF(AND(VLOOKUP(G2539,Dados!$D:$L,3,0)&lt;=VLOOKUP(H2539,Dados!$X:$AB,2,0),VLOOKUP(G2539,Dados!$D:$L,4,0)&gt;=VLOOKUP(H2539,Dados!$X:$AB,3,0),VLOOKUP(G2539,Dados!$D:$L,4,0)&lt;=VLOOKUP(H2539,Dados!$X:$AB,4,0)),0,1)</f>
        <v>0</v>
      </c>
      <c r="U2539" s="4">
        <f>IF(COUNTIFS(F:F,F2539,H:H,H2539)&lt;=VLOOKUP(H2539,Dados!$X:$AB,5,0),0,1)</f>
        <v>0</v>
      </c>
    </row>
    <row r="2540" spans="6:21">
      <c r="F2540" s="4">
        <v>1099</v>
      </c>
      <c r="G2540" s="4">
        <v>31</v>
      </c>
      <c r="H2540" s="4">
        <v>3</v>
      </c>
      <c r="I2540" s="4">
        <v>16</v>
      </c>
      <c r="J2540" s="4">
        <v>4</v>
      </c>
      <c r="K2540" s="4">
        <f t="shared" si="357"/>
        <v>0</v>
      </c>
      <c r="L2540" s="4">
        <f t="shared" si="357"/>
        <v>0</v>
      </c>
      <c r="M2540" s="4">
        <f t="shared" si="357"/>
        <v>0</v>
      </c>
      <c r="N2540" s="4">
        <f t="shared" si="357"/>
        <v>0</v>
      </c>
      <c r="O2540" s="4">
        <f t="shared" si="358"/>
        <v>0</v>
      </c>
      <c r="P2540" s="4">
        <f t="shared" si="359"/>
        <v>0</v>
      </c>
      <c r="Q2540" s="4">
        <f t="shared" si="360"/>
        <v>0</v>
      </c>
      <c r="R2540" s="4">
        <f t="shared" si="361"/>
        <v>0</v>
      </c>
      <c r="S2540" s="4">
        <f>IF(AND(VLOOKUP(G2540,Dados!$D:$L,2,0)=VLOOKUP(I2540,Dados!$S:$V,2,0),VLOOKUP(G2540,Dados!$D:$L,3,0)=VLOOKUP(I2540,Dados!$S:$V,3,0)),0,1)</f>
        <v>0</v>
      </c>
      <c r="T2540" s="4">
        <f>IF(AND(VLOOKUP(G2540,Dados!$D:$L,3,0)&lt;=VLOOKUP(H2540,Dados!$X:$AB,2,0),VLOOKUP(G2540,Dados!$D:$L,4,0)&gt;=VLOOKUP(H2540,Dados!$X:$AB,3,0),VLOOKUP(G2540,Dados!$D:$L,4,0)&lt;=VLOOKUP(H2540,Dados!$X:$AB,4,0)),0,1)</f>
        <v>0</v>
      </c>
      <c r="U2540" s="4">
        <f>IF(COUNTIFS(F:F,F2540,H:H,H2540)&lt;=VLOOKUP(H2540,Dados!$X:$AB,5,0),0,1)</f>
        <v>0</v>
      </c>
    </row>
    <row r="2541" spans="6:21">
      <c r="F2541" s="4">
        <v>1099</v>
      </c>
      <c r="G2541" s="4">
        <v>36</v>
      </c>
      <c r="H2541" s="4">
        <v>3</v>
      </c>
      <c r="I2541" s="4">
        <v>16</v>
      </c>
      <c r="J2541" s="4">
        <v>1</v>
      </c>
      <c r="K2541" s="4">
        <f t="shared" si="357"/>
        <v>0</v>
      </c>
      <c r="L2541" s="4">
        <f t="shared" si="357"/>
        <v>0</v>
      </c>
      <c r="M2541" s="4">
        <f t="shared" si="357"/>
        <v>0</v>
      </c>
      <c r="N2541" s="4">
        <f t="shared" si="357"/>
        <v>0</v>
      </c>
      <c r="O2541" s="4">
        <f t="shared" si="358"/>
        <v>0</v>
      </c>
      <c r="P2541" s="4">
        <f t="shared" si="359"/>
        <v>0</v>
      </c>
      <c r="Q2541" s="4">
        <f t="shared" si="360"/>
        <v>0</v>
      </c>
      <c r="R2541" s="4">
        <f t="shared" si="361"/>
        <v>0</v>
      </c>
      <c r="S2541" s="4">
        <f>IF(AND(VLOOKUP(G2541,Dados!$D:$L,2,0)=VLOOKUP(I2541,Dados!$S:$V,2,0),VLOOKUP(G2541,Dados!$D:$L,3,0)=VLOOKUP(I2541,Dados!$S:$V,3,0)),0,1)</f>
        <v>0</v>
      </c>
      <c r="T2541" s="4">
        <f>IF(AND(VLOOKUP(G2541,Dados!$D:$L,3,0)&lt;=VLOOKUP(H2541,Dados!$X:$AB,2,0),VLOOKUP(G2541,Dados!$D:$L,4,0)&gt;=VLOOKUP(H2541,Dados!$X:$AB,3,0),VLOOKUP(G2541,Dados!$D:$L,4,0)&lt;=VLOOKUP(H2541,Dados!$X:$AB,4,0)),0,1)</f>
        <v>0</v>
      </c>
      <c r="U2541" s="4">
        <f>IF(COUNTIFS(F:F,F2541,H:H,H2541)&lt;=VLOOKUP(H2541,Dados!$X:$AB,5,0),0,1)</f>
        <v>0</v>
      </c>
    </row>
    <row r="2542" spans="6:21">
      <c r="F2542" s="4">
        <v>1100</v>
      </c>
      <c r="G2542" s="4">
        <v>42</v>
      </c>
      <c r="H2542" s="4">
        <v>3</v>
      </c>
      <c r="I2542" s="4">
        <v>17</v>
      </c>
      <c r="J2542" s="4">
        <v>2</v>
      </c>
      <c r="K2542" s="4">
        <f t="shared" si="357"/>
        <v>0</v>
      </c>
      <c r="L2542" s="4">
        <f t="shared" si="357"/>
        <v>0</v>
      </c>
      <c r="M2542" s="4">
        <f t="shared" si="357"/>
        <v>0</v>
      </c>
      <c r="N2542" s="4">
        <f t="shared" si="357"/>
        <v>0</v>
      </c>
      <c r="O2542" s="4">
        <f t="shared" si="358"/>
        <v>0</v>
      </c>
      <c r="P2542" s="4">
        <f t="shared" si="359"/>
        <v>0</v>
      </c>
      <c r="Q2542" s="4">
        <f t="shared" si="360"/>
        <v>0</v>
      </c>
      <c r="R2542" s="4">
        <f t="shared" si="361"/>
        <v>0</v>
      </c>
      <c r="S2542" s="4">
        <f>IF(AND(VLOOKUP(G2542,Dados!$D:$L,2,0)=VLOOKUP(I2542,Dados!$S:$V,2,0),VLOOKUP(G2542,Dados!$D:$L,3,0)=VLOOKUP(I2542,Dados!$S:$V,3,0)),0,1)</f>
        <v>0</v>
      </c>
      <c r="T2542" s="4">
        <f>IF(AND(VLOOKUP(G2542,Dados!$D:$L,3,0)&lt;=VLOOKUP(H2542,Dados!$X:$AB,2,0),VLOOKUP(G2542,Dados!$D:$L,4,0)&gt;=VLOOKUP(H2542,Dados!$X:$AB,3,0),VLOOKUP(G2542,Dados!$D:$L,4,0)&lt;=VLOOKUP(H2542,Dados!$X:$AB,4,0)),0,1)</f>
        <v>0</v>
      </c>
      <c r="U2542" s="4">
        <f>IF(COUNTIFS(F:F,F2542,H:H,H2542)&lt;=VLOOKUP(H2542,Dados!$X:$AB,5,0),0,1)</f>
        <v>0</v>
      </c>
    </row>
    <row r="2543" spans="6:21">
      <c r="F2543" s="4">
        <v>1100</v>
      </c>
      <c r="G2543" s="4">
        <v>43</v>
      </c>
      <c r="H2543" s="4">
        <v>3</v>
      </c>
      <c r="I2543" s="4">
        <v>17</v>
      </c>
      <c r="J2543" s="4">
        <v>3</v>
      </c>
      <c r="K2543" s="4">
        <f t="shared" si="357"/>
        <v>0</v>
      </c>
      <c r="L2543" s="4">
        <f t="shared" si="357"/>
        <v>0</v>
      </c>
      <c r="M2543" s="4">
        <f t="shared" si="357"/>
        <v>0</v>
      </c>
      <c r="N2543" s="4">
        <f t="shared" si="357"/>
        <v>0</v>
      </c>
      <c r="O2543" s="4">
        <f t="shared" si="358"/>
        <v>0</v>
      </c>
      <c r="P2543" s="4">
        <f t="shared" si="359"/>
        <v>0</v>
      </c>
      <c r="Q2543" s="4">
        <f t="shared" si="360"/>
        <v>0</v>
      </c>
      <c r="R2543" s="4">
        <f t="shared" si="361"/>
        <v>0</v>
      </c>
      <c r="S2543" s="4">
        <f>IF(AND(VLOOKUP(G2543,Dados!$D:$L,2,0)=VLOOKUP(I2543,Dados!$S:$V,2,0),VLOOKUP(G2543,Dados!$D:$L,3,0)=VLOOKUP(I2543,Dados!$S:$V,3,0)),0,1)</f>
        <v>0</v>
      </c>
      <c r="T2543" s="4">
        <f>IF(AND(VLOOKUP(G2543,Dados!$D:$L,3,0)&lt;=VLOOKUP(H2543,Dados!$X:$AB,2,0),VLOOKUP(G2543,Dados!$D:$L,4,0)&gt;=VLOOKUP(H2543,Dados!$X:$AB,3,0),VLOOKUP(G2543,Dados!$D:$L,4,0)&lt;=VLOOKUP(H2543,Dados!$X:$AB,4,0)),0,1)</f>
        <v>0</v>
      </c>
      <c r="U2543" s="4">
        <f>IF(COUNTIFS(F:F,F2543,H:H,H2543)&lt;=VLOOKUP(H2543,Dados!$X:$AB,5,0),0,1)</f>
        <v>0</v>
      </c>
    </row>
    <row r="2544" spans="6:21">
      <c r="F2544" s="4">
        <v>1100</v>
      </c>
      <c r="G2544" s="4">
        <v>44</v>
      </c>
      <c r="H2544" s="4">
        <v>3</v>
      </c>
      <c r="I2544" s="4">
        <v>17</v>
      </c>
      <c r="J2544" s="4">
        <v>3</v>
      </c>
      <c r="K2544" s="4">
        <f t="shared" si="357"/>
        <v>0</v>
      </c>
      <c r="L2544" s="4">
        <f t="shared" si="357"/>
        <v>0</v>
      </c>
      <c r="M2544" s="4">
        <f t="shared" si="357"/>
        <v>0</v>
      </c>
      <c r="N2544" s="4">
        <f t="shared" si="357"/>
        <v>0</v>
      </c>
      <c r="O2544" s="4">
        <f t="shared" si="358"/>
        <v>0</v>
      </c>
      <c r="P2544" s="4">
        <f t="shared" si="359"/>
        <v>0</v>
      </c>
      <c r="Q2544" s="4">
        <f t="shared" si="360"/>
        <v>0</v>
      </c>
      <c r="R2544" s="4">
        <f t="shared" si="361"/>
        <v>0</v>
      </c>
      <c r="S2544" s="4">
        <f>IF(AND(VLOOKUP(G2544,Dados!$D:$L,2,0)=VLOOKUP(I2544,Dados!$S:$V,2,0),VLOOKUP(G2544,Dados!$D:$L,3,0)=VLOOKUP(I2544,Dados!$S:$V,3,0)),0,1)</f>
        <v>0</v>
      </c>
      <c r="T2544" s="4">
        <f>IF(AND(VLOOKUP(G2544,Dados!$D:$L,3,0)&lt;=VLOOKUP(H2544,Dados!$X:$AB,2,0),VLOOKUP(G2544,Dados!$D:$L,4,0)&gt;=VLOOKUP(H2544,Dados!$X:$AB,3,0),VLOOKUP(G2544,Dados!$D:$L,4,0)&lt;=VLOOKUP(H2544,Dados!$X:$AB,4,0)),0,1)</f>
        <v>0</v>
      </c>
      <c r="U2544" s="4">
        <f>IF(COUNTIFS(F:F,F2544,H:H,H2544)&lt;=VLOOKUP(H2544,Dados!$X:$AB,5,0),0,1)</f>
        <v>0</v>
      </c>
    </row>
    <row r="2545" spans="6:21">
      <c r="F2545" s="4">
        <v>1100</v>
      </c>
      <c r="G2545" s="4">
        <v>45</v>
      </c>
      <c r="H2545" s="4">
        <v>3</v>
      </c>
      <c r="I2545" s="4">
        <v>17</v>
      </c>
      <c r="J2545" s="4">
        <v>1</v>
      </c>
      <c r="K2545" s="4">
        <f t="shared" si="357"/>
        <v>0</v>
      </c>
      <c r="L2545" s="4">
        <f t="shared" si="357"/>
        <v>0</v>
      </c>
      <c r="M2545" s="4">
        <f t="shared" si="357"/>
        <v>0</v>
      </c>
      <c r="N2545" s="4">
        <f t="shared" si="357"/>
        <v>0</v>
      </c>
      <c r="O2545" s="4">
        <f t="shared" si="358"/>
        <v>0</v>
      </c>
      <c r="P2545" s="4">
        <f t="shared" si="359"/>
        <v>0</v>
      </c>
      <c r="Q2545" s="4">
        <f t="shared" si="360"/>
        <v>0</v>
      </c>
      <c r="R2545" s="4">
        <f t="shared" si="361"/>
        <v>0</v>
      </c>
      <c r="S2545" s="4">
        <f>IF(AND(VLOOKUP(G2545,Dados!$D:$L,2,0)=VLOOKUP(I2545,Dados!$S:$V,2,0),VLOOKUP(G2545,Dados!$D:$L,3,0)=VLOOKUP(I2545,Dados!$S:$V,3,0)),0,1)</f>
        <v>0</v>
      </c>
      <c r="T2545" s="4">
        <f>IF(AND(VLOOKUP(G2545,Dados!$D:$L,3,0)&lt;=VLOOKUP(H2545,Dados!$X:$AB,2,0),VLOOKUP(G2545,Dados!$D:$L,4,0)&gt;=VLOOKUP(H2545,Dados!$X:$AB,3,0),VLOOKUP(G2545,Dados!$D:$L,4,0)&lt;=VLOOKUP(H2545,Dados!$X:$AB,4,0)),0,1)</f>
        <v>0</v>
      </c>
      <c r="U2545" s="4">
        <f>IF(COUNTIFS(F:F,F2545,H:H,H2545)&lt;=VLOOKUP(H2545,Dados!$X:$AB,5,0),0,1)</f>
        <v>0</v>
      </c>
    </row>
    <row r="2546" spans="6:21">
      <c r="F2546" s="4">
        <v>1101</v>
      </c>
      <c r="G2546" s="4">
        <v>60</v>
      </c>
      <c r="H2546" s="4">
        <v>3</v>
      </c>
      <c r="I2546" s="4">
        <v>23</v>
      </c>
      <c r="J2546" s="4">
        <v>1</v>
      </c>
      <c r="K2546" s="4">
        <f t="shared" si="357"/>
        <v>0</v>
      </c>
      <c r="L2546" s="4">
        <f t="shared" si="357"/>
        <v>0</v>
      </c>
      <c r="M2546" s="4">
        <f t="shared" si="357"/>
        <v>0</v>
      </c>
      <c r="N2546" s="4">
        <f t="shared" si="357"/>
        <v>0</v>
      </c>
      <c r="O2546" s="4">
        <f t="shared" si="358"/>
        <v>0</v>
      </c>
      <c r="P2546" s="4">
        <f t="shared" si="359"/>
        <v>0</v>
      </c>
      <c r="Q2546" s="4">
        <f t="shared" si="360"/>
        <v>0</v>
      </c>
      <c r="R2546" s="4">
        <f t="shared" si="361"/>
        <v>0</v>
      </c>
      <c r="S2546" s="4">
        <f>IF(AND(VLOOKUP(G2546,Dados!$D:$L,2,0)=VLOOKUP(I2546,Dados!$S:$V,2,0),VLOOKUP(G2546,Dados!$D:$L,3,0)=VLOOKUP(I2546,Dados!$S:$V,3,0)),0,1)</f>
        <v>0</v>
      </c>
      <c r="T2546" s="4">
        <f>IF(AND(VLOOKUP(G2546,Dados!$D:$L,3,0)&lt;=VLOOKUP(H2546,Dados!$X:$AB,2,0),VLOOKUP(G2546,Dados!$D:$L,4,0)&gt;=VLOOKUP(H2546,Dados!$X:$AB,3,0),VLOOKUP(G2546,Dados!$D:$L,4,0)&lt;=VLOOKUP(H2546,Dados!$X:$AB,4,0)),0,1)</f>
        <v>0</v>
      </c>
      <c r="U2546" s="4">
        <f>IF(COUNTIFS(F:F,F2546,H:H,H2546)&lt;=VLOOKUP(H2546,Dados!$X:$AB,5,0),0,1)</f>
        <v>0</v>
      </c>
    </row>
    <row r="2547" spans="6:21">
      <c r="F2547" s="4">
        <v>1101</v>
      </c>
      <c r="G2547" s="4">
        <v>61</v>
      </c>
      <c r="H2547" s="4">
        <v>3</v>
      </c>
      <c r="I2547" s="4">
        <v>23</v>
      </c>
      <c r="J2547" s="4">
        <v>4</v>
      </c>
      <c r="K2547" s="4">
        <f t="shared" si="357"/>
        <v>0</v>
      </c>
      <c r="L2547" s="4">
        <f t="shared" si="357"/>
        <v>0</v>
      </c>
      <c r="M2547" s="4">
        <f t="shared" si="357"/>
        <v>0</v>
      </c>
      <c r="N2547" s="4">
        <f t="shared" si="357"/>
        <v>0</v>
      </c>
      <c r="O2547" s="4">
        <f t="shared" si="358"/>
        <v>0</v>
      </c>
      <c r="P2547" s="4">
        <f t="shared" si="359"/>
        <v>0</v>
      </c>
      <c r="Q2547" s="4">
        <f t="shared" si="360"/>
        <v>0</v>
      </c>
      <c r="R2547" s="4">
        <f t="shared" si="361"/>
        <v>0</v>
      </c>
      <c r="S2547" s="4">
        <f>IF(AND(VLOOKUP(G2547,Dados!$D:$L,2,0)=VLOOKUP(I2547,Dados!$S:$V,2,0),VLOOKUP(G2547,Dados!$D:$L,3,0)=VLOOKUP(I2547,Dados!$S:$V,3,0)),0,1)</f>
        <v>0</v>
      </c>
      <c r="T2547" s="4">
        <f>IF(AND(VLOOKUP(G2547,Dados!$D:$L,3,0)&lt;=VLOOKUP(H2547,Dados!$X:$AB,2,0),VLOOKUP(G2547,Dados!$D:$L,4,0)&gt;=VLOOKUP(H2547,Dados!$X:$AB,3,0),VLOOKUP(G2547,Dados!$D:$L,4,0)&lt;=VLOOKUP(H2547,Dados!$X:$AB,4,0)),0,1)</f>
        <v>0</v>
      </c>
      <c r="U2547" s="4">
        <f>IF(COUNTIFS(F:F,F2547,H:H,H2547)&lt;=VLOOKUP(H2547,Dados!$X:$AB,5,0),0,1)</f>
        <v>0</v>
      </c>
    </row>
    <row r="2548" spans="6:21">
      <c r="F2548" s="4">
        <v>1101</v>
      </c>
      <c r="G2548" s="4">
        <v>63</v>
      </c>
      <c r="H2548" s="4">
        <v>3</v>
      </c>
      <c r="I2548" s="4">
        <v>23</v>
      </c>
      <c r="J2548" s="4">
        <v>1</v>
      </c>
      <c r="K2548" s="4">
        <f t="shared" si="357"/>
        <v>0</v>
      </c>
      <c r="L2548" s="4">
        <f t="shared" si="357"/>
        <v>0</v>
      </c>
      <c r="M2548" s="4">
        <f t="shared" si="357"/>
        <v>0</v>
      </c>
      <c r="N2548" s="4">
        <f t="shared" si="357"/>
        <v>0</v>
      </c>
      <c r="O2548" s="4">
        <f t="shared" si="358"/>
        <v>0</v>
      </c>
      <c r="P2548" s="4">
        <f t="shared" si="359"/>
        <v>0</v>
      </c>
      <c r="Q2548" s="4">
        <f t="shared" si="360"/>
        <v>0</v>
      </c>
      <c r="R2548" s="4">
        <f t="shared" si="361"/>
        <v>0</v>
      </c>
      <c r="S2548" s="4">
        <f>IF(AND(VLOOKUP(G2548,Dados!$D:$L,2,0)=VLOOKUP(I2548,Dados!$S:$V,2,0),VLOOKUP(G2548,Dados!$D:$L,3,0)=VLOOKUP(I2548,Dados!$S:$V,3,0)),0,1)</f>
        <v>0</v>
      </c>
      <c r="T2548" s="4">
        <f>IF(AND(VLOOKUP(G2548,Dados!$D:$L,3,0)&lt;=VLOOKUP(H2548,Dados!$X:$AB,2,0),VLOOKUP(G2548,Dados!$D:$L,4,0)&gt;=VLOOKUP(H2548,Dados!$X:$AB,3,0),VLOOKUP(G2548,Dados!$D:$L,4,0)&lt;=VLOOKUP(H2548,Dados!$X:$AB,4,0)),0,1)</f>
        <v>0</v>
      </c>
      <c r="U2548" s="4">
        <f>IF(COUNTIFS(F:F,F2548,H:H,H2548)&lt;=VLOOKUP(H2548,Dados!$X:$AB,5,0),0,1)</f>
        <v>0</v>
      </c>
    </row>
    <row r="2549" spans="6:21">
      <c r="F2549" s="4">
        <v>1101</v>
      </c>
      <c r="G2549" s="4">
        <v>67</v>
      </c>
      <c r="H2549" s="4">
        <v>3</v>
      </c>
      <c r="I2549" s="4">
        <v>23</v>
      </c>
      <c r="J2549" s="4">
        <v>1</v>
      </c>
      <c r="K2549" s="4">
        <f t="shared" si="357"/>
        <v>0</v>
      </c>
      <c r="L2549" s="4">
        <f t="shared" si="357"/>
        <v>0</v>
      </c>
      <c r="M2549" s="4">
        <f t="shared" si="357"/>
        <v>0</v>
      </c>
      <c r="N2549" s="4">
        <f t="shared" si="357"/>
        <v>0</v>
      </c>
      <c r="O2549" s="4">
        <f t="shared" si="358"/>
        <v>0</v>
      </c>
      <c r="P2549" s="4">
        <f t="shared" si="359"/>
        <v>0</v>
      </c>
      <c r="Q2549" s="4">
        <f t="shared" si="360"/>
        <v>0</v>
      </c>
      <c r="R2549" s="4">
        <f t="shared" si="361"/>
        <v>0</v>
      </c>
      <c r="S2549" s="4">
        <f>IF(AND(VLOOKUP(G2549,Dados!$D:$L,2,0)=VLOOKUP(I2549,Dados!$S:$V,2,0),VLOOKUP(G2549,Dados!$D:$L,3,0)=VLOOKUP(I2549,Dados!$S:$V,3,0)),0,1)</f>
        <v>0</v>
      </c>
      <c r="T2549" s="4">
        <f>IF(AND(VLOOKUP(G2549,Dados!$D:$L,3,0)&lt;=VLOOKUP(H2549,Dados!$X:$AB,2,0),VLOOKUP(G2549,Dados!$D:$L,4,0)&gt;=VLOOKUP(H2549,Dados!$X:$AB,3,0),VLOOKUP(G2549,Dados!$D:$L,4,0)&lt;=VLOOKUP(H2549,Dados!$X:$AB,4,0)),0,1)</f>
        <v>0</v>
      </c>
      <c r="U2549" s="4">
        <f>IF(COUNTIFS(F:F,F2549,H:H,H2549)&lt;=VLOOKUP(H2549,Dados!$X:$AB,5,0),0,1)</f>
        <v>0</v>
      </c>
    </row>
    <row r="2550" spans="6:21">
      <c r="F2550" s="4">
        <v>1102</v>
      </c>
      <c r="G2550" s="4">
        <v>61</v>
      </c>
      <c r="H2550" s="4">
        <v>1</v>
      </c>
      <c r="I2550" s="4">
        <v>27</v>
      </c>
      <c r="J2550" s="4">
        <v>3</v>
      </c>
      <c r="K2550" s="4">
        <f t="shared" si="357"/>
        <v>0</v>
      </c>
      <c r="L2550" s="4">
        <f t="shared" si="357"/>
        <v>0</v>
      </c>
      <c r="M2550" s="4">
        <f t="shared" si="357"/>
        <v>0</v>
      </c>
      <c r="N2550" s="4">
        <f t="shared" si="357"/>
        <v>0</v>
      </c>
      <c r="O2550" s="4">
        <f t="shared" si="358"/>
        <v>0</v>
      </c>
      <c r="P2550" s="4">
        <f t="shared" si="359"/>
        <v>0</v>
      </c>
      <c r="Q2550" s="4">
        <f t="shared" si="360"/>
        <v>0</v>
      </c>
      <c r="R2550" s="4">
        <f t="shared" si="361"/>
        <v>0</v>
      </c>
      <c r="S2550" s="4">
        <f>IF(AND(VLOOKUP(G2550,Dados!$D:$L,2,0)=VLOOKUP(I2550,Dados!$S:$V,2,0),VLOOKUP(G2550,Dados!$D:$L,3,0)=VLOOKUP(I2550,Dados!$S:$V,3,0)),0,1)</f>
        <v>0</v>
      </c>
      <c r="T2550" s="4">
        <f>IF(AND(VLOOKUP(G2550,Dados!$D:$L,3,0)&lt;=VLOOKUP(H2550,Dados!$X:$AB,2,0),VLOOKUP(G2550,Dados!$D:$L,4,0)&gt;=VLOOKUP(H2550,Dados!$X:$AB,3,0),VLOOKUP(G2550,Dados!$D:$L,4,0)&lt;=VLOOKUP(H2550,Dados!$X:$AB,4,0)),0,1)</f>
        <v>0</v>
      </c>
      <c r="U2550" s="4">
        <f>IF(COUNTIFS(F:F,F2550,H:H,H2550)&lt;=VLOOKUP(H2550,Dados!$X:$AB,5,0),0,1)</f>
        <v>0</v>
      </c>
    </row>
    <row r="2551" spans="6:21">
      <c r="F2551" s="4">
        <v>1102</v>
      </c>
      <c r="G2551" s="4">
        <v>62</v>
      </c>
      <c r="H2551" s="4">
        <v>1</v>
      </c>
      <c r="I2551" s="4">
        <v>27</v>
      </c>
      <c r="J2551" s="4">
        <v>2</v>
      </c>
      <c r="K2551" s="4">
        <f t="shared" si="357"/>
        <v>0</v>
      </c>
      <c r="L2551" s="4">
        <f t="shared" si="357"/>
        <v>0</v>
      </c>
      <c r="M2551" s="4">
        <f t="shared" si="357"/>
        <v>0</v>
      </c>
      <c r="N2551" s="4">
        <f t="shared" si="357"/>
        <v>0</v>
      </c>
      <c r="O2551" s="4">
        <f t="shared" si="358"/>
        <v>0</v>
      </c>
      <c r="P2551" s="4">
        <f t="shared" si="359"/>
        <v>0</v>
      </c>
      <c r="Q2551" s="4">
        <f t="shared" si="360"/>
        <v>0</v>
      </c>
      <c r="R2551" s="4">
        <f t="shared" si="361"/>
        <v>0</v>
      </c>
      <c r="S2551" s="4">
        <f>IF(AND(VLOOKUP(G2551,Dados!$D:$L,2,0)=VLOOKUP(I2551,Dados!$S:$V,2,0),VLOOKUP(G2551,Dados!$D:$L,3,0)=VLOOKUP(I2551,Dados!$S:$V,3,0)),0,1)</f>
        <v>0</v>
      </c>
      <c r="T2551" s="4">
        <f>IF(AND(VLOOKUP(G2551,Dados!$D:$L,3,0)&lt;=VLOOKUP(H2551,Dados!$X:$AB,2,0),VLOOKUP(G2551,Dados!$D:$L,4,0)&gt;=VLOOKUP(H2551,Dados!$X:$AB,3,0),VLOOKUP(G2551,Dados!$D:$L,4,0)&lt;=VLOOKUP(H2551,Dados!$X:$AB,4,0)),0,1)</f>
        <v>0</v>
      </c>
      <c r="U2551" s="4">
        <f>IF(COUNTIFS(F:F,F2551,H:H,H2551)&lt;=VLOOKUP(H2551,Dados!$X:$AB,5,0),0,1)</f>
        <v>0</v>
      </c>
    </row>
    <row r="2552" spans="6:21">
      <c r="F2552" s="4">
        <v>1102</v>
      </c>
      <c r="G2552" s="4">
        <v>63</v>
      </c>
      <c r="H2552" s="4">
        <v>1</v>
      </c>
      <c r="I2552" s="4">
        <v>27</v>
      </c>
      <c r="J2552" s="4">
        <v>5</v>
      </c>
      <c r="K2552" s="4">
        <f t="shared" si="357"/>
        <v>0</v>
      </c>
      <c r="L2552" s="4">
        <f t="shared" si="357"/>
        <v>0</v>
      </c>
      <c r="M2552" s="4">
        <f t="shared" si="357"/>
        <v>0</v>
      </c>
      <c r="N2552" s="4">
        <f t="shared" si="357"/>
        <v>0</v>
      </c>
      <c r="O2552" s="4">
        <f t="shared" si="358"/>
        <v>0</v>
      </c>
      <c r="P2552" s="4">
        <f t="shared" si="359"/>
        <v>0</v>
      </c>
      <c r="Q2552" s="4">
        <f t="shared" si="360"/>
        <v>0</v>
      </c>
      <c r="R2552" s="4">
        <f t="shared" si="361"/>
        <v>0</v>
      </c>
      <c r="S2552" s="4">
        <f>IF(AND(VLOOKUP(G2552,Dados!$D:$L,2,0)=VLOOKUP(I2552,Dados!$S:$V,2,0),VLOOKUP(G2552,Dados!$D:$L,3,0)=VLOOKUP(I2552,Dados!$S:$V,3,0)),0,1)</f>
        <v>0</v>
      </c>
      <c r="T2552" s="4">
        <f>IF(AND(VLOOKUP(G2552,Dados!$D:$L,3,0)&lt;=VLOOKUP(H2552,Dados!$X:$AB,2,0),VLOOKUP(G2552,Dados!$D:$L,4,0)&gt;=VLOOKUP(H2552,Dados!$X:$AB,3,0),VLOOKUP(G2552,Dados!$D:$L,4,0)&lt;=VLOOKUP(H2552,Dados!$X:$AB,4,0)),0,1)</f>
        <v>0</v>
      </c>
      <c r="U2552" s="4">
        <f>IF(COUNTIFS(F:F,F2552,H:H,H2552)&lt;=VLOOKUP(H2552,Dados!$X:$AB,5,0),0,1)</f>
        <v>0</v>
      </c>
    </row>
    <row r="2553" spans="6:21">
      <c r="F2553" s="4">
        <v>1103</v>
      </c>
      <c r="G2553" s="4">
        <v>61</v>
      </c>
      <c r="H2553" s="4">
        <v>2</v>
      </c>
      <c r="I2553" s="4">
        <v>27</v>
      </c>
      <c r="J2553" s="4">
        <v>3</v>
      </c>
      <c r="K2553" s="4">
        <f t="shared" si="357"/>
        <v>0</v>
      </c>
      <c r="L2553" s="4">
        <f t="shared" si="357"/>
        <v>0</v>
      </c>
      <c r="M2553" s="4">
        <f t="shared" si="357"/>
        <v>0</v>
      </c>
      <c r="N2553" s="4">
        <f t="shared" si="357"/>
        <v>0</v>
      </c>
      <c r="O2553" s="4">
        <f t="shared" si="358"/>
        <v>0</v>
      </c>
      <c r="P2553" s="4">
        <f t="shared" si="359"/>
        <v>0</v>
      </c>
      <c r="Q2553" s="4">
        <f t="shared" si="360"/>
        <v>0</v>
      </c>
      <c r="R2553" s="4">
        <f t="shared" si="361"/>
        <v>0</v>
      </c>
      <c r="S2553" s="4">
        <f>IF(AND(VLOOKUP(G2553,Dados!$D:$L,2,0)=VLOOKUP(I2553,Dados!$S:$V,2,0),VLOOKUP(G2553,Dados!$D:$L,3,0)=VLOOKUP(I2553,Dados!$S:$V,3,0)),0,1)</f>
        <v>0</v>
      </c>
      <c r="T2553" s="4">
        <f>IF(AND(VLOOKUP(G2553,Dados!$D:$L,3,0)&lt;=VLOOKUP(H2553,Dados!$X:$AB,2,0),VLOOKUP(G2553,Dados!$D:$L,4,0)&gt;=VLOOKUP(H2553,Dados!$X:$AB,3,0),VLOOKUP(G2553,Dados!$D:$L,4,0)&lt;=VLOOKUP(H2553,Dados!$X:$AB,4,0)),0,1)</f>
        <v>0</v>
      </c>
      <c r="U2553" s="4">
        <f>IF(COUNTIFS(F:F,F2553,H:H,H2553)&lt;=VLOOKUP(H2553,Dados!$X:$AB,5,0),0,1)</f>
        <v>0</v>
      </c>
    </row>
    <row r="2554" spans="6:21">
      <c r="F2554" s="4">
        <v>1103</v>
      </c>
      <c r="G2554" s="4">
        <v>62</v>
      </c>
      <c r="H2554" s="4">
        <v>2</v>
      </c>
      <c r="I2554" s="4">
        <v>27</v>
      </c>
      <c r="J2554" s="4">
        <v>2</v>
      </c>
      <c r="K2554" s="4">
        <f t="shared" si="357"/>
        <v>0</v>
      </c>
      <c r="L2554" s="4">
        <f t="shared" si="357"/>
        <v>0</v>
      </c>
      <c r="M2554" s="4">
        <f t="shared" si="357"/>
        <v>0</v>
      </c>
      <c r="N2554" s="4">
        <f t="shared" si="357"/>
        <v>0</v>
      </c>
      <c r="O2554" s="4">
        <f t="shared" si="358"/>
        <v>0</v>
      </c>
      <c r="P2554" s="4">
        <f t="shared" si="359"/>
        <v>0</v>
      </c>
      <c r="Q2554" s="4">
        <f t="shared" si="360"/>
        <v>0</v>
      </c>
      <c r="R2554" s="4">
        <f t="shared" si="361"/>
        <v>0</v>
      </c>
      <c r="S2554" s="4">
        <f>IF(AND(VLOOKUP(G2554,Dados!$D:$L,2,0)=VLOOKUP(I2554,Dados!$S:$V,2,0),VLOOKUP(G2554,Dados!$D:$L,3,0)=VLOOKUP(I2554,Dados!$S:$V,3,0)),0,1)</f>
        <v>0</v>
      </c>
      <c r="T2554" s="4">
        <f>IF(AND(VLOOKUP(G2554,Dados!$D:$L,3,0)&lt;=VLOOKUP(H2554,Dados!$X:$AB,2,0),VLOOKUP(G2554,Dados!$D:$L,4,0)&gt;=VLOOKUP(H2554,Dados!$X:$AB,3,0),VLOOKUP(G2554,Dados!$D:$L,4,0)&lt;=VLOOKUP(H2554,Dados!$X:$AB,4,0)),0,1)</f>
        <v>0</v>
      </c>
      <c r="U2554" s="4">
        <f>IF(COUNTIFS(F:F,F2554,H:H,H2554)&lt;=VLOOKUP(H2554,Dados!$X:$AB,5,0),0,1)</f>
        <v>0</v>
      </c>
    </row>
    <row r="2555" spans="6:21">
      <c r="F2555" s="4">
        <v>1103</v>
      </c>
      <c r="G2555" s="4">
        <v>63</v>
      </c>
      <c r="H2555" s="4">
        <v>2</v>
      </c>
      <c r="I2555" s="4">
        <v>27</v>
      </c>
      <c r="J2555" s="4">
        <v>5</v>
      </c>
      <c r="K2555" s="4">
        <f t="shared" si="357"/>
        <v>0</v>
      </c>
      <c r="L2555" s="4">
        <f t="shared" si="357"/>
        <v>0</v>
      </c>
      <c r="M2555" s="4">
        <f t="shared" si="357"/>
        <v>0</v>
      </c>
      <c r="N2555" s="4">
        <f t="shared" si="357"/>
        <v>0</v>
      </c>
      <c r="O2555" s="4">
        <f t="shared" si="358"/>
        <v>0</v>
      </c>
      <c r="P2555" s="4">
        <f t="shared" si="359"/>
        <v>0</v>
      </c>
      <c r="Q2555" s="4">
        <f t="shared" si="360"/>
        <v>0</v>
      </c>
      <c r="R2555" s="4">
        <f t="shared" si="361"/>
        <v>0</v>
      </c>
      <c r="S2555" s="4">
        <f>IF(AND(VLOOKUP(G2555,Dados!$D:$L,2,0)=VLOOKUP(I2555,Dados!$S:$V,2,0),VLOOKUP(G2555,Dados!$D:$L,3,0)=VLOOKUP(I2555,Dados!$S:$V,3,0)),0,1)</f>
        <v>0</v>
      </c>
      <c r="T2555" s="4">
        <f>IF(AND(VLOOKUP(G2555,Dados!$D:$L,3,0)&lt;=VLOOKUP(H2555,Dados!$X:$AB,2,0),VLOOKUP(G2555,Dados!$D:$L,4,0)&gt;=VLOOKUP(H2555,Dados!$X:$AB,3,0),VLOOKUP(G2555,Dados!$D:$L,4,0)&lt;=VLOOKUP(H2555,Dados!$X:$AB,4,0)),0,1)</f>
        <v>0</v>
      </c>
      <c r="U2555" s="4">
        <f>IF(COUNTIFS(F:F,F2555,H:H,H2555)&lt;=VLOOKUP(H2555,Dados!$X:$AB,5,0),0,1)</f>
        <v>0</v>
      </c>
    </row>
    <row r="2556" spans="6:21">
      <c r="F2556" s="4">
        <v>1104</v>
      </c>
      <c r="G2556" s="4">
        <v>61</v>
      </c>
      <c r="H2556" s="4">
        <v>3</v>
      </c>
      <c r="I2556" s="4">
        <v>27</v>
      </c>
      <c r="J2556" s="4">
        <v>3</v>
      </c>
      <c r="K2556" s="4">
        <f t="shared" si="357"/>
        <v>0</v>
      </c>
      <c r="L2556" s="4">
        <f t="shared" si="357"/>
        <v>0</v>
      </c>
      <c r="M2556" s="4">
        <f t="shared" si="357"/>
        <v>0</v>
      </c>
      <c r="N2556" s="4">
        <f t="shared" si="357"/>
        <v>0</v>
      </c>
      <c r="O2556" s="4">
        <f t="shared" si="358"/>
        <v>0</v>
      </c>
      <c r="P2556" s="4">
        <f t="shared" si="359"/>
        <v>0</v>
      </c>
      <c r="Q2556" s="4">
        <f t="shared" si="360"/>
        <v>0</v>
      </c>
      <c r="R2556" s="4">
        <f t="shared" si="361"/>
        <v>0</v>
      </c>
      <c r="S2556" s="4">
        <f>IF(AND(VLOOKUP(G2556,Dados!$D:$L,2,0)=VLOOKUP(I2556,Dados!$S:$V,2,0),VLOOKUP(G2556,Dados!$D:$L,3,0)=VLOOKUP(I2556,Dados!$S:$V,3,0)),0,1)</f>
        <v>0</v>
      </c>
      <c r="T2556" s="4">
        <f>IF(AND(VLOOKUP(G2556,Dados!$D:$L,3,0)&lt;=VLOOKUP(H2556,Dados!$X:$AB,2,0),VLOOKUP(G2556,Dados!$D:$L,4,0)&gt;=VLOOKUP(H2556,Dados!$X:$AB,3,0),VLOOKUP(G2556,Dados!$D:$L,4,0)&lt;=VLOOKUP(H2556,Dados!$X:$AB,4,0)),0,1)</f>
        <v>0</v>
      </c>
      <c r="U2556" s="4">
        <f>IF(COUNTIFS(F:F,F2556,H:H,H2556)&lt;=VLOOKUP(H2556,Dados!$X:$AB,5,0),0,1)</f>
        <v>0</v>
      </c>
    </row>
    <row r="2557" spans="6:21">
      <c r="F2557" s="4">
        <v>1104</v>
      </c>
      <c r="G2557" s="4">
        <v>62</v>
      </c>
      <c r="H2557" s="4">
        <v>3</v>
      </c>
      <c r="I2557" s="4">
        <v>27</v>
      </c>
      <c r="J2557" s="4">
        <v>2</v>
      </c>
      <c r="K2557" s="4">
        <f t="shared" si="357"/>
        <v>0</v>
      </c>
      <c r="L2557" s="4">
        <f t="shared" si="357"/>
        <v>0</v>
      </c>
      <c r="M2557" s="4">
        <f t="shared" si="357"/>
        <v>0</v>
      </c>
      <c r="N2557" s="4">
        <f t="shared" si="357"/>
        <v>0</v>
      </c>
      <c r="O2557" s="4">
        <f t="shared" si="358"/>
        <v>0</v>
      </c>
      <c r="P2557" s="4">
        <f t="shared" si="359"/>
        <v>0</v>
      </c>
      <c r="Q2557" s="4">
        <f t="shared" si="360"/>
        <v>0</v>
      </c>
      <c r="R2557" s="4">
        <f t="shared" si="361"/>
        <v>0</v>
      </c>
      <c r="S2557" s="4">
        <f>IF(AND(VLOOKUP(G2557,Dados!$D:$L,2,0)=VLOOKUP(I2557,Dados!$S:$V,2,0),VLOOKUP(G2557,Dados!$D:$L,3,0)=VLOOKUP(I2557,Dados!$S:$V,3,0)),0,1)</f>
        <v>0</v>
      </c>
      <c r="T2557" s="4">
        <f>IF(AND(VLOOKUP(G2557,Dados!$D:$L,3,0)&lt;=VLOOKUP(H2557,Dados!$X:$AB,2,0),VLOOKUP(G2557,Dados!$D:$L,4,0)&gt;=VLOOKUP(H2557,Dados!$X:$AB,3,0),VLOOKUP(G2557,Dados!$D:$L,4,0)&lt;=VLOOKUP(H2557,Dados!$X:$AB,4,0)),0,1)</f>
        <v>0</v>
      </c>
      <c r="U2557" s="4">
        <f>IF(COUNTIFS(F:F,F2557,H:H,H2557)&lt;=VLOOKUP(H2557,Dados!$X:$AB,5,0),0,1)</f>
        <v>0</v>
      </c>
    </row>
    <row r="2558" spans="6:21">
      <c r="F2558" s="4">
        <v>1104</v>
      </c>
      <c r="G2558" s="4">
        <v>63</v>
      </c>
      <c r="H2558" s="4">
        <v>3</v>
      </c>
      <c r="I2558" s="4">
        <v>27</v>
      </c>
      <c r="J2558" s="4">
        <v>5</v>
      </c>
      <c r="K2558" s="4">
        <f t="shared" si="357"/>
        <v>0</v>
      </c>
      <c r="L2558" s="4">
        <f t="shared" si="357"/>
        <v>0</v>
      </c>
      <c r="M2558" s="4">
        <f t="shared" si="357"/>
        <v>0</v>
      </c>
      <c r="N2558" s="4">
        <f t="shared" si="357"/>
        <v>0</v>
      </c>
      <c r="O2558" s="4">
        <f t="shared" si="358"/>
        <v>0</v>
      </c>
      <c r="P2558" s="4">
        <f t="shared" si="359"/>
        <v>0</v>
      </c>
      <c r="Q2558" s="4">
        <f t="shared" si="360"/>
        <v>0</v>
      </c>
      <c r="R2558" s="4">
        <f t="shared" si="361"/>
        <v>0</v>
      </c>
      <c r="S2558" s="4">
        <f>IF(AND(VLOOKUP(G2558,Dados!$D:$L,2,0)=VLOOKUP(I2558,Dados!$S:$V,2,0),VLOOKUP(G2558,Dados!$D:$L,3,0)=VLOOKUP(I2558,Dados!$S:$V,3,0)),0,1)</f>
        <v>0</v>
      </c>
      <c r="T2558" s="4">
        <f>IF(AND(VLOOKUP(G2558,Dados!$D:$L,3,0)&lt;=VLOOKUP(H2558,Dados!$X:$AB,2,0),VLOOKUP(G2558,Dados!$D:$L,4,0)&gt;=VLOOKUP(H2558,Dados!$X:$AB,3,0),VLOOKUP(G2558,Dados!$D:$L,4,0)&lt;=VLOOKUP(H2558,Dados!$X:$AB,4,0)),0,1)</f>
        <v>0</v>
      </c>
      <c r="U2558" s="4">
        <f>IF(COUNTIFS(F:F,F2558,H:H,H2558)&lt;=VLOOKUP(H2558,Dados!$X:$AB,5,0),0,1)</f>
        <v>0</v>
      </c>
    </row>
    <row r="2559" spans="6:21">
      <c r="F2559" s="4">
        <v>1105</v>
      </c>
      <c r="G2559" s="4">
        <v>61</v>
      </c>
      <c r="H2559" s="4">
        <v>3</v>
      </c>
      <c r="I2559" s="4">
        <v>28</v>
      </c>
      <c r="J2559" s="4">
        <v>2</v>
      </c>
      <c r="K2559" s="4">
        <f t="shared" si="357"/>
        <v>0</v>
      </c>
      <c r="L2559" s="4">
        <f t="shared" si="357"/>
        <v>0</v>
      </c>
      <c r="M2559" s="4">
        <f t="shared" si="357"/>
        <v>0</v>
      </c>
      <c r="N2559" s="4">
        <f t="shared" si="357"/>
        <v>0</v>
      </c>
      <c r="O2559" s="4">
        <f t="shared" si="358"/>
        <v>0</v>
      </c>
      <c r="P2559" s="4">
        <f t="shared" si="359"/>
        <v>0</v>
      </c>
      <c r="Q2559" s="4">
        <f t="shared" si="360"/>
        <v>0</v>
      </c>
      <c r="R2559" s="4">
        <f t="shared" si="361"/>
        <v>0</v>
      </c>
      <c r="S2559" s="4">
        <f>IF(AND(VLOOKUP(G2559,Dados!$D:$L,2,0)=VLOOKUP(I2559,Dados!$S:$V,2,0),VLOOKUP(G2559,Dados!$D:$L,3,0)=VLOOKUP(I2559,Dados!$S:$V,3,0)),0,1)</f>
        <v>0</v>
      </c>
      <c r="T2559" s="4">
        <f>IF(AND(VLOOKUP(G2559,Dados!$D:$L,3,0)&lt;=VLOOKUP(H2559,Dados!$X:$AB,2,0),VLOOKUP(G2559,Dados!$D:$L,4,0)&gt;=VLOOKUP(H2559,Dados!$X:$AB,3,0),VLOOKUP(G2559,Dados!$D:$L,4,0)&lt;=VLOOKUP(H2559,Dados!$X:$AB,4,0)),0,1)</f>
        <v>0</v>
      </c>
      <c r="U2559" s="4">
        <f>IF(COUNTIFS(F:F,F2559,H:H,H2559)&lt;=VLOOKUP(H2559,Dados!$X:$AB,5,0),0,1)</f>
        <v>0</v>
      </c>
    </row>
    <row r="2560" spans="6:21">
      <c r="F2560" s="4">
        <v>1105</v>
      </c>
      <c r="G2560" s="4">
        <v>62</v>
      </c>
      <c r="H2560" s="4">
        <v>3</v>
      </c>
      <c r="I2560" s="4">
        <v>28</v>
      </c>
      <c r="J2560" s="4">
        <v>1</v>
      </c>
      <c r="K2560" s="4">
        <f t="shared" si="357"/>
        <v>0</v>
      </c>
      <c r="L2560" s="4">
        <f t="shared" si="357"/>
        <v>0</v>
      </c>
      <c r="M2560" s="4">
        <f t="shared" si="357"/>
        <v>0</v>
      </c>
      <c r="N2560" s="4">
        <f t="shared" si="357"/>
        <v>0</v>
      </c>
      <c r="O2560" s="4">
        <f t="shared" si="358"/>
        <v>0</v>
      </c>
      <c r="P2560" s="4">
        <f t="shared" si="359"/>
        <v>0</v>
      </c>
      <c r="Q2560" s="4">
        <f t="shared" si="360"/>
        <v>0</v>
      </c>
      <c r="R2560" s="4">
        <f t="shared" si="361"/>
        <v>0</v>
      </c>
      <c r="S2560" s="4">
        <f>IF(AND(VLOOKUP(G2560,Dados!$D:$L,2,0)=VLOOKUP(I2560,Dados!$S:$V,2,0),VLOOKUP(G2560,Dados!$D:$L,3,0)=VLOOKUP(I2560,Dados!$S:$V,3,0)),0,1)</f>
        <v>0</v>
      </c>
      <c r="T2560" s="4">
        <f>IF(AND(VLOOKUP(G2560,Dados!$D:$L,3,0)&lt;=VLOOKUP(H2560,Dados!$X:$AB,2,0),VLOOKUP(G2560,Dados!$D:$L,4,0)&gt;=VLOOKUP(H2560,Dados!$X:$AB,3,0),VLOOKUP(G2560,Dados!$D:$L,4,0)&lt;=VLOOKUP(H2560,Dados!$X:$AB,4,0)),0,1)</f>
        <v>0</v>
      </c>
      <c r="U2560" s="4">
        <f>IF(COUNTIFS(F:F,F2560,H:H,H2560)&lt;=VLOOKUP(H2560,Dados!$X:$AB,5,0),0,1)</f>
        <v>0</v>
      </c>
    </row>
    <row r="2561" spans="6:21">
      <c r="F2561" s="4">
        <v>1105</v>
      </c>
      <c r="G2561" s="4">
        <v>63</v>
      </c>
      <c r="H2561" s="4">
        <v>3</v>
      </c>
      <c r="I2561" s="4">
        <v>28</v>
      </c>
      <c r="J2561" s="4">
        <v>6</v>
      </c>
      <c r="K2561" s="4">
        <f t="shared" si="357"/>
        <v>0</v>
      </c>
      <c r="L2561" s="4">
        <f t="shared" si="357"/>
        <v>0</v>
      </c>
      <c r="M2561" s="4">
        <f t="shared" si="357"/>
        <v>0</v>
      </c>
      <c r="N2561" s="4">
        <f t="shared" si="357"/>
        <v>0</v>
      </c>
      <c r="O2561" s="4">
        <f t="shared" si="358"/>
        <v>0</v>
      </c>
      <c r="P2561" s="4">
        <f t="shared" si="359"/>
        <v>0</v>
      </c>
      <c r="Q2561" s="4">
        <f t="shared" si="360"/>
        <v>0</v>
      </c>
      <c r="R2561" s="4">
        <f t="shared" si="361"/>
        <v>0</v>
      </c>
      <c r="S2561" s="4">
        <f>IF(AND(VLOOKUP(G2561,Dados!$D:$L,2,0)=VLOOKUP(I2561,Dados!$S:$V,2,0),VLOOKUP(G2561,Dados!$D:$L,3,0)=VLOOKUP(I2561,Dados!$S:$V,3,0)),0,1)</f>
        <v>0</v>
      </c>
      <c r="T2561" s="4">
        <f>IF(AND(VLOOKUP(G2561,Dados!$D:$L,3,0)&lt;=VLOOKUP(H2561,Dados!$X:$AB,2,0),VLOOKUP(G2561,Dados!$D:$L,4,0)&gt;=VLOOKUP(H2561,Dados!$X:$AB,3,0),VLOOKUP(G2561,Dados!$D:$L,4,0)&lt;=VLOOKUP(H2561,Dados!$X:$AB,4,0)),0,1)</f>
        <v>0</v>
      </c>
      <c r="U2561" s="4">
        <f>IF(COUNTIFS(F:F,F2561,H:H,H2561)&lt;=VLOOKUP(H2561,Dados!$X:$AB,5,0),0,1)</f>
        <v>0</v>
      </c>
    </row>
    <row r="2562" spans="6:21">
      <c r="F2562" s="4">
        <v>1105</v>
      </c>
      <c r="G2562" s="4">
        <v>67</v>
      </c>
      <c r="H2562" s="4">
        <v>3</v>
      </c>
      <c r="I2562" s="4">
        <v>28</v>
      </c>
      <c r="J2562" s="4">
        <v>1</v>
      </c>
      <c r="K2562" s="4">
        <f t="shared" si="357"/>
        <v>0</v>
      </c>
      <c r="L2562" s="4">
        <f t="shared" si="357"/>
        <v>0</v>
      </c>
      <c r="M2562" s="4">
        <f t="shared" si="357"/>
        <v>0</v>
      </c>
      <c r="N2562" s="4">
        <f t="shared" si="357"/>
        <v>0</v>
      </c>
      <c r="O2562" s="4">
        <f t="shared" si="358"/>
        <v>0</v>
      </c>
      <c r="P2562" s="4">
        <f t="shared" si="359"/>
        <v>0</v>
      </c>
      <c r="Q2562" s="4">
        <f t="shared" si="360"/>
        <v>0</v>
      </c>
      <c r="R2562" s="4">
        <f t="shared" si="361"/>
        <v>0</v>
      </c>
      <c r="S2562" s="4">
        <f>IF(AND(VLOOKUP(G2562,Dados!$D:$L,2,0)=VLOOKUP(I2562,Dados!$S:$V,2,0),VLOOKUP(G2562,Dados!$D:$L,3,0)=VLOOKUP(I2562,Dados!$S:$V,3,0)),0,1)</f>
        <v>0</v>
      </c>
      <c r="T2562" s="4">
        <f>IF(AND(VLOOKUP(G2562,Dados!$D:$L,3,0)&lt;=VLOOKUP(H2562,Dados!$X:$AB,2,0),VLOOKUP(G2562,Dados!$D:$L,4,0)&gt;=VLOOKUP(H2562,Dados!$X:$AB,3,0),VLOOKUP(G2562,Dados!$D:$L,4,0)&lt;=VLOOKUP(H2562,Dados!$X:$AB,4,0)),0,1)</f>
        <v>0</v>
      </c>
      <c r="U2562" s="4">
        <f>IF(COUNTIFS(F:F,F2562,H:H,H2562)&lt;=VLOOKUP(H2562,Dados!$X:$AB,5,0),0,1)</f>
        <v>0</v>
      </c>
    </row>
    <row r="2563" spans="6:21">
      <c r="F2563" s="4">
        <v>1106</v>
      </c>
      <c r="G2563" s="4">
        <v>13</v>
      </c>
      <c r="H2563" s="4">
        <v>1</v>
      </c>
      <c r="I2563" s="4">
        <v>10</v>
      </c>
      <c r="J2563" s="4">
        <v>4</v>
      </c>
      <c r="K2563" s="4">
        <f t="shared" si="357"/>
        <v>0</v>
      </c>
      <c r="L2563" s="4">
        <f t="shared" si="357"/>
        <v>0</v>
      </c>
      <c r="M2563" s="4">
        <f t="shared" si="357"/>
        <v>0</v>
      </c>
      <c r="N2563" s="4">
        <f t="shared" si="357"/>
        <v>0</v>
      </c>
      <c r="O2563" s="4">
        <f t="shared" si="358"/>
        <v>0</v>
      </c>
      <c r="P2563" s="4">
        <f t="shared" si="359"/>
        <v>0</v>
      </c>
      <c r="Q2563" s="4">
        <f t="shared" si="360"/>
        <v>0</v>
      </c>
      <c r="R2563" s="4">
        <f t="shared" si="361"/>
        <v>0</v>
      </c>
      <c r="S2563" s="4">
        <f>IF(AND(VLOOKUP(G2563,Dados!$D:$L,2,0)=VLOOKUP(I2563,Dados!$S:$V,2,0),VLOOKUP(G2563,Dados!$D:$L,3,0)=VLOOKUP(I2563,Dados!$S:$V,3,0)),0,1)</f>
        <v>0</v>
      </c>
      <c r="T2563" s="4">
        <f>IF(AND(VLOOKUP(G2563,Dados!$D:$L,3,0)&lt;=VLOOKUP(H2563,Dados!$X:$AB,2,0),VLOOKUP(G2563,Dados!$D:$L,4,0)&gt;=VLOOKUP(H2563,Dados!$X:$AB,3,0),VLOOKUP(G2563,Dados!$D:$L,4,0)&lt;=VLOOKUP(H2563,Dados!$X:$AB,4,0)),0,1)</f>
        <v>0</v>
      </c>
      <c r="U2563" s="4">
        <f>IF(COUNTIFS(F:F,F2563,H:H,H2563)&lt;=VLOOKUP(H2563,Dados!$X:$AB,5,0),0,1)</f>
        <v>0</v>
      </c>
    </row>
    <row r="2564" spans="6:21">
      <c r="F2564" s="4">
        <v>1106</v>
      </c>
      <c r="G2564" s="4">
        <v>16</v>
      </c>
      <c r="H2564" s="4">
        <v>1</v>
      </c>
      <c r="I2564" s="4">
        <v>10</v>
      </c>
      <c r="J2564" s="4">
        <v>3</v>
      </c>
      <c r="K2564" s="4">
        <f t="shared" si="357"/>
        <v>0</v>
      </c>
      <c r="L2564" s="4">
        <f t="shared" si="357"/>
        <v>0</v>
      </c>
      <c r="M2564" s="4">
        <f t="shared" si="357"/>
        <v>0</v>
      </c>
      <c r="N2564" s="4">
        <f t="shared" si="357"/>
        <v>0</v>
      </c>
      <c r="O2564" s="4">
        <f t="shared" si="358"/>
        <v>0</v>
      </c>
      <c r="P2564" s="4">
        <f t="shared" si="359"/>
        <v>0</v>
      </c>
      <c r="Q2564" s="4">
        <f t="shared" si="360"/>
        <v>0</v>
      </c>
      <c r="R2564" s="4">
        <f t="shared" si="361"/>
        <v>0</v>
      </c>
      <c r="S2564" s="4">
        <f>IF(AND(VLOOKUP(G2564,Dados!$D:$L,2,0)=VLOOKUP(I2564,Dados!$S:$V,2,0),VLOOKUP(G2564,Dados!$D:$L,3,0)=VLOOKUP(I2564,Dados!$S:$V,3,0)),0,1)</f>
        <v>0</v>
      </c>
      <c r="T2564" s="4">
        <f>IF(AND(VLOOKUP(G2564,Dados!$D:$L,3,0)&lt;=VLOOKUP(H2564,Dados!$X:$AB,2,0),VLOOKUP(G2564,Dados!$D:$L,4,0)&gt;=VLOOKUP(H2564,Dados!$X:$AB,3,0),VLOOKUP(G2564,Dados!$D:$L,4,0)&lt;=VLOOKUP(H2564,Dados!$X:$AB,4,0)),0,1)</f>
        <v>0</v>
      </c>
      <c r="U2564" s="4">
        <f>IF(COUNTIFS(F:F,F2564,H:H,H2564)&lt;=VLOOKUP(H2564,Dados!$X:$AB,5,0),0,1)</f>
        <v>0</v>
      </c>
    </row>
    <row r="2565" spans="6:21">
      <c r="F2565" s="4">
        <v>1106</v>
      </c>
      <c r="G2565" s="4">
        <v>17</v>
      </c>
      <c r="H2565" s="4">
        <v>1</v>
      </c>
      <c r="I2565" s="4">
        <v>10</v>
      </c>
      <c r="J2565" s="4">
        <v>1</v>
      </c>
      <c r="K2565" s="4">
        <f t="shared" si="357"/>
        <v>0</v>
      </c>
      <c r="L2565" s="4">
        <f t="shared" si="357"/>
        <v>0</v>
      </c>
      <c r="M2565" s="4">
        <f t="shared" si="357"/>
        <v>0</v>
      </c>
      <c r="N2565" s="4">
        <f t="shared" si="357"/>
        <v>0</v>
      </c>
      <c r="O2565" s="4">
        <f t="shared" si="358"/>
        <v>0</v>
      </c>
      <c r="P2565" s="4">
        <f t="shared" si="359"/>
        <v>0</v>
      </c>
      <c r="Q2565" s="4">
        <f t="shared" si="360"/>
        <v>0</v>
      </c>
      <c r="R2565" s="4">
        <f t="shared" si="361"/>
        <v>0</v>
      </c>
      <c r="S2565" s="4">
        <f>IF(AND(VLOOKUP(G2565,Dados!$D:$L,2,0)=VLOOKUP(I2565,Dados!$S:$V,2,0),VLOOKUP(G2565,Dados!$D:$L,3,0)=VLOOKUP(I2565,Dados!$S:$V,3,0)),0,1)</f>
        <v>0</v>
      </c>
      <c r="T2565" s="4">
        <f>IF(AND(VLOOKUP(G2565,Dados!$D:$L,3,0)&lt;=VLOOKUP(H2565,Dados!$X:$AB,2,0),VLOOKUP(G2565,Dados!$D:$L,4,0)&gt;=VLOOKUP(H2565,Dados!$X:$AB,3,0),VLOOKUP(G2565,Dados!$D:$L,4,0)&lt;=VLOOKUP(H2565,Dados!$X:$AB,4,0)),0,1)</f>
        <v>0</v>
      </c>
      <c r="U2565" s="4">
        <f>IF(COUNTIFS(F:F,F2565,H:H,H2565)&lt;=VLOOKUP(H2565,Dados!$X:$AB,5,0),0,1)</f>
        <v>0</v>
      </c>
    </row>
    <row r="2566" spans="6:21">
      <c r="F2566" s="4">
        <v>1107</v>
      </c>
      <c r="G2566" s="4">
        <v>13</v>
      </c>
      <c r="H2566" s="4">
        <v>3</v>
      </c>
      <c r="I2566" s="4">
        <v>10</v>
      </c>
      <c r="J2566" s="4">
        <v>4</v>
      </c>
      <c r="K2566" s="4">
        <f t="shared" si="357"/>
        <v>0</v>
      </c>
      <c r="L2566" s="4">
        <f t="shared" si="357"/>
        <v>0</v>
      </c>
      <c r="M2566" s="4">
        <f t="shared" si="357"/>
        <v>0</v>
      </c>
      <c r="N2566" s="4">
        <f t="shared" si="357"/>
        <v>0</v>
      </c>
      <c r="O2566" s="4">
        <f t="shared" si="358"/>
        <v>0</v>
      </c>
      <c r="P2566" s="4">
        <f t="shared" si="359"/>
        <v>0</v>
      </c>
      <c r="Q2566" s="4">
        <f t="shared" si="360"/>
        <v>0</v>
      </c>
      <c r="R2566" s="4">
        <f t="shared" si="361"/>
        <v>0</v>
      </c>
      <c r="S2566" s="4">
        <f>IF(AND(VLOOKUP(G2566,Dados!$D:$L,2,0)=VLOOKUP(I2566,Dados!$S:$V,2,0),VLOOKUP(G2566,Dados!$D:$L,3,0)=VLOOKUP(I2566,Dados!$S:$V,3,0)),0,1)</f>
        <v>0</v>
      </c>
      <c r="T2566" s="4">
        <f>IF(AND(VLOOKUP(G2566,Dados!$D:$L,3,0)&lt;=VLOOKUP(H2566,Dados!$X:$AB,2,0),VLOOKUP(G2566,Dados!$D:$L,4,0)&gt;=VLOOKUP(H2566,Dados!$X:$AB,3,0),VLOOKUP(G2566,Dados!$D:$L,4,0)&lt;=VLOOKUP(H2566,Dados!$X:$AB,4,0)),0,1)</f>
        <v>0</v>
      </c>
      <c r="U2566" s="4">
        <f>IF(COUNTIFS(F:F,F2566,H:H,H2566)&lt;=VLOOKUP(H2566,Dados!$X:$AB,5,0),0,1)</f>
        <v>0</v>
      </c>
    </row>
    <row r="2567" spans="6:21">
      <c r="F2567" s="4">
        <v>1107</v>
      </c>
      <c r="G2567" s="4">
        <v>16</v>
      </c>
      <c r="H2567" s="4">
        <v>3</v>
      </c>
      <c r="I2567" s="4">
        <v>10</v>
      </c>
      <c r="J2567" s="4">
        <v>3</v>
      </c>
      <c r="K2567" s="4">
        <f t="shared" si="357"/>
        <v>0</v>
      </c>
      <c r="L2567" s="4">
        <f t="shared" si="357"/>
        <v>0</v>
      </c>
      <c r="M2567" s="4">
        <f t="shared" si="357"/>
        <v>0</v>
      </c>
      <c r="N2567" s="4">
        <f t="shared" si="357"/>
        <v>0</v>
      </c>
      <c r="O2567" s="4">
        <f t="shared" si="358"/>
        <v>0</v>
      </c>
      <c r="P2567" s="4">
        <f t="shared" si="359"/>
        <v>0</v>
      </c>
      <c r="Q2567" s="4">
        <f t="shared" si="360"/>
        <v>0</v>
      </c>
      <c r="R2567" s="4">
        <f t="shared" si="361"/>
        <v>0</v>
      </c>
      <c r="S2567" s="4">
        <f>IF(AND(VLOOKUP(G2567,Dados!$D:$L,2,0)=VLOOKUP(I2567,Dados!$S:$V,2,0),VLOOKUP(G2567,Dados!$D:$L,3,0)=VLOOKUP(I2567,Dados!$S:$V,3,0)),0,1)</f>
        <v>0</v>
      </c>
      <c r="T2567" s="4">
        <f>IF(AND(VLOOKUP(G2567,Dados!$D:$L,3,0)&lt;=VLOOKUP(H2567,Dados!$X:$AB,2,0),VLOOKUP(G2567,Dados!$D:$L,4,0)&gt;=VLOOKUP(H2567,Dados!$X:$AB,3,0),VLOOKUP(G2567,Dados!$D:$L,4,0)&lt;=VLOOKUP(H2567,Dados!$X:$AB,4,0)),0,1)</f>
        <v>0</v>
      </c>
      <c r="U2567" s="4">
        <f>IF(COUNTIFS(F:F,F2567,H:H,H2567)&lt;=VLOOKUP(H2567,Dados!$X:$AB,5,0),0,1)</f>
        <v>0</v>
      </c>
    </row>
    <row r="2568" spans="6:21">
      <c r="F2568" s="4">
        <v>1107</v>
      </c>
      <c r="G2568" s="4">
        <v>17</v>
      </c>
      <c r="H2568" s="4">
        <v>3</v>
      </c>
      <c r="I2568" s="4">
        <v>10</v>
      </c>
      <c r="J2568" s="4">
        <v>1</v>
      </c>
      <c r="K2568" s="4">
        <f t="shared" si="357"/>
        <v>0</v>
      </c>
      <c r="L2568" s="4">
        <f t="shared" si="357"/>
        <v>0</v>
      </c>
      <c r="M2568" s="4">
        <f t="shared" si="357"/>
        <v>0</v>
      </c>
      <c r="N2568" s="4">
        <f t="shared" si="357"/>
        <v>0</v>
      </c>
      <c r="O2568" s="4">
        <f t="shared" si="358"/>
        <v>0</v>
      </c>
      <c r="P2568" s="4">
        <f t="shared" si="359"/>
        <v>0</v>
      </c>
      <c r="Q2568" s="4">
        <f t="shared" si="360"/>
        <v>0</v>
      </c>
      <c r="R2568" s="4">
        <f t="shared" si="361"/>
        <v>0</v>
      </c>
      <c r="S2568" s="4">
        <f>IF(AND(VLOOKUP(G2568,Dados!$D:$L,2,0)=VLOOKUP(I2568,Dados!$S:$V,2,0),VLOOKUP(G2568,Dados!$D:$L,3,0)=VLOOKUP(I2568,Dados!$S:$V,3,0)),0,1)</f>
        <v>0</v>
      </c>
      <c r="T2568" s="4">
        <f>IF(AND(VLOOKUP(G2568,Dados!$D:$L,3,0)&lt;=VLOOKUP(H2568,Dados!$X:$AB,2,0),VLOOKUP(G2568,Dados!$D:$L,4,0)&gt;=VLOOKUP(H2568,Dados!$X:$AB,3,0),VLOOKUP(G2568,Dados!$D:$L,4,0)&lt;=VLOOKUP(H2568,Dados!$X:$AB,4,0)),0,1)</f>
        <v>0</v>
      </c>
      <c r="U2568" s="4">
        <f>IF(COUNTIFS(F:F,F2568,H:H,H2568)&lt;=VLOOKUP(H2568,Dados!$X:$AB,5,0),0,1)</f>
        <v>0</v>
      </c>
    </row>
    <row r="2569" spans="6:21">
      <c r="F2569" s="4">
        <v>1108</v>
      </c>
      <c r="G2569" s="4">
        <v>13</v>
      </c>
      <c r="H2569" s="4">
        <v>1</v>
      </c>
      <c r="I2569" s="4">
        <v>11</v>
      </c>
      <c r="J2569" s="4">
        <v>1</v>
      </c>
      <c r="K2569" s="4">
        <f t="shared" si="357"/>
        <v>0</v>
      </c>
      <c r="L2569" s="4">
        <f t="shared" si="357"/>
        <v>0</v>
      </c>
      <c r="M2569" s="4">
        <f t="shared" si="357"/>
        <v>0</v>
      </c>
      <c r="N2569" s="4">
        <f t="shared" si="357"/>
        <v>0</v>
      </c>
      <c r="O2569" s="4">
        <f t="shared" si="358"/>
        <v>0</v>
      </c>
      <c r="P2569" s="4">
        <f t="shared" si="359"/>
        <v>0</v>
      </c>
      <c r="Q2569" s="4">
        <f t="shared" si="360"/>
        <v>0</v>
      </c>
      <c r="R2569" s="4">
        <f t="shared" si="361"/>
        <v>0</v>
      </c>
      <c r="S2569" s="4">
        <f>IF(AND(VLOOKUP(G2569,Dados!$D:$L,2,0)=VLOOKUP(I2569,Dados!$S:$V,2,0),VLOOKUP(G2569,Dados!$D:$L,3,0)=VLOOKUP(I2569,Dados!$S:$V,3,0)),0,1)</f>
        <v>0</v>
      </c>
      <c r="T2569" s="4">
        <f>IF(AND(VLOOKUP(G2569,Dados!$D:$L,3,0)&lt;=VLOOKUP(H2569,Dados!$X:$AB,2,0),VLOOKUP(G2569,Dados!$D:$L,4,0)&gt;=VLOOKUP(H2569,Dados!$X:$AB,3,0),VLOOKUP(G2569,Dados!$D:$L,4,0)&lt;=VLOOKUP(H2569,Dados!$X:$AB,4,0)),0,1)</f>
        <v>0</v>
      </c>
      <c r="U2569" s="4">
        <f>IF(COUNTIFS(F:F,F2569,H:H,H2569)&lt;=VLOOKUP(H2569,Dados!$X:$AB,5,0),0,1)</f>
        <v>0</v>
      </c>
    </row>
    <row r="2570" spans="6:21">
      <c r="F2570" s="4">
        <v>1108</v>
      </c>
      <c r="G2570" s="4">
        <v>16</v>
      </c>
      <c r="H2570" s="4">
        <v>1</v>
      </c>
      <c r="I2570" s="4">
        <v>11</v>
      </c>
      <c r="J2570" s="4">
        <v>5</v>
      </c>
      <c r="K2570" s="4">
        <f t="shared" si="357"/>
        <v>0</v>
      </c>
      <c r="L2570" s="4">
        <f t="shared" si="357"/>
        <v>0</v>
      </c>
      <c r="M2570" s="4">
        <f t="shared" si="357"/>
        <v>0</v>
      </c>
      <c r="N2570" s="4">
        <f t="shared" si="357"/>
        <v>0</v>
      </c>
      <c r="O2570" s="4">
        <f t="shared" si="358"/>
        <v>0</v>
      </c>
      <c r="P2570" s="4">
        <f t="shared" si="359"/>
        <v>0</v>
      </c>
      <c r="Q2570" s="4">
        <f t="shared" si="360"/>
        <v>0</v>
      </c>
      <c r="R2570" s="4">
        <f t="shared" si="361"/>
        <v>0</v>
      </c>
      <c r="S2570" s="4">
        <f>IF(AND(VLOOKUP(G2570,Dados!$D:$L,2,0)=VLOOKUP(I2570,Dados!$S:$V,2,0),VLOOKUP(G2570,Dados!$D:$L,3,0)=VLOOKUP(I2570,Dados!$S:$V,3,0)),0,1)</f>
        <v>0</v>
      </c>
      <c r="T2570" s="4">
        <f>IF(AND(VLOOKUP(G2570,Dados!$D:$L,3,0)&lt;=VLOOKUP(H2570,Dados!$X:$AB,2,0),VLOOKUP(G2570,Dados!$D:$L,4,0)&gt;=VLOOKUP(H2570,Dados!$X:$AB,3,0),VLOOKUP(G2570,Dados!$D:$L,4,0)&lt;=VLOOKUP(H2570,Dados!$X:$AB,4,0)),0,1)</f>
        <v>0</v>
      </c>
      <c r="U2570" s="4">
        <f>IF(COUNTIFS(F:F,F2570,H:H,H2570)&lt;=VLOOKUP(H2570,Dados!$X:$AB,5,0),0,1)</f>
        <v>0</v>
      </c>
    </row>
    <row r="2571" spans="6:21">
      <c r="F2571" s="4">
        <v>1108</v>
      </c>
      <c r="G2571" s="4">
        <v>17</v>
      </c>
      <c r="H2571" s="4">
        <v>1</v>
      </c>
      <c r="I2571" s="4">
        <v>11</v>
      </c>
      <c r="J2571" s="4">
        <v>1</v>
      </c>
      <c r="K2571" s="4">
        <f t="shared" si="357"/>
        <v>0</v>
      </c>
      <c r="L2571" s="4">
        <f t="shared" si="357"/>
        <v>0</v>
      </c>
      <c r="M2571" s="4">
        <f t="shared" si="357"/>
        <v>0</v>
      </c>
      <c r="N2571" s="4">
        <f t="shared" si="357"/>
        <v>0</v>
      </c>
      <c r="O2571" s="4">
        <f t="shared" si="358"/>
        <v>0</v>
      </c>
      <c r="P2571" s="4">
        <f t="shared" si="359"/>
        <v>0</v>
      </c>
      <c r="Q2571" s="4">
        <f t="shared" si="360"/>
        <v>0</v>
      </c>
      <c r="R2571" s="4">
        <f t="shared" si="361"/>
        <v>0</v>
      </c>
      <c r="S2571" s="4">
        <f>IF(AND(VLOOKUP(G2571,Dados!$D:$L,2,0)=VLOOKUP(I2571,Dados!$S:$V,2,0),VLOOKUP(G2571,Dados!$D:$L,3,0)=VLOOKUP(I2571,Dados!$S:$V,3,0)),0,1)</f>
        <v>0</v>
      </c>
      <c r="T2571" s="4">
        <f>IF(AND(VLOOKUP(G2571,Dados!$D:$L,3,0)&lt;=VLOOKUP(H2571,Dados!$X:$AB,2,0),VLOOKUP(G2571,Dados!$D:$L,4,0)&gt;=VLOOKUP(H2571,Dados!$X:$AB,3,0),VLOOKUP(G2571,Dados!$D:$L,4,0)&lt;=VLOOKUP(H2571,Dados!$X:$AB,4,0)),0,1)</f>
        <v>0</v>
      </c>
      <c r="U2571" s="4">
        <f>IF(COUNTIFS(F:F,F2571,H:H,H2571)&lt;=VLOOKUP(H2571,Dados!$X:$AB,5,0),0,1)</f>
        <v>0</v>
      </c>
    </row>
    <row r="2572" spans="6:21">
      <c r="F2572" s="4">
        <v>1109</v>
      </c>
      <c r="G2572" s="4">
        <v>13</v>
      </c>
      <c r="H2572" s="4">
        <v>3</v>
      </c>
      <c r="I2572" s="4">
        <v>11</v>
      </c>
      <c r="J2572" s="4">
        <v>1</v>
      </c>
      <c r="K2572" s="4">
        <f t="shared" si="357"/>
        <v>0</v>
      </c>
      <c r="L2572" s="4">
        <f t="shared" si="357"/>
        <v>0</v>
      </c>
      <c r="M2572" s="4">
        <f t="shared" si="357"/>
        <v>0</v>
      </c>
      <c r="N2572" s="4">
        <f t="shared" si="357"/>
        <v>0</v>
      </c>
      <c r="O2572" s="4">
        <f t="shared" si="358"/>
        <v>0</v>
      </c>
      <c r="P2572" s="4">
        <f t="shared" si="359"/>
        <v>0</v>
      </c>
      <c r="Q2572" s="4">
        <f t="shared" si="360"/>
        <v>0</v>
      </c>
      <c r="R2572" s="4">
        <f t="shared" si="361"/>
        <v>0</v>
      </c>
      <c r="S2572" s="4">
        <f>IF(AND(VLOOKUP(G2572,Dados!$D:$L,2,0)=VLOOKUP(I2572,Dados!$S:$V,2,0),VLOOKUP(G2572,Dados!$D:$L,3,0)=VLOOKUP(I2572,Dados!$S:$V,3,0)),0,1)</f>
        <v>0</v>
      </c>
      <c r="T2572" s="4">
        <f>IF(AND(VLOOKUP(G2572,Dados!$D:$L,3,0)&lt;=VLOOKUP(H2572,Dados!$X:$AB,2,0),VLOOKUP(G2572,Dados!$D:$L,4,0)&gt;=VLOOKUP(H2572,Dados!$X:$AB,3,0),VLOOKUP(G2572,Dados!$D:$L,4,0)&lt;=VLOOKUP(H2572,Dados!$X:$AB,4,0)),0,1)</f>
        <v>0</v>
      </c>
      <c r="U2572" s="4">
        <f>IF(COUNTIFS(F:F,F2572,H:H,H2572)&lt;=VLOOKUP(H2572,Dados!$X:$AB,5,0),0,1)</f>
        <v>0</v>
      </c>
    </row>
    <row r="2573" spans="6:21">
      <c r="F2573" s="4">
        <v>1109</v>
      </c>
      <c r="G2573" s="4">
        <v>16</v>
      </c>
      <c r="H2573" s="4">
        <v>3</v>
      </c>
      <c r="I2573" s="4">
        <v>11</v>
      </c>
      <c r="J2573" s="4">
        <v>5</v>
      </c>
      <c r="K2573" s="4">
        <f t="shared" si="357"/>
        <v>0</v>
      </c>
      <c r="L2573" s="4">
        <f t="shared" si="357"/>
        <v>0</v>
      </c>
      <c r="M2573" s="4">
        <f t="shared" si="357"/>
        <v>0</v>
      </c>
      <c r="N2573" s="4">
        <f t="shared" si="357"/>
        <v>0</v>
      </c>
      <c r="O2573" s="4">
        <f t="shared" si="358"/>
        <v>0</v>
      </c>
      <c r="P2573" s="4">
        <f t="shared" si="359"/>
        <v>0</v>
      </c>
      <c r="Q2573" s="4">
        <f t="shared" si="360"/>
        <v>0</v>
      </c>
      <c r="R2573" s="4">
        <f t="shared" si="361"/>
        <v>0</v>
      </c>
      <c r="S2573" s="4">
        <f>IF(AND(VLOOKUP(G2573,Dados!$D:$L,2,0)=VLOOKUP(I2573,Dados!$S:$V,2,0),VLOOKUP(G2573,Dados!$D:$L,3,0)=VLOOKUP(I2573,Dados!$S:$V,3,0)),0,1)</f>
        <v>0</v>
      </c>
      <c r="T2573" s="4">
        <f>IF(AND(VLOOKUP(G2573,Dados!$D:$L,3,0)&lt;=VLOOKUP(H2573,Dados!$X:$AB,2,0),VLOOKUP(G2573,Dados!$D:$L,4,0)&gt;=VLOOKUP(H2573,Dados!$X:$AB,3,0),VLOOKUP(G2573,Dados!$D:$L,4,0)&lt;=VLOOKUP(H2573,Dados!$X:$AB,4,0)),0,1)</f>
        <v>0</v>
      </c>
      <c r="U2573" s="4">
        <f>IF(COUNTIFS(F:F,F2573,H:H,H2573)&lt;=VLOOKUP(H2573,Dados!$X:$AB,5,0),0,1)</f>
        <v>0</v>
      </c>
    </row>
    <row r="2574" spans="6:21">
      <c r="F2574" s="4">
        <v>1109</v>
      </c>
      <c r="G2574" s="4">
        <v>17</v>
      </c>
      <c r="H2574" s="4">
        <v>3</v>
      </c>
      <c r="I2574" s="4">
        <v>11</v>
      </c>
      <c r="J2574" s="4">
        <v>1</v>
      </c>
      <c r="K2574" s="4">
        <f t="shared" si="357"/>
        <v>0</v>
      </c>
      <c r="L2574" s="4">
        <f t="shared" si="357"/>
        <v>0</v>
      </c>
      <c r="M2574" s="4">
        <f t="shared" si="357"/>
        <v>0</v>
      </c>
      <c r="N2574" s="4">
        <f t="shared" si="357"/>
        <v>0</v>
      </c>
      <c r="O2574" s="4">
        <f t="shared" si="358"/>
        <v>0</v>
      </c>
      <c r="P2574" s="4">
        <f t="shared" si="359"/>
        <v>0</v>
      </c>
      <c r="Q2574" s="4">
        <f t="shared" si="360"/>
        <v>0</v>
      </c>
      <c r="R2574" s="4">
        <f t="shared" si="361"/>
        <v>0</v>
      </c>
      <c r="S2574" s="4">
        <f>IF(AND(VLOOKUP(G2574,Dados!$D:$L,2,0)=VLOOKUP(I2574,Dados!$S:$V,2,0),VLOOKUP(G2574,Dados!$D:$L,3,0)=VLOOKUP(I2574,Dados!$S:$V,3,0)),0,1)</f>
        <v>0</v>
      </c>
      <c r="T2574" s="4">
        <f>IF(AND(VLOOKUP(G2574,Dados!$D:$L,3,0)&lt;=VLOOKUP(H2574,Dados!$X:$AB,2,0),VLOOKUP(G2574,Dados!$D:$L,4,0)&gt;=VLOOKUP(H2574,Dados!$X:$AB,3,0),VLOOKUP(G2574,Dados!$D:$L,4,0)&lt;=VLOOKUP(H2574,Dados!$X:$AB,4,0)),0,1)</f>
        <v>0</v>
      </c>
      <c r="U2574" s="4">
        <f>IF(COUNTIFS(F:F,F2574,H:H,H2574)&lt;=VLOOKUP(H2574,Dados!$X:$AB,5,0),0,1)</f>
        <v>0</v>
      </c>
    </row>
    <row r="2575" spans="6:21">
      <c r="F2575" s="4">
        <v>1110</v>
      </c>
      <c r="G2575" s="4">
        <v>60</v>
      </c>
      <c r="H2575" s="4">
        <v>1</v>
      </c>
      <c r="I2575" s="4">
        <v>27</v>
      </c>
      <c r="J2575" s="4">
        <v>7</v>
      </c>
      <c r="K2575" s="4">
        <f t="shared" si="357"/>
        <v>0</v>
      </c>
      <c r="L2575" s="4">
        <f t="shared" si="357"/>
        <v>0</v>
      </c>
      <c r="M2575" s="4">
        <f t="shared" si="357"/>
        <v>0</v>
      </c>
      <c r="N2575" s="4">
        <f t="shared" si="357"/>
        <v>0</v>
      </c>
      <c r="O2575" s="4">
        <f t="shared" si="358"/>
        <v>0</v>
      </c>
      <c r="P2575" s="4">
        <f t="shared" si="359"/>
        <v>0</v>
      </c>
      <c r="Q2575" s="4">
        <f t="shared" si="360"/>
        <v>0</v>
      </c>
      <c r="R2575" s="4">
        <f t="shared" si="361"/>
        <v>0</v>
      </c>
      <c r="S2575" s="4">
        <f>IF(AND(VLOOKUP(G2575,Dados!$D:$L,2,0)=VLOOKUP(I2575,Dados!$S:$V,2,0),VLOOKUP(G2575,Dados!$D:$L,3,0)=VLOOKUP(I2575,Dados!$S:$V,3,0)),0,1)</f>
        <v>0</v>
      </c>
      <c r="T2575" s="4">
        <f>IF(AND(VLOOKUP(G2575,Dados!$D:$L,3,0)&lt;=VLOOKUP(H2575,Dados!$X:$AB,2,0),VLOOKUP(G2575,Dados!$D:$L,4,0)&gt;=VLOOKUP(H2575,Dados!$X:$AB,3,0),VLOOKUP(G2575,Dados!$D:$L,4,0)&lt;=VLOOKUP(H2575,Dados!$X:$AB,4,0)),0,1)</f>
        <v>0</v>
      </c>
      <c r="U2575" s="4">
        <f>IF(COUNTIFS(F:F,F2575,H:H,H2575)&lt;=VLOOKUP(H2575,Dados!$X:$AB,5,0),0,1)</f>
        <v>0</v>
      </c>
    </row>
    <row r="2576" spans="6:21">
      <c r="F2576" s="4">
        <v>1110</v>
      </c>
      <c r="G2576" s="4">
        <v>61</v>
      </c>
      <c r="H2576" s="4">
        <v>1</v>
      </c>
      <c r="I2576" s="4">
        <v>27</v>
      </c>
      <c r="J2576" s="4">
        <v>1</v>
      </c>
      <c r="K2576" s="4">
        <f t="shared" si="357"/>
        <v>0</v>
      </c>
      <c r="L2576" s="4">
        <f t="shared" si="357"/>
        <v>0</v>
      </c>
      <c r="M2576" s="4">
        <f t="shared" si="357"/>
        <v>0</v>
      </c>
      <c r="N2576" s="4">
        <f t="shared" si="357"/>
        <v>0</v>
      </c>
      <c r="O2576" s="4">
        <f t="shared" si="358"/>
        <v>0</v>
      </c>
      <c r="P2576" s="4">
        <f t="shared" si="359"/>
        <v>0</v>
      </c>
      <c r="Q2576" s="4">
        <f t="shared" si="360"/>
        <v>0</v>
      </c>
      <c r="R2576" s="4">
        <f t="shared" si="361"/>
        <v>0</v>
      </c>
      <c r="S2576" s="4">
        <f>IF(AND(VLOOKUP(G2576,Dados!$D:$L,2,0)=VLOOKUP(I2576,Dados!$S:$V,2,0),VLOOKUP(G2576,Dados!$D:$L,3,0)=VLOOKUP(I2576,Dados!$S:$V,3,0)),0,1)</f>
        <v>0</v>
      </c>
      <c r="T2576" s="4">
        <f>IF(AND(VLOOKUP(G2576,Dados!$D:$L,3,0)&lt;=VLOOKUP(H2576,Dados!$X:$AB,2,0),VLOOKUP(G2576,Dados!$D:$L,4,0)&gt;=VLOOKUP(H2576,Dados!$X:$AB,3,0),VLOOKUP(G2576,Dados!$D:$L,4,0)&lt;=VLOOKUP(H2576,Dados!$X:$AB,4,0)),0,1)</f>
        <v>0</v>
      </c>
      <c r="U2576" s="4">
        <f>IF(COUNTIFS(F:F,F2576,H:H,H2576)&lt;=VLOOKUP(H2576,Dados!$X:$AB,5,0),0,1)</f>
        <v>0</v>
      </c>
    </row>
    <row r="2577" spans="6:21">
      <c r="F2577" s="4">
        <v>1110</v>
      </c>
      <c r="G2577" s="4">
        <v>67</v>
      </c>
      <c r="H2577" s="4">
        <v>1</v>
      </c>
      <c r="I2577" s="4">
        <v>27</v>
      </c>
      <c r="J2577" s="4">
        <v>1</v>
      </c>
      <c r="K2577" s="4">
        <f t="shared" si="357"/>
        <v>0</v>
      </c>
      <c r="L2577" s="4">
        <f t="shared" si="357"/>
        <v>0</v>
      </c>
      <c r="M2577" s="4">
        <f t="shared" si="357"/>
        <v>0</v>
      </c>
      <c r="N2577" s="4">
        <f t="shared" si="357"/>
        <v>0</v>
      </c>
      <c r="O2577" s="4">
        <f t="shared" si="358"/>
        <v>0</v>
      </c>
      <c r="P2577" s="4">
        <f t="shared" si="359"/>
        <v>0</v>
      </c>
      <c r="Q2577" s="4">
        <f t="shared" si="360"/>
        <v>0</v>
      </c>
      <c r="R2577" s="4">
        <f t="shared" si="361"/>
        <v>0</v>
      </c>
      <c r="S2577" s="4">
        <f>IF(AND(VLOOKUP(G2577,Dados!$D:$L,2,0)=VLOOKUP(I2577,Dados!$S:$V,2,0),VLOOKUP(G2577,Dados!$D:$L,3,0)=VLOOKUP(I2577,Dados!$S:$V,3,0)),0,1)</f>
        <v>0</v>
      </c>
      <c r="T2577" s="4">
        <f>IF(AND(VLOOKUP(G2577,Dados!$D:$L,3,0)&lt;=VLOOKUP(H2577,Dados!$X:$AB,2,0),VLOOKUP(G2577,Dados!$D:$L,4,0)&gt;=VLOOKUP(H2577,Dados!$X:$AB,3,0),VLOOKUP(G2577,Dados!$D:$L,4,0)&lt;=VLOOKUP(H2577,Dados!$X:$AB,4,0)),0,1)</f>
        <v>0</v>
      </c>
      <c r="U2577" s="4">
        <f>IF(COUNTIFS(F:F,F2577,H:H,H2577)&lt;=VLOOKUP(H2577,Dados!$X:$AB,5,0),0,1)</f>
        <v>0</v>
      </c>
    </row>
    <row r="2578" spans="6:21">
      <c r="F2578" s="4">
        <v>1111</v>
      </c>
      <c r="G2578" s="4">
        <v>60</v>
      </c>
      <c r="H2578" s="4">
        <v>2</v>
      </c>
      <c r="I2578" s="4">
        <v>27</v>
      </c>
      <c r="J2578" s="4">
        <v>7</v>
      </c>
      <c r="K2578" s="4">
        <f t="shared" si="357"/>
        <v>0</v>
      </c>
      <c r="L2578" s="4">
        <f t="shared" si="357"/>
        <v>0</v>
      </c>
      <c r="M2578" s="4">
        <f t="shared" si="357"/>
        <v>0</v>
      </c>
      <c r="N2578" s="4">
        <f t="shared" si="357"/>
        <v>0</v>
      </c>
      <c r="O2578" s="4">
        <f t="shared" si="358"/>
        <v>0</v>
      </c>
      <c r="P2578" s="4">
        <f t="shared" si="359"/>
        <v>0</v>
      </c>
      <c r="Q2578" s="4">
        <f t="shared" si="360"/>
        <v>0</v>
      </c>
      <c r="R2578" s="4">
        <f t="shared" si="361"/>
        <v>0</v>
      </c>
      <c r="S2578" s="4">
        <f>IF(AND(VLOOKUP(G2578,Dados!$D:$L,2,0)=VLOOKUP(I2578,Dados!$S:$V,2,0),VLOOKUP(G2578,Dados!$D:$L,3,0)=VLOOKUP(I2578,Dados!$S:$V,3,0)),0,1)</f>
        <v>0</v>
      </c>
      <c r="T2578" s="4">
        <f>IF(AND(VLOOKUP(G2578,Dados!$D:$L,3,0)&lt;=VLOOKUP(H2578,Dados!$X:$AB,2,0),VLOOKUP(G2578,Dados!$D:$L,4,0)&gt;=VLOOKUP(H2578,Dados!$X:$AB,3,0),VLOOKUP(G2578,Dados!$D:$L,4,0)&lt;=VLOOKUP(H2578,Dados!$X:$AB,4,0)),0,1)</f>
        <v>0</v>
      </c>
      <c r="U2578" s="4">
        <f>IF(COUNTIFS(F:F,F2578,H:H,H2578)&lt;=VLOOKUP(H2578,Dados!$X:$AB,5,0),0,1)</f>
        <v>0</v>
      </c>
    </row>
    <row r="2579" spans="6:21">
      <c r="F2579" s="4">
        <v>1111</v>
      </c>
      <c r="G2579" s="4">
        <v>61</v>
      </c>
      <c r="H2579" s="4">
        <v>2</v>
      </c>
      <c r="I2579" s="4">
        <v>27</v>
      </c>
      <c r="J2579" s="4">
        <v>1</v>
      </c>
      <c r="K2579" s="4">
        <f t="shared" si="357"/>
        <v>0</v>
      </c>
      <c r="L2579" s="4">
        <f t="shared" si="357"/>
        <v>0</v>
      </c>
      <c r="M2579" s="4">
        <f t="shared" si="357"/>
        <v>0</v>
      </c>
      <c r="N2579" s="4">
        <f t="shared" si="357"/>
        <v>0</v>
      </c>
      <c r="O2579" s="4">
        <f t="shared" si="358"/>
        <v>0</v>
      </c>
      <c r="P2579" s="4">
        <f t="shared" si="359"/>
        <v>0</v>
      </c>
      <c r="Q2579" s="4">
        <f t="shared" si="360"/>
        <v>0</v>
      </c>
      <c r="R2579" s="4">
        <f t="shared" si="361"/>
        <v>0</v>
      </c>
      <c r="S2579" s="4">
        <f>IF(AND(VLOOKUP(G2579,Dados!$D:$L,2,0)=VLOOKUP(I2579,Dados!$S:$V,2,0),VLOOKUP(G2579,Dados!$D:$L,3,0)=VLOOKUP(I2579,Dados!$S:$V,3,0)),0,1)</f>
        <v>0</v>
      </c>
      <c r="T2579" s="4">
        <f>IF(AND(VLOOKUP(G2579,Dados!$D:$L,3,0)&lt;=VLOOKUP(H2579,Dados!$X:$AB,2,0),VLOOKUP(G2579,Dados!$D:$L,4,0)&gt;=VLOOKUP(H2579,Dados!$X:$AB,3,0),VLOOKUP(G2579,Dados!$D:$L,4,0)&lt;=VLOOKUP(H2579,Dados!$X:$AB,4,0)),0,1)</f>
        <v>0</v>
      </c>
      <c r="U2579" s="4">
        <f>IF(COUNTIFS(F:F,F2579,H:H,H2579)&lt;=VLOOKUP(H2579,Dados!$X:$AB,5,0),0,1)</f>
        <v>0</v>
      </c>
    </row>
    <row r="2580" spans="6:21">
      <c r="F2580" s="4">
        <v>1111</v>
      </c>
      <c r="G2580" s="4">
        <v>67</v>
      </c>
      <c r="H2580" s="4">
        <v>2</v>
      </c>
      <c r="I2580" s="4">
        <v>27</v>
      </c>
      <c r="J2580" s="4">
        <v>1</v>
      </c>
      <c r="K2580" s="4">
        <f t="shared" si="357"/>
        <v>0</v>
      </c>
      <c r="L2580" s="4">
        <f t="shared" si="357"/>
        <v>0</v>
      </c>
      <c r="M2580" s="4">
        <f t="shared" si="357"/>
        <v>0</v>
      </c>
      <c r="N2580" s="4">
        <f t="shared" si="357"/>
        <v>0</v>
      </c>
      <c r="O2580" s="4">
        <f t="shared" si="358"/>
        <v>0</v>
      </c>
      <c r="P2580" s="4">
        <f t="shared" si="359"/>
        <v>0</v>
      </c>
      <c r="Q2580" s="4">
        <f t="shared" si="360"/>
        <v>0</v>
      </c>
      <c r="R2580" s="4">
        <f t="shared" si="361"/>
        <v>0</v>
      </c>
      <c r="S2580" s="4">
        <f>IF(AND(VLOOKUP(G2580,Dados!$D:$L,2,0)=VLOOKUP(I2580,Dados!$S:$V,2,0),VLOOKUP(G2580,Dados!$D:$L,3,0)=VLOOKUP(I2580,Dados!$S:$V,3,0)),0,1)</f>
        <v>0</v>
      </c>
      <c r="T2580" s="4">
        <f>IF(AND(VLOOKUP(G2580,Dados!$D:$L,3,0)&lt;=VLOOKUP(H2580,Dados!$X:$AB,2,0),VLOOKUP(G2580,Dados!$D:$L,4,0)&gt;=VLOOKUP(H2580,Dados!$X:$AB,3,0),VLOOKUP(G2580,Dados!$D:$L,4,0)&lt;=VLOOKUP(H2580,Dados!$X:$AB,4,0)),0,1)</f>
        <v>0</v>
      </c>
      <c r="U2580" s="4">
        <f>IF(COUNTIFS(F:F,F2580,H:H,H2580)&lt;=VLOOKUP(H2580,Dados!$X:$AB,5,0),0,1)</f>
        <v>0</v>
      </c>
    </row>
    <row r="2581" spans="6:21">
      <c r="F2581" s="4">
        <v>1112</v>
      </c>
      <c r="G2581" s="4">
        <v>60</v>
      </c>
      <c r="H2581" s="4">
        <v>3</v>
      </c>
      <c r="I2581" s="4">
        <v>27</v>
      </c>
      <c r="J2581" s="4">
        <v>7</v>
      </c>
      <c r="K2581" s="4">
        <f t="shared" si="357"/>
        <v>0</v>
      </c>
      <c r="L2581" s="4">
        <f t="shared" si="357"/>
        <v>0</v>
      </c>
      <c r="M2581" s="4">
        <f t="shared" si="357"/>
        <v>0</v>
      </c>
      <c r="N2581" s="4">
        <f t="shared" si="357"/>
        <v>0</v>
      </c>
      <c r="O2581" s="4">
        <f t="shared" si="358"/>
        <v>0</v>
      </c>
      <c r="P2581" s="4">
        <f t="shared" si="359"/>
        <v>0</v>
      </c>
      <c r="Q2581" s="4">
        <f t="shared" si="360"/>
        <v>0</v>
      </c>
      <c r="R2581" s="4">
        <f t="shared" si="361"/>
        <v>0</v>
      </c>
      <c r="S2581" s="4">
        <f>IF(AND(VLOOKUP(G2581,Dados!$D:$L,2,0)=VLOOKUP(I2581,Dados!$S:$V,2,0),VLOOKUP(G2581,Dados!$D:$L,3,0)=VLOOKUP(I2581,Dados!$S:$V,3,0)),0,1)</f>
        <v>0</v>
      </c>
      <c r="T2581" s="4">
        <f>IF(AND(VLOOKUP(G2581,Dados!$D:$L,3,0)&lt;=VLOOKUP(H2581,Dados!$X:$AB,2,0),VLOOKUP(G2581,Dados!$D:$L,4,0)&gt;=VLOOKUP(H2581,Dados!$X:$AB,3,0),VLOOKUP(G2581,Dados!$D:$L,4,0)&lt;=VLOOKUP(H2581,Dados!$X:$AB,4,0)),0,1)</f>
        <v>0</v>
      </c>
      <c r="U2581" s="4">
        <f>IF(COUNTIFS(F:F,F2581,H:H,H2581)&lt;=VLOOKUP(H2581,Dados!$X:$AB,5,0),0,1)</f>
        <v>0</v>
      </c>
    </row>
    <row r="2582" spans="6:21">
      <c r="F2582" s="4">
        <v>1112</v>
      </c>
      <c r="G2582" s="4">
        <v>61</v>
      </c>
      <c r="H2582" s="4">
        <v>3</v>
      </c>
      <c r="I2582" s="4">
        <v>27</v>
      </c>
      <c r="J2582" s="4">
        <v>1</v>
      </c>
      <c r="K2582" s="4">
        <f t="shared" si="357"/>
        <v>0</v>
      </c>
      <c r="L2582" s="4">
        <f t="shared" si="357"/>
        <v>0</v>
      </c>
      <c r="M2582" s="4">
        <f t="shared" si="357"/>
        <v>0</v>
      </c>
      <c r="N2582" s="4">
        <f t="shared" si="357"/>
        <v>0</v>
      </c>
      <c r="O2582" s="4">
        <f t="shared" si="358"/>
        <v>0</v>
      </c>
      <c r="P2582" s="4">
        <f t="shared" si="359"/>
        <v>0</v>
      </c>
      <c r="Q2582" s="4">
        <f t="shared" si="360"/>
        <v>0</v>
      </c>
      <c r="R2582" s="4">
        <f t="shared" si="361"/>
        <v>0</v>
      </c>
      <c r="S2582" s="4">
        <f>IF(AND(VLOOKUP(G2582,Dados!$D:$L,2,0)=VLOOKUP(I2582,Dados!$S:$V,2,0),VLOOKUP(G2582,Dados!$D:$L,3,0)=VLOOKUP(I2582,Dados!$S:$V,3,0)),0,1)</f>
        <v>0</v>
      </c>
      <c r="T2582" s="4">
        <f>IF(AND(VLOOKUP(G2582,Dados!$D:$L,3,0)&lt;=VLOOKUP(H2582,Dados!$X:$AB,2,0),VLOOKUP(G2582,Dados!$D:$L,4,0)&gt;=VLOOKUP(H2582,Dados!$X:$AB,3,0),VLOOKUP(G2582,Dados!$D:$L,4,0)&lt;=VLOOKUP(H2582,Dados!$X:$AB,4,0)),0,1)</f>
        <v>0</v>
      </c>
      <c r="U2582" s="4">
        <f>IF(COUNTIFS(F:F,F2582,H:H,H2582)&lt;=VLOOKUP(H2582,Dados!$X:$AB,5,0),0,1)</f>
        <v>0</v>
      </c>
    </row>
    <row r="2583" spans="6:21">
      <c r="F2583" s="4">
        <v>1112</v>
      </c>
      <c r="G2583" s="4">
        <v>67</v>
      </c>
      <c r="H2583" s="4">
        <v>3</v>
      </c>
      <c r="I2583" s="4">
        <v>27</v>
      </c>
      <c r="J2583" s="4">
        <v>1</v>
      </c>
      <c r="K2583" s="4">
        <f t="shared" si="357"/>
        <v>0</v>
      </c>
      <c r="L2583" s="4">
        <f t="shared" si="357"/>
        <v>0</v>
      </c>
      <c r="M2583" s="4">
        <f t="shared" si="357"/>
        <v>0</v>
      </c>
      <c r="N2583" s="4">
        <f t="shared" si="357"/>
        <v>0</v>
      </c>
      <c r="O2583" s="4">
        <f t="shared" si="358"/>
        <v>0</v>
      </c>
      <c r="P2583" s="4">
        <f t="shared" si="359"/>
        <v>0</v>
      </c>
      <c r="Q2583" s="4">
        <f t="shared" si="360"/>
        <v>0</v>
      </c>
      <c r="R2583" s="4">
        <f t="shared" si="361"/>
        <v>0</v>
      </c>
      <c r="S2583" s="4">
        <f>IF(AND(VLOOKUP(G2583,Dados!$D:$L,2,0)=VLOOKUP(I2583,Dados!$S:$V,2,0),VLOOKUP(G2583,Dados!$D:$L,3,0)=VLOOKUP(I2583,Dados!$S:$V,3,0)),0,1)</f>
        <v>0</v>
      </c>
      <c r="T2583" s="4">
        <f>IF(AND(VLOOKUP(G2583,Dados!$D:$L,3,0)&lt;=VLOOKUP(H2583,Dados!$X:$AB,2,0),VLOOKUP(G2583,Dados!$D:$L,4,0)&gt;=VLOOKUP(H2583,Dados!$X:$AB,3,0),VLOOKUP(G2583,Dados!$D:$L,4,0)&lt;=VLOOKUP(H2583,Dados!$X:$AB,4,0)),0,1)</f>
        <v>0</v>
      </c>
      <c r="U2583" s="4">
        <f>IF(COUNTIFS(F:F,F2583,H:H,H2583)&lt;=VLOOKUP(H2583,Dados!$X:$AB,5,0),0,1)</f>
        <v>0</v>
      </c>
    </row>
    <row r="2584" spans="6:21">
      <c r="F2584" s="4">
        <v>1113</v>
      </c>
      <c r="G2584" s="4">
        <v>12</v>
      </c>
      <c r="H2584" s="4">
        <v>3</v>
      </c>
      <c r="I2584" s="4">
        <v>9</v>
      </c>
      <c r="J2584" s="4">
        <v>8</v>
      </c>
      <c r="K2584" s="4">
        <f t="shared" si="357"/>
        <v>0</v>
      </c>
      <c r="L2584" s="4">
        <f t="shared" si="357"/>
        <v>0</v>
      </c>
      <c r="M2584" s="4">
        <f t="shared" si="357"/>
        <v>0</v>
      </c>
      <c r="N2584" s="4">
        <f t="shared" si="357"/>
        <v>0</v>
      </c>
      <c r="O2584" s="4">
        <f t="shared" si="358"/>
        <v>0</v>
      </c>
      <c r="P2584" s="4">
        <f t="shared" si="359"/>
        <v>0</v>
      </c>
      <c r="Q2584" s="4">
        <f t="shared" si="360"/>
        <v>0</v>
      </c>
      <c r="R2584" s="4">
        <f t="shared" si="361"/>
        <v>0</v>
      </c>
      <c r="S2584" s="4">
        <f>IF(AND(VLOOKUP(G2584,Dados!$D:$L,2,0)=VLOOKUP(I2584,Dados!$S:$V,2,0),VLOOKUP(G2584,Dados!$D:$L,3,0)=VLOOKUP(I2584,Dados!$S:$V,3,0)),0,1)</f>
        <v>0</v>
      </c>
      <c r="T2584" s="4">
        <f>IF(AND(VLOOKUP(G2584,Dados!$D:$L,3,0)&lt;=VLOOKUP(H2584,Dados!$X:$AB,2,0),VLOOKUP(G2584,Dados!$D:$L,4,0)&gt;=VLOOKUP(H2584,Dados!$X:$AB,3,0),VLOOKUP(G2584,Dados!$D:$L,4,0)&lt;=VLOOKUP(H2584,Dados!$X:$AB,4,0)),0,1)</f>
        <v>0</v>
      </c>
      <c r="U2584" s="4">
        <f>IF(COUNTIFS(F:F,F2584,H:H,H2584)&lt;=VLOOKUP(H2584,Dados!$X:$AB,5,0),0,1)</f>
        <v>0</v>
      </c>
    </row>
    <row r="2585" spans="6:21">
      <c r="F2585" s="4">
        <v>1113</v>
      </c>
      <c r="G2585" s="4">
        <v>14</v>
      </c>
      <c r="H2585" s="4">
        <v>3</v>
      </c>
      <c r="I2585" s="4">
        <v>9</v>
      </c>
      <c r="J2585" s="4">
        <v>1</v>
      </c>
      <c r="K2585" s="4">
        <f t="shared" si="357"/>
        <v>0</v>
      </c>
      <c r="L2585" s="4">
        <f t="shared" si="357"/>
        <v>0</v>
      </c>
      <c r="M2585" s="4">
        <f t="shared" si="357"/>
        <v>0</v>
      </c>
      <c r="N2585" s="4">
        <f t="shared" si="357"/>
        <v>0</v>
      </c>
      <c r="O2585" s="4">
        <f t="shared" si="358"/>
        <v>0</v>
      </c>
      <c r="P2585" s="4">
        <f t="shared" si="359"/>
        <v>0</v>
      </c>
      <c r="Q2585" s="4">
        <f t="shared" si="360"/>
        <v>0</v>
      </c>
      <c r="R2585" s="4">
        <f t="shared" si="361"/>
        <v>0</v>
      </c>
      <c r="S2585" s="4">
        <f>IF(AND(VLOOKUP(G2585,Dados!$D:$L,2,0)=VLOOKUP(I2585,Dados!$S:$V,2,0),VLOOKUP(G2585,Dados!$D:$L,3,0)=VLOOKUP(I2585,Dados!$S:$V,3,0)),0,1)</f>
        <v>0</v>
      </c>
      <c r="T2585" s="4">
        <f>IF(AND(VLOOKUP(G2585,Dados!$D:$L,3,0)&lt;=VLOOKUP(H2585,Dados!$X:$AB,2,0),VLOOKUP(G2585,Dados!$D:$L,4,0)&gt;=VLOOKUP(H2585,Dados!$X:$AB,3,0),VLOOKUP(G2585,Dados!$D:$L,4,0)&lt;=VLOOKUP(H2585,Dados!$X:$AB,4,0)),0,1)</f>
        <v>0</v>
      </c>
      <c r="U2585" s="4">
        <f>IF(COUNTIFS(F:F,F2585,H:H,H2585)&lt;=VLOOKUP(H2585,Dados!$X:$AB,5,0),0,1)</f>
        <v>0</v>
      </c>
    </row>
    <row r="2586" spans="6:21">
      <c r="F2586" s="4">
        <v>1113</v>
      </c>
      <c r="G2586" s="4">
        <v>16</v>
      </c>
      <c r="H2586" s="4">
        <v>3</v>
      </c>
      <c r="I2586" s="4">
        <v>9</v>
      </c>
      <c r="J2586" s="4">
        <v>1</v>
      </c>
      <c r="K2586" s="4">
        <f t="shared" si="357"/>
        <v>0</v>
      </c>
      <c r="L2586" s="4">
        <f t="shared" si="357"/>
        <v>0</v>
      </c>
      <c r="M2586" s="4">
        <f t="shared" si="357"/>
        <v>0</v>
      </c>
      <c r="N2586" s="4">
        <f t="shared" si="357"/>
        <v>0</v>
      </c>
      <c r="O2586" s="4">
        <f t="shared" si="358"/>
        <v>0</v>
      </c>
      <c r="P2586" s="4">
        <f t="shared" si="359"/>
        <v>0</v>
      </c>
      <c r="Q2586" s="4">
        <f t="shared" si="360"/>
        <v>0</v>
      </c>
      <c r="R2586" s="4">
        <f t="shared" si="361"/>
        <v>0</v>
      </c>
      <c r="S2586" s="4">
        <f>IF(AND(VLOOKUP(G2586,Dados!$D:$L,2,0)=VLOOKUP(I2586,Dados!$S:$V,2,0),VLOOKUP(G2586,Dados!$D:$L,3,0)=VLOOKUP(I2586,Dados!$S:$V,3,0)),0,1)</f>
        <v>0</v>
      </c>
      <c r="T2586" s="4">
        <f>IF(AND(VLOOKUP(G2586,Dados!$D:$L,3,0)&lt;=VLOOKUP(H2586,Dados!$X:$AB,2,0),VLOOKUP(G2586,Dados!$D:$L,4,0)&gt;=VLOOKUP(H2586,Dados!$X:$AB,3,0),VLOOKUP(G2586,Dados!$D:$L,4,0)&lt;=VLOOKUP(H2586,Dados!$X:$AB,4,0)),0,1)</f>
        <v>0</v>
      </c>
      <c r="U2586" s="4">
        <f>IF(COUNTIFS(F:F,F2586,H:H,H2586)&lt;=VLOOKUP(H2586,Dados!$X:$AB,5,0),0,1)</f>
        <v>0</v>
      </c>
    </row>
    <row r="2587" spans="6:21">
      <c r="F2587" s="4">
        <v>1113</v>
      </c>
      <c r="G2587" s="4">
        <v>17</v>
      </c>
      <c r="H2587" s="4">
        <v>3</v>
      </c>
      <c r="I2587" s="4">
        <v>9</v>
      </c>
      <c r="J2587" s="4">
        <v>1</v>
      </c>
      <c r="K2587" s="4">
        <f t="shared" si="357"/>
        <v>0</v>
      </c>
      <c r="L2587" s="4">
        <f t="shared" si="357"/>
        <v>0</v>
      </c>
      <c r="M2587" s="4">
        <f t="shared" si="357"/>
        <v>0</v>
      </c>
      <c r="N2587" s="4">
        <f t="shared" ref="K2587:N2650" si="362">SUMIFS($X:$X,$W:$W,$F2587,$Z:$Z,$I2587,$AA:$AA,$H2587,$AB:$AB,N$2)</f>
        <v>0</v>
      </c>
      <c r="O2587" s="4">
        <f t="shared" si="358"/>
        <v>0</v>
      </c>
      <c r="P2587" s="4">
        <f t="shared" si="359"/>
        <v>0</v>
      </c>
      <c r="Q2587" s="4">
        <f t="shared" si="360"/>
        <v>0</v>
      </c>
      <c r="R2587" s="4">
        <f t="shared" si="361"/>
        <v>0</v>
      </c>
      <c r="S2587" s="4">
        <f>IF(AND(VLOOKUP(G2587,Dados!$D:$L,2,0)=VLOOKUP(I2587,Dados!$S:$V,2,0),VLOOKUP(G2587,Dados!$D:$L,3,0)=VLOOKUP(I2587,Dados!$S:$V,3,0)),0,1)</f>
        <v>0</v>
      </c>
      <c r="T2587" s="4">
        <f>IF(AND(VLOOKUP(G2587,Dados!$D:$L,3,0)&lt;=VLOOKUP(H2587,Dados!$X:$AB,2,0),VLOOKUP(G2587,Dados!$D:$L,4,0)&gt;=VLOOKUP(H2587,Dados!$X:$AB,3,0),VLOOKUP(G2587,Dados!$D:$L,4,0)&lt;=VLOOKUP(H2587,Dados!$X:$AB,4,0)),0,1)</f>
        <v>0</v>
      </c>
      <c r="U2587" s="4">
        <f>IF(COUNTIFS(F:F,F2587,H:H,H2587)&lt;=VLOOKUP(H2587,Dados!$X:$AB,5,0),0,1)</f>
        <v>0</v>
      </c>
    </row>
    <row r="2588" spans="6:21">
      <c r="F2588" s="4">
        <v>1114</v>
      </c>
      <c r="G2588" s="4">
        <v>12</v>
      </c>
      <c r="H2588" s="4">
        <v>1</v>
      </c>
      <c r="I2588" s="4">
        <v>10</v>
      </c>
      <c r="J2588" s="4">
        <v>9</v>
      </c>
      <c r="K2588" s="4">
        <f t="shared" si="362"/>
        <v>0</v>
      </c>
      <c r="L2588" s="4">
        <f t="shared" si="362"/>
        <v>0</v>
      </c>
      <c r="M2588" s="4">
        <f t="shared" si="362"/>
        <v>7</v>
      </c>
      <c r="N2588" s="4">
        <f t="shared" si="362"/>
        <v>0</v>
      </c>
      <c r="O2588" s="4">
        <f t="shared" si="358"/>
        <v>0</v>
      </c>
      <c r="P2588" s="4">
        <f t="shared" si="359"/>
        <v>0</v>
      </c>
      <c r="Q2588" s="4">
        <f t="shared" si="360"/>
        <v>63</v>
      </c>
      <c r="R2588" s="4">
        <f t="shared" si="361"/>
        <v>0</v>
      </c>
      <c r="S2588" s="4">
        <f>IF(AND(VLOOKUP(G2588,Dados!$D:$L,2,0)=VLOOKUP(I2588,Dados!$S:$V,2,0),VLOOKUP(G2588,Dados!$D:$L,3,0)=VLOOKUP(I2588,Dados!$S:$V,3,0)),0,1)</f>
        <v>0</v>
      </c>
      <c r="T2588" s="4">
        <f>IF(AND(VLOOKUP(G2588,Dados!$D:$L,3,0)&lt;=VLOOKUP(H2588,Dados!$X:$AB,2,0),VLOOKUP(G2588,Dados!$D:$L,4,0)&gt;=VLOOKUP(H2588,Dados!$X:$AB,3,0),VLOOKUP(G2588,Dados!$D:$L,4,0)&lt;=VLOOKUP(H2588,Dados!$X:$AB,4,0)),0,1)</f>
        <v>0</v>
      </c>
      <c r="U2588" s="4">
        <f>IF(COUNTIFS(F:F,F2588,H:H,H2588)&lt;=VLOOKUP(H2588,Dados!$X:$AB,5,0),0,1)</f>
        <v>0</v>
      </c>
    </row>
    <row r="2589" spans="6:21">
      <c r="F2589" s="4">
        <v>1114</v>
      </c>
      <c r="G2589" s="4">
        <v>14</v>
      </c>
      <c r="H2589" s="4">
        <v>1</v>
      </c>
      <c r="I2589" s="4">
        <v>10</v>
      </c>
      <c r="J2589" s="4">
        <v>1</v>
      </c>
      <c r="K2589" s="4">
        <f t="shared" si="362"/>
        <v>0</v>
      </c>
      <c r="L2589" s="4">
        <f t="shared" si="362"/>
        <v>0</v>
      </c>
      <c r="M2589" s="4">
        <f t="shared" si="362"/>
        <v>7</v>
      </c>
      <c r="N2589" s="4">
        <f t="shared" si="362"/>
        <v>0</v>
      </c>
      <c r="O2589" s="4">
        <f t="shared" si="358"/>
        <v>0</v>
      </c>
      <c r="P2589" s="4">
        <f t="shared" si="359"/>
        <v>0</v>
      </c>
      <c r="Q2589" s="4">
        <f t="shared" si="360"/>
        <v>7</v>
      </c>
      <c r="R2589" s="4">
        <f t="shared" si="361"/>
        <v>0</v>
      </c>
      <c r="S2589" s="4">
        <f>IF(AND(VLOOKUP(G2589,Dados!$D:$L,2,0)=VLOOKUP(I2589,Dados!$S:$V,2,0),VLOOKUP(G2589,Dados!$D:$L,3,0)=VLOOKUP(I2589,Dados!$S:$V,3,0)),0,1)</f>
        <v>0</v>
      </c>
      <c r="T2589" s="4">
        <f>IF(AND(VLOOKUP(G2589,Dados!$D:$L,3,0)&lt;=VLOOKUP(H2589,Dados!$X:$AB,2,0),VLOOKUP(G2589,Dados!$D:$L,4,0)&gt;=VLOOKUP(H2589,Dados!$X:$AB,3,0),VLOOKUP(G2589,Dados!$D:$L,4,0)&lt;=VLOOKUP(H2589,Dados!$X:$AB,4,0)),0,1)</f>
        <v>0</v>
      </c>
      <c r="U2589" s="4">
        <f>IF(COUNTIFS(F:F,F2589,H:H,H2589)&lt;=VLOOKUP(H2589,Dados!$X:$AB,5,0),0,1)</f>
        <v>0</v>
      </c>
    </row>
    <row r="2590" spans="6:21">
      <c r="F2590" s="4">
        <v>1114</v>
      </c>
      <c r="G2590" s="4">
        <v>17</v>
      </c>
      <c r="H2590" s="4">
        <v>1</v>
      </c>
      <c r="I2590" s="4">
        <v>10</v>
      </c>
      <c r="J2590" s="4">
        <v>1</v>
      </c>
      <c r="K2590" s="4">
        <f t="shared" si="362"/>
        <v>0</v>
      </c>
      <c r="L2590" s="4">
        <f t="shared" si="362"/>
        <v>0</v>
      </c>
      <c r="M2590" s="4">
        <f t="shared" si="362"/>
        <v>7</v>
      </c>
      <c r="N2590" s="4">
        <f t="shared" si="362"/>
        <v>0</v>
      </c>
      <c r="O2590" s="4">
        <f t="shared" si="358"/>
        <v>0</v>
      </c>
      <c r="P2590" s="4">
        <f t="shared" si="359"/>
        <v>0</v>
      </c>
      <c r="Q2590" s="4">
        <f t="shared" si="360"/>
        <v>7</v>
      </c>
      <c r="R2590" s="4">
        <f t="shared" si="361"/>
        <v>0</v>
      </c>
      <c r="S2590" s="4">
        <f>IF(AND(VLOOKUP(G2590,Dados!$D:$L,2,0)=VLOOKUP(I2590,Dados!$S:$V,2,0),VLOOKUP(G2590,Dados!$D:$L,3,0)=VLOOKUP(I2590,Dados!$S:$V,3,0)),0,1)</f>
        <v>0</v>
      </c>
      <c r="T2590" s="4">
        <f>IF(AND(VLOOKUP(G2590,Dados!$D:$L,3,0)&lt;=VLOOKUP(H2590,Dados!$X:$AB,2,0),VLOOKUP(G2590,Dados!$D:$L,4,0)&gt;=VLOOKUP(H2590,Dados!$X:$AB,3,0),VLOOKUP(G2590,Dados!$D:$L,4,0)&lt;=VLOOKUP(H2590,Dados!$X:$AB,4,0)),0,1)</f>
        <v>0</v>
      </c>
      <c r="U2590" s="4">
        <f>IF(COUNTIFS(F:F,F2590,H:H,H2590)&lt;=VLOOKUP(H2590,Dados!$X:$AB,5,0),0,1)</f>
        <v>0</v>
      </c>
    </row>
    <row r="2591" spans="6:21">
      <c r="F2591" s="4">
        <v>1115</v>
      </c>
      <c r="G2591" s="4">
        <v>12</v>
      </c>
      <c r="H2591" s="4">
        <v>3</v>
      </c>
      <c r="I2591" s="4">
        <v>10</v>
      </c>
      <c r="J2591" s="4">
        <v>9</v>
      </c>
      <c r="K2591" s="4">
        <f t="shared" si="362"/>
        <v>0</v>
      </c>
      <c r="L2591" s="4">
        <f t="shared" si="362"/>
        <v>0</v>
      </c>
      <c r="M2591" s="4">
        <f t="shared" si="362"/>
        <v>0</v>
      </c>
      <c r="N2591" s="4">
        <f t="shared" si="362"/>
        <v>0</v>
      </c>
      <c r="O2591" s="4">
        <f t="shared" si="358"/>
        <v>0</v>
      </c>
      <c r="P2591" s="4">
        <f t="shared" si="359"/>
        <v>0</v>
      </c>
      <c r="Q2591" s="4">
        <f t="shared" si="360"/>
        <v>0</v>
      </c>
      <c r="R2591" s="4">
        <f t="shared" si="361"/>
        <v>0</v>
      </c>
      <c r="S2591" s="4">
        <f>IF(AND(VLOOKUP(G2591,Dados!$D:$L,2,0)=VLOOKUP(I2591,Dados!$S:$V,2,0),VLOOKUP(G2591,Dados!$D:$L,3,0)=VLOOKUP(I2591,Dados!$S:$V,3,0)),0,1)</f>
        <v>0</v>
      </c>
      <c r="T2591" s="4">
        <f>IF(AND(VLOOKUP(G2591,Dados!$D:$L,3,0)&lt;=VLOOKUP(H2591,Dados!$X:$AB,2,0),VLOOKUP(G2591,Dados!$D:$L,4,0)&gt;=VLOOKUP(H2591,Dados!$X:$AB,3,0),VLOOKUP(G2591,Dados!$D:$L,4,0)&lt;=VLOOKUP(H2591,Dados!$X:$AB,4,0)),0,1)</f>
        <v>0</v>
      </c>
      <c r="U2591" s="4">
        <f>IF(COUNTIFS(F:F,F2591,H:H,H2591)&lt;=VLOOKUP(H2591,Dados!$X:$AB,5,0),0,1)</f>
        <v>0</v>
      </c>
    </row>
    <row r="2592" spans="6:21">
      <c r="F2592" s="4">
        <v>1115</v>
      </c>
      <c r="G2592" s="4">
        <v>14</v>
      </c>
      <c r="H2592" s="4">
        <v>3</v>
      </c>
      <c r="I2592" s="4">
        <v>10</v>
      </c>
      <c r="J2592" s="4">
        <v>1</v>
      </c>
      <c r="K2592" s="4">
        <f t="shared" si="362"/>
        <v>0</v>
      </c>
      <c r="L2592" s="4">
        <f t="shared" si="362"/>
        <v>0</v>
      </c>
      <c r="M2592" s="4">
        <f t="shared" si="362"/>
        <v>0</v>
      </c>
      <c r="N2592" s="4">
        <f t="shared" si="362"/>
        <v>0</v>
      </c>
      <c r="O2592" s="4">
        <f t="shared" si="358"/>
        <v>0</v>
      </c>
      <c r="P2592" s="4">
        <f t="shared" si="359"/>
        <v>0</v>
      </c>
      <c r="Q2592" s="4">
        <f t="shared" si="360"/>
        <v>0</v>
      </c>
      <c r="R2592" s="4">
        <f t="shared" si="361"/>
        <v>0</v>
      </c>
      <c r="S2592" s="4">
        <f>IF(AND(VLOOKUP(G2592,Dados!$D:$L,2,0)=VLOOKUP(I2592,Dados!$S:$V,2,0),VLOOKUP(G2592,Dados!$D:$L,3,0)=VLOOKUP(I2592,Dados!$S:$V,3,0)),0,1)</f>
        <v>0</v>
      </c>
      <c r="T2592" s="4">
        <f>IF(AND(VLOOKUP(G2592,Dados!$D:$L,3,0)&lt;=VLOOKUP(H2592,Dados!$X:$AB,2,0),VLOOKUP(G2592,Dados!$D:$L,4,0)&gt;=VLOOKUP(H2592,Dados!$X:$AB,3,0),VLOOKUP(G2592,Dados!$D:$L,4,0)&lt;=VLOOKUP(H2592,Dados!$X:$AB,4,0)),0,1)</f>
        <v>0</v>
      </c>
      <c r="U2592" s="4">
        <f>IF(COUNTIFS(F:F,F2592,H:H,H2592)&lt;=VLOOKUP(H2592,Dados!$X:$AB,5,0),0,1)</f>
        <v>0</v>
      </c>
    </row>
    <row r="2593" spans="6:21">
      <c r="F2593" s="4">
        <v>1115</v>
      </c>
      <c r="G2593" s="4">
        <v>17</v>
      </c>
      <c r="H2593" s="4">
        <v>3</v>
      </c>
      <c r="I2593" s="4">
        <v>10</v>
      </c>
      <c r="J2593" s="4">
        <v>1</v>
      </c>
      <c r="K2593" s="4">
        <f t="shared" si="362"/>
        <v>0</v>
      </c>
      <c r="L2593" s="4">
        <f t="shared" si="362"/>
        <v>0</v>
      </c>
      <c r="M2593" s="4">
        <f t="shared" si="362"/>
        <v>0</v>
      </c>
      <c r="N2593" s="4">
        <f t="shared" si="362"/>
        <v>0</v>
      </c>
      <c r="O2593" s="4">
        <f t="shared" si="358"/>
        <v>0</v>
      </c>
      <c r="P2593" s="4">
        <f t="shared" si="359"/>
        <v>0</v>
      </c>
      <c r="Q2593" s="4">
        <f t="shared" si="360"/>
        <v>0</v>
      </c>
      <c r="R2593" s="4">
        <f t="shared" si="361"/>
        <v>0</v>
      </c>
      <c r="S2593" s="4">
        <f>IF(AND(VLOOKUP(G2593,Dados!$D:$L,2,0)=VLOOKUP(I2593,Dados!$S:$V,2,0),VLOOKUP(G2593,Dados!$D:$L,3,0)=VLOOKUP(I2593,Dados!$S:$V,3,0)),0,1)</f>
        <v>0</v>
      </c>
      <c r="T2593" s="4">
        <f>IF(AND(VLOOKUP(G2593,Dados!$D:$L,3,0)&lt;=VLOOKUP(H2593,Dados!$X:$AB,2,0),VLOOKUP(G2593,Dados!$D:$L,4,0)&gt;=VLOOKUP(H2593,Dados!$X:$AB,3,0),VLOOKUP(G2593,Dados!$D:$L,4,0)&lt;=VLOOKUP(H2593,Dados!$X:$AB,4,0)),0,1)</f>
        <v>0</v>
      </c>
      <c r="U2593" s="4">
        <f>IF(COUNTIFS(F:F,F2593,H:H,H2593)&lt;=VLOOKUP(H2593,Dados!$X:$AB,5,0),0,1)</f>
        <v>0</v>
      </c>
    </row>
    <row r="2594" spans="6:21">
      <c r="F2594" s="4">
        <v>1116</v>
      </c>
      <c r="G2594" s="4">
        <v>12</v>
      </c>
      <c r="H2594" s="4">
        <v>1</v>
      </c>
      <c r="I2594" s="4">
        <v>9</v>
      </c>
      <c r="J2594" s="4">
        <v>1</v>
      </c>
      <c r="K2594" s="4">
        <f t="shared" si="362"/>
        <v>0</v>
      </c>
      <c r="L2594" s="4">
        <f t="shared" si="362"/>
        <v>0</v>
      </c>
      <c r="M2594" s="4">
        <f t="shared" si="362"/>
        <v>0</v>
      </c>
      <c r="N2594" s="4">
        <f t="shared" si="362"/>
        <v>0</v>
      </c>
      <c r="O2594" s="4">
        <f t="shared" si="358"/>
        <v>0</v>
      </c>
      <c r="P2594" s="4">
        <f t="shared" si="359"/>
        <v>0</v>
      </c>
      <c r="Q2594" s="4">
        <f t="shared" si="360"/>
        <v>0</v>
      </c>
      <c r="R2594" s="4">
        <f t="shared" si="361"/>
        <v>0</v>
      </c>
      <c r="S2594" s="4">
        <f>IF(AND(VLOOKUP(G2594,Dados!$D:$L,2,0)=VLOOKUP(I2594,Dados!$S:$V,2,0),VLOOKUP(G2594,Dados!$D:$L,3,0)=VLOOKUP(I2594,Dados!$S:$V,3,0)),0,1)</f>
        <v>0</v>
      </c>
      <c r="T2594" s="4">
        <f>IF(AND(VLOOKUP(G2594,Dados!$D:$L,3,0)&lt;=VLOOKUP(H2594,Dados!$X:$AB,2,0),VLOOKUP(G2594,Dados!$D:$L,4,0)&gt;=VLOOKUP(H2594,Dados!$X:$AB,3,0),VLOOKUP(G2594,Dados!$D:$L,4,0)&lt;=VLOOKUP(H2594,Dados!$X:$AB,4,0)),0,1)</f>
        <v>0</v>
      </c>
      <c r="U2594" s="4">
        <f>IF(COUNTIFS(F:F,F2594,H:H,H2594)&lt;=VLOOKUP(H2594,Dados!$X:$AB,5,0),0,1)</f>
        <v>0</v>
      </c>
    </row>
    <row r="2595" spans="6:21">
      <c r="F2595" s="4">
        <v>1116</v>
      </c>
      <c r="G2595" s="4">
        <v>13</v>
      </c>
      <c r="H2595" s="4">
        <v>1</v>
      </c>
      <c r="I2595" s="4">
        <v>9</v>
      </c>
      <c r="J2595" s="4">
        <v>1</v>
      </c>
      <c r="K2595" s="4">
        <f t="shared" si="362"/>
        <v>0</v>
      </c>
      <c r="L2595" s="4">
        <f t="shared" si="362"/>
        <v>0</v>
      </c>
      <c r="M2595" s="4">
        <f t="shared" si="362"/>
        <v>0</v>
      </c>
      <c r="N2595" s="4">
        <f t="shared" si="362"/>
        <v>0</v>
      </c>
      <c r="O2595" s="4">
        <f t="shared" si="358"/>
        <v>0</v>
      </c>
      <c r="P2595" s="4">
        <f t="shared" si="359"/>
        <v>0</v>
      </c>
      <c r="Q2595" s="4">
        <f t="shared" si="360"/>
        <v>0</v>
      </c>
      <c r="R2595" s="4">
        <f t="shared" si="361"/>
        <v>0</v>
      </c>
      <c r="S2595" s="4">
        <f>IF(AND(VLOOKUP(G2595,Dados!$D:$L,2,0)=VLOOKUP(I2595,Dados!$S:$V,2,0),VLOOKUP(G2595,Dados!$D:$L,3,0)=VLOOKUP(I2595,Dados!$S:$V,3,0)),0,1)</f>
        <v>0</v>
      </c>
      <c r="T2595" s="4">
        <f>IF(AND(VLOOKUP(G2595,Dados!$D:$L,3,0)&lt;=VLOOKUP(H2595,Dados!$X:$AB,2,0),VLOOKUP(G2595,Dados!$D:$L,4,0)&gt;=VLOOKUP(H2595,Dados!$X:$AB,3,0),VLOOKUP(G2595,Dados!$D:$L,4,0)&lt;=VLOOKUP(H2595,Dados!$X:$AB,4,0)),0,1)</f>
        <v>0</v>
      </c>
      <c r="U2595" s="4">
        <f>IF(COUNTIFS(F:F,F2595,H:H,H2595)&lt;=VLOOKUP(H2595,Dados!$X:$AB,5,0),0,1)</f>
        <v>0</v>
      </c>
    </row>
    <row r="2596" spans="6:21">
      <c r="F2596" s="4">
        <v>1116</v>
      </c>
      <c r="G2596" s="4">
        <v>17</v>
      </c>
      <c r="H2596" s="4">
        <v>1</v>
      </c>
      <c r="I2596" s="4">
        <v>9</v>
      </c>
      <c r="J2596" s="4">
        <v>10</v>
      </c>
      <c r="K2596" s="4">
        <f t="shared" si="362"/>
        <v>0</v>
      </c>
      <c r="L2596" s="4">
        <f t="shared" si="362"/>
        <v>0</v>
      </c>
      <c r="M2596" s="4">
        <f t="shared" si="362"/>
        <v>0</v>
      </c>
      <c r="N2596" s="4">
        <f t="shared" si="362"/>
        <v>0</v>
      </c>
      <c r="O2596" s="4">
        <f t="shared" si="358"/>
        <v>0</v>
      </c>
      <c r="P2596" s="4">
        <f t="shared" si="359"/>
        <v>0</v>
      </c>
      <c r="Q2596" s="4">
        <f t="shared" si="360"/>
        <v>0</v>
      </c>
      <c r="R2596" s="4">
        <f t="shared" si="361"/>
        <v>0</v>
      </c>
      <c r="S2596" s="4">
        <f>IF(AND(VLOOKUP(G2596,Dados!$D:$L,2,0)=VLOOKUP(I2596,Dados!$S:$V,2,0),VLOOKUP(G2596,Dados!$D:$L,3,0)=VLOOKUP(I2596,Dados!$S:$V,3,0)),0,1)</f>
        <v>0</v>
      </c>
      <c r="T2596" s="4">
        <f>IF(AND(VLOOKUP(G2596,Dados!$D:$L,3,0)&lt;=VLOOKUP(H2596,Dados!$X:$AB,2,0),VLOOKUP(G2596,Dados!$D:$L,4,0)&gt;=VLOOKUP(H2596,Dados!$X:$AB,3,0),VLOOKUP(G2596,Dados!$D:$L,4,0)&lt;=VLOOKUP(H2596,Dados!$X:$AB,4,0)),0,1)</f>
        <v>0</v>
      </c>
      <c r="U2596" s="4">
        <f>IF(COUNTIFS(F:F,F2596,H:H,H2596)&lt;=VLOOKUP(H2596,Dados!$X:$AB,5,0),0,1)</f>
        <v>0</v>
      </c>
    </row>
    <row r="2597" spans="6:21">
      <c r="F2597" s="4">
        <v>1117</v>
      </c>
      <c r="G2597" s="4">
        <v>12</v>
      </c>
      <c r="H2597" s="4">
        <v>3</v>
      </c>
      <c r="I2597" s="4">
        <v>9</v>
      </c>
      <c r="J2597" s="4">
        <v>1</v>
      </c>
      <c r="K2597" s="4">
        <f t="shared" si="362"/>
        <v>0</v>
      </c>
      <c r="L2597" s="4">
        <f t="shared" si="362"/>
        <v>0</v>
      </c>
      <c r="M2597" s="4">
        <f t="shared" si="362"/>
        <v>0</v>
      </c>
      <c r="N2597" s="4">
        <f t="shared" si="362"/>
        <v>0</v>
      </c>
      <c r="O2597" s="4">
        <f t="shared" si="358"/>
        <v>0</v>
      </c>
      <c r="P2597" s="4">
        <f t="shared" si="359"/>
        <v>0</v>
      </c>
      <c r="Q2597" s="4">
        <f t="shared" si="360"/>
        <v>0</v>
      </c>
      <c r="R2597" s="4">
        <f t="shared" si="361"/>
        <v>0</v>
      </c>
      <c r="S2597" s="4">
        <f>IF(AND(VLOOKUP(G2597,Dados!$D:$L,2,0)=VLOOKUP(I2597,Dados!$S:$V,2,0),VLOOKUP(G2597,Dados!$D:$L,3,0)=VLOOKUP(I2597,Dados!$S:$V,3,0)),0,1)</f>
        <v>0</v>
      </c>
      <c r="T2597" s="4">
        <f>IF(AND(VLOOKUP(G2597,Dados!$D:$L,3,0)&lt;=VLOOKUP(H2597,Dados!$X:$AB,2,0),VLOOKUP(G2597,Dados!$D:$L,4,0)&gt;=VLOOKUP(H2597,Dados!$X:$AB,3,0),VLOOKUP(G2597,Dados!$D:$L,4,0)&lt;=VLOOKUP(H2597,Dados!$X:$AB,4,0)),0,1)</f>
        <v>0</v>
      </c>
      <c r="U2597" s="4">
        <f>IF(COUNTIFS(F:F,F2597,H:H,H2597)&lt;=VLOOKUP(H2597,Dados!$X:$AB,5,0),0,1)</f>
        <v>0</v>
      </c>
    </row>
    <row r="2598" spans="6:21">
      <c r="F2598" s="4">
        <v>1117</v>
      </c>
      <c r="G2598" s="4">
        <v>13</v>
      </c>
      <c r="H2598" s="4">
        <v>3</v>
      </c>
      <c r="I2598" s="4">
        <v>9</v>
      </c>
      <c r="J2598" s="4">
        <v>1</v>
      </c>
      <c r="K2598" s="4">
        <f t="shared" si="362"/>
        <v>0</v>
      </c>
      <c r="L2598" s="4">
        <f t="shared" si="362"/>
        <v>0</v>
      </c>
      <c r="M2598" s="4">
        <f t="shared" si="362"/>
        <v>0</v>
      </c>
      <c r="N2598" s="4">
        <f t="shared" si="362"/>
        <v>0</v>
      </c>
      <c r="O2598" s="4">
        <f t="shared" si="358"/>
        <v>0</v>
      </c>
      <c r="P2598" s="4">
        <f t="shared" si="359"/>
        <v>0</v>
      </c>
      <c r="Q2598" s="4">
        <f t="shared" si="360"/>
        <v>0</v>
      </c>
      <c r="R2598" s="4">
        <f t="shared" si="361"/>
        <v>0</v>
      </c>
      <c r="S2598" s="4">
        <f>IF(AND(VLOOKUP(G2598,Dados!$D:$L,2,0)=VLOOKUP(I2598,Dados!$S:$V,2,0),VLOOKUP(G2598,Dados!$D:$L,3,0)=VLOOKUP(I2598,Dados!$S:$V,3,0)),0,1)</f>
        <v>0</v>
      </c>
      <c r="T2598" s="4">
        <f>IF(AND(VLOOKUP(G2598,Dados!$D:$L,3,0)&lt;=VLOOKUP(H2598,Dados!$X:$AB,2,0),VLOOKUP(G2598,Dados!$D:$L,4,0)&gt;=VLOOKUP(H2598,Dados!$X:$AB,3,0),VLOOKUP(G2598,Dados!$D:$L,4,0)&lt;=VLOOKUP(H2598,Dados!$X:$AB,4,0)),0,1)</f>
        <v>0</v>
      </c>
      <c r="U2598" s="4">
        <f>IF(COUNTIFS(F:F,F2598,H:H,H2598)&lt;=VLOOKUP(H2598,Dados!$X:$AB,5,0),0,1)</f>
        <v>0</v>
      </c>
    </row>
    <row r="2599" spans="6:21">
      <c r="F2599" s="4">
        <v>1117</v>
      </c>
      <c r="G2599" s="4">
        <v>17</v>
      </c>
      <c r="H2599" s="4">
        <v>3</v>
      </c>
      <c r="I2599" s="4">
        <v>9</v>
      </c>
      <c r="J2599" s="4">
        <v>10</v>
      </c>
      <c r="K2599" s="4">
        <f t="shared" si="362"/>
        <v>0</v>
      </c>
      <c r="L2599" s="4">
        <f t="shared" si="362"/>
        <v>0</v>
      </c>
      <c r="M2599" s="4">
        <f t="shared" si="362"/>
        <v>0</v>
      </c>
      <c r="N2599" s="4">
        <f t="shared" si="362"/>
        <v>0</v>
      </c>
      <c r="O2599" s="4">
        <f t="shared" ref="O2599:O2662" si="363">$J2599*K2599</f>
        <v>0</v>
      </c>
      <c r="P2599" s="4">
        <f t="shared" ref="P2599:P2662" si="364">$J2599*L2599</f>
        <v>0</v>
      </c>
      <c r="Q2599" s="4">
        <f t="shared" ref="Q2599:Q2662" si="365">$J2599*M2599</f>
        <v>0</v>
      </c>
      <c r="R2599" s="4">
        <f t="shared" ref="R2599:R2662" si="366">$J2599*N2599</f>
        <v>0</v>
      </c>
      <c r="S2599" s="4">
        <f>IF(AND(VLOOKUP(G2599,Dados!$D:$L,2,0)=VLOOKUP(I2599,Dados!$S:$V,2,0),VLOOKUP(G2599,Dados!$D:$L,3,0)=VLOOKUP(I2599,Dados!$S:$V,3,0)),0,1)</f>
        <v>0</v>
      </c>
      <c r="T2599" s="4">
        <f>IF(AND(VLOOKUP(G2599,Dados!$D:$L,3,0)&lt;=VLOOKUP(H2599,Dados!$X:$AB,2,0),VLOOKUP(G2599,Dados!$D:$L,4,0)&gt;=VLOOKUP(H2599,Dados!$X:$AB,3,0),VLOOKUP(G2599,Dados!$D:$L,4,0)&lt;=VLOOKUP(H2599,Dados!$X:$AB,4,0)),0,1)</f>
        <v>0</v>
      </c>
      <c r="U2599" s="4">
        <f>IF(COUNTIFS(F:F,F2599,H:H,H2599)&lt;=VLOOKUP(H2599,Dados!$X:$AB,5,0),0,1)</f>
        <v>0</v>
      </c>
    </row>
    <row r="2600" spans="6:21">
      <c r="F2600" s="4">
        <v>1118</v>
      </c>
      <c r="G2600" s="4">
        <v>31</v>
      </c>
      <c r="H2600" s="4">
        <v>1</v>
      </c>
      <c r="I2600" s="4">
        <v>16</v>
      </c>
      <c r="J2600" s="4">
        <v>1</v>
      </c>
      <c r="K2600" s="4">
        <f t="shared" si="362"/>
        <v>0</v>
      </c>
      <c r="L2600" s="4">
        <f t="shared" si="362"/>
        <v>0</v>
      </c>
      <c r="M2600" s="4">
        <f t="shared" si="362"/>
        <v>0</v>
      </c>
      <c r="N2600" s="4">
        <f t="shared" si="362"/>
        <v>0</v>
      </c>
      <c r="O2600" s="4">
        <f t="shared" si="363"/>
        <v>0</v>
      </c>
      <c r="P2600" s="4">
        <f t="shared" si="364"/>
        <v>0</v>
      </c>
      <c r="Q2600" s="4">
        <f t="shared" si="365"/>
        <v>0</v>
      </c>
      <c r="R2600" s="4">
        <f t="shared" si="366"/>
        <v>0</v>
      </c>
      <c r="S2600" s="4">
        <f>IF(AND(VLOOKUP(G2600,Dados!$D:$L,2,0)=VLOOKUP(I2600,Dados!$S:$V,2,0),VLOOKUP(G2600,Dados!$D:$L,3,0)=VLOOKUP(I2600,Dados!$S:$V,3,0)),0,1)</f>
        <v>0</v>
      </c>
      <c r="T2600" s="4">
        <f>IF(AND(VLOOKUP(G2600,Dados!$D:$L,3,0)&lt;=VLOOKUP(H2600,Dados!$X:$AB,2,0),VLOOKUP(G2600,Dados!$D:$L,4,0)&gt;=VLOOKUP(H2600,Dados!$X:$AB,3,0),VLOOKUP(G2600,Dados!$D:$L,4,0)&lt;=VLOOKUP(H2600,Dados!$X:$AB,4,0)),0,1)</f>
        <v>0</v>
      </c>
      <c r="U2600" s="4">
        <f>IF(COUNTIFS(F:F,F2600,H:H,H2600)&lt;=VLOOKUP(H2600,Dados!$X:$AB,5,0),0,1)</f>
        <v>0</v>
      </c>
    </row>
    <row r="2601" spans="6:21">
      <c r="F2601" s="4">
        <v>1118</v>
      </c>
      <c r="G2601" s="4">
        <v>34</v>
      </c>
      <c r="H2601" s="4">
        <v>1</v>
      </c>
      <c r="I2601" s="4">
        <v>16</v>
      </c>
      <c r="J2601" s="4">
        <v>4</v>
      </c>
      <c r="K2601" s="4">
        <f t="shared" si="362"/>
        <v>0</v>
      </c>
      <c r="L2601" s="4">
        <f t="shared" si="362"/>
        <v>0</v>
      </c>
      <c r="M2601" s="4">
        <f t="shared" si="362"/>
        <v>0</v>
      </c>
      <c r="N2601" s="4">
        <f t="shared" si="362"/>
        <v>0</v>
      </c>
      <c r="O2601" s="4">
        <f t="shared" si="363"/>
        <v>0</v>
      </c>
      <c r="P2601" s="4">
        <f t="shared" si="364"/>
        <v>0</v>
      </c>
      <c r="Q2601" s="4">
        <f t="shared" si="365"/>
        <v>0</v>
      </c>
      <c r="R2601" s="4">
        <f t="shared" si="366"/>
        <v>0</v>
      </c>
      <c r="S2601" s="4">
        <f>IF(AND(VLOOKUP(G2601,Dados!$D:$L,2,0)=VLOOKUP(I2601,Dados!$S:$V,2,0),VLOOKUP(G2601,Dados!$D:$L,3,0)=VLOOKUP(I2601,Dados!$S:$V,3,0)),0,1)</f>
        <v>0</v>
      </c>
      <c r="T2601" s="4">
        <f>IF(AND(VLOOKUP(G2601,Dados!$D:$L,3,0)&lt;=VLOOKUP(H2601,Dados!$X:$AB,2,0),VLOOKUP(G2601,Dados!$D:$L,4,0)&gt;=VLOOKUP(H2601,Dados!$X:$AB,3,0),VLOOKUP(G2601,Dados!$D:$L,4,0)&lt;=VLOOKUP(H2601,Dados!$X:$AB,4,0)),0,1)</f>
        <v>0</v>
      </c>
      <c r="U2601" s="4">
        <f>IF(COUNTIFS(F:F,F2601,H:H,H2601)&lt;=VLOOKUP(H2601,Dados!$X:$AB,5,0),0,1)</f>
        <v>0</v>
      </c>
    </row>
    <row r="2602" spans="6:21">
      <c r="F2602" s="4">
        <v>1118</v>
      </c>
      <c r="G2602" s="4">
        <v>35</v>
      </c>
      <c r="H2602" s="4">
        <v>1</v>
      </c>
      <c r="I2602" s="4">
        <v>16</v>
      </c>
      <c r="J2602" s="4">
        <v>2</v>
      </c>
      <c r="K2602" s="4">
        <f t="shared" si="362"/>
        <v>0</v>
      </c>
      <c r="L2602" s="4">
        <f t="shared" si="362"/>
        <v>0</v>
      </c>
      <c r="M2602" s="4">
        <f t="shared" si="362"/>
        <v>0</v>
      </c>
      <c r="N2602" s="4">
        <f t="shared" si="362"/>
        <v>0</v>
      </c>
      <c r="O2602" s="4">
        <f t="shared" si="363"/>
        <v>0</v>
      </c>
      <c r="P2602" s="4">
        <f t="shared" si="364"/>
        <v>0</v>
      </c>
      <c r="Q2602" s="4">
        <f t="shared" si="365"/>
        <v>0</v>
      </c>
      <c r="R2602" s="4">
        <f t="shared" si="366"/>
        <v>0</v>
      </c>
      <c r="S2602" s="4">
        <f>IF(AND(VLOOKUP(G2602,Dados!$D:$L,2,0)=VLOOKUP(I2602,Dados!$S:$V,2,0),VLOOKUP(G2602,Dados!$D:$L,3,0)=VLOOKUP(I2602,Dados!$S:$V,3,0)),0,1)</f>
        <v>0</v>
      </c>
      <c r="T2602" s="4">
        <f>IF(AND(VLOOKUP(G2602,Dados!$D:$L,3,0)&lt;=VLOOKUP(H2602,Dados!$X:$AB,2,0),VLOOKUP(G2602,Dados!$D:$L,4,0)&gt;=VLOOKUP(H2602,Dados!$X:$AB,3,0),VLOOKUP(G2602,Dados!$D:$L,4,0)&lt;=VLOOKUP(H2602,Dados!$X:$AB,4,0)),0,1)</f>
        <v>0</v>
      </c>
      <c r="U2602" s="4">
        <f>IF(COUNTIFS(F:F,F2602,H:H,H2602)&lt;=VLOOKUP(H2602,Dados!$X:$AB,5,0),0,1)</f>
        <v>0</v>
      </c>
    </row>
    <row r="2603" spans="6:21">
      <c r="F2603" s="4">
        <v>1119</v>
      </c>
      <c r="G2603" s="4">
        <v>31</v>
      </c>
      <c r="H2603" s="4">
        <v>2</v>
      </c>
      <c r="I2603" s="4">
        <v>16</v>
      </c>
      <c r="J2603" s="4">
        <v>1</v>
      </c>
      <c r="K2603" s="4">
        <f t="shared" si="362"/>
        <v>0</v>
      </c>
      <c r="L2603" s="4">
        <f t="shared" si="362"/>
        <v>0</v>
      </c>
      <c r="M2603" s="4">
        <f t="shared" si="362"/>
        <v>4</v>
      </c>
      <c r="N2603" s="4">
        <f t="shared" si="362"/>
        <v>0</v>
      </c>
      <c r="O2603" s="4">
        <f t="shared" si="363"/>
        <v>0</v>
      </c>
      <c r="P2603" s="4">
        <f t="shared" si="364"/>
        <v>0</v>
      </c>
      <c r="Q2603" s="4">
        <f t="shared" si="365"/>
        <v>4</v>
      </c>
      <c r="R2603" s="4">
        <f t="shared" si="366"/>
        <v>0</v>
      </c>
      <c r="S2603" s="4">
        <f>IF(AND(VLOOKUP(G2603,Dados!$D:$L,2,0)=VLOOKUP(I2603,Dados!$S:$V,2,0),VLOOKUP(G2603,Dados!$D:$L,3,0)=VLOOKUP(I2603,Dados!$S:$V,3,0)),0,1)</f>
        <v>0</v>
      </c>
      <c r="T2603" s="4">
        <f>IF(AND(VLOOKUP(G2603,Dados!$D:$L,3,0)&lt;=VLOOKUP(H2603,Dados!$X:$AB,2,0),VLOOKUP(G2603,Dados!$D:$L,4,0)&gt;=VLOOKUP(H2603,Dados!$X:$AB,3,0),VLOOKUP(G2603,Dados!$D:$L,4,0)&lt;=VLOOKUP(H2603,Dados!$X:$AB,4,0)),0,1)</f>
        <v>0</v>
      </c>
      <c r="U2603" s="4">
        <f>IF(COUNTIFS(F:F,F2603,H:H,H2603)&lt;=VLOOKUP(H2603,Dados!$X:$AB,5,0),0,1)</f>
        <v>0</v>
      </c>
    </row>
    <row r="2604" spans="6:21">
      <c r="F2604" s="4">
        <v>1119</v>
      </c>
      <c r="G2604" s="4">
        <v>34</v>
      </c>
      <c r="H2604" s="4">
        <v>2</v>
      </c>
      <c r="I2604" s="4">
        <v>16</v>
      </c>
      <c r="J2604" s="4">
        <v>4</v>
      </c>
      <c r="K2604" s="4">
        <f t="shared" si="362"/>
        <v>0</v>
      </c>
      <c r="L2604" s="4">
        <f t="shared" si="362"/>
        <v>0</v>
      </c>
      <c r="M2604" s="4">
        <f t="shared" si="362"/>
        <v>4</v>
      </c>
      <c r="N2604" s="4">
        <f t="shared" si="362"/>
        <v>0</v>
      </c>
      <c r="O2604" s="4">
        <f t="shared" si="363"/>
        <v>0</v>
      </c>
      <c r="P2604" s="4">
        <f t="shared" si="364"/>
        <v>0</v>
      </c>
      <c r="Q2604" s="4">
        <f t="shared" si="365"/>
        <v>16</v>
      </c>
      <c r="R2604" s="4">
        <f t="shared" si="366"/>
        <v>0</v>
      </c>
      <c r="S2604" s="4">
        <f>IF(AND(VLOOKUP(G2604,Dados!$D:$L,2,0)=VLOOKUP(I2604,Dados!$S:$V,2,0),VLOOKUP(G2604,Dados!$D:$L,3,0)=VLOOKUP(I2604,Dados!$S:$V,3,0)),0,1)</f>
        <v>0</v>
      </c>
      <c r="T2604" s="4">
        <f>IF(AND(VLOOKUP(G2604,Dados!$D:$L,3,0)&lt;=VLOOKUP(H2604,Dados!$X:$AB,2,0),VLOOKUP(G2604,Dados!$D:$L,4,0)&gt;=VLOOKUP(H2604,Dados!$X:$AB,3,0),VLOOKUP(G2604,Dados!$D:$L,4,0)&lt;=VLOOKUP(H2604,Dados!$X:$AB,4,0)),0,1)</f>
        <v>0</v>
      </c>
      <c r="U2604" s="4">
        <f>IF(COUNTIFS(F:F,F2604,H:H,H2604)&lt;=VLOOKUP(H2604,Dados!$X:$AB,5,0),0,1)</f>
        <v>0</v>
      </c>
    </row>
    <row r="2605" spans="6:21">
      <c r="F2605" s="4">
        <v>1119</v>
      </c>
      <c r="G2605" s="4">
        <v>35</v>
      </c>
      <c r="H2605" s="4">
        <v>2</v>
      </c>
      <c r="I2605" s="4">
        <v>16</v>
      </c>
      <c r="J2605" s="4">
        <v>2</v>
      </c>
      <c r="K2605" s="4">
        <f t="shared" si="362"/>
        <v>0</v>
      </c>
      <c r="L2605" s="4">
        <f t="shared" si="362"/>
        <v>0</v>
      </c>
      <c r="M2605" s="4">
        <f t="shared" si="362"/>
        <v>4</v>
      </c>
      <c r="N2605" s="4">
        <f t="shared" si="362"/>
        <v>0</v>
      </c>
      <c r="O2605" s="4">
        <f t="shared" si="363"/>
        <v>0</v>
      </c>
      <c r="P2605" s="4">
        <f t="shared" si="364"/>
        <v>0</v>
      </c>
      <c r="Q2605" s="4">
        <f t="shared" si="365"/>
        <v>8</v>
      </c>
      <c r="R2605" s="4">
        <f t="shared" si="366"/>
        <v>0</v>
      </c>
      <c r="S2605" s="4">
        <f>IF(AND(VLOOKUP(G2605,Dados!$D:$L,2,0)=VLOOKUP(I2605,Dados!$S:$V,2,0),VLOOKUP(G2605,Dados!$D:$L,3,0)=VLOOKUP(I2605,Dados!$S:$V,3,0)),0,1)</f>
        <v>0</v>
      </c>
      <c r="T2605" s="4">
        <f>IF(AND(VLOOKUP(G2605,Dados!$D:$L,3,0)&lt;=VLOOKUP(H2605,Dados!$X:$AB,2,0),VLOOKUP(G2605,Dados!$D:$L,4,0)&gt;=VLOOKUP(H2605,Dados!$X:$AB,3,0),VLOOKUP(G2605,Dados!$D:$L,4,0)&lt;=VLOOKUP(H2605,Dados!$X:$AB,4,0)),0,1)</f>
        <v>0</v>
      </c>
      <c r="U2605" s="4">
        <f>IF(COUNTIFS(F:F,F2605,H:H,H2605)&lt;=VLOOKUP(H2605,Dados!$X:$AB,5,0),0,1)</f>
        <v>0</v>
      </c>
    </row>
    <row r="2606" spans="6:21">
      <c r="F2606" s="4">
        <v>1120</v>
      </c>
      <c r="G2606" s="4">
        <v>31</v>
      </c>
      <c r="H2606" s="4">
        <v>3</v>
      </c>
      <c r="I2606" s="4">
        <v>16</v>
      </c>
      <c r="J2606" s="4">
        <v>1</v>
      </c>
      <c r="K2606" s="4">
        <f t="shared" si="362"/>
        <v>0</v>
      </c>
      <c r="L2606" s="4">
        <f t="shared" si="362"/>
        <v>0</v>
      </c>
      <c r="M2606" s="4">
        <f t="shared" si="362"/>
        <v>0</v>
      </c>
      <c r="N2606" s="4">
        <f t="shared" si="362"/>
        <v>0</v>
      </c>
      <c r="O2606" s="4">
        <f t="shared" si="363"/>
        <v>0</v>
      </c>
      <c r="P2606" s="4">
        <f t="shared" si="364"/>
        <v>0</v>
      </c>
      <c r="Q2606" s="4">
        <f t="shared" si="365"/>
        <v>0</v>
      </c>
      <c r="R2606" s="4">
        <f t="shared" si="366"/>
        <v>0</v>
      </c>
      <c r="S2606" s="4">
        <f>IF(AND(VLOOKUP(G2606,Dados!$D:$L,2,0)=VLOOKUP(I2606,Dados!$S:$V,2,0),VLOOKUP(G2606,Dados!$D:$L,3,0)=VLOOKUP(I2606,Dados!$S:$V,3,0)),0,1)</f>
        <v>0</v>
      </c>
      <c r="T2606" s="4">
        <f>IF(AND(VLOOKUP(G2606,Dados!$D:$L,3,0)&lt;=VLOOKUP(H2606,Dados!$X:$AB,2,0),VLOOKUP(G2606,Dados!$D:$L,4,0)&gt;=VLOOKUP(H2606,Dados!$X:$AB,3,0),VLOOKUP(G2606,Dados!$D:$L,4,0)&lt;=VLOOKUP(H2606,Dados!$X:$AB,4,0)),0,1)</f>
        <v>0</v>
      </c>
      <c r="U2606" s="4">
        <f>IF(COUNTIFS(F:F,F2606,H:H,H2606)&lt;=VLOOKUP(H2606,Dados!$X:$AB,5,0),0,1)</f>
        <v>0</v>
      </c>
    </row>
    <row r="2607" spans="6:21">
      <c r="F2607" s="4">
        <v>1120</v>
      </c>
      <c r="G2607" s="4">
        <v>34</v>
      </c>
      <c r="H2607" s="4">
        <v>3</v>
      </c>
      <c r="I2607" s="4">
        <v>16</v>
      </c>
      <c r="J2607" s="4">
        <v>4</v>
      </c>
      <c r="K2607" s="4">
        <f t="shared" si="362"/>
        <v>0</v>
      </c>
      <c r="L2607" s="4">
        <f t="shared" si="362"/>
        <v>0</v>
      </c>
      <c r="M2607" s="4">
        <f t="shared" si="362"/>
        <v>0</v>
      </c>
      <c r="N2607" s="4">
        <f t="shared" si="362"/>
        <v>0</v>
      </c>
      <c r="O2607" s="4">
        <f t="shared" si="363"/>
        <v>0</v>
      </c>
      <c r="P2607" s="4">
        <f t="shared" si="364"/>
        <v>0</v>
      </c>
      <c r="Q2607" s="4">
        <f t="shared" si="365"/>
        <v>0</v>
      </c>
      <c r="R2607" s="4">
        <f t="shared" si="366"/>
        <v>0</v>
      </c>
      <c r="S2607" s="4">
        <f>IF(AND(VLOOKUP(G2607,Dados!$D:$L,2,0)=VLOOKUP(I2607,Dados!$S:$V,2,0),VLOOKUP(G2607,Dados!$D:$L,3,0)=VLOOKUP(I2607,Dados!$S:$V,3,0)),0,1)</f>
        <v>0</v>
      </c>
      <c r="T2607" s="4">
        <f>IF(AND(VLOOKUP(G2607,Dados!$D:$L,3,0)&lt;=VLOOKUP(H2607,Dados!$X:$AB,2,0),VLOOKUP(G2607,Dados!$D:$L,4,0)&gt;=VLOOKUP(H2607,Dados!$X:$AB,3,0),VLOOKUP(G2607,Dados!$D:$L,4,0)&lt;=VLOOKUP(H2607,Dados!$X:$AB,4,0)),0,1)</f>
        <v>0</v>
      </c>
      <c r="U2607" s="4">
        <f>IF(COUNTIFS(F:F,F2607,H:H,H2607)&lt;=VLOOKUP(H2607,Dados!$X:$AB,5,0),0,1)</f>
        <v>0</v>
      </c>
    </row>
    <row r="2608" spans="6:21">
      <c r="F2608" s="4">
        <v>1120</v>
      </c>
      <c r="G2608" s="4">
        <v>35</v>
      </c>
      <c r="H2608" s="4">
        <v>3</v>
      </c>
      <c r="I2608" s="4">
        <v>16</v>
      </c>
      <c r="J2608" s="4">
        <v>2</v>
      </c>
      <c r="K2608" s="4">
        <f t="shared" si="362"/>
        <v>0</v>
      </c>
      <c r="L2608" s="4">
        <f t="shared" si="362"/>
        <v>0</v>
      </c>
      <c r="M2608" s="4">
        <f t="shared" si="362"/>
        <v>0</v>
      </c>
      <c r="N2608" s="4">
        <f t="shared" si="362"/>
        <v>0</v>
      </c>
      <c r="O2608" s="4">
        <f t="shared" si="363"/>
        <v>0</v>
      </c>
      <c r="P2608" s="4">
        <f t="shared" si="364"/>
        <v>0</v>
      </c>
      <c r="Q2608" s="4">
        <f t="shared" si="365"/>
        <v>0</v>
      </c>
      <c r="R2608" s="4">
        <f t="shared" si="366"/>
        <v>0</v>
      </c>
      <c r="S2608" s="4">
        <f>IF(AND(VLOOKUP(G2608,Dados!$D:$L,2,0)=VLOOKUP(I2608,Dados!$S:$V,2,0),VLOOKUP(G2608,Dados!$D:$L,3,0)=VLOOKUP(I2608,Dados!$S:$V,3,0)),0,1)</f>
        <v>0</v>
      </c>
      <c r="T2608" s="4">
        <f>IF(AND(VLOOKUP(G2608,Dados!$D:$L,3,0)&lt;=VLOOKUP(H2608,Dados!$X:$AB,2,0),VLOOKUP(G2608,Dados!$D:$L,4,0)&gt;=VLOOKUP(H2608,Dados!$X:$AB,3,0),VLOOKUP(G2608,Dados!$D:$L,4,0)&lt;=VLOOKUP(H2608,Dados!$X:$AB,4,0)),0,1)</f>
        <v>0</v>
      </c>
      <c r="U2608" s="4">
        <f>IF(COUNTIFS(F:F,F2608,H:H,H2608)&lt;=VLOOKUP(H2608,Dados!$X:$AB,5,0),0,1)</f>
        <v>0</v>
      </c>
    </row>
    <row r="2609" spans="6:21">
      <c r="F2609" s="4">
        <v>1121</v>
      </c>
      <c r="G2609" s="4">
        <v>63</v>
      </c>
      <c r="H2609" s="4">
        <v>1</v>
      </c>
      <c r="I2609" s="4">
        <v>25</v>
      </c>
      <c r="J2609" s="4">
        <v>7</v>
      </c>
      <c r="K2609" s="4">
        <f t="shared" si="362"/>
        <v>0</v>
      </c>
      <c r="L2609" s="4">
        <f t="shared" si="362"/>
        <v>0</v>
      </c>
      <c r="M2609" s="4">
        <f t="shared" si="362"/>
        <v>0</v>
      </c>
      <c r="N2609" s="4">
        <f t="shared" si="362"/>
        <v>0</v>
      </c>
      <c r="O2609" s="4">
        <f t="shared" si="363"/>
        <v>0</v>
      </c>
      <c r="P2609" s="4">
        <f t="shared" si="364"/>
        <v>0</v>
      </c>
      <c r="Q2609" s="4">
        <f t="shared" si="365"/>
        <v>0</v>
      </c>
      <c r="R2609" s="4">
        <f t="shared" si="366"/>
        <v>0</v>
      </c>
      <c r="S2609" s="4">
        <f>IF(AND(VLOOKUP(G2609,Dados!$D:$L,2,0)=VLOOKUP(I2609,Dados!$S:$V,2,0),VLOOKUP(G2609,Dados!$D:$L,3,0)=VLOOKUP(I2609,Dados!$S:$V,3,0)),0,1)</f>
        <v>0</v>
      </c>
      <c r="T2609" s="4">
        <f>IF(AND(VLOOKUP(G2609,Dados!$D:$L,3,0)&lt;=VLOOKUP(H2609,Dados!$X:$AB,2,0),VLOOKUP(G2609,Dados!$D:$L,4,0)&gt;=VLOOKUP(H2609,Dados!$X:$AB,3,0),VLOOKUP(G2609,Dados!$D:$L,4,0)&lt;=VLOOKUP(H2609,Dados!$X:$AB,4,0)),0,1)</f>
        <v>0</v>
      </c>
      <c r="U2609" s="4">
        <f>IF(COUNTIFS(F:F,F2609,H:H,H2609)&lt;=VLOOKUP(H2609,Dados!$X:$AB,5,0),0,1)</f>
        <v>0</v>
      </c>
    </row>
    <row r="2610" spans="6:21">
      <c r="F2610" s="4">
        <v>1121</v>
      </c>
      <c r="G2610" s="4">
        <v>66</v>
      </c>
      <c r="H2610" s="4">
        <v>1</v>
      </c>
      <c r="I2610" s="4">
        <v>25</v>
      </c>
      <c r="J2610" s="4">
        <v>3</v>
      </c>
      <c r="K2610" s="4">
        <f t="shared" si="362"/>
        <v>0</v>
      </c>
      <c r="L2610" s="4">
        <f t="shared" si="362"/>
        <v>0</v>
      </c>
      <c r="M2610" s="4">
        <f t="shared" si="362"/>
        <v>0</v>
      </c>
      <c r="N2610" s="4">
        <f t="shared" si="362"/>
        <v>0</v>
      </c>
      <c r="O2610" s="4">
        <f t="shared" si="363"/>
        <v>0</v>
      </c>
      <c r="P2610" s="4">
        <f t="shared" si="364"/>
        <v>0</v>
      </c>
      <c r="Q2610" s="4">
        <f t="shared" si="365"/>
        <v>0</v>
      </c>
      <c r="R2610" s="4">
        <f t="shared" si="366"/>
        <v>0</v>
      </c>
      <c r="S2610" s="4">
        <f>IF(AND(VLOOKUP(G2610,Dados!$D:$L,2,0)=VLOOKUP(I2610,Dados!$S:$V,2,0),VLOOKUP(G2610,Dados!$D:$L,3,0)=VLOOKUP(I2610,Dados!$S:$V,3,0)),0,1)</f>
        <v>0</v>
      </c>
      <c r="T2610" s="4">
        <f>IF(AND(VLOOKUP(G2610,Dados!$D:$L,3,0)&lt;=VLOOKUP(H2610,Dados!$X:$AB,2,0),VLOOKUP(G2610,Dados!$D:$L,4,0)&gt;=VLOOKUP(H2610,Dados!$X:$AB,3,0),VLOOKUP(G2610,Dados!$D:$L,4,0)&lt;=VLOOKUP(H2610,Dados!$X:$AB,4,0)),0,1)</f>
        <v>0</v>
      </c>
      <c r="U2610" s="4">
        <f>IF(COUNTIFS(F:F,F2610,H:H,H2610)&lt;=VLOOKUP(H2610,Dados!$X:$AB,5,0),0,1)</f>
        <v>0</v>
      </c>
    </row>
    <row r="2611" spans="6:21">
      <c r="F2611" s="4">
        <v>1122</v>
      </c>
      <c r="G2611" s="4">
        <v>63</v>
      </c>
      <c r="H2611" s="4">
        <v>2</v>
      </c>
      <c r="I2611" s="4">
        <v>25</v>
      </c>
      <c r="J2611" s="4">
        <v>7</v>
      </c>
      <c r="K2611" s="4">
        <f t="shared" si="362"/>
        <v>0</v>
      </c>
      <c r="L2611" s="4">
        <f t="shared" si="362"/>
        <v>0</v>
      </c>
      <c r="M2611" s="4">
        <f t="shared" si="362"/>
        <v>0</v>
      </c>
      <c r="N2611" s="4">
        <f t="shared" si="362"/>
        <v>0</v>
      </c>
      <c r="O2611" s="4">
        <f t="shared" si="363"/>
        <v>0</v>
      </c>
      <c r="P2611" s="4">
        <f t="shared" si="364"/>
        <v>0</v>
      </c>
      <c r="Q2611" s="4">
        <f t="shared" si="365"/>
        <v>0</v>
      </c>
      <c r="R2611" s="4">
        <f t="shared" si="366"/>
        <v>0</v>
      </c>
      <c r="S2611" s="4">
        <f>IF(AND(VLOOKUP(G2611,Dados!$D:$L,2,0)=VLOOKUP(I2611,Dados!$S:$V,2,0),VLOOKUP(G2611,Dados!$D:$L,3,0)=VLOOKUP(I2611,Dados!$S:$V,3,0)),0,1)</f>
        <v>0</v>
      </c>
      <c r="T2611" s="4">
        <f>IF(AND(VLOOKUP(G2611,Dados!$D:$L,3,0)&lt;=VLOOKUP(H2611,Dados!$X:$AB,2,0),VLOOKUP(G2611,Dados!$D:$L,4,0)&gt;=VLOOKUP(H2611,Dados!$X:$AB,3,0),VLOOKUP(G2611,Dados!$D:$L,4,0)&lt;=VLOOKUP(H2611,Dados!$X:$AB,4,0)),0,1)</f>
        <v>0</v>
      </c>
      <c r="U2611" s="4">
        <f>IF(COUNTIFS(F:F,F2611,H:H,H2611)&lt;=VLOOKUP(H2611,Dados!$X:$AB,5,0),0,1)</f>
        <v>0</v>
      </c>
    </row>
    <row r="2612" spans="6:21">
      <c r="F2612" s="4">
        <v>1122</v>
      </c>
      <c r="G2612" s="4">
        <v>66</v>
      </c>
      <c r="H2612" s="4">
        <v>2</v>
      </c>
      <c r="I2612" s="4">
        <v>25</v>
      </c>
      <c r="J2612" s="4">
        <v>3</v>
      </c>
      <c r="K2612" s="4">
        <f t="shared" si="362"/>
        <v>0</v>
      </c>
      <c r="L2612" s="4">
        <f t="shared" si="362"/>
        <v>0</v>
      </c>
      <c r="M2612" s="4">
        <f t="shared" si="362"/>
        <v>0</v>
      </c>
      <c r="N2612" s="4">
        <f t="shared" si="362"/>
        <v>0</v>
      </c>
      <c r="O2612" s="4">
        <f t="shared" si="363"/>
        <v>0</v>
      </c>
      <c r="P2612" s="4">
        <f t="shared" si="364"/>
        <v>0</v>
      </c>
      <c r="Q2612" s="4">
        <f t="shared" si="365"/>
        <v>0</v>
      </c>
      <c r="R2612" s="4">
        <f t="shared" si="366"/>
        <v>0</v>
      </c>
      <c r="S2612" s="4">
        <f>IF(AND(VLOOKUP(G2612,Dados!$D:$L,2,0)=VLOOKUP(I2612,Dados!$S:$V,2,0),VLOOKUP(G2612,Dados!$D:$L,3,0)=VLOOKUP(I2612,Dados!$S:$V,3,0)),0,1)</f>
        <v>0</v>
      </c>
      <c r="T2612" s="4">
        <f>IF(AND(VLOOKUP(G2612,Dados!$D:$L,3,0)&lt;=VLOOKUP(H2612,Dados!$X:$AB,2,0),VLOOKUP(G2612,Dados!$D:$L,4,0)&gt;=VLOOKUP(H2612,Dados!$X:$AB,3,0),VLOOKUP(G2612,Dados!$D:$L,4,0)&lt;=VLOOKUP(H2612,Dados!$X:$AB,4,0)),0,1)</f>
        <v>0</v>
      </c>
      <c r="U2612" s="4">
        <f>IF(COUNTIFS(F:F,F2612,H:H,H2612)&lt;=VLOOKUP(H2612,Dados!$X:$AB,5,0),0,1)</f>
        <v>0</v>
      </c>
    </row>
    <row r="2613" spans="6:21">
      <c r="F2613" s="4">
        <v>1123</v>
      </c>
      <c r="G2613" s="4">
        <v>63</v>
      </c>
      <c r="H2613" s="4">
        <v>3</v>
      </c>
      <c r="I2613" s="4">
        <v>25</v>
      </c>
      <c r="J2613" s="4">
        <v>7</v>
      </c>
      <c r="K2613" s="4">
        <f t="shared" si="362"/>
        <v>0</v>
      </c>
      <c r="L2613" s="4">
        <f t="shared" si="362"/>
        <v>0</v>
      </c>
      <c r="M2613" s="4">
        <f t="shared" si="362"/>
        <v>0</v>
      </c>
      <c r="N2613" s="4">
        <f t="shared" si="362"/>
        <v>0</v>
      </c>
      <c r="O2613" s="4">
        <f t="shared" si="363"/>
        <v>0</v>
      </c>
      <c r="P2613" s="4">
        <f t="shared" si="364"/>
        <v>0</v>
      </c>
      <c r="Q2613" s="4">
        <f t="shared" si="365"/>
        <v>0</v>
      </c>
      <c r="R2613" s="4">
        <f t="shared" si="366"/>
        <v>0</v>
      </c>
      <c r="S2613" s="4">
        <f>IF(AND(VLOOKUP(G2613,Dados!$D:$L,2,0)=VLOOKUP(I2613,Dados!$S:$V,2,0),VLOOKUP(G2613,Dados!$D:$L,3,0)=VLOOKUP(I2613,Dados!$S:$V,3,0)),0,1)</f>
        <v>0</v>
      </c>
      <c r="T2613" s="4">
        <f>IF(AND(VLOOKUP(G2613,Dados!$D:$L,3,0)&lt;=VLOOKUP(H2613,Dados!$X:$AB,2,0),VLOOKUP(G2613,Dados!$D:$L,4,0)&gt;=VLOOKUP(H2613,Dados!$X:$AB,3,0),VLOOKUP(G2613,Dados!$D:$L,4,0)&lt;=VLOOKUP(H2613,Dados!$X:$AB,4,0)),0,1)</f>
        <v>0</v>
      </c>
      <c r="U2613" s="4">
        <f>IF(COUNTIFS(F:F,F2613,H:H,H2613)&lt;=VLOOKUP(H2613,Dados!$X:$AB,5,0),0,1)</f>
        <v>0</v>
      </c>
    </row>
    <row r="2614" spans="6:21">
      <c r="F2614" s="4">
        <v>1123</v>
      </c>
      <c r="G2614" s="4">
        <v>66</v>
      </c>
      <c r="H2614" s="4">
        <v>3</v>
      </c>
      <c r="I2614" s="4">
        <v>25</v>
      </c>
      <c r="J2614" s="4">
        <v>3</v>
      </c>
      <c r="K2614" s="4">
        <f t="shared" si="362"/>
        <v>0</v>
      </c>
      <c r="L2614" s="4">
        <f t="shared" si="362"/>
        <v>0</v>
      </c>
      <c r="M2614" s="4">
        <f t="shared" si="362"/>
        <v>0</v>
      </c>
      <c r="N2614" s="4">
        <f t="shared" si="362"/>
        <v>0</v>
      </c>
      <c r="O2614" s="4">
        <f t="shared" si="363"/>
        <v>0</v>
      </c>
      <c r="P2614" s="4">
        <f t="shared" si="364"/>
        <v>0</v>
      </c>
      <c r="Q2614" s="4">
        <f t="shared" si="365"/>
        <v>0</v>
      </c>
      <c r="R2614" s="4">
        <f t="shared" si="366"/>
        <v>0</v>
      </c>
      <c r="S2614" s="4">
        <f>IF(AND(VLOOKUP(G2614,Dados!$D:$L,2,0)=VLOOKUP(I2614,Dados!$S:$V,2,0),VLOOKUP(G2614,Dados!$D:$L,3,0)=VLOOKUP(I2614,Dados!$S:$V,3,0)),0,1)</f>
        <v>0</v>
      </c>
      <c r="T2614" s="4">
        <f>IF(AND(VLOOKUP(G2614,Dados!$D:$L,3,0)&lt;=VLOOKUP(H2614,Dados!$X:$AB,2,0),VLOOKUP(G2614,Dados!$D:$L,4,0)&gt;=VLOOKUP(H2614,Dados!$X:$AB,3,0),VLOOKUP(G2614,Dados!$D:$L,4,0)&lt;=VLOOKUP(H2614,Dados!$X:$AB,4,0)),0,1)</f>
        <v>0</v>
      </c>
      <c r="U2614" s="4">
        <f>IF(COUNTIFS(F:F,F2614,H:H,H2614)&lt;=VLOOKUP(H2614,Dados!$X:$AB,5,0),0,1)</f>
        <v>0</v>
      </c>
    </row>
    <row r="2615" spans="6:21">
      <c r="F2615" s="4">
        <v>1124</v>
      </c>
      <c r="G2615" s="4">
        <v>31</v>
      </c>
      <c r="H2615" s="4">
        <v>1</v>
      </c>
      <c r="I2615" s="4">
        <v>16</v>
      </c>
      <c r="J2615" s="4">
        <v>3</v>
      </c>
      <c r="K2615" s="4">
        <f t="shared" si="362"/>
        <v>1</v>
      </c>
      <c r="L2615" s="4">
        <f t="shared" si="362"/>
        <v>0</v>
      </c>
      <c r="M2615" s="4">
        <f t="shared" si="362"/>
        <v>0</v>
      </c>
      <c r="N2615" s="4">
        <f t="shared" si="362"/>
        <v>0</v>
      </c>
      <c r="O2615" s="4">
        <f t="shared" si="363"/>
        <v>3</v>
      </c>
      <c r="P2615" s="4">
        <f t="shared" si="364"/>
        <v>0</v>
      </c>
      <c r="Q2615" s="4">
        <f t="shared" si="365"/>
        <v>0</v>
      </c>
      <c r="R2615" s="4">
        <f t="shared" si="366"/>
        <v>0</v>
      </c>
      <c r="S2615" s="4">
        <f>IF(AND(VLOOKUP(G2615,Dados!$D:$L,2,0)=VLOOKUP(I2615,Dados!$S:$V,2,0),VLOOKUP(G2615,Dados!$D:$L,3,0)=VLOOKUP(I2615,Dados!$S:$V,3,0)),0,1)</f>
        <v>0</v>
      </c>
      <c r="T2615" s="4">
        <f>IF(AND(VLOOKUP(G2615,Dados!$D:$L,3,0)&lt;=VLOOKUP(H2615,Dados!$X:$AB,2,0),VLOOKUP(G2615,Dados!$D:$L,4,0)&gt;=VLOOKUP(H2615,Dados!$X:$AB,3,0),VLOOKUP(G2615,Dados!$D:$L,4,0)&lt;=VLOOKUP(H2615,Dados!$X:$AB,4,0)),0,1)</f>
        <v>0</v>
      </c>
      <c r="U2615" s="4">
        <f>IF(COUNTIFS(F:F,F2615,H:H,H2615)&lt;=VLOOKUP(H2615,Dados!$X:$AB,5,0),0,1)</f>
        <v>0</v>
      </c>
    </row>
    <row r="2616" spans="6:21">
      <c r="F2616" s="4">
        <v>1124</v>
      </c>
      <c r="G2616" s="4">
        <v>33</v>
      </c>
      <c r="H2616" s="4">
        <v>1</v>
      </c>
      <c r="I2616" s="4">
        <v>16</v>
      </c>
      <c r="J2616" s="4">
        <v>3</v>
      </c>
      <c r="K2616" s="4">
        <f t="shared" si="362"/>
        <v>1</v>
      </c>
      <c r="L2616" s="4">
        <f t="shared" si="362"/>
        <v>0</v>
      </c>
      <c r="M2616" s="4">
        <f t="shared" si="362"/>
        <v>0</v>
      </c>
      <c r="N2616" s="4">
        <f t="shared" si="362"/>
        <v>0</v>
      </c>
      <c r="O2616" s="4">
        <f t="shared" si="363"/>
        <v>3</v>
      </c>
      <c r="P2616" s="4">
        <f t="shared" si="364"/>
        <v>0</v>
      </c>
      <c r="Q2616" s="4">
        <f t="shared" si="365"/>
        <v>0</v>
      </c>
      <c r="R2616" s="4">
        <f t="shared" si="366"/>
        <v>0</v>
      </c>
      <c r="S2616" s="4">
        <f>IF(AND(VLOOKUP(G2616,Dados!$D:$L,2,0)=VLOOKUP(I2616,Dados!$S:$V,2,0),VLOOKUP(G2616,Dados!$D:$L,3,0)=VLOOKUP(I2616,Dados!$S:$V,3,0)),0,1)</f>
        <v>0</v>
      </c>
      <c r="T2616" s="4">
        <f>IF(AND(VLOOKUP(G2616,Dados!$D:$L,3,0)&lt;=VLOOKUP(H2616,Dados!$X:$AB,2,0),VLOOKUP(G2616,Dados!$D:$L,4,0)&gt;=VLOOKUP(H2616,Dados!$X:$AB,3,0),VLOOKUP(G2616,Dados!$D:$L,4,0)&lt;=VLOOKUP(H2616,Dados!$X:$AB,4,0)),0,1)</f>
        <v>0</v>
      </c>
      <c r="U2616" s="4">
        <f>IF(COUNTIFS(F:F,F2616,H:H,H2616)&lt;=VLOOKUP(H2616,Dados!$X:$AB,5,0),0,1)</f>
        <v>0</v>
      </c>
    </row>
    <row r="2617" spans="6:21">
      <c r="F2617" s="4">
        <v>1124</v>
      </c>
      <c r="G2617" s="4">
        <v>38</v>
      </c>
      <c r="H2617" s="4">
        <v>1</v>
      </c>
      <c r="I2617" s="4">
        <v>16</v>
      </c>
      <c r="J2617" s="4">
        <v>3</v>
      </c>
      <c r="K2617" s="4">
        <f t="shared" si="362"/>
        <v>1</v>
      </c>
      <c r="L2617" s="4">
        <f t="shared" si="362"/>
        <v>0</v>
      </c>
      <c r="M2617" s="4">
        <f t="shared" si="362"/>
        <v>0</v>
      </c>
      <c r="N2617" s="4">
        <f t="shared" si="362"/>
        <v>0</v>
      </c>
      <c r="O2617" s="4">
        <f t="shared" si="363"/>
        <v>3</v>
      </c>
      <c r="P2617" s="4">
        <f t="shared" si="364"/>
        <v>0</v>
      </c>
      <c r="Q2617" s="4">
        <f t="shared" si="365"/>
        <v>0</v>
      </c>
      <c r="R2617" s="4">
        <f t="shared" si="366"/>
        <v>0</v>
      </c>
      <c r="S2617" s="4">
        <f>IF(AND(VLOOKUP(G2617,Dados!$D:$L,2,0)=VLOOKUP(I2617,Dados!$S:$V,2,0),VLOOKUP(G2617,Dados!$D:$L,3,0)=VLOOKUP(I2617,Dados!$S:$V,3,0)),0,1)</f>
        <v>0</v>
      </c>
      <c r="T2617" s="4">
        <f>IF(AND(VLOOKUP(G2617,Dados!$D:$L,3,0)&lt;=VLOOKUP(H2617,Dados!$X:$AB,2,0),VLOOKUP(G2617,Dados!$D:$L,4,0)&gt;=VLOOKUP(H2617,Dados!$X:$AB,3,0),VLOOKUP(G2617,Dados!$D:$L,4,0)&lt;=VLOOKUP(H2617,Dados!$X:$AB,4,0)),0,1)</f>
        <v>0</v>
      </c>
      <c r="U2617" s="4">
        <f>IF(COUNTIFS(F:F,F2617,H:H,H2617)&lt;=VLOOKUP(H2617,Dados!$X:$AB,5,0),0,1)</f>
        <v>0</v>
      </c>
    </row>
    <row r="2618" spans="6:21">
      <c r="F2618" s="4">
        <v>1125</v>
      </c>
      <c r="G2618" s="4">
        <v>31</v>
      </c>
      <c r="H2618" s="4">
        <v>2</v>
      </c>
      <c r="I2618" s="4">
        <v>16</v>
      </c>
      <c r="J2618" s="4">
        <v>3</v>
      </c>
      <c r="K2618" s="4">
        <f t="shared" si="362"/>
        <v>0</v>
      </c>
      <c r="L2618" s="4">
        <f t="shared" si="362"/>
        <v>0</v>
      </c>
      <c r="M2618" s="4">
        <f t="shared" si="362"/>
        <v>0</v>
      </c>
      <c r="N2618" s="4">
        <f t="shared" si="362"/>
        <v>0</v>
      </c>
      <c r="O2618" s="4">
        <f t="shared" si="363"/>
        <v>0</v>
      </c>
      <c r="P2618" s="4">
        <f t="shared" si="364"/>
        <v>0</v>
      </c>
      <c r="Q2618" s="4">
        <f t="shared" si="365"/>
        <v>0</v>
      </c>
      <c r="R2618" s="4">
        <f t="shared" si="366"/>
        <v>0</v>
      </c>
      <c r="S2618" s="4">
        <f>IF(AND(VLOOKUP(G2618,Dados!$D:$L,2,0)=VLOOKUP(I2618,Dados!$S:$V,2,0),VLOOKUP(G2618,Dados!$D:$L,3,0)=VLOOKUP(I2618,Dados!$S:$V,3,0)),0,1)</f>
        <v>0</v>
      </c>
      <c r="T2618" s="4">
        <f>IF(AND(VLOOKUP(G2618,Dados!$D:$L,3,0)&lt;=VLOOKUP(H2618,Dados!$X:$AB,2,0),VLOOKUP(G2618,Dados!$D:$L,4,0)&gt;=VLOOKUP(H2618,Dados!$X:$AB,3,0),VLOOKUP(G2618,Dados!$D:$L,4,0)&lt;=VLOOKUP(H2618,Dados!$X:$AB,4,0)),0,1)</f>
        <v>0</v>
      </c>
      <c r="U2618" s="4">
        <f>IF(COUNTIFS(F:F,F2618,H:H,H2618)&lt;=VLOOKUP(H2618,Dados!$X:$AB,5,0),0,1)</f>
        <v>0</v>
      </c>
    </row>
    <row r="2619" spans="6:21">
      <c r="F2619" s="4">
        <v>1125</v>
      </c>
      <c r="G2619" s="4">
        <v>33</v>
      </c>
      <c r="H2619" s="4">
        <v>2</v>
      </c>
      <c r="I2619" s="4">
        <v>16</v>
      </c>
      <c r="J2619" s="4">
        <v>3</v>
      </c>
      <c r="K2619" s="4">
        <f t="shared" si="362"/>
        <v>0</v>
      </c>
      <c r="L2619" s="4">
        <f t="shared" si="362"/>
        <v>0</v>
      </c>
      <c r="M2619" s="4">
        <f t="shared" si="362"/>
        <v>0</v>
      </c>
      <c r="N2619" s="4">
        <f t="shared" si="362"/>
        <v>0</v>
      </c>
      <c r="O2619" s="4">
        <f t="shared" si="363"/>
        <v>0</v>
      </c>
      <c r="P2619" s="4">
        <f t="shared" si="364"/>
        <v>0</v>
      </c>
      <c r="Q2619" s="4">
        <f t="shared" si="365"/>
        <v>0</v>
      </c>
      <c r="R2619" s="4">
        <f t="shared" si="366"/>
        <v>0</v>
      </c>
      <c r="S2619" s="4">
        <f>IF(AND(VLOOKUP(G2619,Dados!$D:$L,2,0)=VLOOKUP(I2619,Dados!$S:$V,2,0),VLOOKUP(G2619,Dados!$D:$L,3,0)=VLOOKUP(I2619,Dados!$S:$V,3,0)),0,1)</f>
        <v>0</v>
      </c>
      <c r="T2619" s="4">
        <f>IF(AND(VLOOKUP(G2619,Dados!$D:$L,3,0)&lt;=VLOOKUP(H2619,Dados!$X:$AB,2,0),VLOOKUP(G2619,Dados!$D:$L,4,0)&gt;=VLOOKUP(H2619,Dados!$X:$AB,3,0),VLOOKUP(G2619,Dados!$D:$L,4,0)&lt;=VLOOKUP(H2619,Dados!$X:$AB,4,0)),0,1)</f>
        <v>0</v>
      </c>
      <c r="U2619" s="4">
        <f>IF(COUNTIFS(F:F,F2619,H:H,H2619)&lt;=VLOOKUP(H2619,Dados!$X:$AB,5,0),0,1)</f>
        <v>0</v>
      </c>
    </row>
    <row r="2620" spans="6:21">
      <c r="F2620" s="4">
        <v>1125</v>
      </c>
      <c r="G2620" s="4">
        <v>38</v>
      </c>
      <c r="H2620" s="4">
        <v>2</v>
      </c>
      <c r="I2620" s="4">
        <v>16</v>
      </c>
      <c r="J2620" s="4">
        <v>3</v>
      </c>
      <c r="K2620" s="4">
        <f t="shared" si="362"/>
        <v>0</v>
      </c>
      <c r="L2620" s="4">
        <f t="shared" si="362"/>
        <v>0</v>
      </c>
      <c r="M2620" s="4">
        <f t="shared" si="362"/>
        <v>0</v>
      </c>
      <c r="N2620" s="4">
        <f t="shared" si="362"/>
        <v>0</v>
      </c>
      <c r="O2620" s="4">
        <f t="shared" si="363"/>
        <v>0</v>
      </c>
      <c r="P2620" s="4">
        <f t="shared" si="364"/>
        <v>0</v>
      </c>
      <c r="Q2620" s="4">
        <f t="shared" si="365"/>
        <v>0</v>
      </c>
      <c r="R2620" s="4">
        <f t="shared" si="366"/>
        <v>0</v>
      </c>
      <c r="S2620" s="4">
        <f>IF(AND(VLOOKUP(G2620,Dados!$D:$L,2,0)=VLOOKUP(I2620,Dados!$S:$V,2,0),VLOOKUP(G2620,Dados!$D:$L,3,0)=VLOOKUP(I2620,Dados!$S:$V,3,0)),0,1)</f>
        <v>0</v>
      </c>
      <c r="T2620" s="4">
        <f>IF(AND(VLOOKUP(G2620,Dados!$D:$L,3,0)&lt;=VLOOKUP(H2620,Dados!$X:$AB,2,0),VLOOKUP(G2620,Dados!$D:$L,4,0)&gt;=VLOOKUP(H2620,Dados!$X:$AB,3,0),VLOOKUP(G2620,Dados!$D:$L,4,0)&lt;=VLOOKUP(H2620,Dados!$X:$AB,4,0)),0,1)</f>
        <v>0</v>
      </c>
      <c r="U2620" s="4">
        <f>IF(COUNTIFS(F:F,F2620,H:H,H2620)&lt;=VLOOKUP(H2620,Dados!$X:$AB,5,0),0,1)</f>
        <v>0</v>
      </c>
    </row>
    <row r="2621" spans="6:21">
      <c r="F2621" s="4">
        <v>1126</v>
      </c>
      <c r="G2621" s="4">
        <v>31</v>
      </c>
      <c r="H2621" s="4">
        <v>3</v>
      </c>
      <c r="I2621" s="4">
        <v>16</v>
      </c>
      <c r="J2621" s="4">
        <v>3</v>
      </c>
      <c r="K2621" s="4">
        <f t="shared" si="362"/>
        <v>0</v>
      </c>
      <c r="L2621" s="4">
        <f t="shared" si="362"/>
        <v>0</v>
      </c>
      <c r="M2621" s="4">
        <f t="shared" si="362"/>
        <v>0</v>
      </c>
      <c r="N2621" s="4">
        <f t="shared" si="362"/>
        <v>0</v>
      </c>
      <c r="O2621" s="4">
        <f t="shared" si="363"/>
        <v>0</v>
      </c>
      <c r="P2621" s="4">
        <f t="shared" si="364"/>
        <v>0</v>
      </c>
      <c r="Q2621" s="4">
        <f t="shared" si="365"/>
        <v>0</v>
      </c>
      <c r="R2621" s="4">
        <f t="shared" si="366"/>
        <v>0</v>
      </c>
      <c r="S2621" s="4">
        <f>IF(AND(VLOOKUP(G2621,Dados!$D:$L,2,0)=VLOOKUP(I2621,Dados!$S:$V,2,0),VLOOKUP(G2621,Dados!$D:$L,3,0)=VLOOKUP(I2621,Dados!$S:$V,3,0)),0,1)</f>
        <v>0</v>
      </c>
      <c r="T2621" s="4">
        <f>IF(AND(VLOOKUP(G2621,Dados!$D:$L,3,0)&lt;=VLOOKUP(H2621,Dados!$X:$AB,2,0),VLOOKUP(G2621,Dados!$D:$L,4,0)&gt;=VLOOKUP(H2621,Dados!$X:$AB,3,0),VLOOKUP(G2621,Dados!$D:$L,4,0)&lt;=VLOOKUP(H2621,Dados!$X:$AB,4,0)),0,1)</f>
        <v>0</v>
      </c>
      <c r="U2621" s="4">
        <f>IF(COUNTIFS(F:F,F2621,H:H,H2621)&lt;=VLOOKUP(H2621,Dados!$X:$AB,5,0),0,1)</f>
        <v>0</v>
      </c>
    </row>
    <row r="2622" spans="6:21">
      <c r="F2622" s="4">
        <v>1126</v>
      </c>
      <c r="G2622" s="4">
        <v>33</v>
      </c>
      <c r="H2622" s="4">
        <v>3</v>
      </c>
      <c r="I2622" s="4">
        <v>16</v>
      </c>
      <c r="J2622" s="4">
        <v>3</v>
      </c>
      <c r="K2622" s="4">
        <f t="shared" si="362"/>
        <v>0</v>
      </c>
      <c r="L2622" s="4">
        <f t="shared" si="362"/>
        <v>0</v>
      </c>
      <c r="M2622" s="4">
        <f t="shared" si="362"/>
        <v>0</v>
      </c>
      <c r="N2622" s="4">
        <f t="shared" si="362"/>
        <v>0</v>
      </c>
      <c r="O2622" s="4">
        <f t="shared" si="363"/>
        <v>0</v>
      </c>
      <c r="P2622" s="4">
        <f t="shared" si="364"/>
        <v>0</v>
      </c>
      <c r="Q2622" s="4">
        <f t="shared" si="365"/>
        <v>0</v>
      </c>
      <c r="R2622" s="4">
        <f t="shared" si="366"/>
        <v>0</v>
      </c>
      <c r="S2622" s="4">
        <f>IF(AND(VLOOKUP(G2622,Dados!$D:$L,2,0)=VLOOKUP(I2622,Dados!$S:$V,2,0),VLOOKUP(G2622,Dados!$D:$L,3,0)=VLOOKUP(I2622,Dados!$S:$V,3,0)),0,1)</f>
        <v>0</v>
      </c>
      <c r="T2622" s="4">
        <f>IF(AND(VLOOKUP(G2622,Dados!$D:$L,3,0)&lt;=VLOOKUP(H2622,Dados!$X:$AB,2,0),VLOOKUP(G2622,Dados!$D:$L,4,0)&gt;=VLOOKUP(H2622,Dados!$X:$AB,3,0),VLOOKUP(G2622,Dados!$D:$L,4,0)&lt;=VLOOKUP(H2622,Dados!$X:$AB,4,0)),0,1)</f>
        <v>0</v>
      </c>
      <c r="U2622" s="4">
        <f>IF(COUNTIFS(F:F,F2622,H:H,H2622)&lt;=VLOOKUP(H2622,Dados!$X:$AB,5,0),0,1)</f>
        <v>0</v>
      </c>
    </row>
    <row r="2623" spans="6:21">
      <c r="F2623" s="4">
        <v>1126</v>
      </c>
      <c r="G2623" s="4">
        <v>38</v>
      </c>
      <c r="H2623" s="4">
        <v>3</v>
      </c>
      <c r="I2623" s="4">
        <v>16</v>
      </c>
      <c r="J2623" s="4">
        <v>3</v>
      </c>
      <c r="K2623" s="4">
        <f t="shared" si="362"/>
        <v>0</v>
      </c>
      <c r="L2623" s="4">
        <f t="shared" si="362"/>
        <v>0</v>
      </c>
      <c r="M2623" s="4">
        <f t="shared" si="362"/>
        <v>0</v>
      </c>
      <c r="N2623" s="4">
        <f t="shared" si="362"/>
        <v>0</v>
      </c>
      <c r="O2623" s="4">
        <f t="shared" si="363"/>
        <v>0</v>
      </c>
      <c r="P2623" s="4">
        <f t="shared" si="364"/>
        <v>0</v>
      </c>
      <c r="Q2623" s="4">
        <f t="shared" si="365"/>
        <v>0</v>
      </c>
      <c r="R2623" s="4">
        <f t="shared" si="366"/>
        <v>0</v>
      </c>
      <c r="S2623" s="4">
        <f>IF(AND(VLOOKUP(G2623,Dados!$D:$L,2,0)=VLOOKUP(I2623,Dados!$S:$V,2,0),VLOOKUP(G2623,Dados!$D:$L,3,0)=VLOOKUP(I2623,Dados!$S:$V,3,0)),0,1)</f>
        <v>0</v>
      </c>
      <c r="T2623" s="4">
        <f>IF(AND(VLOOKUP(G2623,Dados!$D:$L,3,0)&lt;=VLOOKUP(H2623,Dados!$X:$AB,2,0),VLOOKUP(G2623,Dados!$D:$L,4,0)&gt;=VLOOKUP(H2623,Dados!$X:$AB,3,0),VLOOKUP(G2623,Dados!$D:$L,4,0)&lt;=VLOOKUP(H2623,Dados!$X:$AB,4,0)),0,1)</f>
        <v>0</v>
      </c>
      <c r="U2623" s="4">
        <f>IF(COUNTIFS(F:F,F2623,H:H,H2623)&lt;=VLOOKUP(H2623,Dados!$X:$AB,5,0),0,1)</f>
        <v>0</v>
      </c>
    </row>
    <row r="2624" spans="6:21">
      <c r="F2624" s="4">
        <v>1127</v>
      </c>
      <c r="G2624" s="4">
        <v>39</v>
      </c>
      <c r="H2624" s="4">
        <v>3</v>
      </c>
      <c r="I2624" s="4">
        <v>17</v>
      </c>
      <c r="J2624" s="4">
        <v>1</v>
      </c>
      <c r="K2624" s="4">
        <f t="shared" si="362"/>
        <v>0</v>
      </c>
      <c r="L2624" s="4">
        <f t="shared" si="362"/>
        <v>0</v>
      </c>
      <c r="M2624" s="4">
        <f t="shared" si="362"/>
        <v>0</v>
      </c>
      <c r="N2624" s="4">
        <f t="shared" si="362"/>
        <v>0</v>
      </c>
      <c r="O2624" s="4">
        <f t="shared" si="363"/>
        <v>0</v>
      </c>
      <c r="P2624" s="4">
        <f t="shared" si="364"/>
        <v>0</v>
      </c>
      <c r="Q2624" s="4">
        <f t="shared" si="365"/>
        <v>0</v>
      </c>
      <c r="R2624" s="4">
        <f t="shared" si="366"/>
        <v>0</v>
      </c>
      <c r="S2624" s="4">
        <f>IF(AND(VLOOKUP(G2624,Dados!$D:$L,2,0)=VLOOKUP(I2624,Dados!$S:$V,2,0),VLOOKUP(G2624,Dados!$D:$L,3,0)=VLOOKUP(I2624,Dados!$S:$V,3,0)),0,1)</f>
        <v>0</v>
      </c>
      <c r="T2624" s="4">
        <f>IF(AND(VLOOKUP(G2624,Dados!$D:$L,3,0)&lt;=VLOOKUP(H2624,Dados!$X:$AB,2,0),VLOOKUP(G2624,Dados!$D:$L,4,0)&gt;=VLOOKUP(H2624,Dados!$X:$AB,3,0),VLOOKUP(G2624,Dados!$D:$L,4,0)&lt;=VLOOKUP(H2624,Dados!$X:$AB,4,0)),0,1)</f>
        <v>0</v>
      </c>
      <c r="U2624" s="4">
        <f>IF(COUNTIFS(F:F,F2624,H:H,H2624)&lt;=VLOOKUP(H2624,Dados!$X:$AB,5,0),0,1)</f>
        <v>0</v>
      </c>
    </row>
    <row r="2625" spans="6:21">
      <c r="F2625" s="4">
        <v>1127</v>
      </c>
      <c r="G2625" s="4">
        <v>40</v>
      </c>
      <c r="H2625" s="4">
        <v>3</v>
      </c>
      <c r="I2625" s="4">
        <v>17</v>
      </c>
      <c r="J2625" s="4">
        <v>2</v>
      </c>
      <c r="K2625" s="4">
        <f t="shared" si="362"/>
        <v>0</v>
      </c>
      <c r="L2625" s="4">
        <f t="shared" si="362"/>
        <v>0</v>
      </c>
      <c r="M2625" s="4">
        <f t="shared" si="362"/>
        <v>0</v>
      </c>
      <c r="N2625" s="4">
        <f t="shared" si="362"/>
        <v>0</v>
      </c>
      <c r="O2625" s="4">
        <f t="shared" si="363"/>
        <v>0</v>
      </c>
      <c r="P2625" s="4">
        <f t="shared" si="364"/>
        <v>0</v>
      </c>
      <c r="Q2625" s="4">
        <f t="shared" si="365"/>
        <v>0</v>
      </c>
      <c r="R2625" s="4">
        <f t="shared" si="366"/>
        <v>0</v>
      </c>
      <c r="S2625" s="4">
        <f>IF(AND(VLOOKUP(G2625,Dados!$D:$L,2,0)=VLOOKUP(I2625,Dados!$S:$V,2,0),VLOOKUP(G2625,Dados!$D:$L,3,0)=VLOOKUP(I2625,Dados!$S:$V,3,0)),0,1)</f>
        <v>0</v>
      </c>
      <c r="T2625" s="4">
        <f>IF(AND(VLOOKUP(G2625,Dados!$D:$L,3,0)&lt;=VLOOKUP(H2625,Dados!$X:$AB,2,0),VLOOKUP(G2625,Dados!$D:$L,4,0)&gt;=VLOOKUP(H2625,Dados!$X:$AB,3,0),VLOOKUP(G2625,Dados!$D:$L,4,0)&lt;=VLOOKUP(H2625,Dados!$X:$AB,4,0)),0,1)</f>
        <v>0</v>
      </c>
      <c r="U2625" s="4">
        <f>IF(COUNTIFS(F:F,F2625,H:H,H2625)&lt;=VLOOKUP(H2625,Dados!$X:$AB,5,0),0,1)</f>
        <v>0</v>
      </c>
    </row>
    <row r="2626" spans="6:21">
      <c r="F2626" s="4">
        <v>1127</v>
      </c>
      <c r="G2626" s="4">
        <v>42</v>
      </c>
      <c r="H2626" s="4">
        <v>3</v>
      </c>
      <c r="I2626" s="4">
        <v>17</v>
      </c>
      <c r="J2626" s="4">
        <v>3</v>
      </c>
      <c r="K2626" s="4">
        <f t="shared" si="362"/>
        <v>0</v>
      </c>
      <c r="L2626" s="4">
        <f t="shared" si="362"/>
        <v>0</v>
      </c>
      <c r="M2626" s="4">
        <f t="shared" si="362"/>
        <v>0</v>
      </c>
      <c r="N2626" s="4">
        <f t="shared" si="362"/>
        <v>0</v>
      </c>
      <c r="O2626" s="4">
        <f t="shared" si="363"/>
        <v>0</v>
      </c>
      <c r="P2626" s="4">
        <f t="shared" si="364"/>
        <v>0</v>
      </c>
      <c r="Q2626" s="4">
        <f t="shared" si="365"/>
        <v>0</v>
      </c>
      <c r="R2626" s="4">
        <f t="shared" si="366"/>
        <v>0</v>
      </c>
      <c r="S2626" s="4">
        <f>IF(AND(VLOOKUP(G2626,Dados!$D:$L,2,0)=VLOOKUP(I2626,Dados!$S:$V,2,0),VLOOKUP(G2626,Dados!$D:$L,3,0)=VLOOKUP(I2626,Dados!$S:$V,3,0)),0,1)</f>
        <v>0</v>
      </c>
      <c r="T2626" s="4">
        <f>IF(AND(VLOOKUP(G2626,Dados!$D:$L,3,0)&lt;=VLOOKUP(H2626,Dados!$X:$AB,2,0),VLOOKUP(G2626,Dados!$D:$L,4,0)&gt;=VLOOKUP(H2626,Dados!$X:$AB,3,0),VLOOKUP(G2626,Dados!$D:$L,4,0)&lt;=VLOOKUP(H2626,Dados!$X:$AB,4,0)),0,1)</f>
        <v>0</v>
      </c>
      <c r="U2626" s="4">
        <f>IF(COUNTIFS(F:F,F2626,H:H,H2626)&lt;=VLOOKUP(H2626,Dados!$X:$AB,5,0),0,1)</f>
        <v>0</v>
      </c>
    </row>
    <row r="2627" spans="6:21">
      <c r="F2627" s="4">
        <v>1127</v>
      </c>
      <c r="G2627" s="4">
        <v>43</v>
      </c>
      <c r="H2627" s="4">
        <v>3</v>
      </c>
      <c r="I2627" s="4">
        <v>17</v>
      </c>
      <c r="J2627" s="4">
        <v>1</v>
      </c>
      <c r="K2627" s="4">
        <f t="shared" si="362"/>
        <v>0</v>
      </c>
      <c r="L2627" s="4">
        <f t="shared" si="362"/>
        <v>0</v>
      </c>
      <c r="M2627" s="4">
        <f t="shared" si="362"/>
        <v>0</v>
      </c>
      <c r="N2627" s="4">
        <f t="shared" si="362"/>
        <v>0</v>
      </c>
      <c r="O2627" s="4">
        <f t="shared" si="363"/>
        <v>0</v>
      </c>
      <c r="P2627" s="4">
        <f t="shared" si="364"/>
        <v>0</v>
      </c>
      <c r="Q2627" s="4">
        <f t="shared" si="365"/>
        <v>0</v>
      </c>
      <c r="R2627" s="4">
        <f t="shared" si="366"/>
        <v>0</v>
      </c>
      <c r="S2627" s="4">
        <f>IF(AND(VLOOKUP(G2627,Dados!$D:$L,2,0)=VLOOKUP(I2627,Dados!$S:$V,2,0),VLOOKUP(G2627,Dados!$D:$L,3,0)=VLOOKUP(I2627,Dados!$S:$V,3,0)),0,1)</f>
        <v>0</v>
      </c>
      <c r="T2627" s="4">
        <f>IF(AND(VLOOKUP(G2627,Dados!$D:$L,3,0)&lt;=VLOOKUP(H2627,Dados!$X:$AB,2,0),VLOOKUP(G2627,Dados!$D:$L,4,0)&gt;=VLOOKUP(H2627,Dados!$X:$AB,3,0),VLOOKUP(G2627,Dados!$D:$L,4,0)&lt;=VLOOKUP(H2627,Dados!$X:$AB,4,0)),0,1)</f>
        <v>0</v>
      </c>
      <c r="U2627" s="4">
        <f>IF(COUNTIFS(F:F,F2627,H:H,H2627)&lt;=VLOOKUP(H2627,Dados!$X:$AB,5,0),0,1)</f>
        <v>0</v>
      </c>
    </row>
    <row r="2628" spans="6:21">
      <c r="F2628" s="4">
        <v>1128</v>
      </c>
      <c r="G2628" s="4">
        <v>60</v>
      </c>
      <c r="H2628" s="4">
        <v>3</v>
      </c>
      <c r="I2628" s="4">
        <v>27</v>
      </c>
      <c r="J2628" s="4">
        <v>1</v>
      </c>
      <c r="K2628" s="4">
        <f t="shared" si="362"/>
        <v>0</v>
      </c>
      <c r="L2628" s="4">
        <f t="shared" si="362"/>
        <v>0</v>
      </c>
      <c r="M2628" s="4">
        <f t="shared" si="362"/>
        <v>0</v>
      </c>
      <c r="N2628" s="4">
        <f t="shared" si="362"/>
        <v>0</v>
      </c>
      <c r="O2628" s="4">
        <f t="shared" si="363"/>
        <v>0</v>
      </c>
      <c r="P2628" s="4">
        <f t="shared" si="364"/>
        <v>0</v>
      </c>
      <c r="Q2628" s="4">
        <f t="shared" si="365"/>
        <v>0</v>
      </c>
      <c r="R2628" s="4">
        <f t="shared" si="366"/>
        <v>0</v>
      </c>
      <c r="S2628" s="4">
        <f>IF(AND(VLOOKUP(G2628,Dados!$D:$L,2,0)=VLOOKUP(I2628,Dados!$S:$V,2,0),VLOOKUP(G2628,Dados!$D:$L,3,0)=VLOOKUP(I2628,Dados!$S:$V,3,0)),0,1)</f>
        <v>0</v>
      </c>
      <c r="T2628" s="4">
        <f>IF(AND(VLOOKUP(G2628,Dados!$D:$L,3,0)&lt;=VLOOKUP(H2628,Dados!$X:$AB,2,0),VLOOKUP(G2628,Dados!$D:$L,4,0)&gt;=VLOOKUP(H2628,Dados!$X:$AB,3,0),VLOOKUP(G2628,Dados!$D:$L,4,0)&lt;=VLOOKUP(H2628,Dados!$X:$AB,4,0)),0,1)</f>
        <v>0</v>
      </c>
      <c r="U2628" s="4">
        <f>IF(COUNTIFS(F:F,F2628,H:H,H2628)&lt;=VLOOKUP(H2628,Dados!$X:$AB,5,0),0,1)</f>
        <v>0</v>
      </c>
    </row>
    <row r="2629" spans="6:21">
      <c r="F2629" s="4">
        <v>1128</v>
      </c>
      <c r="G2629" s="4">
        <v>62</v>
      </c>
      <c r="H2629" s="4">
        <v>3</v>
      </c>
      <c r="I2629" s="4">
        <v>27</v>
      </c>
      <c r="J2629" s="4">
        <v>1</v>
      </c>
      <c r="K2629" s="4">
        <f t="shared" si="362"/>
        <v>0</v>
      </c>
      <c r="L2629" s="4">
        <f t="shared" si="362"/>
        <v>0</v>
      </c>
      <c r="M2629" s="4">
        <f t="shared" si="362"/>
        <v>0</v>
      </c>
      <c r="N2629" s="4">
        <f t="shared" si="362"/>
        <v>0</v>
      </c>
      <c r="O2629" s="4">
        <f t="shared" si="363"/>
        <v>0</v>
      </c>
      <c r="P2629" s="4">
        <f t="shared" si="364"/>
        <v>0</v>
      </c>
      <c r="Q2629" s="4">
        <f t="shared" si="365"/>
        <v>0</v>
      </c>
      <c r="R2629" s="4">
        <f t="shared" si="366"/>
        <v>0</v>
      </c>
      <c r="S2629" s="4">
        <f>IF(AND(VLOOKUP(G2629,Dados!$D:$L,2,0)=VLOOKUP(I2629,Dados!$S:$V,2,0),VLOOKUP(G2629,Dados!$D:$L,3,0)=VLOOKUP(I2629,Dados!$S:$V,3,0)),0,1)</f>
        <v>0</v>
      </c>
      <c r="T2629" s="4">
        <f>IF(AND(VLOOKUP(G2629,Dados!$D:$L,3,0)&lt;=VLOOKUP(H2629,Dados!$X:$AB,2,0),VLOOKUP(G2629,Dados!$D:$L,4,0)&gt;=VLOOKUP(H2629,Dados!$X:$AB,3,0),VLOOKUP(G2629,Dados!$D:$L,4,0)&lt;=VLOOKUP(H2629,Dados!$X:$AB,4,0)),0,1)</f>
        <v>0</v>
      </c>
      <c r="U2629" s="4">
        <f>IF(COUNTIFS(F:F,F2629,H:H,H2629)&lt;=VLOOKUP(H2629,Dados!$X:$AB,5,0),0,1)</f>
        <v>0</v>
      </c>
    </row>
    <row r="2630" spans="6:21">
      <c r="F2630" s="4">
        <v>1128</v>
      </c>
      <c r="G2630" s="4">
        <v>64</v>
      </c>
      <c r="H2630" s="4">
        <v>3</v>
      </c>
      <c r="I2630" s="4">
        <v>27</v>
      </c>
      <c r="J2630" s="4">
        <v>2</v>
      </c>
      <c r="K2630" s="4">
        <f t="shared" si="362"/>
        <v>0</v>
      </c>
      <c r="L2630" s="4">
        <f t="shared" si="362"/>
        <v>0</v>
      </c>
      <c r="M2630" s="4">
        <f t="shared" si="362"/>
        <v>0</v>
      </c>
      <c r="N2630" s="4">
        <f t="shared" si="362"/>
        <v>0</v>
      </c>
      <c r="O2630" s="4">
        <f t="shared" si="363"/>
        <v>0</v>
      </c>
      <c r="P2630" s="4">
        <f t="shared" si="364"/>
        <v>0</v>
      </c>
      <c r="Q2630" s="4">
        <f t="shared" si="365"/>
        <v>0</v>
      </c>
      <c r="R2630" s="4">
        <f t="shared" si="366"/>
        <v>0</v>
      </c>
      <c r="S2630" s="4">
        <f>IF(AND(VLOOKUP(G2630,Dados!$D:$L,2,0)=VLOOKUP(I2630,Dados!$S:$V,2,0),VLOOKUP(G2630,Dados!$D:$L,3,0)=VLOOKUP(I2630,Dados!$S:$V,3,0)),0,1)</f>
        <v>0</v>
      </c>
      <c r="T2630" s="4">
        <f>IF(AND(VLOOKUP(G2630,Dados!$D:$L,3,0)&lt;=VLOOKUP(H2630,Dados!$X:$AB,2,0),VLOOKUP(G2630,Dados!$D:$L,4,0)&gt;=VLOOKUP(H2630,Dados!$X:$AB,3,0),VLOOKUP(G2630,Dados!$D:$L,4,0)&lt;=VLOOKUP(H2630,Dados!$X:$AB,4,0)),0,1)</f>
        <v>0</v>
      </c>
      <c r="U2630" s="4">
        <f>IF(COUNTIFS(F:F,F2630,H:H,H2630)&lt;=VLOOKUP(H2630,Dados!$X:$AB,5,0),0,1)</f>
        <v>0</v>
      </c>
    </row>
    <row r="2631" spans="6:21">
      <c r="F2631" s="4">
        <v>1128</v>
      </c>
      <c r="G2631" s="4">
        <v>66</v>
      </c>
      <c r="H2631" s="4">
        <v>3</v>
      </c>
      <c r="I2631" s="4">
        <v>27</v>
      </c>
      <c r="J2631" s="4">
        <v>4</v>
      </c>
      <c r="K2631" s="4">
        <f t="shared" si="362"/>
        <v>0</v>
      </c>
      <c r="L2631" s="4">
        <f t="shared" si="362"/>
        <v>0</v>
      </c>
      <c r="M2631" s="4">
        <f t="shared" si="362"/>
        <v>0</v>
      </c>
      <c r="N2631" s="4">
        <f t="shared" si="362"/>
        <v>0</v>
      </c>
      <c r="O2631" s="4">
        <f t="shared" si="363"/>
        <v>0</v>
      </c>
      <c r="P2631" s="4">
        <f t="shared" si="364"/>
        <v>0</v>
      </c>
      <c r="Q2631" s="4">
        <f t="shared" si="365"/>
        <v>0</v>
      </c>
      <c r="R2631" s="4">
        <f t="shared" si="366"/>
        <v>0</v>
      </c>
      <c r="S2631" s="4">
        <f>IF(AND(VLOOKUP(G2631,Dados!$D:$L,2,0)=VLOOKUP(I2631,Dados!$S:$V,2,0),VLOOKUP(G2631,Dados!$D:$L,3,0)=VLOOKUP(I2631,Dados!$S:$V,3,0)),0,1)</f>
        <v>0</v>
      </c>
      <c r="T2631" s="4">
        <f>IF(AND(VLOOKUP(G2631,Dados!$D:$L,3,0)&lt;=VLOOKUP(H2631,Dados!$X:$AB,2,0),VLOOKUP(G2631,Dados!$D:$L,4,0)&gt;=VLOOKUP(H2631,Dados!$X:$AB,3,0),VLOOKUP(G2631,Dados!$D:$L,4,0)&lt;=VLOOKUP(H2631,Dados!$X:$AB,4,0)),0,1)</f>
        <v>0</v>
      </c>
      <c r="U2631" s="4">
        <f>IF(COUNTIFS(F:F,F2631,H:H,H2631)&lt;=VLOOKUP(H2631,Dados!$X:$AB,5,0),0,1)</f>
        <v>0</v>
      </c>
    </row>
    <row r="2632" spans="6:21">
      <c r="F2632" s="4">
        <v>1129</v>
      </c>
      <c r="G2632" s="4">
        <v>12</v>
      </c>
      <c r="H2632" s="4">
        <v>1</v>
      </c>
      <c r="I2632" s="4">
        <v>8</v>
      </c>
      <c r="J2632" s="4">
        <v>4</v>
      </c>
      <c r="K2632" s="4">
        <f t="shared" si="362"/>
        <v>0</v>
      </c>
      <c r="L2632" s="4">
        <f t="shared" si="362"/>
        <v>0</v>
      </c>
      <c r="M2632" s="4">
        <f t="shared" si="362"/>
        <v>0</v>
      </c>
      <c r="N2632" s="4">
        <f t="shared" si="362"/>
        <v>0</v>
      </c>
      <c r="O2632" s="4">
        <f t="shared" si="363"/>
        <v>0</v>
      </c>
      <c r="P2632" s="4">
        <f t="shared" si="364"/>
        <v>0</v>
      </c>
      <c r="Q2632" s="4">
        <f t="shared" si="365"/>
        <v>0</v>
      </c>
      <c r="R2632" s="4">
        <f t="shared" si="366"/>
        <v>0</v>
      </c>
      <c r="S2632" s="4">
        <f>IF(AND(VLOOKUP(G2632,Dados!$D:$L,2,0)=VLOOKUP(I2632,Dados!$S:$V,2,0),VLOOKUP(G2632,Dados!$D:$L,3,0)=VLOOKUP(I2632,Dados!$S:$V,3,0)),0,1)</f>
        <v>0</v>
      </c>
      <c r="T2632" s="4">
        <f>IF(AND(VLOOKUP(G2632,Dados!$D:$L,3,0)&lt;=VLOOKUP(H2632,Dados!$X:$AB,2,0),VLOOKUP(G2632,Dados!$D:$L,4,0)&gt;=VLOOKUP(H2632,Dados!$X:$AB,3,0),VLOOKUP(G2632,Dados!$D:$L,4,0)&lt;=VLOOKUP(H2632,Dados!$X:$AB,4,0)),0,1)</f>
        <v>0</v>
      </c>
      <c r="U2632" s="4">
        <f>IF(COUNTIFS(F:F,F2632,H:H,H2632)&lt;=VLOOKUP(H2632,Dados!$X:$AB,5,0),0,1)</f>
        <v>0</v>
      </c>
    </row>
    <row r="2633" spans="6:21">
      <c r="F2633" s="4">
        <v>1129</v>
      </c>
      <c r="G2633" s="4">
        <v>16</v>
      </c>
      <c r="H2633" s="4">
        <v>1</v>
      </c>
      <c r="I2633" s="4">
        <v>8</v>
      </c>
      <c r="J2633" s="4">
        <v>2</v>
      </c>
      <c r="K2633" s="4">
        <f t="shared" si="362"/>
        <v>0</v>
      </c>
      <c r="L2633" s="4">
        <f t="shared" si="362"/>
        <v>0</v>
      </c>
      <c r="M2633" s="4">
        <f t="shared" si="362"/>
        <v>0</v>
      </c>
      <c r="N2633" s="4">
        <f t="shared" si="362"/>
        <v>0</v>
      </c>
      <c r="O2633" s="4">
        <f t="shared" si="363"/>
        <v>0</v>
      </c>
      <c r="P2633" s="4">
        <f t="shared" si="364"/>
        <v>0</v>
      </c>
      <c r="Q2633" s="4">
        <f t="shared" si="365"/>
        <v>0</v>
      </c>
      <c r="R2633" s="4">
        <f t="shared" si="366"/>
        <v>0</v>
      </c>
      <c r="S2633" s="4">
        <f>IF(AND(VLOOKUP(G2633,Dados!$D:$L,2,0)=VLOOKUP(I2633,Dados!$S:$V,2,0),VLOOKUP(G2633,Dados!$D:$L,3,0)=VLOOKUP(I2633,Dados!$S:$V,3,0)),0,1)</f>
        <v>0</v>
      </c>
      <c r="T2633" s="4">
        <f>IF(AND(VLOOKUP(G2633,Dados!$D:$L,3,0)&lt;=VLOOKUP(H2633,Dados!$X:$AB,2,0),VLOOKUP(G2633,Dados!$D:$L,4,0)&gt;=VLOOKUP(H2633,Dados!$X:$AB,3,0),VLOOKUP(G2633,Dados!$D:$L,4,0)&lt;=VLOOKUP(H2633,Dados!$X:$AB,4,0)),0,1)</f>
        <v>0</v>
      </c>
      <c r="U2633" s="4">
        <f>IF(COUNTIFS(F:F,F2633,H:H,H2633)&lt;=VLOOKUP(H2633,Dados!$X:$AB,5,0),0,1)</f>
        <v>0</v>
      </c>
    </row>
    <row r="2634" spans="6:21">
      <c r="F2634" s="4">
        <v>1129</v>
      </c>
      <c r="G2634" s="4">
        <v>17</v>
      </c>
      <c r="H2634" s="4">
        <v>1</v>
      </c>
      <c r="I2634" s="4">
        <v>8</v>
      </c>
      <c r="J2634" s="4">
        <v>5</v>
      </c>
      <c r="K2634" s="4">
        <f t="shared" si="362"/>
        <v>0</v>
      </c>
      <c r="L2634" s="4">
        <f t="shared" si="362"/>
        <v>0</v>
      </c>
      <c r="M2634" s="4">
        <f t="shared" si="362"/>
        <v>0</v>
      </c>
      <c r="N2634" s="4">
        <f t="shared" si="362"/>
        <v>0</v>
      </c>
      <c r="O2634" s="4">
        <f t="shared" si="363"/>
        <v>0</v>
      </c>
      <c r="P2634" s="4">
        <f t="shared" si="364"/>
        <v>0</v>
      </c>
      <c r="Q2634" s="4">
        <f t="shared" si="365"/>
        <v>0</v>
      </c>
      <c r="R2634" s="4">
        <f t="shared" si="366"/>
        <v>0</v>
      </c>
      <c r="S2634" s="4">
        <f>IF(AND(VLOOKUP(G2634,Dados!$D:$L,2,0)=VLOOKUP(I2634,Dados!$S:$V,2,0),VLOOKUP(G2634,Dados!$D:$L,3,0)=VLOOKUP(I2634,Dados!$S:$V,3,0)),0,1)</f>
        <v>0</v>
      </c>
      <c r="T2634" s="4">
        <f>IF(AND(VLOOKUP(G2634,Dados!$D:$L,3,0)&lt;=VLOOKUP(H2634,Dados!$X:$AB,2,0),VLOOKUP(G2634,Dados!$D:$L,4,0)&gt;=VLOOKUP(H2634,Dados!$X:$AB,3,0),VLOOKUP(G2634,Dados!$D:$L,4,0)&lt;=VLOOKUP(H2634,Dados!$X:$AB,4,0)),0,1)</f>
        <v>0</v>
      </c>
      <c r="U2634" s="4">
        <f>IF(COUNTIFS(F:F,F2634,H:H,H2634)&lt;=VLOOKUP(H2634,Dados!$X:$AB,5,0),0,1)</f>
        <v>0</v>
      </c>
    </row>
    <row r="2635" spans="6:21">
      <c r="F2635" s="4">
        <v>1130</v>
      </c>
      <c r="G2635" s="4">
        <v>12</v>
      </c>
      <c r="H2635" s="4">
        <v>3</v>
      </c>
      <c r="I2635" s="4">
        <v>8</v>
      </c>
      <c r="J2635" s="4">
        <v>4</v>
      </c>
      <c r="K2635" s="4">
        <f t="shared" si="362"/>
        <v>0</v>
      </c>
      <c r="L2635" s="4">
        <f t="shared" si="362"/>
        <v>0</v>
      </c>
      <c r="M2635" s="4">
        <f t="shared" si="362"/>
        <v>0</v>
      </c>
      <c r="N2635" s="4">
        <f t="shared" si="362"/>
        <v>1</v>
      </c>
      <c r="O2635" s="4">
        <f t="shared" si="363"/>
        <v>0</v>
      </c>
      <c r="P2635" s="4">
        <f t="shared" si="364"/>
        <v>0</v>
      </c>
      <c r="Q2635" s="4">
        <f t="shared" si="365"/>
        <v>0</v>
      </c>
      <c r="R2635" s="4">
        <f t="shared" si="366"/>
        <v>4</v>
      </c>
      <c r="S2635" s="4">
        <f>IF(AND(VLOOKUP(G2635,Dados!$D:$L,2,0)=VLOOKUP(I2635,Dados!$S:$V,2,0),VLOOKUP(G2635,Dados!$D:$L,3,0)=VLOOKUP(I2635,Dados!$S:$V,3,0)),0,1)</f>
        <v>0</v>
      </c>
      <c r="T2635" s="4">
        <f>IF(AND(VLOOKUP(G2635,Dados!$D:$L,3,0)&lt;=VLOOKUP(H2635,Dados!$X:$AB,2,0),VLOOKUP(G2635,Dados!$D:$L,4,0)&gt;=VLOOKUP(H2635,Dados!$X:$AB,3,0),VLOOKUP(G2635,Dados!$D:$L,4,0)&lt;=VLOOKUP(H2635,Dados!$X:$AB,4,0)),0,1)</f>
        <v>0</v>
      </c>
      <c r="U2635" s="4">
        <f>IF(COUNTIFS(F:F,F2635,H:H,H2635)&lt;=VLOOKUP(H2635,Dados!$X:$AB,5,0),0,1)</f>
        <v>0</v>
      </c>
    </row>
    <row r="2636" spans="6:21">
      <c r="F2636" s="4">
        <v>1130</v>
      </c>
      <c r="G2636" s="4">
        <v>16</v>
      </c>
      <c r="H2636" s="4">
        <v>3</v>
      </c>
      <c r="I2636" s="4">
        <v>8</v>
      </c>
      <c r="J2636" s="4">
        <v>2</v>
      </c>
      <c r="K2636" s="4">
        <f t="shared" si="362"/>
        <v>0</v>
      </c>
      <c r="L2636" s="4">
        <f t="shared" si="362"/>
        <v>0</v>
      </c>
      <c r="M2636" s="4">
        <f t="shared" si="362"/>
        <v>0</v>
      </c>
      <c r="N2636" s="4">
        <f t="shared" si="362"/>
        <v>1</v>
      </c>
      <c r="O2636" s="4">
        <f t="shared" si="363"/>
        <v>0</v>
      </c>
      <c r="P2636" s="4">
        <f t="shared" si="364"/>
        <v>0</v>
      </c>
      <c r="Q2636" s="4">
        <f t="shared" si="365"/>
        <v>0</v>
      </c>
      <c r="R2636" s="4">
        <f t="shared" si="366"/>
        <v>2</v>
      </c>
      <c r="S2636" s="4">
        <f>IF(AND(VLOOKUP(G2636,Dados!$D:$L,2,0)=VLOOKUP(I2636,Dados!$S:$V,2,0),VLOOKUP(G2636,Dados!$D:$L,3,0)=VLOOKUP(I2636,Dados!$S:$V,3,0)),0,1)</f>
        <v>0</v>
      </c>
      <c r="T2636" s="4">
        <f>IF(AND(VLOOKUP(G2636,Dados!$D:$L,3,0)&lt;=VLOOKUP(H2636,Dados!$X:$AB,2,0),VLOOKUP(G2636,Dados!$D:$L,4,0)&gt;=VLOOKUP(H2636,Dados!$X:$AB,3,0),VLOOKUP(G2636,Dados!$D:$L,4,0)&lt;=VLOOKUP(H2636,Dados!$X:$AB,4,0)),0,1)</f>
        <v>0</v>
      </c>
      <c r="U2636" s="4">
        <f>IF(COUNTIFS(F:F,F2636,H:H,H2636)&lt;=VLOOKUP(H2636,Dados!$X:$AB,5,0),0,1)</f>
        <v>0</v>
      </c>
    </row>
    <row r="2637" spans="6:21">
      <c r="F2637" s="4">
        <v>1130</v>
      </c>
      <c r="G2637" s="4">
        <v>17</v>
      </c>
      <c r="H2637" s="4">
        <v>3</v>
      </c>
      <c r="I2637" s="4">
        <v>8</v>
      </c>
      <c r="J2637" s="4">
        <v>5</v>
      </c>
      <c r="K2637" s="4">
        <f t="shared" si="362"/>
        <v>0</v>
      </c>
      <c r="L2637" s="4">
        <f t="shared" si="362"/>
        <v>0</v>
      </c>
      <c r="M2637" s="4">
        <f t="shared" si="362"/>
        <v>0</v>
      </c>
      <c r="N2637" s="4">
        <f t="shared" si="362"/>
        <v>1</v>
      </c>
      <c r="O2637" s="4">
        <f t="shared" si="363"/>
        <v>0</v>
      </c>
      <c r="P2637" s="4">
        <f t="shared" si="364"/>
        <v>0</v>
      </c>
      <c r="Q2637" s="4">
        <f t="shared" si="365"/>
        <v>0</v>
      </c>
      <c r="R2637" s="4">
        <f t="shared" si="366"/>
        <v>5</v>
      </c>
      <c r="S2637" s="4">
        <f>IF(AND(VLOOKUP(G2637,Dados!$D:$L,2,0)=VLOOKUP(I2637,Dados!$S:$V,2,0),VLOOKUP(G2637,Dados!$D:$L,3,0)=VLOOKUP(I2637,Dados!$S:$V,3,0)),0,1)</f>
        <v>0</v>
      </c>
      <c r="T2637" s="4">
        <f>IF(AND(VLOOKUP(G2637,Dados!$D:$L,3,0)&lt;=VLOOKUP(H2637,Dados!$X:$AB,2,0),VLOOKUP(G2637,Dados!$D:$L,4,0)&gt;=VLOOKUP(H2637,Dados!$X:$AB,3,0),VLOOKUP(G2637,Dados!$D:$L,4,0)&lt;=VLOOKUP(H2637,Dados!$X:$AB,4,0)),0,1)</f>
        <v>0</v>
      </c>
      <c r="U2637" s="4">
        <f>IF(COUNTIFS(F:F,F2637,H:H,H2637)&lt;=VLOOKUP(H2637,Dados!$X:$AB,5,0),0,1)</f>
        <v>0</v>
      </c>
    </row>
    <row r="2638" spans="6:21">
      <c r="F2638" s="4">
        <v>1131</v>
      </c>
      <c r="G2638" s="4">
        <v>13</v>
      </c>
      <c r="H2638" s="4">
        <v>3</v>
      </c>
      <c r="I2638" s="4">
        <v>9</v>
      </c>
      <c r="J2638" s="4">
        <v>2</v>
      </c>
      <c r="K2638" s="4">
        <f t="shared" si="362"/>
        <v>0</v>
      </c>
      <c r="L2638" s="4">
        <f t="shared" si="362"/>
        <v>0</v>
      </c>
      <c r="M2638" s="4">
        <f t="shared" si="362"/>
        <v>0</v>
      </c>
      <c r="N2638" s="4">
        <f t="shared" si="362"/>
        <v>0</v>
      </c>
      <c r="O2638" s="4">
        <f t="shared" si="363"/>
        <v>0</v>
      </c>
      <c r="P2638" s="4">
        <f t="shared" si="364"/>
        <v>0</v>
      </c>
      <c r="Q2638" s="4">
        <f t="shared" si="365"/>
        <v>0</v>
      </c>
      <c r="R2638" s="4">
        <f t="shared" si="366"/>
        <v>0</v>
      </c>
      <c r="S2638" s="4">
        <f>IF(AND(VLOOKUP(G2638,Dados!$D:$L,2,0)=VLOOKUP(I2638,Dados!$S:$V,2,0),VLOOKUP(G2638,Dados!$D:$L,3,0)=VLOOKUP(I2638,Dados!$S:$V,3,0)),0,1)</f>
        <v>0</v>
      </c>
      <c r="T2638" s="4">
        <f>IF(AND(VLOOKUP(G2638,Dados!$D:$L,3,0)&lt;=VLOOKUP(H2638,Dados!$X:$AB,2,0),VLOOKUP(G2638,Dados!$D:$L,4,0)&gt;=VLOOKUP(H2638,Dados!$X:$AB,3,0),VLOOKUP(G2638,Dados!$D:$L,4,0)&lt;=VLOOKUP(H2638,Dados!$X:$AB,4,0)),0,1)</f>
        <v>0</v>
      </c>
      <c r="U2638" s="4">
        <f>IF(COUNTIFS(F:F,F2638,H:H,H2638)&lt;=VLOOKUP(H2638,Dados!$X:$AB,5,0),0,1)</f>
        <v>0</v>
      </c>
    </row>
    <row r="2639" spans="6:21">
      <c r="F2639" s="4">
        <v>1131</v>
      </c>
      <c r="G2639" s="4">
        <v>14</v>
      </c>
      <c r="H2639" s="4">
        <v>3</v>
      </c>
      <c r="I2639" s="4">
        <v>9</v>
      </c>
      <c r="J2639" s="4">
        <v>1</v>
      </c>
      <c r="K2639" s="4">
        <f t="shared" si="362"/>
        <v>0</v>
      </c>
      <c r="L2639" s="4">
        <f t="shared" si="362"/>
        <v>0</v>
      </c>
      <c r="M2639" s="4">
        <f t="shared" si="362"/>
        <v>0</v>
      </c>
      <c r="N2639" s="4">
        <f t="shared" si="362"/>
        <v>0</v>
      </c>
      <c r="O2639" s="4">
        <f t="shared" si="363"/>
        <v>0</v>
      </c>
      <c r="P2639" s="4">
        <f t="shared" si="364"/>
        <v>0</v>
      </c>
      <c r="Q2639" s="4">
        <f t="shared" si="365"/>
        <v>0</v>
      </c>
      <c r="R2639" s="4">
        <f t="shared" si="366"/>
        <v>0</v>
      </c>
      <c r="S2639" s="4">
        <f>IF(AND(VLOOKUP(G2639,Dados!$D:$L,2,0)=VLOOKUP(I2639,Dados!$S:$V,2,0),VLOOKUP(G2639,Dados!$D:$L,3,0)=VLOOKUP(I2639,Dados!$S:$V,3,0)),0,1)</f>
        <v>0</v>
      </c>
      <c r="T2639" s="4">
        <f>IF(AND(VLOOKUP(G2639,Dados!$D:$L,3,0)&lt;=VLOOKUP(H2639,Dados!$X:$AB,2,0),VLOOKUP(G2639,Dados!$D:$L,4,0)&gt;=VLOOKUP(H2639,Dados!$X:$AB,3,0),VLOOKUP(G2639,Dados!$D:$L,4,0)&lt;=VLOOKUP(H2639,Dados!$X:$AB,4,0)),0,1)</f>
        <v>0</v>
      </c>
      <c r="U2639" s="4">
        <f>IF(COUNTIFS(F:F,F2639,H:H,H2639)&lt;=VLOOKUP(H2639,Dados!$X:$AB,5,0),0,1)</f>
        <v>0</v>
      </c>
    </row>
    <row r="2640" spans="6:21">
      <c r="F2640" s="4">
        <v>1131</v>
      </c>
      <c r="G2640" s="4">
        <v>15</v>
      </c>
      <c r="H2640" s="4">
        <v>3</v>
      </c>
      <c r="I2640" s="4">
        <v>9</v>
      </c>
      <c r="J2640" s="4">
        <v>1</v>
      </c>
      <c r="K2640" s="4">
        <f t="shared" si="362"/>
        <v>0</v>
      </c>
      <c r="L2640" s="4">
        <f t="shared" si="362"/>
        <v>0</v>
      </c>
      <c r="M2640" s="4">
        <f t="shared" si="362"/>
        <v>0</v>
      </c>
      <c r="N2640" s="4">
        <f t="shared" si="362"/>
        <v>0</v>
      </c>
      <c r="O2640" s="4">
        <f t="shared" si="363"/>
        <v>0</v>
      </c>
      <c r="P2640" s="4">
        <f t="shared" si="364"/>
        <v>0</v>
      </c>
      <c r="Q2640" s="4">
        <f t="shared" si="365"/>
        <v>0</v>
      </c>
      <c r="R2640" s="4">
        <f t="shared" si="366"/>
        <v>0</v>
      </c>
      <c r="S2640" s="4">
        <f>IF(AND(VLOOKUP(G2640,Dados!$D:$L,2,0)=VLOOKUP(I2640,Dados!$S:$V,2,0),VLOOKUP(G2640,Dados!$D:$L,3,0)=VLOOKUP(I2640,Dados!$S:$V,3,0)),0,1)</f>
        <v>0</v>
      </c>
      <c r="T2640" s="4">
        <f>IF(AND(VLOOKUP(G2640,Dados!$D:$L,3,0)&lt;=VLOOKUP(H2640,Dados!$X:$AB,2,0),VLOOKUP(G2640,Dados!$D:$L,4,0)&gt;=VLOOKUP(H2640,Dados!$X:$AB,3,0),VLOOKUP(G2640,Dados!$D:$L,4,0)&lt;=VLOOKUP(H2640,Dados!$X:$AB,4,0)),0,1)</f>
        <v>0</v>
      </c>
      <c r="U2640" s="4">
        <f>IF(COUNTIFS(F:F,F2640,H:H,H2640)&lt;=VLOOKUP(H2640,Dados!$X:$AB,5,0),0,1)</f>
        <v>0</v>
      </c>
    </row>
    <row r="2641" spans="6:21">
      <c r="F2641" s="4">
        <v>1131</v>
      </c>
      <c r="G2641" s="4">
        <v>16</v>
      </c>
      <c r="H2641" s="4">
        <v>3</v>
      </c>
      <c r="I2641" s="4">
        <v>9</v>
      </c>
      <c r="J2641" s="4">
        <v>4</v>
      </c>
      <c r="K2641" s="4">
        <f t="shared" si="362"/>
        <v>0</v>
      </c>
      <c r="L2641" s="4">
        <f t="shared" si="362"/>
        <v>0</v>
      </c>
      <c r="M2641" s="4">
        <f t="shared" si="362"/>
        <v>0</v>
      </c>
      <c r="N2641" s="4">
        <f t="shared" si="362"/>
        <v>0</v>
      </c>
      <c r="O2641" s="4">
        <f t="shared" si="363"/>
        <v>0</v>
      </c>
      <c r="P2641" s="4">
        <f t="shared" si="364"/>
        <v>0</v>
      </c>
      <c r="Q2641" s="4">
        <f t="shared" si="365"/>
        <v>0</v>
      </c>
      <c r="R2641" s="4">
        <f t="shared" si="366"/>
        <v>0</v>
      </c>
      <c r="S2641" s="4">
        <f>IF(AND(VLOOKUP(G2641,Dados!$D:$L,2,0)=VLOOKUP(I2641,Dados!$S:$V,2,0),VLOOKUP(G2641,Dados!$D:$L,3,0)=VLOOKUP(I2641,Dados!$S:$V,3,0)),0,1)</f>
        <v>0</v>
      </c>
      <c r="T2641" s="4">
        <f>IF(AND(VLOOKUP(G2641,Dados!$D:$L,3,0)&lt;=VLOOKUP(H2641,Dados!$X:$AB,2,0),VLOOKUP(G2641,Dados!$D:$L,4,0)&gt;=VLOOKUP(H2641,Dados!$X:$AB,3,0),VLOOKUP(G2641,Dados!$D:$L,4,0)&lt;=VLOOKUP(H2641,Dados!$X:$AB,4,0)),0,1)</f>
        <v>0</v>
      </c>
      <c r="U2641" s="4">
        <f>IF(COUNTIFS(F:F,F2641,H:H,H2641)&lt;=VLOOKUP(H2641,Dados!$X:$AB,5,0),0,1)</f>
        <v>0</v>
      </c>
    </row>
    <row r="2642" spans="6:21">
      <c r="F2642" s="4">
        <v>1132</v>
      </c>
      <c r="G2642" s="4">
        <v>14</v>
      </c>
      <c r="H2642" s="4">
        <v>3</v>
      </c>
      <c r="I2642" s="4">
        <v>11</v>
      </c>
      <c r="J2642" s="4">
        <v>1</v>
      </c>
      <c r="K2642" s="4">
        <f t="shared" si="362"/>
        <v>0</v>
      </c>
      <c r="L2642" s="4">
        <f t="shared" si="362"/>
        <v>0</v>
      </c>
      <c r="M2642" s="4">
        <f t="shared" si="362"/>
        <v>0</v>
      </c>
      <c r="N2642" s="4">
        <f t="shared" si="362"/>
        <v>0</v>
      </c>
      <c r="O2642" s="4">
        <f t="shared" si="363"/>
        <v>0</v>
      </c>
      <c r="P2642" s="4">
        <f t="shared" si="364"/>
        <v>0</v>
      </c>
      <c r="Q2642" s="4">
        <f t="shared" si="365"/>
        <v>0</v>
      </c>
      <c r="R2642" s="4">
        <f t="shared" si="366"/>
        <v>0</v>
      </c>
      <c r="S2642" s="4">
        <f>IF(AND(VLOOKUP(G2642,Dados!$D:$L,2,0)=VLOOKUP(I2642,Dados!$S:$V,2,0),VLOOKUP(G2642,Dados!$D:$L,3,0)=VLOOKUP(I2642,Dados!$S:$V,3,0)),0,1)</f>
        <v>0</v>
      </c>
      <c r="T2642" s="4">
        <f>IF(AND(VLOOKUP(G2642,Dados!$D:$L,3,0)&lt;=VLOOKUP(H2642,Dados!$X:$AB,2,0),VLOOKUP(G2642,Dados!$D:$L,4,0)&gt;=VLOOKUP(H2642,Dados!$X:$AB,3,0),VLOOKUP(G2642,Dados!$D:$L,4,0)&lt;=VLOOKUP(H2642,Dados!$X:$AB,4,0)),0,1)</f>
        <v>0</v>
      </c>
      <c r="U2642" s="4">
        <f>IF(COUNTIFS(F:F,F2642,H:H,H2642)&lt;=VLOOKUP(H2642,Dados!$X:$AB,5,0),0,1)</f>
        <v>0</v>
      </c>
    </row>
    <row r="2643" spans="6:21">
      <c r="F2643" s="4">
        <v>1132</v>
      </c>
      <c r="G2643" s="4">
        <v>15</v>
      </c>
      <c r="H2643" s="4">
        <v>3</v>
      </c>
      <c r="I2643" s="4">
        <v>11</v>
      </c>
      <c r="J2643" s="4">
        <v>3</v>
      </c>
      <c r="K2643" s="4">
        <f t="shared" si="362"/>
        <v>0</v>
      </c>
      <c r="L2643" s="4">
        <f t="shared" si="362"/>
        <v>0</v>
      </c>
      <c r="M2643" s="4">
        <f t="shared" si="362"/>
        <v>0</v>
      </c>
      <c r="N2643" s="4">
        <f t="shared" si="362"/>
        <v>0</v>
      </c>
      <c r="O2643" s="4">
        <f t="shared" si="363"/>
        <v>0</v>
      </c>
      <c r="P2643" s="4">
        <f t="shared" si="364"/>
        <v>0</v>
      </c>
      <c r="Q2643" s="4">
        <f t="shared" si="365"/>
        <v>0</v>
      </c>
      <c r="R2643" s="4">
        <f t="shared" si="366"/>
        <v>0</v>
      </c>
      <c r="S2643" s="4">
        <f>IF(AND(VLOOKUP(G2643,Dados!$D:$L,2,0)=VLOOKUP(I2643,Dados!$S:$V,2,0),VLOOKUP(G2643,Dados!$D:$L,3,0)=VLOOKUP(I2643,Dados!$S:$V,3,0)),0,1)</f>
        <v>0</v>
      </c>
      <c r="T2643" s="4">
        <f>IF(AND(VLOOKUP(G2643,Dados!$D:$L,3,0)&lt;=VLOOKUP(H2643,Dados!$X:$AB,2,0),VLOOKUP(G2643,Dados!$D:$L,4,0)&gt;=VLOOKUP(H2643,Dados!$X:$AB,3,0),VLOOKUP(G2643,Dados!$D:$L,4,0)&lt;=VLOOKUP(H2643,Dados!$X:$AB,4,0)),0,1)</f>
        <v>0</v>
      </c>
      <c r="U2643" s="4">
        <f>IF(COUNTIFS(F:F,F2643,H:H,H2643)&lt;=VLOOKUP(H2643,Dados!$X:$AB,5,0),0,1)</f>
        <v>0</v>
      </c>
    </row>
    <row r="2644" spans="6:21">
      <c r="F2644" s="4">
        <v>1132</v>
      </c>
      <c r="G2644" s="4">
        <v>16</v>
      </c>
      <c r="H2644" s="4">
        <v>3</v>
      </c>
      <c r="I2644" s="4">
        <v>11</v>
      </c>
      <c r="J2644" s="4">
        <v>2</v>
      </c>
      <c r="K2644" s="4">
        <f t="shared" si="362"/>
        <v>0</v>
      </c>
      <c r="L2644" s="4">
        <f t="shared" si="362"/>
        <v>0</v>
      </c>
      <c r="M2644" s="4">
        <f t="shared" si="362"/>
        <v>0</v>
      </c>
      <c r="N2644" s="4">
        <f t="shared" si="362"/>
        <v>0</v>
      </c>
      <c r="O2644" s="4">
        <f t="shared" si="363"/>
        <v>0</v>
      </c>
      <c r="P2644" s="4">
        <f t="shared" si="364"/>
        <v>0</v>
      </c>
      <c r="Q2644" s="4">
        <f t="shared" si="365"/>
        <v>0</v>
      </c>
      <c r="R2644" s="4">
        <f t="shared" si="366"/>
        <v>0</v>
      </c>
      <c r="S2644" s="4">
        <f>IF(AND(VLOOKUP(G2644,Dados!$D:$L,2,0)=VLOOKUP(I2644,Dados!$S:$V,2,0),VLOOKUP(G2644,Dados!$D:$L,3,0)=VLOOKUP(I2644,Dados!$S:$V,3,0)),0,1)</f>
        <v>0</v>
      </c>
      <c r="T2644" s="4">
        <f>IF(AND(VLOOKUP(G2644,Dados!$D:$L,3,0)&lt;=VLOOKUP(H2644,Dados!$X:$AB,2,0),VLOOKUP(G2644,Dados!$D:$L,4,0)&gt;=VLOOKUP(H2644,Dados!$X:$AB,3,0),VLOOKUP(G2644,Dados!$D:$L,4,0)&lt;=VLOOKUP(H2644,Dados!$X:$AB,4,0)),0,1)</f>
        <v>0</v>
      </c>
      <c r="U2644" s="4">
        <f>IF(COUNTIFS(F:F,F2644,H:H,H2644)&lt;=VLOOKUP(H2644,Dados!$X:$AB,5,0),0,1)</f>
        <v>0</v>
      </c>
    </row>
    <row r="2645" spans="6:21">
      <c r="F2645" s="4">
        <v>1132</v>
      </c>
      <c r="G2645" s="4">
        <v>17</v>
      </c>
      <c r="H2645" s="4">
        <v>3</v>
      </c>
      <c r="I2645" s="4">
        <v>11</v>
      </c>
      <c r="J2645" s="4">
        <v>2</v>
      </c>
      <c r="K2645" s="4">
        <f t="shared" si="362"/>
        <v>0</v>
      </c>
      <c r="L2645" s="4">
        <f t="shared" si="362"/>
        <v>0</v>
      </c>
      <c r="M2645" s="4">
        <f t="shared" si="362"/>
        <v>0</v>
      </c>
      <c r="N2645" s="4">
        <f t="shared" si="362"/>
        <v>0</v>
      </c>
      <c r="O2645" s="4">
        <f t="shared" si="363"/>
        <v>0</v>
      </c>
      <c r="P2645" s="4">
        <f t="shared" si="364"/>
        <v>0</v>
      </c>
      <c r="Q2645" s="4">
        <f t="shared" si="365"/>
        <v>0</v>
      </c>
      <c r="R2645" s="4">
        <f t="shared" si="366"/>
        <v>0</v>
      </c>
      <c r="S2645" s="4">
        <f>IF(AND(VLOOKUP(G2645,Dados!$D:$L,2,0)=VLOOKUP(I2645,Dados!$S:$V,2,0),VLOOKUP(G2645,Dados!$D:$L,3,0)=VLOOKUP(I2645,Dados!$S:$V,3,0)),0,1)</f>
        <v>0</v>
      </c>
      <c r="T2645" s="4">
        <f>IF(AND(VLOOKUP(G2645,Dados!$D:$L,3,0)&lt;=VLOOKUP(H2645,Dados!$X:$AB,2,0),VLOOKUP(G2645,Dados!$D:$L,4,0)&gt;=VLOOKUP(H2645,Dados!$X:$AB,3,0),VLOOKUP(G2645,Dados!$D:$L,4,0)&lt;=VLOOKUP(H2645,Dados!$X:$AB,4,0)),0,1)</f>
        <v>0</v>
      </c>
      <c r="U2645" s="4">
        <f>IF(COUNTIFS(F:F,F2645,H:H,H2645)&lt;=VLOOKUP(H2645,Dados!$X:$AB,5,0),0,1)</f>
        <v>0</v>
      </c>
    </row>
    <row r="2646" spans="6:21">
      <c r="F2646" s="4">
        <v>1133</v>
      </c>
      <c r="G2646" s="4">
        <v>31</v>
      </c>
      <c r="H2646" s="4">
        <v>1</v>
      </c>
      <c r="I2646" s="4">
        <v>16</v>
      </c>
      <c r="J2646" s="4">
        <v>1</v>
      </c>
      <c r="K2646" s="4">
        <f t="shared" si="362"/>
        <v>0</v>
      </c>
      <c r="L2646" s="4">
        <f t="shared" si="362"/>
        <v>0</v>
      </c>
      <c r="M2646" s="4">
        <f t="shared" si="362"/>
        <v>0</v>
      </c>
      <c r="N2646" s="4">
        <f t="shared" si="362"/>
        <v>0</v>
      </c>
      <c r="O2646" s="4">
        <f t="shared" si="363"/>
        <v>0</v>
      </c>
      <c r="P2646" s="4">
        <f t="shared" si="364"/>
        <v>0</v>
      </c>
      <c r="Q2646" s="4">
        <f t="shared" si="365"/>
        <v>0</v>
      </c>
      <c r="R2646" s="4">
        <f t="shared" si="366"/>
        <v>0</v>
      </c>
      <c r="S2646" s="4">
        <f>IF(AND(VLOOKUP(G2646,Dados!$D:$L,2,0)=VLOOKUP(I2646,Dados!$S:$V,2,0),VLOOKUP(G2646,Dados!$D:$L,3,0)=VLOOKUP(I2646,Dados!$S:$V,3,0)),0,1)</f>
        <v>0</v>
      </c>
      <c r="T2646" s="4">
        <f>IF(AND(VLOOKUP(G2646,Dados!$D:$L,3,0)&lt;=VLOOKUP(H2646,Dados!$X:$AB,2,0),VLOOKUP(G2646,Dados!$D:$L,4,0)&gt;=VLOOKUP(H2646,Dados!$X:$AB,3,0),VLOOKUP(G2646,Dados!$D:$L,4,0)&lt;=VLOOKUP(H2646,Dados!$X:$AB,4,0)),0,1)</f>
        <v>0</v>
      </c>
      <c r="U2646" s="4">
        <f>IF(COUNTIFS(F:F,F2646,H:H,H2646)&lt;=VLOOKUP(H2646,Dados!$X:$AB,5,0),0,1)</f>
        <v>0</v>
      </c>
    </row>
    <row r="2647" spans="6:21">
      <c r="F2647" s="4">
        <v>1133</v>
      </c>
      <c r="G2647" s="4">
        <v>33</v>
      </c>
      <c r="H2647" s="4">
        <v>1</v>
      </c>
      <c r="I2647" s="4">
        <v>16</v>
      </c>
      <c r="J2647" s="4">
        <v>1</v>
      </c>
      <c r="K2647" s="4">
        <f t="shared" si="362"/>
        <v>0</v>
      </c>
      <c r="L2647" s="4">
        <f t="shared" si="362"/>
        <v>0</v>
      </c>
      <c r="M2647" s="4">
        <f t="shared" si="362"/>
        <v>0</v>
      </c>
      <c r="N2647" s="4">
        <f t="shared" si="362"/>
        <v>0</v>
      </c>
      <c r="O2647" s="4">
        <f t="shared" si="363"/>
        <v>0</v>
      </c>
      <c r="P2647" s="4">
        <f t="shared" si="364"/>
        <v>0</v>
      </c>
      <c r="Q2647" s="4">
        <f t="shared" si="365"/>
        <v>0</v>
      </c>
      <c r="R2647" s="4">
        <f t="shared" si="366"/>
        <v>0</v>
      </c>
      <c r="S2647" s="4">
        <f>IF(AND(VLOOKUP(G2647,Dados!$D:$L,2,0)=VLOOKUP(I2647,Dados!$S:$V,2,0),VLOOKUP(G2647,Dados!$D:$L,3,0)=VLOOKUP(I2647,Dados!$S:$V,3,0)),0,1)</f>
        <v>0</v>
      </c>
      <c r="T2647" s="4">
        <f>IF(AND(VLOOKUP(G2647,Dados!$D:$L,3,0)&lt;=VLOOKUP(H2647,Dados!$X:$AB,2,0),VLOOKUP(G2647,Dados!$D:$L,4,0)&gt;=VLOOKUP(H2647,Dados!$X:$AB,3,0),VLOOKUP(G2647,Dados!$D:$L,4,0)&lt;=VLOOKUP(H2647,Dados!$X:$AB,4,0)),0,1)</f>
        <v>0</v>
      </c>
      <c r="U2647" s="4">
        <f>IF(COUNTIFS(F:F,F2647,H:H,H2647)&lt;=VLOOKUP(H2647,Dados!$X:$AB,5,0),0,1)</f>
        <v>0</v>
      </c>
    </row>
    <row r="2648" spans="6:21">
      <c r="F2648" s="4">
        <v>1133</v>
      </c>
      <c r="G2648" s="4">
        <v>35</v>
      </c>
      <c r="H2648" s="4">
        <v>1</v>
      </c>
      <c r="I2648" s="4">
        <v>16</v>
      </c>
      <c r="J2648" s="4">
        <v>5</v>
      </c>
      <c r="K2648" s="4">
        <f t="shared" si="362"/>
        <v>0</v>
      </c>
      <c r="L2648" s="4">
        <f t="shared" si="362"/>
        <v>0</v>
      </c>
      <c r="M2648" s="4">
        <f t="shared" si="362"/>
        <v>0</v>
      </c>
      <c r="N2648" s="4">
        <f t="shared" si="362"/>
        <v>0</v>
      </c>
      <c r="O2648" s="4">
        <f t="shared" si="363"/>
        <v>0</v>
      </c>
      <c r="P2648" s="4">
        <f t="shared" si="364"/>
        <v>0</v>
      </c>
      <c r="Q2648" s="4">
        <f t="shared" si="365"/>
        <v>0</v>
      </c>
      <c r="R2648" s="4">
        <f t="shared" si="366"/>
        <v>0</v>
      </c>
      <c r="S2648" s="4">
        <f>IF(AND(VLOOKUP(G2648,Dados!$D:$L,2,0)=VLOOKUP(I2648,Dados!$S:$V,2,0),VLOOKUP(G2648,Dados!$D:$L,3,0)=VLOOKUP(I2648,Dados!$S:$V,3,0)),0,1)</f>
        <v>0</v>
      </c>
      <c r="T2648" s="4">
        <f>IF(AND(VLOOKUP(G2648,Dados!$D:$L,3,0)&lt;=VLOOKUP(H2648,Dados!$X:$AB,2,0),VLOOKUP(G2648,Dados!$D:$L,4,0)&gt;=VLOOKUP(H2648,Dados!$X:$AB,3,0),VLOOKUP(G2648,Dados!$D:$L,4,0)&lt;=VLOOKUP(H2648,Dados!$X:$AB,4,0)),0,1)</f>
        <v>0</v>
      </c>
      <c r="U2648" s="4">
        <f>IF(COUNTIFS(F:F,F2648,H:H,H2648)&lt;=VLOOKUP(H2648,Dados!$X:$AB,5,0),0,1)</f>
        <v>0</v>
      </c>
    </row>
    <row r="2649" spans="6:21">
      <c r="F2649" s="4">
        <v>1134</v>
      </c>
      <c r="G2649" s="4">
        <v>31</v>
      </c>
      <c r="H2649" s="4">
        <v>2</v>
      </c>
      <c r="I2649" s="4">
        <v>16</v>
      </c>
      <c r="J2649" s="4">
        <v>1</v>
      </c>
      <c r="K2649" s="4">
        <f t="shared" si="362"/>
        <v>0</v>
      </c>
      <c r="L2649" s="4">
        <f t="shared" si="362"/>
        <v>0</v>
      </c>
      <c r="M2649" s="4">
        <f t="shared" si="362"/>
        <v>0</v>
      </c>
      <c r="N2649" s="4">
        <f t="shared" si="362"/>
        <v>0</v>
      </c>
      <c r="O2649" s="4">
        <f t="shared" si="363"/>
        <v>0</v>
      </c>
      <c r="P2649" s="4">
        <f t="shared" si="364"/>
        <v>0</v>
      </c>
      <c r="Q2649" s="4">
        <f t="shared" si="365"/>
        <v>0</v>
      </c>
      <c r="R2649" s="4">
        <f t="shared" si="366"/>
        <v>0</v>
      </c>
      <c r="S2649" s="4">
        <f>IF(AND(VLOOKUP(G2649,Dados!$D:$L,2,0)=VLOOKUP(I2649,Dados!$S:$V,2,0),VLOOKUP(G2649,Dados!$D:$L,3,0)=VLOOKUP(I2649,Dados!$S:$V,3,0)),0,1)</f>
        <v>0</v>
      </c>
      <c r="T2649" s="4">
        <f>IF(AND(VLOOKUP(G2649,Dados!$D:$L,3,0)&lt;=VLOOKUP(H2649,Dados!$X:$AB,2,0),VLOOKUP(G2649,Dados!$D:$L,4,0)&gt;=VLOOKUP(H2649,Dados!$X:$AB,3,0),VLOOKUP(G2649,Dados!$D:$L,4,0)&lt;=VLOOKUP(H2649,Dados!$X:$AB,4,0)),0,1)</f>
        <v>0</v>
      </c>
      <c r="U2649" s="4">
        <f>IF(COUNTIFS(F:F,F2649,H:H,H2649)&lt;=VLOOKUP(H2649,Dados!$X:$AB,5,0),0,1)</f>
        <v>0</v>
      </c>
    </row>
    <row r="2650" spans="6:21">
      <c r="F2650" s="4">
        <v>1134</v>
      </c>
      <c r="G2650" s="4">
        <v>33</v>
      </c>
      <c r="H2650" s="4">
        <v>2</v>
      </c>
      <c r="I2650" s="4">
        <v>16</v>
      </c>
      <c r="J2650" s="4">
        <v>1</v>
      </c>
      <c r="K2650" s="4">
        <f t="shared" si="362"/>
        <v>0</v>
      </c>
      <c r="L2650" s="4">
        <f t="shared" si="362"/>
        <v>0</v>
      </c>
      <c r="M2650" s="4">
        <f t="shared" si="362"/>
        <v>0</v>
      </c>
      <c r="N2650" s="4">
        <f t="shared" si="362"/>
        <v>0</v>
      </c>
      <c r="O2650" s="4">
        <f t="shared" si="363"/>
        <v>0</v>
      </c>
      <c r="P2650" s="4">
        <f t="shared" si="364"/>
        <v>0</v>
      </c>
      <c r="Q2650" s="4">
        <f t="shared" si="365"/>
        <v>0</v>
      </c>
      <c r="R2650" s="4">
        <f t="shared" si="366"/>
        <v>0</v>
      </c>
      <c r="S2650" s="4">
        <f>IF(AND(VLOOKUP(G2650,Dados!$D:$L,2,0)=VLOOKUP(I2650,Dados!$S:$V,2,0),VLOOKUP(G2650,Dados!$D:$L,3,0)=VLOOKUP(I2650,Dados!$S:$V,3,0)),0,1)</f>
        <v>0</v>
      </c>
      <c r="T2650" s="4">
        <f>IF(AND(VLOOKUP(G2650,Dados!$D:$L,3,0)&lt;=VLOOKUP(H2650,Dados!$X:$AB,2,0),VLOOKUP(G2650,Dados!$D:$L,4,0)&gt;=VLOOKUP(H2650,Dados!$X:$AB,3,0),VLOOKUP(G2650,Dados!$D:$L,4,0)&lt;=VLOOKUP(H2650,Dados!$X:$AB,4,0)),0,1)</f>
        <v>0</v>
      </c>
      <c r="U2650" s="4">
        <f>IF(COUNTIFS(F:F,F2650,H:H,H2650)&lt;=VLOOKUP(H2650,Dados!$X:$AB,5,0),0,1)</f>
        <v>0</v>
      </c>
    </row>
    <row r="2651" spans="6:21">
      <c r="F2651" s="4">
        <v>1134</v>
      </c>
      <c r="G2651" s="4">
        <v>35</v>
      </c>
      <c r="H2651" s="4">
        <v>2</v>
      </c>
      <c r="I2651" s="4">
        <v>16</v>
      </c>
      <c r="J2651" s="4">
        <v>5</v>
      </c>
      <c r="K2651" s="4">
        <f t="shared" ref="K2651:N2706" si="367">SUMIFS($X:$X,$W:$W,$F2651,$Z:$Z,$I2651,$AA:$AA,$H2651,$AB:$AB,K$2)</f>
        <v>0</v>
      </c>
      <c r="L2651" s="4">
        <f t="shared" si="367"/>
        <v>0</v>
      </c>
      <c r="M2651" s="4">
        <f t="shared" si="367"/>
        <v>0</v>
      </c>
      <c r="N2651" s="4">
        <f t="shared" si="367"/>
        <v>0</v>
      </c>
      <c r="O2651" s="4">
        <f t="shared" si="363"/>
        <v>0</v>
      </c>
      <c r="P2651" s="4">
        <f t="shared" si="364"/>
        <v>0</v>
      </c>
      <c r="Q2651" s="4">
        <f t="shared" si="365"/>
        <v>0</v>
      </c>
      <c r="R2651" s="4">
        <f t="shared" si="366"/>
        <v>0</v>
      </c>
      <c r="S2651" s="4">
        <f>IF(AND(VLOOKUP(G2651,Dados!$D:$L,2,0)=VLOOKUP(I2651,Dados!$S:$V,2,0),VLOOKUP(G2651,Dados!$D:$L,3,0)=VLOOKUP(I2651,Dados!$S:$V,3,0)),0,1)</f>
        <v>0</v>
      </c>
      <c r="T2651" s="4">
        <f>IF(AND(VLOOKUP(G2651,Dados!$D:$L,3,0)&lt;=VLOOKUP(H2651,Dados!$X:$AB,2,0),VLOOKUP(G2651,Dados!$D:$L,4,0)&gt;=VLOOKUP(H2651,Dados!$X:$AB,3,0),VLOOKUP(G2651,Dados!$D:$L,4,0)&lt;=VLOOKUP(H2651,Dados!$X:$AB,4,0)),0,1)</f>
        <v>0</v>
      </c>
      <c r="U2651" s="4">
        <f>IF(COUNTIFS(F:F,F2651,H:H,H2651)&lt;=VLOOKUP(H2651,Dados!$X:$AB,5,0),0,1)</f>
        <v>0</v>
      </c>
    </row>
    <row r="2652" spans="6:21">
      <c r="F2652" s="4">
        <v>1135</v>
      </c>
      <c r="G2652" s="4">
        <v>30</v>
      </c>
      <c r="H2652" s="4">
        <v>3</v>
      </c>
      <c r="I2652" s="4">
        <v>16</v>
      </c>
      <c r="J2652" s="4">
        <v>1</v>
      </c>
      <c r="K2652" s="4">
        <f t="shared" si="367"/>
        <v>0</v>
      </c>
      <c r="L2652" s="4">
        <f t="shared" si="367"/>
        <v>0</v>
      </c>
      <c r="M2652" s="4">
        <f t="shared" si="367"/>
        <v>0</v>
      </c>
      <c r="N2652" s="4">
        <f t="shared" si="367"/>
        <v>2</v>
      </c>
      <c r="O2652" s="4">
        <f t="shared" si="363"/>
        <v>0</v>
      </c>
      <c r="P2652" s="4">
        <f t="shared" si="364"/>
        <v>0</v>
      </c>
      <c r="Q2652" s="4">
        <f t="shared" si="365"/>
        <v>0</v>
      </c>
      <c r="R2652" s="4">
        <f t="shared" si="366"/>
        <v>2</v>
      </c>
      <c r="S2652" s="4">
        <f>IF(AND(VLOOKUP(G2652,Dados!$D:$L,2,0)=VLOOKUP(I2652,Dados!$S:$V,2,0),VLOOKUP(G2652,Dados!$D:$L,3,0)=VLOOKUP(I2652,Dados!$S:$V,3,0)),0,1)</f>
        <v>0</v>
      </c>
      <c r="T2652" s="4">
        <f>IF(AND(VLOOKUP(G2652,Dados!$D:$L,3,0)&lt;=VLOOKUP(H2652,Dados!$X:$AB,2,0),VLOOKUP(G2652,Dados!$D:$L,4,0)&gt;=VLOOKUP(H2652,Dados!$X:$AB,3,0),VLOOKUP(G2652,Dados!$D:$L,4,0)&lt;=VLOOKUP(H2652,Dados!$X:$AB,4,0)),0,1)</f>
        <v>0</v>
      </c>
      <c r="U2652" s="4">
        <f>IF(COUNTIFS(F:F,F2652,H:H,H2652)&lt;=VLOOKUP(H2652,Dados!$X:$AB,5,0),0,1)</f>
        <v>0</v>
      </c>
    </row>
    <row r="2653" spans="6:21">
      <c r="F2653" s="4">
        <v>1135</v>
      </c>
      <c r="G2653" s="4">
        <v>31</v>
      </c>
      <c r="H2653" s="4">
        <v>3</v>
      </c>
      <c r="I2653" s="4">
        <v>16</v>
      </c>
      <c r="J2653" s="4">
        <v>1</v>
      </c>
      <c r="K2653" s="4">
        <f t="shared" si="367"/>
        <v>0</v>
      </c>
      <c r="L2653" s="4">
        <f t="shared" si="367"/>
        <v>0</v>
      </c>
      <c r="M2653" s="4">
        <f t="shared" si="367"/>
        <v>0</v>
      </c>
      <c r="N2653" s="4">
        <f t="shared" si="367"/>
        <v>2</v>
      </c>
      <c r="O2653" s="4">
        <f t="shared" si="363"/>
        <v>0</v>
      </c>
      <c r="P2653" s="4">
        <f t="shared" si="364"/>
        <v>0</v>
      </c>
      <c r="Q2653" s="4">
        <f t="shared" si="365"/>
        <v>0</v>
      </c>
      <c r="R2653" s="4">
        <f t="shared" si="366"/>
        <v>2</v>
      </c>
      <c r="S2653" s="4">
        <f>IF(AND(VLOOKUP(G2653,Dados!$D:$L,2,0)=VLOOKUP(I2653,Dados!$S:$V,2,0),VLOOKUP(G2653,Dados!$D:$L,3,0)=VLOOKUP(I2653,Dados!$S:$V,3,0)),0,1)</f>
        <v>0</v>
      </c>
      <c r="T2653" s="4">
        <f>IF(AND(VLOOKUP(G2653,Dados!$D:$L,3,0)&lt;=VLOOKUP(H2653,Dados!$X:$AB,2,0),VLOOKUP(G2653,Dados!$D:$L,4,0)&gt;=VLOOKUP(H2653,Dados!$X:$AB,3,0),VLOOKUP(G2653,Dados!$D:$L,4,0)&lt;=VLOOKUP(H2653,Dados!$X:$AB,4,0)),0,1)</f>
        <v>0</v>
      </c>
      <c r="U2653" s="4">
        <f>IF(COUNTIFS(F:F,F2653,H:H,H2653)&lt;=VLOOKUP(H2653,Dados!$X:$AB,5,0),0,1)</f>
        <v>0</v>
      </c>
    </row>
    <row r="2654" spans="6:21">
      <c r="F2654" s="4">
        <v>1135</v>
      </c>
      <c r="G2654" s="4">
        <v>33</v>
      </c>
      <c r="H2654" s="4">
        <v>3</v>
      </c>
      <c r="I2654" s="4">
        <v>16</v>
      </c>
      <c r="J2654" s="4">
        <v>1</v>
      </c>
      <c r="K2654" s="4">
        <f t="shared" si="367"/>
        <v>0</v>
      </c>
      <c r="L2654" s="4">
        <f t="shared" si="367"/>
        <v>0</v>
      </c>
      <c r="M2654" s="4">
        <f t="shared" si="367"/>
        <v>0</v>
      </c>
      <c r="N2654" s="4">
        <f t="shared" si="367"/>
        <v>2</v>
      </c>
      <c r="O2654" s="4">
        <f t="shared" si="363"/>
        <v>0</v>
      </c>
      <c r="P2654" s="4">
        <f t="shared" si="364"/>
        <v>0</v>
      </c>
      <c r="Q2654" s="4">
        <f t="shared" si="365"/>
        <v>0</v>
      </c>
      <c r="R2654" s="4">
        <f t="shared" si="366"/>
        <v>2</v>
      </c>
      <c r="S2654" s="4">
        <f>IF(AND(VLOOKUP(G2654,Dados!$D:$L,2,0)=VLOOKUP(I2654,Dados!$S:$V,2,0),VLOOKUP(G2654,Dados!$D:$L,3,0)=VLOOKUP(I2654,Dados!$S:$V,3,0)),0,1)</f>
        <v>0</v>
      </c>
      <c r="T2654" s="4">
        <f>IF(AND(VLOOKUP(G2654,Dados!$D:$L,3,0)&lt;=VLOOKUP(H2654,Dados!$X:$AB,2,0),VLOOKUP(G2654,Dados!$D:$L,4,0)&gt;=VLOOKUP(H2654,Dados!$X:$AB,3,0),VLOOKUP(G2654,Dados!$D:$L,4,0)&lt;=VLOOKUP(H2654,Dados!$X:$AB,4,0)),0,1)</f>
        <v>0</v>
      </c>
      <c r="U2654" s="4">
        <f>IF(COUNTIFS(F:F,F2654,H:H,H2654)&lt;=VLOOKUP(H2654,Dados!$X:$AB,5,0),0,1)</f>
        <v>0</v>
      </c>
    </row>
    <row r="2655" spans="6:21">
      <c r="F2655" s="4">
        <v>1135</v>
      </c>
      <c r="G2655" s="4">
        <v>35</v>
      </c>
      <c r="H2655" s="4">
        <v>3</v>
      </c>
      <c r="I2655" s="4">
        <v>16</v>
      </c>
      <c r="J2655" s="4">
        <v>4</v>
      </c>
      <c r="K2655" s="4">
        <f t="shared" si="367"/>
        <v>0</v>
      </c>
      <c r="L2655" s="4">
        <f t="shared" si="367"/>
        <v>0</v>
      </c>
      <c r="M2655" s="4">
        <f t="shared" si="367"/>
        <v>0</v>
      </c>
      <c r="N2655" s="4">
        <f t="shared" si="367"/>
        <v>2</v>
      </c>
      <c r="O2655" s="4">
        <f t="shared" si="363"/>
        <v>0</v>
      </c>
      <c r="P2655" s="4">
        <f t="shared" si="364"/>
        <v>0</v>
      </c>
      <c r="Q2655" s="4">
        <f t="shared" si="365"/>
        <v>0</v>
      </c>
      <c r="R2655" s="4">
        <f t="shared" si="366"/>
        <v>8</v>
      </c>
      <c r="S2655" s="4">
        <f>IF(AND(VLOOKUP(G2655,Dados!$D:$L,2,0)=VLOOKUP(I2655,Dados!$S:$V,2,0),VLOOKUP(G2655,Dados!$D:$L,3,0)=VLOOKUP(I2655,Dados!$S:$V,3,0)),0,1)</f>
        <v>0</v>
      </c>
      <c r="T2655" s="4">
        <f>IF(AND(VLOOKUP(G2655,Dados!$D:$L,3,0)&lt;=VLOOKUP(H2655,Dados!$X:$AB,2,0),VLOOKUP(G2655,Dados!$D:$L,4,0)&gt;=VLOOKUP(H2655,Dados!$X:$AB,3,0),VLOOKUP(G2655,Dados!$D:$L,4,0)&lt;=VLOOKUP(H2655,Dados!$X:$AB,4,0)),0,1)</f>
        <v>0</v>
      </c>
      <c r="U2655" s="4">
        <f>IF(COUNTIFS(F:F,F2655,H:H,H2655)&lt;=VLOOKUP(H2655,Dados!$X:$AB,5,0),0,1)</f>
        <v>0</v>
      </c>
    </row>
    <row r="2656" spans="6:21">
      <c r="F2656" s="4">
        <v>1136</v>
      </c>
      <c r="G2656" s="4">
        <v>54</v>
      </c>
      <c r="H2656" s="4">
        <v>3</v>
      </c>
      <c r="I2656" s="4">
        <v>20</v>
      </c>
      <c r="J2656" s="4">
        <v>3</v>
      </c>
      <c r="K2656" s="4">
        <f t="shared" si="367"/>
        <v>0</v>
      </c>
      <c r="L2656" s="4">
        <f t="shared" si="367"/>
        <v>0</v>
      </c>
      <c r="M2656" s="4">
        <f t="shared" si="367"/>
        <v>0</v>
      </c>
      <c r="N2656" s="4">
        <f t="shared" si="367"/>
        <v>0</v>
      </c>
      <c r="O2656" s="4">
        <f t="shared" si="363"/>
        <v>0</v>
      </c>
      <c r="P2656" s="4">
        <f t="shared" si="364"/>
        <v>0</v>
      </c>
      <c r="Q2656" s="4">
        <f t="shared" si="365"/>
        <v>0</v>
      </c>
      <c r="R2656" s="4">
        <f t="shared" si="366"/>
        <v>0</v>
      </c>
      <c r="S2656" s="4">
        <f>IF(AND(VLOOKUP(G2656,Dados!$D:$L,2,0)=VLOOKUP(I2656,Dados!$S:$V,2,0),VLOOKUP(G2656,Dados!$D:$L,3,0)=VLOOKUP(I2656,Dados!$S:$V,3,0)),0,1)</f>
        <v>0</v>
      </c>
      <c r="T2656" s="4">
        <f>IF(AND(VLOOKUP(G2656,Dados!$D:$L,3,0)&lt;=VLOOKUP(H2656,Dados!$X:$AB,2,0),VLOOKUP(G2656,Dados!$D:$L,4,0)&gt;=VLOOKUP(H2656,Dados!$X:$AB,3,0),VLOOKUP(G2656,Dados!$D:$L,4,0)&lt;=VLOOKUP(H2656,Dados!$X:$AB,4,0)),0,1)</f>
        <v>0</v>
      </c>
      <c r="U2656" s="4">
        <f>IF(COUNTIFS(F:F,F2656,H:H,H2656)&lt;=VLOOKUP(H2656,Dados!$X:$AB,5,0),0,1)</f>
        <v>0</v>
      </c>
    </row>
    <row r="2657" spans="6:21">
      <c r="F2657" s="4">
        <v>1136</v>
      </c>
      <c r="G2657" s="4">
        <v>55</v>
      </c>
      <c r="H2657" s="4">
        <v>3</v>
      </c>
      <c r="I2657" s="4">
        <v>20</v>
      </c>
      <c r="J2657" s="4">
        <v>2</v>
      </c>
      <c r="K2657" s="4">
        <f t="shared" si="367"/>
        <v>0</v>
      </c>
      <c r="L2657" s="4">
        <f t="shared" si="367"/>
        <v>0</v>
      </c>
      <c r="M2657" s="4">
        <f t="shared" si="367"/>
        <v>0</v>
      </c>
      <c r="N2657" s="4">
        <f t="shared" si="367"/>
        <v>0</v>
      </c>
      <c r="O2657" s="4">
        <f t="shared" si="363"/>
        <v>0</v>
      </c>
      <c r="P2657" s="4">
        <f t="shared" si="364"/>
        <v>0</v>
      </c>
      <c r="Q2657" s="4">
        <f t="shared" si="365"/>
        <v>0</v>
      </c>
      <c r="R2657" s="4">
        <f t="shared" si="366"/>
        <v>0</v>
      </c>
      <c r="S2657" s="4">
        <f>IF(AND(VLOOKUP(G2657,Dados!$D:$L,2,0)=VLOOKUP(I2657,Dados!$S:$V,2,0),VLOOKUP(G2657,Dados!$D:$L,3,0)=VLOOKUP(I2657,Dados!$S:$V,3,0)),0,1)</f>
        <v>0</v>
      </c>
      <c r="T2657" s="4">
        <f>IF(AND(VLOOKUP(G2657,Dados!$D:$L,3,0)&lt;=VLOOKUP(H2657,Dados!$X:$AB,2,0),VLOOKUP(G2657,Dados!$D:$L,4,0)&gt;=VLOOKUP(H2657,Dados!$X:$AB,3,0),VLOOKUP(G2657,Dados!$D:$L,4,0)&lt;=VLOOKUP(H2657,Dados!$X:$AB,4,0)),0,1)</f>
        <v>0</v>
      </c>
      <c r="U2657" s="4">
        <f>IF(COUNTIFS(F:F,F2657,H:H,H2657)&lt;=VLOOKUP(H2657,Dados!$X:$AB,5,0),0,1)</f>
        <v>0</v>
      </c>
    </row>
    <row r="2658" spans="6:21">
      <c r="F2658" s="4">
        <v>1136</v>
      </c>
      <c r="G2658" s="4">
        <v>56</v>
      </c>
      <c r="H2658" s="4">
        <v>3</v>
      </c>
      <c r="I2658" s="4">
        <v>20</v>
      </c>
      <c r="J2658" s="4">
        <v>2</v>
      </c>
      <c r="K2658" s="4">
        <f t="shared" si="367"/>
        <v>0</v>
      </c>
      <c r="L2658" s="4">
        <f t="shared" si="367"/>
        <v>0</v>
      </c>
      <c r="M2658" s="4">
        <f t="shared" si="367"/>
        <v>0</v>
      </c>
      <c r="N2658" s="4">
        <f t="shared" si="367"/>
        <v>0</v>
      </c>
      <c r="O2658" s="4">
        <f t="shared" si="363"/>
        <v>0</v>
      </c>
      <c r="P2658" s="4">
        <f t="shared" si="364"/>
        <v>0</v>
      </c>
      <c r="Q2658" s="4">
        <f t="shared" si="365"/>
        <v>0</v>
      </c>
      <c r="R2658" s="4">
        <f t="shared" si="366"/>
        <v>0</v>
      </c>
      <c r="S2658" s="4">
        <f>IF(AND(VLOOKUP(G2658,Dados!$D:$L,2,0)=VLOOKUP(I2658,Dados!$S:$V,2,0),VLOOKUP(G2658,Dados!$D:$L,3,0)=VLOOKUP(I2658,Dados!$S:$V,3,0)),0,1)</f>
        <v>0</v>
      </c>
      <c r="T2658" s="4">
        <f>IF(AND(VLOOKUP(G2658,Dados!$D:$L,3,0)&lt;=VLOOKUP(H2658,Dados!$X:$AB,2,0),VLOOKUP(G2658,Dados!$D:$L,4,0)&gt;=VLOOKUP(H2658,Dados!$X:$AB,3,0),VLOOKUP(G2658,Dados!$D:$L,4,0)&lt;=VLOOKUP(H2658,Dados!$X:$AB,4,0)),0,1)</f>
        <v>0</v>
      </c>
      <c r="U2658" s="4">
        <f>IF(COUNTIFS(F:F,F2658,H:H,H2658)&lt;=VLOOKUP(H2658,Dados!$X:$AB,5,0),0,1)</f>
        <v>0</v>
      </c>
    </row>
    <row r="2659" spans="6:21">
      <c r="F2659" s="4">
        <v>1136</v>
      </c>
      <c r="G2659" s="4">
        <v>58</v>
      </c>
      <c r="H2659" s="4">
        <v>3</v>
      </c>
      <c r="I2659" s="4">
        <v>20</v>
      </c>
      <c r="J2659" s="4">
        <v>1</v>
      </c>
      <c r="K2659" s="4">
        <f t="shared" si="367"/>
        <v>0</v>
      </c>
      <c r="L2659" s="4">
        <f t="shared" si="367"/>
        <v>0</v>
      </c>
      <c r="M2659" s="4">
        <f t="shared" si="367"/>
        <v>0</v>
      </c>
      <c r="N2659" s="4">
        <f t="shared" si="367"/>
        <v>0</v>
      </c>
      <c r="O2659" s="4">
        <f t="shared" si="363"/>
        <v>0</v>
      </c>
      <c r="P2659" s="4">
        <f t="shared" si="364"/>
        <v>0</v>
      </c>
      <c r="Q2659" s="4">
        <f t="shared" si="365"/>
        <v>0</v>
      </c>
      <c r="R2659" s="4">
        <f t="shared" si="366"/>
        <v>0</v>
      </c>
      <c r="S2659" s="4">
        <f>IF(AND(VLOOKUP(G2659,Dados!$D:$L,2,0)=VLOOKUP(I2659,Dados!$S:$V,2,0),VLOOKUP(G2659,Dados!$D:$L,3,0)=VLOOKUP(I2659,Dados!$S:$V,3,0)),0,1)</f>
        <v>0</v>
      </c>
      <c r="T2659" s="4">
        <f>IF(AND(VLOOKUP(G2659,Dados!$D:$L,3,0)&lt;=VLOOKUP(H2659,Dados!$X:$AB,2,0),VLOOKUP(G2659,Dados!$D:$L,4,0)&gt;=VLOOKUP(H2659,Dados!$X:$AB,3,0),VLOOKUP(G2659,Dados!$D:$L,4,0)&lt;=VLOOKUP(H2659,Dados!$X:$AB,4,0)),0,1)</f>
        <v>0</v>
      </c>
      <c r="U2659" s="4">
        <f>IF(COUNTIFS(F:F,F2659,H:H,H2659)&lt;=VLOOKUP(H2659,Dados!$X:$AB,5,0),0,1)</f>
        <v>0</v>
      </c>
    </row>
    <row r="2660" spans="6:21">
      <c r="F2660" s="4">
        <v>1137</v>
      </c>
      <c r="G2660" s="4">
        <v>53</v>
      </c>
      <c r="H2660" s="4">
        <v>3</v>
      </c>
      <c r="I2660" s="4">
        <v>20</v>
      </c>
      <c r="J2660" s="4">
        <v>1</v>
      </c>
      <c r="K2660" s="4">
        <f t="shared" si="367"/>
        <v>0</v>
      </c>
      <c r="L2660" s="4">
        <f t="shared" si="367"/>
        <v>0</v>
      </c>
      <c r="M2660" s="4">
        <f t="shared" si="367"/>
        <v>0</v>
      </c>
      <c r="N2660" s="4">
        <f t="shared" si="367"/>
        <v>0</v>
      </c>
      <c r="O2660" s="4">
        <f t="shared" si="363"/>
        <v>0</v>
      </c>
      <c r="P2660" s="4">
        <f t="shared" si="364"/>
        <v>0</v>
      </c>
      <c r="Q2660" s="4">
        <f t="shared" si="365"/>
        <v>0</v>
      </c>
      <c r="R2660" s="4">
        <f t="shared" si="366"/>
        <v>0</v>
      </c>
      <c r="S2660" s="4">
        <f>IF(AND(VLOOKUP(G2660,Dados!$D:$L,2,0)=VLOOKUP(I2660,Dados!$S:$V,2,0),VLOOKUP(G2660,Dados!$D:$L,3,0)=VLOOKUP(I2660,Dados!$S:$V,3,0)),0,1)</f>
        <v>0</v>
      </c>
      <c r="T2660" s="4">
        <f>IF(AND(VLOOKUP(G2660,Dados!$D:$L,3,0)&lt;=VLOOKUP(H2660,Dados!$X:$AB,2,0),VLOOKUP(G2660,Dados!$D:$L,4,0)&gt;=VLOOKUP(H2660,Dados!$X:$AB,3,0),VLOOKUP(G2660,Dados!$D:$L,4,0)&lt;=VLOOKUP(H2660,Dados!$X:$AB,4,0)),0,1)</f>
        <v>0</v>
      </c>
      <c r="U2660" s="4">
        <f>IF(COUNTIFS(F:F,F2660,H:H,H2660)&lt;=VLOOKUP(H2660,Dados!$X:$AB,5,0),0,1)</f>
        <v>0</v>
      </c>
    </row>
    <row r="2661" spans="6:21">
      <c r="F2661" s="4">
        <v>1137</v>
      </c>
      <c r="G2661" s="4">
        <v>54</v>
      </c>
      <c r="H2661" s="4">
        <v>3</v>
      </c>
      <c r="I2661" s="4">
        <v>20</v>
      </c>
      <c r="J2661" s="4">
        <v>2</v>
      </c>
      <c r="K2661" s="4">
        <f t="shared" si="367"/>
        <v>0</v>
      </c>
      <c r="L2661" s="4">
        <f t="shared" si="367"/>
        <v>0</v>
      </c>
      <c r="M2661" s="4">
        <f t="shared" si="367"/>
        <v>0</v>
      </c>
      <c r="N2661" s="4">
        <f t="shared" si="367"/>
        <v>0</v>
      </c>
      <c r="O2661" s="4">
        <f t="shared" si="363"/>
        <v>0</v>
      </c>
      <c r="P2661" s="4">
        <f t="shared" si="364"/>
        <v>0</v>
      </c>
      <c r="Q2661" s="4">
        <f t="shared" si="365"/>
        <v>0</v>
      </c>
      <c r="R2661" s="4">
        <f t="shared" si="366"/>
        <v>0</v>
      </c>
      <c r="S2661" s="4">
        <f>IF(AND(VLOOKUP(G2661,Dados!$D:$L,2,0)=VLOOKUP(I2661,Dados!$S:$V,2,0),VLOOKUP(G2661,Dados!$D:$L,3,0)=VLOOKUP(I2661,Dados!$S:$V,3,0)),0,1)</f>
        <v>0</v>
      </c>
      <c r="T2661" s="4">
        <f>IF(AND(VLOOKUP(G2661,Dados!$D:$L,3,0)&lt;=VLOOKUP(H2661,Dados!$X:$AB,2,0),VLOOKUP(G2661,Dados!$D:$L,4,0)&gt;=VLOOKUP(H2661,Dados!$X:$AB,3,0),VLOOKUP(G2661,Dados!$D:$L,4,0)&lt;=VLOOKUP(H2661,Dados!$X:$AB,4,0)),0,1)</f>
        <v>0</v>
      </c>
      <c r="U2661" s="4">
        <f>IF(COUNTIFS(F:F,F2661,H:H,H2661)&lt;=VLOOKUP(H2661,Dados!$X:$AB,5,0),0,1)</f>
        <v>0</v>
      </c>
    </row>
    <row r="2662" spans="6:21">
      <c r="F2662" s="4">
        <v>1137</v>
      </c>
      <c r="G2662" s="4">
        <v>55</v>
      </c>
      <c r="H2662" s="4">
        <v>3</v>
      </c>
      <c r="I2662" s="4">
        <v>20</v>
      </c>
      <c r="J2662" s="4">
        <v>2</v>
      </c>
      <c r="K2662" s="4">
        <f t="shared" si="367"/>
        <v>0</v>
      </c>
      <c r="L2662" s="4">
        <f t="shared" si="367"/>
        <v>0</v>
      </c>
      <c r="M2662" s="4">
        <f t="shared" si="367"/>
        <v>0</v>
      </c>
      <c r="N2662" s="4">
        <f t="shared" si="367"/>
        <v>0</v>
      </c>
      <c r="O2662" s="4">
        <f t="shared" si="363"/>
        <v>0</v>
      </c>
      <c r="P2662" s="4">
        <f t="shared" si="364"/>
        <v>0</v>
      </c>
      <c r="Q2662" s="4">
        <f t="shared" si="365"/>
        <v>0</v>
      </c>
      <c r="R2662" s="4">
        <f t="shared" si="366"/>
        <v>0</v>
      </c>
      <c r="S2662" s="4">
        <f>IF(AND(VLOOKUP(G2662,Dados!$D:$L,2,0)=VLOOKUP(I2662,Dados!$S:$V,2,0),VLOOKUP(G2662,Dados!$D:$L,3,0)=VLOOKUP(I2662,Dados!$S:$V,3,0)),0,1)</f>
        <v>0</v>
      </c>
      <c r="T2662" s="4">
        <f>IF(AND(VLOOKUP(G2662,Dados!$D:$L,3,0)&lt;=VLOOKUP(H2662,Dados!$X:$AB,2,0),VLOOKUP(G2662,Dados!$D:$L,4,0)&gt;=VLOOKUP(H2662,Dados!$X:$AB,3,0),VLOOKUP(G2662,Dados!$D:$L,4,0)&lt;=VLOOKUP(H2662,Dados!$X:$AB,4,0)),0,1)</f>
        <v>0</v>
      </c>
      <c r="U2662" s="4">
        <f>IF(COUNTIFS(F:F,F2662,H:H,H2662)&lt;=VLOOKUP(H2662,Dados!$X:$AB,5,0),0,1)</f>
        <v>0</v>
      </c>
    </row>
    <row r="2663" spans="6:21">
      <c r="F2663" s="4">
        <v>1137</v>
      </c>
      <c r="G2663" s="4">
        <v>57</v>
      </c>
      <c r="H2663" s="4">
        <v>3</v>
      </c>
      <c r="I2663" s="4">
        <v>20</v>
      </c>
      <c r="J2663" s="4">
        <v>4</v>
      </c>
      <c r="K2663" s="4">
        <f t="shared" si="367"/>
        <v>0</v>
      </c>
      <c r="L2663" s="4">
        <f t="shared" si="367"/>
        <v>0</v>
      </c>
      <c r="M2663" s="4">
        <f t="shared" si="367"/>
        <v>0</v>
      </c>
      <c r="N2663" s="4">
        <f t="shared" si="367"/>
        <v>0</v>
      </c>
      <c r="O2663" s="4">
        <f t="shared" ref="O2663:O2706" si="368">$J2663*K2663</f>
        <v>0</v>
      </c>
      <c r="P2663" s="4">
        <f t="shared" ref="P2663:P2706" si="369">$J2663*L2663</f>
        <v>0</v>
      </c>
      <c r="Q2663" s="4">
        <f t="shared" ref="Q2663:Q2706" si="370">$J2663*M2663</f>
        <v>0</v>
      </c>
      <c r="R2663" s="4">
        <f t="shared" ref="R2663:R2706" si="371">$J2663*N2663</f>
        <v>0</v>
      </c>
      <c r="S2663" s="4">
        <f>IF(AND(VLOOKUP(G2663,Dados!$D:$L,2,0)=VLOOKUP(I2663,Dados!$S:$V,2,0),VLOOKUP(G2663,Dados!$D:$L,3,0)=VLOOKUP(I2663,Dados!$S:$V,3,0)),0,1)</f>
        <v>0</v>
      </c>
      <c r="T2663" s="4">
        <f>IF(AND(VLOOKUP(G2663,Dados!$D:$L,3,0)&lt;=VLOOKUP(H2663,Dados!$X:$AB,2,0),VLOOKUP(G2663,Dados!$D:$L,4,0)&gt;=VLOOKUP(H2663,Dados!$X:$AB,3,0),VLOOKUP(G2663,Dados!$D:$L,4,0)&lt;=VLOOKUP(H2663,Dados!$X:$AB,4,0)),0,1)</f>
        <v>0</v>
      </c>
      <c r="U2663" s="4">
        <f>IF(COUNTIFS(F:F,F2663,H:H,H2663)&lt;=VLOOKUP(H2663,Dados!$X:$AB,5,0),0,1)</f>
        <v>0</v>
      </c>
    </row>
    <row r="2664" spans="6:21">
      <c r="F2664" s="4">
        <v>1138</v>
      </c>
      <c r="G2664" s="4">
        <v>56</v>
      </c>
      <c r="H2664" s="4">
        <v>1</v>
      </c>
      <c r="I2664" s="4">
        <v>20</v>
      </c>
      <c r="J2664" s="4">
        <v>1</v>
      </c>
      <c r="K2664" s="4">
        <f t="shared" si="367"/>
        <v>0</v>
      </c>
      <c r="L2664" s="4">
        <f t="shared" si="367"/>
        <v>0</v>
      </c>
      <c r="M2664" s="4">
        <f t="shared" si="367"/>
        <v>0</v>
      </c>
      <c r="N2664" s="4">
        <f t="shared" si="367"/>
        <v>0</v>
      </c>
      <c r="O2664" s="4">
        <f t="shared" si="368"/>
        <v>0</v>
      </c>
      <c r="P2664" s="4">
        <f t="shared" si="369"/>
        <v>0</v>
      </c>
      <c r="Q2664" s="4">
        <f t="shared" si="370"/>
        <v>0</v>
      </c>
      <c r="R2664" s="4">
        <f t="shared" si="371"/>
        <v>0</v>
      </c>
      <c r="S2664" s="4">
        <f>IF(AND(VLOOKUP(G2664,Dados!$D:$L,2,0)=VLOOKUP(I2664,Dados!$S:$V,2,0),VLOOKUP(G2664,Dados!$D:$L,3,0)=VLOOKUP(I2664,Dados!$S:$V,3,0)),0,1)</f>
        <v>0</v>
      </c>
      <c r="T2664" s="4">
        <f>IF(AND(VLOOKUP(G2664,Dados!$D:$L,3,0)&lt;=VLOOKUP(H2664,Dados!$X:$AB,2,0),VLOOKUP(G2664,Dados!$D:$L,4,0)&gt;=VLOOKUP(H2664,Dados!$X:$AB,3,0),VLOOKUP(G2664,Dados!$D:$L,4,0)&lt;=VLOOKUP(H2664,Dados!$X:$AB,4,0)),0,1)</f>
        <v>0</v>
      </c>
      <c r="U2664" s="4">
        <f>IF(COUNTIFS(F:F,F2664,H:H,H2664)&lt;=VLOOKUP(H2664,Dados!$X:$AB,5,0),0,1)</f>
        <v>0</v>
      </c>
    </row>
    <row r="2665" spans="6:21">
      <c r="F2665" s="4">
        <v>1138</v>
      </c>
      <c r="G2665" s="4">
        <v>57</v>
      </c>
      <c r="H2665" s="4">
        <v>1</v>
      </c>
      <c r="I2665" s="4">
        <v>20</v>
      </c>
      <c r="J2665" s="4">
        <v>8</v>
      </c>
      <c r="K2665" s="4">
        <f t="shared" si="367"/>
        <v>0</v>
      </c>
      <c r="L2665" s="4">
        <f t="shared" si="367"/>
        <v>0</v>
      </c>
      <c r="M2665" s="4">
        <f t="shared" si="367"/>
        <v>0</v>
      </c>
      <c r="N2665" s="4">
        <f t="shared" si="367"/>
        <v>0</v>
      </c>
      <c r="O2665" s="4">
        <f t="shared" si="368"/>
        <v>0</v>
      </c>
      <c r="P2665" s="4">
        <f t="shared" si="369"/>
        <v>0</v>
      </c>
      <c r="Q2665" s="4">
        <f t="shared" si="370"/>
        <v>0</v>
      </c>
      <c r="R2665" s="4">
        <f t="shared" si="371"/>
        <v>0</v>
      </c>
      <c r="S2665" s="4">
        <f>IF(AND(VLOOKUP(G2665,Dados!$D:$L,2,0)=VLOOKUP(I2665,Dados!$S:$V,2,0),VLOOKUP(G2665,Dados!$D:$L,3,0)=VLOOKUP(I2665,Dados!$S:$V,3,0)),0,1)</f>
        <v>0</v>
      </c>
      <c r="T2665" s="4">
        <f>IF(AND(VLOOKUP(G2665,Dados!$D:$L,3,0)&lt;=VLOOKUP(H2665,Dados!$X:$AB,2,0),VLOOKUP(G2665,Dados!$D:$L,4,0)&gt;=VLOOKUP(H2665,Dados!$X:$AB,3,0),VLOOKUP(G2665,Dados!$D:$L,4,0)&lt;=VLOOKUP(H2665,Dados!$X:$AB,4,0)),0,1)</f>
        <v>0</v>
      </c>
      <c r="U2665" s="4">
        <f>IF(COUNTIFS(F:F,F2665,H:H,H2665)&lt;=VLOOKUP(H2665,Dados!$X:$AB,5,0),0,1)</f>
        <v>0</v>
      </c>
    </row>
    <row r="2666" spans="6:21">
      <c r="F2666" s="4">
        <v>1139</v>
      </c>
      <c r="G2666" s="4">
        <v>56</v>
      </c>
      <c r="H2666" s="4">
        <v>3</v>
      </c>
      <c r="I2666" s="4">
        <v>20</v>
      </c>
      <c r="J2666" s="4">
        <v>1</v>
      </c>
      <c r="K2666" s="4">
        <f t="shared" si="367"/>
        <v>0</v>
      </c>
      <c r="L2666" s="4">
        <f t="shared" si="367"/>
        <v>0</v>
      </c>
      <c r="M2666" s="4">
        <f t="shared" si="367"/>
        <v>0</v>
      </c>
      <c r="N2666" s="4">
        <f t="shared" si="367"/>
        <v>0</v>
      </c>
      <c r="O2666" s="4">
        <f t="shared" si="368"/>
        <v>0</v>
      </c>
      <c r="P2666" s="4">
        <f t="shared" si="369"/>
        <v>0</v>
      </c>
      <c r="Q2666" s="4">
        <f t="shared" si="370"/>
        <v>0</v>
      </c>
      <c r="R2666" s="4">
        <f t="shared" si="371"/>
        <v>0</v>
      </c>
      <c r="S2666" s="4">
        <f>IF(AND(VLOOKUP(G2666,Dados!$D:$L,2,0)=VLOOKUP(I2666,Dados!$S:$V,2,0),VLOOKUP(G2666,Dados!$D:$L,3,0)=VLOOKUP(I2666,Dados!$S:$V,3,0)),0,1)</f>
        <v>0</v>
      </c>
      <c r="T2666" s="4">
        <f>IF(AND(VLOOKUP(G2666,Dados!$D:$L,3,0)&lt;=VLOOKUP(H2666,Dados!$X:$AB,2,0),VLOOKUP(G2666,Dados!$D:$L,4,0)&gt;=VLOOKUP(H2666,Dados!$X:$AB,3,0),VLOOKUP(G2666,Dados!$D:$L,4,0)&lt;=VLOOKUP(H2666,Dados!$X:$AB,4,0)),0,1)</f>
        <v>0</v>
      </c>
      <c r="U2666" s="4">
        <f>IF(COUNTIFS(F:F,F2666,H:H,H2666)&lt;=VLOOKUP(H2666,Dados!$X:$AB,5,0),0,1)</f>
        <v>0</v>
      </c>
    </row>
    <row r="2667" spans="6:21">
      <c r="F2667" s="4">
        <v>1139</v>
      </c>
      <c r="G2667" s="4">
        <v>57</v>
      </c>
      <c r="H2667" s="4">
        <v>3</v>
      </c>
      <c r="I2667" s="4">
        <v>20</v>
      </c>
      <c r="J2667" s="4">
        <v>8</v>
      </c>
      <c r="K2667" s="4">
        <f t="shared" si="367"/>
        <v>0</v>
      </c>
      <c r="L2667" s="4">
        <f t="shared" si="367"/>
        <v>0</v>
      </c>
      <c r="M2667" s="4">
        <f t="shared" si="367"/>
        <v>0</v>
      </c>
      <c r="N2667" s="4">
        <f t="shared" si="367"/>
        <v>0</v>
      </c>
      <c r="O2667" s="4">
        <f t="shared" si="368"/>
        <v>0</v>
      </c>
      <c r="P2667" s="4">
        <f t="shared" si="369"/>
        <v>0</v>
      </c>
      <c r="Q2667" s="4">
        <f t="shared" si="370"/>
        <v>0</v>
      </c>
      <c r="R2667" s="4">
        <f t="shared" si="371"/>
        <v>0</v>
      </c>
      <c r="S2667" s="4">
        <f>IF(AND(VLOOKUP(G2667,Dados!$D:$L,2,0)=VLOOKUP(I2667,Dados!$S:$V,2,0),VLOOKUP(G2667,Dados!$D:$L,3,0)=VLOOKUP(I2667,Dados!$S:$V,3,0)),0,1)</f>
        <v>0</v>
      </c>
      <c r="T2667" s="4">
        <f>IF(AND(VLOOKUP(G2667,Dados!$D:$L,3,0)&lt;=VLOOKUP(H2667,Dados!$X:$AB,2,0),VLOOKUP(G2667,Dados!$D:$L,4,0)&gt;=VLOOKUP(H2667,Dados!$X:$AB,3,0),VLOOKUP(G2667,Dados!$D:$L,4,0)&lt;=VLOOKUP(H2667,Dados!$X:$AB,4,0)),0,1)</f>
        <v>0</v>
      </c>
      <c r="U2667" s="4">
        <f>IF(COUNTIFS(F:F,F2667,H:H,H2667)&lt;=VLOOKUP(H2667,Dados!$X:$AB,5,0),0,1)</f>
        <v>0</v>
      </c>
    </row>
    <row r="2668" spans="6:21">
      <c r="F2668" s="4">
        <v>1140</v>
      </c>
      <c r="G2668" s="4">
        <v>63</v>
      </c>
      <c r="H2668" s="4">
        <v>1</v>
      </c>
      <c r="I2668" s="4">
        <v>21</v>
      </c>
      <c r="J2668" s="4">
        <v>1</v>
      </c>
      <c r="K2668" s="4">
        <f t="shared" si="367"/>
        <v>0</v>
      </c>
      <c r="L2668" s="4">
        <f t="shared" si="367"/>
        <v>0</v>
      </c>
      <c r="M2668" s="4">
        <f t="shared" si="367"/>
        <v>0</v>
      </c>
      <c r="N2668" s="4">
        <f t="shared" si="367"/>
        <v>0</v>
      </c>
      <c r="O2668" s="4">
        <f t="shared" si="368"/>
        <v>0</v>
      </c>
      <c r="P2668" s="4">
        <f t="shared" si="369"/>
        <v>0</v>
      </c>
      <c r="Q2668" s="4">
        <f t="shared" si="370"/>
        <v>0</v>
      </c>
      <c r="R2668" s="4">
        <f t="shared" si="371"/>
        <v>0</v>
      </c>
      <c r="S2668" s="4">
        <f>IF(AND(VLOOKUP(G2668,Dados!$D:$L,2,0)=VLOOKUP(I2668,Dados!$S:$V,2,0),VLOOKUP(G2668,Dados!$D:$L,3,0)=VLOOKUP(I2668,Dados!$S:$V,3,0)),0,1)</f>
        <v>0</v>
      </c>
      <c r="T2668" s="4">
        <f>IF(AND(VLOOKUP(G2668,Dados!$D:$L,3,0)&lt;=VLOOKUP(H2668,Dados!$X:$AB,2,0),VLOOKUP(G2668,Dados!$D:$L,4,0)&gt;=VLOOKUP(H2668,Dados!$X:$AB,3,0),VLOOKUP(G2668,Dados!$D:$L,4,0)&lt;=VLOOKUP(H2668,Dados!$X:$AB,4,0)),0,1)</f>
        <v>0</v>
      </c>
      <c r="U2668" s="4">
        <f>IF(COUNTIFS(F:F,F2668,H:H,H2668)&lt;=VLOOKUP(H2668,Dados!$X:$AB,5,0),0,1)</f>
        <v>0</v>
      </c>
    </row>
    <row r="2669" spans="6:21">
      <c r="F2669" s="4">
        <v>1140</v>
      </c>
      <c r="G2669" s="4">
        <v>66</v>
      </c>
      <c r="H2669" s="4">
        <v>1</v>
      </c>
      <c r="I2669" s="4">
        <v>21</v>
      </c>
      <c r="J2669" s="4">
        <v>5</v>
      </c>
      <c r="K2669" s="4">
        <f t="shared" si="367"/>
        <v>0</v>
      </c>
      <c r="L2669" s="4">
        <f t="shared" si="367"/>
        <v>0</v>
      </c>
      <c r="M2669" s="4">
        <f t="shared" si="367"/>
        <v>0</v>
      </c>
      <c r="N2669" s="4">
        <f t="shared" si="367"/>
        <v>0</v>
      </c>
      <c r="O2669" s="4">
        <f t="shared" si="368"/>
        <v>0</v>
      </c>
      <c r="P2669" s="4">
        <f t="shared" si="369"/>
        <v>0</v>
      </c>
      <c r="Q2669" s="4">
        <f t="shared" si="370"/>
        <v>0</v>
      </c>
      <c r="R2669" s="4">
        <f t="shared" si="371"/>
        <v>0</v>
      </c>
      <c r="S2669" s="4">
        <f>IF(AND(VLOOKUP(G2669,Dados!$D:$L,2,0)=VLOOKUP(I2669,Dados!$S:$V,2,0),VLOOKUP(G2669,Dados!$D:$L,3,0)=VLOOKUP(I2669,Dados!$S:$V,3,0)),0,1)</f>
        <v>0</v>
      </c>
      <c r="T2669" s="4">
        <f>IF(AND(VLOOKUP(G2669,Dados!$D:$L,3,0)&lt;=VLOOKUP(H2669,Dados!$X:$AB,2,0),VLOOKUP(G2669,Dados!$D:$L,4,0)&gt;=VLOOKUP(H2669,Dados!$X:$AB,3,0),VLOOKUP(G2669,Dados!$D:$L,4,0)&lt;=VLOOKUP(H2669,Dados!$X:$AB,4,0)),0,1)</f>
        <v>0</v>
      </c>
      <c r="U2669" s="4">
        <f>IF(COUNTIFS(F:F,F2669,H:H,H2669)&lt;=VLOOKUP(H2669,Dados!$X:$AB,5,0),0,1)</f>
        <v>0</v>
      </c>
    </row>
    <row r="2670" spans="6:21">
      <c r="F2670" s="4">
        <v>1140</v>
      </c>
      <c r="G2670" s="4">
        <v>67</v>
      </c>
      <c r="H2670" s="4">
        <v>1</v>
      </c>
      <c r="I2670" s="4">
        <v>21</v>
      </c>
      <c r="J2670" s="4">
        <v>2</v>
      </c>
      <c r="K2670" s="4">
        <f t="shared" si="367"/>
        <v>0</v>
      </c>
      <c r="L2670" s="4">
        <f t="shared" si="367"/>
        <v>0</v>
      </c>
      <c r="M2670" s="4">
        <f t="shared" si="367"/>
        <v>0</v>
      </c>
      <c r="N2670" s="4">
        <f t="shared" si="367"/>
        <v>0</v>
      </c>
      <c r="O2670" s="4">
        <f t="shared" si="368"/>
        <v>0</v>
      </c>
      <c r="P2670" s="4">
        <f t="shared" si="369"/>
        <v>0</v>
      </c>
      <c r="Q2670" s="4">
        <f t="shared" si="370"/>
        <v>0</v>
      </c>
      <c r="R2670" s="4">
        <f t="shared" si="371"/>
        <v>0</v>
      </c>
      <c r="S2670" s="4">
        <f>IF(AND(VLOOKUP(G2670,Dados!$D:$L,2,0)=VLOOKUP(I2670,Dados!$S:$V,2,0),VLOOKUP(G2670,Dados!$D:$L,3,0)=VLOOKUP(I2670,Dados!$S:$V,3,0)),0,1)</f>
        <v>0</v>
      </c>
      <c r="T2670" s="4">
        <f>IF(AND(VLOOKUP(G2670,Dados!$D:$L,3,0)&lt;=VLOOKUP(H2670,Dados!$X:$AB,2,0),VLOOKUP(G2670,Dados!$D:$L,4,0)&gt;=VLOOKUP(H2670,Dados!$X:$AB,3,0),VLOOKUP(G2670,Dados!$D:$L,4,0)&lt;=VLOOKUP(H2670,Dados!$X:$AB,4,0)),0,1)</f>
        <v>0</v>
      </c>
      <c r="U2670" s="4">
        <f>IF(COUNTIFS(F:F,F2670,H:H,H2670)&lt;=VLOOKUP(H2670,Dados!$X:$AB,5,0),0,1)</f>
        <v>0</v>
      </c>
    </row>
    <row r="2671" spans="6:21">
      <c r="F2671" s="4">
        <v>1141</v>
      </c>
      <c r="G2671" s="4">
        <v>63</v>
      </c>
      <c r="H2671" s="4">
        <v>2</v>
      </c>
      <c r="I2671" s="4">
        <v>21</v>
      </c>
      <c r="J2671" s="4">
        <v>1</v>
      </c>
      <c r="K2671" s="4">
        <f t="shared" si="367"/>
        <v>0</v>
      </c>
      <c r="L2671" s="4">
        <f t="shared" si="367"/>
        <v>0</v>
      </c>
      <c r="M2671" s="4">
        <f t="shared" si="367"/>
        <v>0</v>
      </c>
      <c r="N2671" s="4">
        <f t="shared" si="367"/>
        <v>0</v>
      </c>
      <c r="O2671" s="4">
        <f t="shared" si="368"/>
        <v>0</v>
      </c>
      <c r="P2671" s="4">
        <f t="shared" si="369"/>
        <v>0</v>
      </c>
      <c r="Q2671" s="4">
        <f t="shared" si="370"/>
        <v>0</v>
      </c>
      <c r="R2671" s="4">
        <f t="shared" si="371"/>
        <v>0</v>
      </c>
      <c r="S2671" s="4">
        <f>IF(AND(VLOOKUP(G2671,Dados!$D:$L,2,0)=VLOOKUP(I2671,Dados!$S:$V,2,0),VLOOKUP(G2671,Dados!$D:$L,3,0)=VLOOKUP(I2671,Dados!$S:$V,3,0)),0,1)</f>
        <v>0</v>
      </c>
      <c r="T2671" s="4">
        <f>IF(AND(VLOOKUP(G2671,Dados!$D:$L,3,0)&lt;=VLOOKUP(H2671,Dados!$X:$AB,2,0),VLOOKUP(G2671,Dados!$D:$L,4,0)&gt;=VLOOKUP(H2671,Dados!$X:$AB,3,0),VLOOKUP(G2671,Dados!$D:$L,4,0)&lt;=VLOOKUP(H2671,Dados!$X:$AB,4,0)),0,1)</f>
        <v>0</v>
      </c>
      <c r="U2671" s="4">
        <f>IF(COUNTIFS(F:F,F2671,H:H,H2671)&lt;=VLOOKUP(H2671,Dados!$X:$AB,5,0),0,1)</f>
        <v>0</v>
      </c>
    </row>
    <row r="2672" spans="6:21">
      <c r="F2672" s="4">
        <v>1141</v>
      </c>
      <c r="G2672" s="4">
        <v>66</v>
      </c>
      <c r="H2672" s="4">
        <v>2</v>
      </c>
      <c r="I2672" s="4">
        <v>21</v>
      </c>
      <c r="J2672" s="4">
        <v>5</v>
      </c>
      <c r="K2672" s="4">
        <f t="shared" si="367"/>
        <v>0</v>
      </c>
      <c r="L2672" s="4">
        <f t="shared" si="367"/>
        <v>0</v>
      </c>
      <c r="M2672" s="4">
        <f t="shared" si="367"/>
        <v>0</v>
      </c>
      <c r="N2672" s="4">
        <f t="shared" si="367"/>
        <v>0</v>
      </c>
      <c r="O2672" s="4">
        <f t="shared" si="368"/>
        <v>0</v>
      </c>
      <c r="P2672" s="4">
        <f t="shared" si="369"/>
        <v>0</v>
      </c>
      <c r="Q2672" s="4">
        <f t="shared" si="370"/>
        <v>0</v>
      </c>
      <c r="R2672" s="4">
        <f t="shared" si="371"/>
        <v>0</v>
      </c>
      <c r="S2672" s="4">
        <f>IF(AND(VLOOKUP(G2672,Dados!$D:$L,2,0)=VLOOKUP(I2672,Dados!$S:$V,2,0),VLOOKUP(G2672,Dados!$D:$L,3,0)=VLOOKUP(I2672,Dados!$S:$V,3,0)),0,1)</f>
        <v>0</v>
      </c>
      <c r="T2672" s="4">
        <f>IF(AND(VLOOKUP(G2672,Dados!$D:$L,3,0)&lt;=VLOOKUP(H2672,Dados!$X:$AB,2,0),VLOOKUP(G2672,Dados!$D:$L,4,0)&gt;=VLOOKUP(H2672,Dados!$X:$AB,3,0),VLOOKUP(G2672,Dados!$D:$L,4,0)&lt;=VLOOKUP(H2672,Dados!$X:$AB,4,0)),0,1)</f>
        <v>0</v>
      </c>
      <c r="U2672" s="4">
        <f>IF(COUNTIFS(F:F,F2672,H:H,H2672)&lt;=VLOOKUP(H2672,Dados!$X:$AB,5,0),0,1)</f>
        <v>0</v>
      </c>
    </row>
    <row r="2673" spans="6:21">
      <c r="F2673" s="4">
        <v>1141</v>
      </c>
      <c r="G2673" s="4">
        <v>67</v>
      </c>
      <c r="H2673" s="4">
        <v>2</v>
      </c>
      <c r="I2673" s="4">
        <v>21</v>
      </c>
      <c r="J2673" s="4">
        <v>2</v>
      </c>
      <c r="K2673" s="4">
        <f t="shared" si="367"/>
        <v>0</v>
      </c>
      <c r="L2673" s="4">
        <f t="shared" si="367"/>
        <v>0</v>
      </c>
      <c r="M2673" s="4">
        <f t="shared" si="367"/>
        <v>0</v>
      </c>
      <c r="N2673" s="4">
        <f t="shared" si="367"/>
        <v>0</v>
      </c>
      <c r="O2673" s="4">
        <f t="shared" si="368"/>
        <v>0</v>
      </c>
      <c r="P2673" s="4">
        <f t="shared" si="369"/>
        <v>0</v>
      </c>
      <c r="Q2673" s="4">
        <f t="shared" si="370"/>
        <v>0</v>
      </c>
      <c r="R2673" s="4">
        <f t="shared" si="371"/>
        <v>0</v>
      </c>
      <c r="S2673" s="4">
        <f>IF(AND(VLOOKUP(G2673,Dados!$D:$L,2,0)=VLOOKUP(I2673,Dados!$S:$V,2,0),VLOOKUP(G2673,Dados!$D:$L,3,0)=VLOOKUP(I2673,Dados!$S:$V,3,0)),0,1)</f>
        <v>0</v>
      </c>
      <c r="T2673" s="4">
        <f>IF(AND(VLOOKUP(G2673,Dados!$D:$L,3,0)&lt;=VLOOKUP(H2673,Dados!$X:$AB,2,0),VLOOKUP(G2673,Dados!$D:$L,4,0)&gt;=VLOOKUP(H2673,Dados!$X:$AB,3,0),VLOOKUP(G2673,Dados!$D:$L,4,0)&lt;=VLOOKUP(H2673,Dados!$X:$AB,4,0)),0,1)</f>
        <v>0</v>
      </c>
      <c r="U2673" s="4">
        <f>IF(COUNTIFS(F:F,F2673,H:H,H2673)&lt;=VLOOKUP(H2673,Dados!$X:$AB,5,0),0,1)</f>
        <v>0</v>
      </c>
    </row>
    <row r="2674" spans="6:21">
      <c r="F2674" s="4">
        <v>1142</v>
      </c>
      <c r="G2674" s="4">
        <v>63</v>
      </c>
      <c r="H2674" s="4">
        <v>3</v>
      </c>
      <c r="I2674" s="4">
        <v>21</v>
      </c>
      <c r="J2674" s="4">
        <v>1</v>
      </c>
      <c r="K2674" s="4">
        <f t="shared" si="367"/>
        <v>0</v>
      </c>
      <c r="L2674" s="4">
        <f t="shared" si="367"/>
        <v>0</v>
      </c>
      <c r="M2674" s="4">
        <f t="shared" si="367"/>
        <v>0</v>
      </c>
      <c r="N2674" s="4">
        <f t="shared" si="367"/>
        <v>0</v>
      </c>
      <c r="O2674" s="4">
        <f t="shared" si="368"/>
        <v>0</v>
      </c>
      <c r="P2674" s="4">
        <f t="shared" si="369"/>
        <v>0</v>
      </c>
      <c r="Q2674" s="4">
        <f t="shared" si="370"/>
        <v>0</v>
      </c>
      <c r="R2674" s="4">
        <f t="shared" si="371"/>
        <v>0</v>
      </c>
      <c r="S2674" s="4">
        <f>IF(AND(VLOOKUP(G2674,Dados!$D:$L,2,0)=VLOOKUP(I2674,Dados!$S:$V,2,0),VLOOKUP(G2674,Dados!$D:$L,3,0)=VLOOKUP(I2674,Dados!$S:$V,3,0)),0,1)</f>
        <v>0</v>
      </c>
      <c r="T2674" s="4">
        <f>IF(AND(VLOOKUP(G2674,Dados!$D:$L,3,0)&lt;=VLOOKUP(H2674,Dados!$X:$AB,2,0),VLOOKUP(G2674,Dados!$D:$L,4,0)&gt;=VLOOKUP(H2674,Dados!$X:$AB,3,0),VLOOKUP(G2674,Dados!$D:$L,4,0)&lt;=VLOOKUP(H2674,Dados!$X:$AB,4,0)),0,1)</f>
        <v>0</v>
      </c>
      <c r="U2674" s="4">
        <f>IF(COUNTIFS(F:F,F2674,H:H,H2674)&lt;=VLOOKUP(H2674,Dados!$X:$AB,5,0),0,1)</f>
        <v>0</v>
      </c>
    </row>
    <row r="2675" spans="6:21">
      <c r="F2675" s="4">
        <v>1142</v>
      </c>
      <c r="G2675" s="4">
        <v>66</v>
      </c>
      <c r="H2675" s="4">
        <v>3</v>
      </c>
      <c r="I2675" s="4">
        <v>21</v>
      </c>
      <c r="J2675" s="4">
        <v>5</v>
      </c>
      <c r="K2675" s="4">
        <f t="shared" si="367"/>
        <v>0</v>
      </c>
      <c r="L2675" s="4">
        <f t="shared" si="367"/>
        <v>0</v>
      </c>
      <c r="M2675" s="4">
        <f t="shared" si="367"/>
        <v>0</v>
      </c>
      <c r="N2675" s="4">
        <f t="shared" si="367"/>
        <v>0</v>
      </c>
      <c r="O2675" s="4">
        <f t="shared" si="368"/>
        <v>0</v>
      </c>
      <c r="P2675" s="4">
        <f t="shared" si="369"/>
        <v>0</v>
      </c>
      <c r="Q2675" s="4">
        <f t="shared" si="370"/>
        <v>0</v>
      </c>
      <c r="R2675" s="4">
        <f t="shared" si="371"/>
        <v>0</v>
      </c>
      <c r="S2675" s="4">
        <f>IF(AND(VLOOKUP(G2675,Dados!$D:$L,2,0)=VLOOKUP(I2675,Dados!$S:$V,2,0),VLOOKUP(G2675,Dados!$D:$L,3,0)=VLOOKUP(I2675,Dados!$S:$V,3,0)),0,1)</f>
        <v>0</v>
      </c>
      <c r="T2675" s="4">
        <f>IF(AND(VLOOKUP(G2675,Dados!$D:$L,3,0)&lt;=VLOOKUP(H2675,Dados!$X:$AB,2,0),VLOOKUP(G2675,Dados!$D:$L,4,0)&gt;=VLOOKUP(H2675,Dados!$X:$AB,3,0),VLOOKUP(G2675,Dados!$D:$L,4,0)&lt;=VLOOKUP(H2675,Dados!$X:$AB,4,0)),0,1)</f>
        <v>0</v>
      </c>
      <c r="U2675" s="4">
        <f>IF(COUNTIFS(F:F,F2675,H:H,H2675)&lt;=VLOOKUP(H2675,Dados!$X:$AB,5,0),0,1)</f>
        <v>0</v>
      </c>
    </row>
    <row r="2676" spans="6:21">
      <c r="F2676" s="4">
        <v>1142</v>
      </c>
      <c r="G2676" s="4">
        <v>67</v>
      </c>
      <c r="H2676" s="4">
        <v>3</v>
      </c>
      <c r="I2676" s="4">
        <v>21</v>
      </c>
      <c r="J2676" s="4">
        <v>2</v>
      </c>
      <c r="K2676" s="4">
        <f t="shared" si="367"/>
        <v>0</v>
      </c>
      <c r="L2676" s="4">
        <f t="shared" si="367"/>
        <v>0</v>
      </c>
      <c r="M2676" s="4">
        <f t="shared" si="367"/>
        <v>0</v>
      </c>
      <c r="N2676" s="4">
        <f t="shared" si="367"/>
        <v>0</v>
      </c>
      <c r="O2676" s="4">
        <f t="shared" si="368"/>
        <v>0</v>
      </c>
      <c r="P2676" s="4">
        <f t="shared" si="369"/>
        <v>0</v>
      </c>
      <c r="Q2676" s="4">
        <f t="shared" si="370"/>
        <v>0</v>
      </c>
      <c r="R2676" s="4">
        <f t="shared" si="371"/>
        <v>0</v>
      </c>
      <c r="S2676" s="4">
        <f>IF(AND(VLOOKUP(G2676,Dados!$D:$L,2,0)=VLOOKUP(I2676,Dados!$S:$V,2,0),VLOOKUP(G2676,Dados!$D:$L,3,0)=VLOOKUP(I2676,Dados!$S:$V,3,0)),0,1)</f>
        <v>0</v>
      </c>
      <c r="T2676" s="4">
        <f>IF(AND(VLOOKUP(G2676,Dados!$D:$L,3,0)&lt;=VLOOKUP(H2676,Dados!$X:$AB,2,0),VLOOKUP(G2676,Dados!$D:$L,4,0)&gt;=VLOOKUP(H2676,Dados!$X:$AB,3,0),VLOOKUP(G2676,Dados!$D:$L,4,0)&lt;=VLOOKUP(H2676,Dados!$X:$AB,4,0)),0,1)</f>
        <v>0</v>
      </c>
      <c r="U2676" s="4">
        <f>IF(COUNTIFS(F:F,F2676,H:H,H2676)&lt;=VLOOKUP(H2676,Dados!$X:$AB,5,0),0,1)</f>
        <v>0</v>
      </c>
    </row>
    <row r="2677" spans="6:21">
      <c r="F2677" s="4">
        <v>1143</v>
      </c>
      <c r="G2677" s="4">
        <v>62</v>
      </c>
      <c r="H2677" s="4">
        <v>3</v>
      </c>
      <c r="I2677" s="4">
        <v>24</v>
      </c>
      <c r="J2677" s="4">
        <v>2</v>
      </c>
      <c r="K2677" s="4">
        <f t="shared" si="367"/>
        <v>0</v>
      </c>
      <c r="L2677" s="4">
        <f t="shared" si="367"/>
        <v>0</v>
      </c>
      <c r="M2677" s="4">
        <f t="shared" si="367"/>
        <v>0</v>
      </c>
      <c r="N2677" s="4">
        <f t="shared" si="367"/>
        <v>0</v>
      </c>
      <c r="O2677" s="4">
        <f t="shared" si="368"/>
        <v>0</v>
      </c>
      <c r="P2677" s="4">
        <f t="shared" si="369"/>
        <v>0</v>
      </c>
      <c r="Q2677" s="4">
        <f t="shared" si="370"/>
        <v>0</v>
      </c>
      <c r="R2677" s="4">
        <f t="shared" si="371"/>
        <v>0</v>
      </c>
      <c r="S2677" s="4">
        <f>IF(AND(VLOOKUP(G2677,Dados!$D:$L,2,0)=VLOOKUP(I2677,Dados!$S:$V,2,0),VLOOKUP(G2677,Dados!$D:$L,3,0)=VLOOKUP(I2677,Dados!$S:$V,3,0)),0,1)</f>
        <v>0</v>
      </c>
      <c r="T2677" s="4">
        <f>IF(AND(VLOOKUP(G2677,Dados!$D:$L,3,0)&lt;=VLOOKUP(H2677,Dados!$X:$AB,2,0),VLOOKUP(G2677,Dados!$D:$L,4,0)&gt;=VLOOKUP(H2677,Dados!$X:$AB,3,0),VLOOKUP(G2677,Dados!$D:$L,4,0)&lt;=VLOOKUP(H2677,Dados!$X:$AB,4,0)),0,1)</f>
        <v>0</v>
      </c>
      <c r="U2677" s="4">
        <f>IF(COUNTIFS(F:F,F2677,H:H,H2677)&lt;=VLOOKUP(H2677,Dados!$X:$AB,5,0),0,1)</f>
        <v>0</v>
      </c>
    </row>
    <row r="2678" spans="6:21">
      <c r="F2678" s="4">
        <v>1143</v>
      </c>
      <c r="G2678" s="4">
        <v>63</v>
      </c>
      <c r="H2678" s="4">
        <v>3</v>
      </c>
      <c r="I2678" s="4">
        <v>24</v>
      </c>
      <c r="J2678" s="4">
        <v>1</v>
      </c>
      <c r="K2678" s="4">
        <f t="shared" si="367"/>
        <v>0</v>
      </c>
      <c r="L2678" s="4">
        <f t="shared" si="367"/>
        <v>0</v>
      </c>
      <c r="M2678" s="4">
        <f t="shared" si="367"/>
        <v>0</v>
      </c>
      <c r="N2678" s="4">
        <f t="shared" si="367"/>
        <v>0</v>
      </c>
      <c r="O2678" s="4">
        <f t="shared" si="368"/>
        <v>0</v>
      </c>
      <c r="P2678" s="4">
        <f t="shared" si="369"/>
        <v>0</v>
      </c>
      <c r="Q2678" s="4">
        <f t="shared" si="370"/>
        <v>0</v>
      </c>
      <c r="R2678" s="4">
        <f t="shared" si="371"/>
        <v>0</v>
      </c>
      <c r="S2678" s="4">
        <f>IF(AND(VLOOKUP(G2678,Dados!$D:$L,2,0)=VLOOKUP(I2678,Dados!$S:$V,2,0),VLOOKUP(G2678,Dados!$D:$L,3,0)=VLOOKUP(I2678,Dados!$S:$V,3,0)),0,1)</f>
        <v>0</v>
      </c>
      <c r="T2678" s="4">
        <f>IF(AND(VLOOKUP(G2678,Dados!$D:$L,3,0)&lt;=VLOOKUP(H2678,Dados!$X:$AB,2,0),VLOOKUP(G2678,Dados!$D:$L,4,0)&gt;=VLOOKUP(H2678,Dados!$X:$AB,3,0),VLOOKUP(G2678,Dados!$D:$L,4,0)&lt;=VLOOKUP(H2678,Dados!$X:$AB,4,0)),0,1)</f>
        <v>0</v>
      </c>
      <c r="U2678" s="4">
        <f>IF(COUNTIFS(F:F,F2678,H:H,H2678)&lt;=VLOOKUP(H2678,Dados!$X:$AB,5,0),0,1)</f>
        <v>0</v>
      </c>
    </row>
    <row r="2679" spans="6:21">
      <c r="F2679" s="4">
        <v>1143</v>
      </c>
      <c r="G2679" s="4">
        <v>66</v>
      </c>
      <c r="H2679" s="4">
        <v>3</v>
      </c>
      <c r="I2679" s="4">
        <v>24</v>
      </c>
      <c r="J2679" s="4">
        <v>3</v>
      </c>
      <c r="K2679" s="4">
        <f t="shared" si="367"/>
        <v>0</v>
      </c>
      <c r="L2679" s="4">
        <f t="shared" si="367"/>
        <v>0</v>
      </c>
      <c r="M2679" s="4">
        <f t="shared" si="367"/>
        <v>0</v>
      </c>
      <c r="N2679" s="4">
        <f t="shared" si="367"/>
        <v>0</v>
      </c>
      <c r="O2679" s="4">
        <f t="shared" si="368"/>
        <v>0</v>
      </c>
      <c r="P2679" s="4">
        <f t="shared" si="369"/>
        <v>0</v>
      </c>
      <c r="Q2679" s="4">
        <f t="shared" si="370"/>
        <v>0</v>
      </c>
      <c r="R2679" s="4">
        <f t="shared" si="371"/>
        <v>0</v>
      </c>
      <c r="S2679" s="4">
        <f>IF(AND(VLOOKUP(G2679,Dados!$D:$L,2,0)=VLOOKUP(I2679,Dados!$S:$V,2,0),VLOOKUP(G2679,Dados!$D:$L,3,0)=VLOOKUP(I2679,Dados!$S:$V,3,0)),0,1)</f>
        <v>0</v>
      </c>
      <c r="T2679" s="4">
        <f>IF(AND(VLOOKUP(G2679,Dados!$D:$L,3,0)&lt;=VLOOKUP(H2679,Dados!$X:$AB,2,0),VLOOKUP(G2679,Dados!$D:$L,4,0)&gt;=VLOOKUP(H2679,Dados!$X:$AB,3,0),VLOOKUP(G2679,Dados!$D:$L,4,0)&lt;=VLOOKUP(H2679,Dados!$X:$AB,4,0)),0,1)</f>
        <v>0</v>
      </c>
      <c r="U2679" s="4">
        <f>IF(COUNTIFS(F:F,F2679,H:H,H2679)&lt;=VLOOKUP(H2679,Dados!$X:$AB,5,0),0,1)</f>
        <v>0</v>
      </c>
    </row>
    <row r="2680" spans="6:21">
      <c r="F2680" s="4">
        <v>1143</v>
      </c>
      <c r="G2680" s="4">
        <v>67</v>
      </c>
      <c r="H2680" s="4">
        <v>3</v>
      </c>
      <c r="I2680" s="4">
        <v>24</v>
      </c>
      <c r="J2680" s="4">
        <v>1</v>
      </c>
      <c r="K2680" s="4">
        <f t="shared" si="367"/>
        <v>0</v>
      </c>
      <c r="L2680" s="4">
        <f t="shared" si="367"/>
        <v>0</v>
      </c>
      <c r="M2680" s="4">
        <f t="shared" si="367"/>
        <v>0</v>
      </c>
      <c r="N2680" s="4">
        <f t="shared" si="367"/>
        <v>0</v>
      </c>
      <c r="O2680" s="4">
        <f t="shared" si="368"/>
        <v>0</v>
      </c>
      <c r="P2680" s="4">
        <f t="shared" si="369"/>
        <v>0</v>
      </c>
      <c r="Q2680" s="4">
        <f t="shared" si="370"/>
        <v>0</v>
      </c>
      <c r="R2680" s="4">
        <f t="shared" si="371"/>
        <v>0</v>
      </c>
      <c r="S2680" s="4">
        <f>IF(AND(VLOOKUP(G2680,Dados!$D:$L,2,0)=VLOOKUP(I2680,Dados!$S:$V,2,0),VLOOKUP(G2680,Dados!$D:$L,3,0)=VLOOKUP(I2680,Dados!$S:$V,3,0)),0,1)</f>
        <v>0</v>
      </c>
      <c r="T2680" s="4">
        <f>IF(AND(VLOOKUP(G2680,Dados!$D:$L,3,0)&lt;=VLOOKUP(H2680,Dados!$X:$AB,2,0),VLOOKUP(G2680,Dados!$D:$L,4,0)&gt;=VLOOKUP(H2680,Dados!$X:$AB,3,0),VLOOKUP(G2680,Dados!$D:$L,4,0)&lt;=VLOOKUP(H2680,Dados!$X:$AB,4,0)),0,1)</f>
        <v>0</v>
      </c>
      <c r="U2680" s="4">
        <f>IF(COUNTIFS(F:F,F2680,H:H,H2680)&lt;=VLOOKUP(H2680,Dados!$X:$AB,5,0),0,1)</f>
        <v>0</v>
      </c>
    </row>
    <row r="2681" spans="6:21">
      <c r="F2681" s="4">
        <v>1144</v>
      </c>
      <c r="G2681" s="4">
        <v>63</v>
      </c>
      <c r="H2681" s="4">
        <v>1</v>
      </c>
      <c r="I2681" s="4">
        <v>26</v>
      </c>
      <c r="J2681" s="4">
        <v>1</v>
      </c>
      <c r="K2681" s="4">
        <f t="shared" si="367"/>
        <v>0</v>
      </c>
      <c r="L2681" s="4">
        <f t="shared" si="367"/>
        <v>0</v>
      </c>
      <c r="M2681" s="4">
        <f t="shared" si="367"/>
        <v>0</v>
      </c>
      <c r="N2681" s="4">
        <f t="shared" si="367"/>
        <v>0</v>
      </c>
      <c r="O2681" s="4">
        <f t="shared" si="368"/>
        <v>0</v>
      </c>
      <c r="P2681" s="4">
        <f t="shared" si="369"/>
        <v>0</v>
      </c>
      <c r="Q2681" s="4">
        <f t="shared" si="370"/>
        <v>0</v>
      </c>
      <c r="R2681" s="4">
        <f t="shared" si="371"/>
        <v>0</v>
      </c>
      <c r="S2681" s="4">
        <f>IF(AND(VLOOKUP(G2681,Dados!$D:$L,2,0)=VLOOKUP(I2681,Dados!$S:$V,2,0),VLOOKUP(G2681,Dados!$D:$L,3,0)=VLOOKUP(I2681,Dados!$S:$V,3,0)),0,1)</f>
        <v>0</v>
      </c>
      <c r="T2681" s="4">
        <f>IF(AND(VLOOKUP(G2681,Dados!$D:$L,3,0)&lt;=VLOOKUP(H2681,Dados!$X:$AB,2,0),VLOOKUP(G2681,Dados!$D:$L,4,0)&gt;=VLOOKUP(H2681,Dados!$X:$AB,3,0),VLOOKUP(G2681,Dados!$D:$L,4,0)&lt;=VLOOKUP(H2681,Dados!$X:$AB,4,0)),0,1)</f>
        <v>0</v>
      </c>
      <c r="U2681" s="4">
        <f>IF(COUNTIFS(F:F,F2681,H:H,H2681)&lt;=VLOOKUP(H2681,Dados!$X:$AB,5,0),0,1)</f>
        <v>0</v>
      </c>
    </row>
    <row r="2682" spans="6:21">
      <c r="F2682" s="4">
        <v>1144</v>
      </c>
      <c r="G2682" s="4">
        <v>66</v>
      </c>
      <c r="H2682" s="4">
        <v>1</v>
      </c>
      <c r="I2682" s="4">
        <v>26</v>
      </c>
      <c r="J2682" s="4">
        <v>4</v>
      </c>
      <c r="K2682" s="4">
        <f t="shared" si="367"/>
        <v>0</v>
      </c>
      <c r="L2682" s="4">
        <f t="shared" si="367"/>
        <v>0</v>
      </c>
      <c r="M2682" s="4">
        <f t="shared" si="367"/>
        <v>0</v>
      </c>
      <c r="N2682" s="4">
        <f t="shared" si="367"/>
        <v>0</v>
      </c>
      <c r="O2682" s="4">
        <f t="shared" si="368"/>
        <v>0</v>
      </c>
      <c r="P2682" s="4">
        <f t="shared" si="369"/>
        <v>0</v>
      </c>
      <c r="Q2682" s="4">
        <f t="shared" si="370"/>
        <v>0</v>
      </c>
      <c r="R2682" s="4">
        <f t="shared" si="371"/>
        <v>0</v>
      </c>
      <c r="S2682" s="4">
        <f>IF(AND(VLOOKUP(G2682,Dados!$D:$L,2,0)=VLOOKUP(I2682,Dados!$S:$V,2,0),VLOOKUP(G2682,Dados!$D:$L,3,0)=VLOOKUP(I2682,Dados!$S:$V,3,0)),0,1)</f>
        <v>0</v>
      </c>
      <c r="T2682" s="4">
        <f>IF(AND(VLOOKUP(G2682,Dados!$D:$L,3,0)&lt;=VLOOKUP(H2682,Dados!$X:$AB,2,0),VLOOKUP(G2682,Dados!$D:$L,4,0)&gt;=VLOOKUP(H2682,Dados!$X:$AB,3,0),VLOOKUP(G2682,Dados!$D:$L,4,0)&lt;=VLOOKUP(H2682,Dados!$X:$AB,4,0)),0,1)</f>
        <v>0</v>
      </c>
      <c r="U2682" s="4">
        <f>IF(COUNTIFS(F:F,F2682,H:H,H2682)&lt;=VLOOKUP(H2682,Dados!$X:$AB,5,0),0,1)</f>
        <v>0</v>
      </c>
    </row>
    <row r="2683" spans="6:21">
      <c r="F2683" s="4">
        <v>1144</v>
      </c>
      <c r="G2683" s="4">
        <v>67</v>
      </c>
      <c r="H2683" s="4">
        <v>1</v>
      </c>
      <c r="I2683" s="4">
        <v>26</v>
      </c>
      <c r="J2683" s="4">
        <v>2</v>
      </c>
      <c r="K2683" s="4">
        <f t="shared" si="367"/>
        <v>0</v>
      </c>
      <c r="L2683" s="4">
        <f t="shared" si="367"/>
        <v>0</v>
      </c>
      <c r="M2683" s="4">
        <f t="shared" si="367"/>
        <v>0</v>
      </c>
      <c r="N2683" s="4">
        <f t="shared" si="367"/>
        <v>0</v>
      </c>
      <c r="O2683" s="4">
        <f t="shared" si="368"/>
        <v>0</v>
      </c>
      <c r="P2683" s="4">
        <f t="shared" si="369"/>
        <v>0</v>
      </c>
      <c r="Q2683" s="4">
        <f t="shared" si="370"/>
        <v>0</v>
      </c>
      <c r="R2683" s="4">
        <f t="shared" si="371"/>
        <v>0</v>
      </c>
      <c r="S2683" s="4">
        <f>IF(AND(VLOOKUP(G2683,Dados!$D:$L,2,0)=VLOOKUP(I2683,Dados!$S:$V,2,0),VLOOKUP(G2683,Dados!$D:$L,3,0)=VLOOKUP(I2683,Dados!$S:$V,3,0)),0,1)</f>
        <v>0</v>
      </c>
      <c r="T2683" s="4">
        <f>IF(AND(VLOOKUP(G2683,Dados!$D:$L,3,0)&lt;=VLOOKUP(H2683,Dados!$X:$AB,2,0),VLOOKUP(G2683,Dados!$D:$L,4,0)&gt;=VLOOKUP(H2683,Dados!$X:$AB,3,0),VLOOKUP(G2683,Dados!$D:$L,4,0)&lt;=VLOOKUP(H2683,Dados!$X:$AB,4,0)),0,1)</f>
        <v>0</v>
      </c>
      <c r="U2683" s="4">
        <f>IF(COUNTIFS(F:F,F2683,H:H,H2683)&lt;=VLOOKUP(H2683,Dados!$X:$AB,5,0),0,1)</f>
        <v>0</v>
      </c>
    </row>
    <row r="2684" spans="6:21">
      <c r="F2684" s="4">
        <v>1145</v>
      </c>
      <c r="G2684" s="4">
        <v>63</v>
      </c>
      <c r="H2684" s="4">
        <v>2</v>
      </c>
      <c r="I2684" s="4">
        <v>26</v>
      </c>
      <c r="J2684" s="4">
        <v>1</v>
      </c>
      <c r="K2684" s="4">
        <f t="shared" si="367"/>
        <v>0</v>
      </c>
      <c r="L2684" s="4">
        <f t="shared" si="367"/>
        <v>0</v>
      </c>
      <c r="M2684" s="4">
        <f t="shared" si="367"/>
        <v>0</v>
      </c>
      <c r="N2684" s="4">
        <f t="shared" si="367"/>
        <v>0</v>
      </c>
      <c r="O2684" s="4">
        <f t="shared" si="368"/>
        <v>0</v>
      </c>
      <c r="P2684" s="4">
        <f t="shared" si="369"/>
        <v>0</v>
      </c>
      <c r="Q2684" s="4">
        <f t="shared" si="370"/>
        <v>0</v>
      </c>
      <c r="R2684" s="4">
        <f t="shared" si="371"/>
        <v>0</v>
      </c>
      <c r="S2684" s="4">
        <f>IF(AND(VLOOKUP(G2684,Dados!$D:$L,2,0)=VLOOKUP(I2684,Dados!$S:$V,2,0),VLOOKUP(G2684,Dados!$D:$L,3,0)=VLOOKUP(I2684,Dados!$S:$V,3,0)),0,1)</f>
        <v>0</v>
      </c>
      <c r="T2684" s="4">
        <f>IF(AND(VLOOKUP(G2684,Dados!$D:$L,3,0)&lt;=VLOOKUP(H2684,Dados!$X:$AB,2,0),VLOOKUP(G2684,Dados!$D:$L,4,0)&gt;=VLOOKUP(H2684,Dados!$X:$AB,3,0),VLOOKUP(G2684,Dados!$D:$L,4,0)&lt;=VLOOKUP(H2684,Dados!$X:$AB,4,0)),0,1)</f>
        <v>0</v>
      </c>
      <c r="U2684" s="4">
        <f>IF(COUNTIFS(F:F,F2684,H:H,H2684)&lt;=VLOOKUP(H2684,Dados!$X:$AB,5,0),0,1)</f>
        <v>0</v>
      </c>
    </row>
    <row r="2685" spans="6:21">
      <c r="F2685" s="4">
        <v>1145</v>
      </c>
      <c r="G2685" s="4">
        <v>66</v>
      </c>
      <c r="H2685" s="4">
        <v>2</v>
      </c>
      <c r="I2685" s="4">
        <v>26</v>
      </c>
      <c r="J2685" s="4">
        <v>4</v>
      </c>
      <c r="K2685" s="4">
        <f t="shared" si="367"/>
        <v>0</v>
      </c>
      <c r="L2685" s="4">
        <f t="shared" si="367"/>
        <v>0</v>
      </c>
      <c r="M2685" s="4">
        <f t="shared" si="367"/>
        <v>0</v>
      </c>
      <c r="N2685" s="4">
        <f t="shared" si="367"/>
        <v>0</v>
      </c>
      <c r="O2685" s="4">
        <f t="shared" si="368"/>
        <v>0</v>
      </c>
      <c r="P2685" s="4">
        <f t="shared" si="369"/>
        <v>0</v>
      </c>
      <c r="Q2685" s="4">
        <f t="shared" si="370"/>
        <v>0</v>
      </c>
      <c r="R2685" s="4">
        <f t="shared" si="371"/>
        <v>0</v>
      </c>
      <c r="S2685" s="4">
        <f>IF(AND(VLOOKUP(G2685,Dados!$D:$L,2,0)=VLOOKUP(I2685,Dados!$S:$V,2,0),VLOOKUP(G2685,Dados!$D:$L,3,0)=VLOOKUP(I2685,Dados!$S:$V,3,0)),0,1)</f>
        <v>0</v>
      </c>
      <c r="T2685" s="4">
        <f>IF(AND(VLOOKUP(G2685,Dados!$D:$L,3,0)&lt;=VLOOKUP(H2685,Dados!$X:$AB,2,0),VLOOKUP(G2685,Dados!$D:$L,4,0)&gt;=VLOOKUP(H2685,Dados!$X:$AB,3,0),VLOOKUP(G2685,Dados!$D:$L,4,0)&lt;=VLOOKUP(H2685,Dados!$X:$AB,4,0)),0,1)</f>
        <v>0</v>
      </c>
      <c r="U2685" s="4">
        <f>IF(COUNTIFS(F:F,F2685,H:H,H2685)&lt;=VLOOKUP(H2685,Dados!$X:$AB,5,0),0,1)</f>
        <v>0</v>
      </c>
    </row>
    <row r="2686" spans="6:21">
      <c r="F2686" s="4">
        <v>1145</v>
      </c>
      <c r="G2686" s="4">
        <v>67</v>
      </c>
      <c r="H2686" s="4">
        <v>2</v>
      </c>
      <c r="I2686" s="4">
        <v>26</v>
      </c>
      <c r="J2686" s="4">
        <v>2</v>
      </c>
      <c r="K2686" s="4">
        <f t="shared" si="367"/>
        <v>0</v>
      </c>
      <c r="L2686" s="4">
        <f t="shared" si="367"/>
        <v>0</v>
      </c>
      <c r="M2686" s="4">
        <f t="shared" si="367"/>
        <v>0</v>
      </c>
      <c r="N2686" s="4">
        <f t="shared" si="367"/>
        <v>0</v>
      </c>
      <c r="O2686" s="4">
        <f t="shared" si="368"/>
        <v>0</v>
      </c>
      <c r="P2686" s="4">
        <f t="shared" si="369"/>
        <v>0</v>
      </c>
      <c r="Q2686" s="4">
        <f t="shared" si="370"/>
        <v>0</v>
      </c>
      <c r="R2686" s="4">
        <f t="shared" si="371"/>
        <v>0</v>
      </c>
      <c r="S2686" s="4">
        <f>IF(AND(VLOOKUP(G2686,Dados!$D:$L,2,0)=VLOOKUP(I2686,Dados!$S:$V,2,0),VLOOKUP(G2686,Dados!$D:$L,3,0)=VLOOKUP(I2686,Dados!$S:$V,3,0)),0,1)</f>
        <v>0</v>
      </c>
      <c r="T2686" s="4">
        <f>IF(AND(VLOOKUP(G2686,Dados!$D:$L,3,0)&lt;=VLOOKUP(H2686,Dados!$X:$AB,2,0),VLOOKUP(G2686,Dados!$D:$L,4,0)&gt;=VLOOKUP(H2686,Dados!$X:$AB,3,0),VLOOKUP(G2686,Dados!$D:$L,4,0)&lt;=VLOOKUP(H2686,Dados!$X:$AB,4,0)),0,1)</f>
        <v>0</v>
      </c>
      <c r="U2686" s="4">
        <f>IF(COUNTIFS(F:F,F2686,H:H,H2686)&lt;=VLOOKUP(H2686,Dados!$X:$AB,5,0),0,1)</f>
        <v>0</v>
      </c>
    </row>
    <row r="2687" spans="6:21">
      <c r="F2687" s="4">
        <v>1146</v>
      </c>
      <c r="G2687" s="4">
        <v>63</v>
      </c>
      <c r="H2687" s="4">
        <v>3</v>
      </c>
      <c r="I2687" s="4">
        <v>26</v>
      </c>
      <c r="J2687" s="4">
        <v>1</v>
      </c>
      <c r="K2687" s="4">
        <f t="shared" si="367"/>
        <v>0</v>
      </c>
      <c r="L2687" s="4">
        <f t="shared" si="367"/>
        <v>0</v>
      </c>
      <c r="M2687" s="4">
        <f t="shared" si="367"/>
        <v>0</v>
      </c>
      <c r="N2687" s="4">
        <f t="shared" si="367"/>
        <v>0</v>
      </c>
      <c r="O2687" s="4">
        <f t="shared" si="368"/>
        <v>0</v>
      </c>
      <c r="P2687" s="4">
        <f t="shared" si="369"/>
        <v>0</v>
      </c>
      <c r="Q2687" s="4">
        <f t="shared" si="370"/>
        <v>0</v>
      </c>
      <c r="R2687" s="4">
        <f t="shared" si="371"/>
        <v>0</v>
      </c>
      <c r="S2687" s="4">
        <f>IF(AND(VLOOKUP(G2687,Dados!$D:$L,2,0)=VLOOKUP(I2687,Dados!$S:$V,2,0),VLOOKUP(G2687,Dados!$D:$L,3,0)=VLOOKUP(I2687,Dados!$S:$V,3,0)),0,1)</f>
        <v>0</v>
      </c>
      <c r="T2687" s="4">
        <f>IF(AND(VLOOKUP(G2687,Dados!$D:$L,3,0)&lt;=VLOOKUP(H2687,Dados!$X:$AB,2,0),VLOOKUP(G2687,Dados!$D:$L,4,0)&gt;=VLOOKUP(H2687,Dados!$X:$AB,3,0),VLOOKUP(G2687,Dados!$D:$L,4,0)&lt;=VLOOKUP(H2687,Dados!$X:$AB,4,0)),0,1)</f>
        <v>0</v>
      </c>
      <c r="U2687" s="4">
        <f>IF(COUNTIFS(F:F,F2687,H:H,H2687)&lt;=VLOOKUP(H2687,Dados!$X:$AB,5,0),0,1)</f>
        <v>0</v>
      </c>
    </row>
    <row r="2688" spans="6:21">
      <c r="F2688" s="4">
        <v>1146</v>
      </c>
      <c r="G2688" s="4">
        <v>66</v>
      </c>
      <c r="H2688" s="4">
        <v>3</v>
      </c>
      <c r="I2688" s="4">
        <v>26</v>
      </c>
      <c r="J2688" s="4">
        <v>4</v>
      </c>
      <c r="K2688" s="4">
        <f t="shared" si="367"/>
        <v>0</v>
      </c>
      <c r="L2688" s="4">
        <f t="shared" si="367"/>
        <v>0</v>
      </c>
      <c r="M2688" s="4">
        <f t="shared" si="367"/>
        <v>0</v>
      </c>
      <c r="N2688" s="4">
        <f t="shared" si="367"/>
        <v>0</v>
      </c>
      <c r="O2688" s="4">
        <f t="shared" si="368"/>
        <v>0</v>
      </c>
      <c r="P2688" s="4">
        <f t="shared" si="369"/>
        <v>0</v>
      </c>
      <c r="Q2688" s="4">
        <f t="shared" si="370"/>
        <v>0</v>
      </c>
      <c r="R2688" s="4">
        <f t="shared" si="371"/>
        <v>0</v>
      </c>
      <c r="S2688" s="4">
        <f>IF(AND(VLOOKUP(G2688,Dados!$D:$L,2,0)=VLOOKUP(I2688,Dados!$S:$V,2,0),VLOOKUP(G2688,Dados!$D:$L,3,0)=VLOOKUP(I2688,Dados!$S:$V,3,0)),0,1)</f>
        <v>0</v>
      </c>
      <c r="T2688" s="4">
        <f>IF(AND(VLOOKUP(G2688,Dados!$D:$L,3,0)&lt;=VLOOKUP(H2688,Dados!$X:$AB,2,0),VLOOKUP(G2688,Dados!$D:$L,4,0)&gt;=VLOOKUP(H2688,Dados!$X:$AB,3,0),VLOOKUP(G2688,Dados!$D:$L,4,0)&lt;=VLOOKUP(H2688,Dados!$X:$AB,4,0)),0,1)</f>
        <v>0</v>
      </c>
      <c r="U2688" s="4">
        <f>IF(COUNTIFS(F:F,F2688,H:H,H2688)&lt;=VLOOKUP(H2688,Dados!$X:$AB,5,0),0,1)</f>
        <v>0</v>
      </c>
    </row>
    <row r="2689" spans="6:21">
      <c r="F2689" s="4">
        <v>1146</v>
      </c>
      <c r="G2689" s="4">
        <v>67</v>
      </c>
      <c r="H2689" s="4">
        <v>3</v>
      </c>
      <c r="I2689" s="4">
        <v>26</v>
      </c>
      <c r="J2689" s="4">
        <v>2</v>
      </c>
      <c r="K2689" s="4">
        <f t="shared" si="367"/>
        <v>0</v>
      </c>
      <c r="L2689" s="4">
        <f t="shared" si="367"/>
        <v>0</v>
      </c>
      <c r="M2689" s="4">
        <f t="shared" si="367"/>
        <v>0</v>
      </c>
      <c r="N2689" s="4">
        <f t="shared" si="367"/>
        <v>0</v>
      </c>
      <c r="O2689" s="4">
        <f t="shared" si="368"/>
        <v>0</v>
      </c>
      <c r="P2689" s="4">
        <f t="shared" si="369"/>
        <v>0</v>
      </c>
      <c r="Q2689" s="4">
        <f t="shared" si="370"/>
        <v>0</v>
      </c>
      <c r="R2689" s="4">
        <f t="shared" si="371"/>
        <v>0</v>
      </c>
      <c r="S2689" s="4">
        <f>IF(AND(VLOOKUP(G2689,Dados!$D:$L,2,0)=VLOOKUP(I2689,Dados!$S:$V,2,0),VLOOKUP(G2689,Dados!$D:$L,3,0)=VLOOKUP(I2689,Dados!$S:$V,3,0)),0,1)</f>
        <v>0</v>
      </c>
      <c r="T2689" s="4">
        <f>IF(AND(VLOOKUP(G2689,Dados!$D:$L,3,0)&lt;=VLOOKUP(H2689,Dados!$X:$AB,2,0),VLOOKUP(G2689,Dados!$D:$L,4,0)&gt;=VLOOKUP(H2689,Dados!$X:$AB,3,0),VLOOKUP(G2689,Dados!$D:$L,4,0)&lt;=VLOOKUP(H2689,Dados!$X:$AB,4,0)),0,1)</f>
        <v>0</v>
      </c>
      <c r="U2689" s="4">
        <f>IF(COUNTIFS(F:F,F2689,H:H,H2689)&lt;=VLOOKUP(H2689,Dados!$X:$AB,5,0),0,1)</f>
        <v>0</v>
      </c>
    </row>
    <row r="2690" spans="6:21">
      <c r="F2690" s="4">
        <v>1147</v>
      </c>
      <c r="G2690" s="4">
        <v>62</v>
      </c>
      <c r="H2690" s="4">
        <v>1</v>
      </c>
      <c r="I2690" s="4">
        <v>28</v>
      </c>
      <c r="J2690" s="4">
        <v>2</v>
      </c>
      <c r="K2690" s="4">
        <f t="shared" si="367"/>
        <v>0</v>
      </c>
      <c r="L2690" s="4">
        <f t="shared" si="367"/>
        <v>0</v>
      </c>
      <c r="M2690" s="4">
        <f t="shared" si="367"/>
        <v>0</v>
      </c>
      <c r="N2690" s="4">
        <f t="shared" si="367"/>
        <v>0</v>
      </c>
      <c r="O2690" s="4">
        <f t="shared" si="368"/>
        <v>0</v>
      </c>
      <c r="P2690" s="4">
        <f t="shared" si="369"/>
        <v>0</v>
      </c>
      <c r="Q2690" s="4">
        <f t="shared" si="370"/>
        <v>0</v>
      </c>
      <c r="R2690" s="4">
        <f t="shared" si="371"/>
        <v>0</v>
      </c>
      <c r="S2690" s="4">
        <f>IF(AND(VLOOKUP(G2690,Dados!$D:$L,2,0)=VLOOKUP(I2690,Dados!$S:$V,2,0),VLOOKUP(G2690,Dados!$D:$L,3,0)=VLOOKUP(I2690,Dados!$S:$V,3,0)),0,1)</f>
        <v>0</v>
      </c>
      <c r="T2690" s="4">
        <f>IF(AND(VLOOKUP(G2690,Dados!$D:$L,3,0)&lt;=VLOOKUP(H2690,Dados!$X:$AB,2,0),VLOOKUP(G2690,Dados!$D:$L,4,0)&gt;=VLOOKUP(H2690,Dados!$X:$AB,3,0),VLOOKUP(G2690,Dados!$D:$L,4,0)&lt;=VLOOKUP(H2690,Dados!$X:$AB,4,0)),0,1)</f>
        <v>0</v>
      </c>
      <c r="U2690" s="4">
        <f>IF(COUNTIFS(F:F,F2690,H:H,H2690)&lt;=VLOOKUP(H2690,Dados!$X:$AB,5,0),0,1)</f>
        <v>0</v>
      </c>
    </row>
    <row r="2691" spans="6:21">
      <c r="F2691" s="4">
        <v>1147</v>
      </c>
      <c r="G2691" s="4">
        <v>66</v>
      </c>
      <c r="H2691" s="4">
        <v>1</v>
      </c>
      <c r="I2691" s="4">
        <v>28</v>
      </c>
      <c r="J2691" s="4">
        <v>2</v>
      </c>
      <c r="K2691" s="4">
        <f t="shared" si="367"/>
        <v>0</v>
      </c>
      <c r="L2691" s="4">
        <f t="shared" si="367"/>
        <v>0</v>
      </c>
      <c r="M2691" s="4">
        <f t="shared" si="367"/>
        <v>0</v>
      </c>
      <c r="N2691" s="4">
        <f t="shared" si="367"/>
        <v>0</v>
      </c>
      <c r="O2691" s="4">
        <f t="shared" si="368"/>
        <v>0</v>
      </c>
      <c r="P2691" s="4">
        <f t="shared" si="369"/>
        <v>0</v>
      </c>
      <c r="Q2691" s="4">
        <f t="shared" si="370"/>
        <v>0</v>
      </c>
      <c r="R2691" s="4">
        <f t="shared" si="371"/>
        <v>0</v>
      </c>
      <c r="S2691" s="4">
        <f>IF(AND(VLOOKUP(G2691,Dados!$D:$L,2,0)=VLOOKUP(I2691,Dados!$S:$V,2,0),VLOOKUP(G2691,Dados!$D:$L,3,0)=VLOOKUP(I2691,Dados!$S:$V,3,0)),0,1)</f>
        <v>0</v>
      </c>
      <c r="T2691" s="4">
        <f>IF(AND(VLOOKUP(G2691,Dados!$D:$L,3,0)&lt;=VLOOKUP(H2691,Dados!$X:$AB,2,0),VLOOKUP(G2691,Dados!$D:$L,4,0)&gt;=VLOOKUP(H2691,Dados!$X:$AB,3,0),VLOOKUP(G2691,Dados!$D:$L,4,0)&lt;=VLOOKUP(H2691,Dados!$X:$AB,4,0)),0,1)</f>
        <v>0</v>
      </c>
      <c r="U2691" s="4">
        <f>IF(COUNTIFS(F:F,F2691,H:H,H2691)&lt;=VLOOKUP(H2691,Dados!$X:$AB,5,0),0,1)</f>
        <v>0</v>
      </c>
    </row>
    <row r="2692" spans="6:21">
      <c r="F2692" s="4">
        <v>1147</v>
      </c>
      <c r="G2692" s="4">
        <v>67</v>
      </c>
      <c r="H2692" s="4">
        <v>1</v>
      </c>
      <c r="I2692" s="4">
        <v>28</v>
      </c>
      <c r="J2692" s="4">
        <v>4</v>
      </c>
      <c r="K2692" s="4">
        <f t="shared" si="367"/>
        <v>0</v>
      </c>
      <c r="L2692" s="4">
        <f t="shared" si="367"/>
        <v>0</v>
      </c>
      <c r="M2692" s="4">
        <f t="shared" si="367"/>
        <v>0</v>
      </c>
      <c r="N2692" s="4">
        <f t="shared" si="367"/>
        <v>0</v>
      </c>
      <c r="O2692" s="4">
        <f t="shared" si="368"/>
        <v>0</v>
      </c>
      <c r="P2692" s="4">
        <f t="shared" si="369"/>
        <v>0</v>
      </c>
      <c r="Q2692" s="4">
        <f t="shared" si="370"/>
        <v>0</v>
      </c>
      <c r="R2692" s="4">
        <f t="shared" si="371"/>
        <v>0</v>
      </c>
      <c r="S2692" s="4">
        <f>IF(AND(VLOOKUP(G2692,Dados!$D:$L,2,0)=VLOOKUP(I2692,Dados!$S:$V,2,0),VLOOKUP(G2692,Dados!$D:$L,3,0)=VLOOKUP(I2692,Dados!$S:$V,3,0)),0,1)</f>
        <v>0</v>
      </c>
      <c r="T2692" s="4">
        <f>IF(AND(VLOOKUP(G2692,Dados!$D:$L,3,0)&lt;=VLOOKUP(H2692,Dados!$X:$AB,2,0),VLOOKUP(G2692,Dados!$D:$L,4,0)&gt;=VLOOKUP(H2692,Dados!$X:$AB,3,0),VLOOKUP(G2692,Dados!$D:$L,4,0)&lt;=VLOOKUP(H2692,Dados!$X:$AB,4,0)),0,1)</f>
        <v>0</v>
      </c>
      <c r="U2692" s="4">
        <f>IF(COUNTIFS(F:F,F2692,H:H,H2692)&lt;=VLOOKUP(H2692,Dados!$X:$AB,5,0),0,1)</f>
        <v>0</v>
      </c>
    </row>
    <row r="2693" spans="6:21">
      <c r="F2693" s="4">
        <v>1148</v>
      </c>
      <c r="G2693" s="4">
        <v>62</v>
      </c>
      <c r="H2693" s="4">
        <v>2</v>
      </c>
      <c r="I2693" s="4">
        <v>28</v>
      </c>
      <c r="J2693" s="4">
        <v>2</v>
      </c>
      <c r="K2693" s="4">
        <f t="shared" si="367"/>
        <v>0</v>
      </c>
      <c r="L2693" s="4">
        <f t="shared" si="367"/>
        <v>0</v>
      </c>
      <c r="M2693" s="4">
        <f t="shared" si="367"/>
        <v>0</v>
      </c>
      <c r="N2693" s="4">
        <f t="shared" si="367"/>
        <v>0</v>
      </c>
      <c r="O2693" s="4">
        <f t="shared" si="368"/>
        <v>0</v>
      </c>
      <c r="P2693" s="4">
        <f t="shared" si="369"/>
        <v>0</v>
      </c>
      <c r="Q2693" s="4">
        <f t="shared" si="370"/>
        <v>0</v>
      </c>
      <c r="R2693" s="4">
        <f t="shared" si="371"/>
        <v>0</v>
      </c>
      <c r="S2693" s="4">
        <f>IF(AND(VLOOKUP(G2693,Dados!$D:$L,2,0)=VLOOKUP(I2693,Dados!$S:$V,2,0),VLOOKUP(G2693,Dados!$D:$L,3,0)=VLOOKUP(I2693,Dados!$S:$V,3,0)),0,1)</f>
        <v>0</v>
      </c>
      <c r="T2693" s="4">
        <f>IF(AND(VLOOKUP(G2693,Dados!$D:$L,3,0)&lt;=VLOOKUP(H2693,Dados!$X:$AB,2,0),VLOOKUP(G2693,Dados!$D:$L,4,0)&gt;=VLOOKUP(H2693,Dados!$X:$AB,3,0),VLOOKUP(G2693,Dados!$D:$L,4,0)&lt;=VLOOKUP(H2693,Dados!$X:$AB,4,0)),0,1)</f>
        <v>0</v>
      </c>
      <c r="U2693" s="4">
        <f>IF(COUNTIFS(F:F,F2693,H:H,H2693)&lt;=VLOOKUP(H2693,Dados!$X:$AB,5,0),0,1)</f>
        <v>0</v>
      </c>
    </row>
    <row r="2694" spans="6:21">
      <c r="F2694" s="4">
        <v>1148</v>
      </c>
      <c r="G2694" s="4">
        <v>66</v>
      </c>
      <c r="H2694" s="4">
        <v>2</v>
      </c>
      <c r="I2694" s="4">
        <v>28</v>
      </c>
      <c r="J2694" s="4">
        <v>2</v>
      </c>
      <c r="K2694" s="4">
        <f t="shared" si="367"/>
        <v>0</v>
      </c>
      <c r="L2694" s="4">
        <f t="shared" si="367"/>
        <v>0</v>
      </c>
      <c r="M2694" s="4">
        <f t="shared" si="367"/>
        <v>0</v>
      </c>
      <c r="N2694" s="4">
        <f t="shared" si="367"/>
        <v>0</v>
      </c>
      <c r="O2694" s="4">
        <f t="shared" si="368"/>
        <v>0</v>
      </c>
      <c r="P2694" s="4">
        <f t="shared" si="369"/>
        <v>0</v>
      </c>
      <c r="Q2694" s="4">
        <f t="shared" si="370"/>
        <v>0</v>
      </c>
      <c r="R2694" s="4">
        <f t="shared" si="371"/>
        <v>0</v>
      </c>
      <c r="S2694" s="4">
        <f>IF(AND(VLOOKUP(G2694,Dados!$D:$L,2,0)=VLOOKUP(I2694,Dados!$S:$V,2,0),VLOOKUP(G2694,Dados!$D:$L,3,0)=VLOOKUP(I2694,Dados!$S:$V,3,0)),0,1)</f>
        <v>0</v>
      </c>
      <c r="T2694" s="4">
        <f>IF(AND(VLOOKUP(G2694,Dados!$D:$L,3,0)&lt;=VLOOKUP(H2694,Dados!$X:$AB,2,0),VLOOKUP(G2694,Dados!$D:$L,4,0)&gt;=VLOOKUP(H2694,Dados!$X:$AB,3,0),VLOOKUP(G2694,Dados!$D:$L,4,0)&lt;=VLOOKUP(H2694,Dados!$X:$AB,4,0)),0,1)</f>
        <v>0</v>
      </c>
      <c r="U2694" s="4">
        <f>IF(COUNTIFS(F:F,F2694,H:H,H2694)&lt;=VLOOKUP(H2694,Dados!$X:$AB,5,0),0,1)</f>
        <v>0</v>
      </c>
    </row>
    <row r="2695" spans="6:21">
      <c r="F2695" s="4">
        <v>1148</v>
      </c>
      <c r="G2695" s="4">
        <v>67</v>
      </c>
      <c r="H2695" s="4">
        <v>2</v>
      </c>
      <c r="I2695" s="4">
        <v>28</v>
      </c>
      <c r="J2695" s="4">
        <v>4</v>
      </c>
      <c r="K2695" s="4">
        <f t="shared" si="367"/>
        <v>0</v>
      </c>
      <c r="L2695" s="4">
        <f t="shared" si="367"/>
        <v>0</v>
      </c>
      <c r="M2695" s="4">
        <f t="shared" si="367"/>
        <v>0</v>
      </c>
      <c r="N2695" s="4">
        <f t="shared" si="367"/>
        <v>0</v>
      </c>
      <c r="O2695" s="4">
        <f t="shared" si="368"/>
        <v>0</v>
      </c>
      <c r="P2695" s="4">
        <f t="shared" si="369"/>
        <v>0</v>
      </c>
      <c r="Q2695" s="4">
        <f t="shared" si="370"/>
        <v>0</v>
      </c>
      <c r="R2695" s="4">
        <f t="shared" si="371"/>
        <v>0</v>
      </c>
      <c r="S2695" s="4">
        <f>IF(AND(VLOOKUP(G2695,Dados!$D:$L,2,0)=VLOOKUP(I2695,Dados!$S:$V,2,0),VLOOKUP(G2695,Dados!$D:$L,3,0)=VLOOKUP(I2695,Dados!$S:$V,3,0)),0,1)</f>
        <v>0</v>
      </c>
      <c r="T2695" s="4">
        <f>IF(AND(VLOOKUP(G2695,Dados!$D:$L,3,0)&lt;=VLOOKUP(H2695,Dados!$X:$AB,2,0),VLOOKUP(G2695,Dados!$D:$L,4,0)&gt;=VLOOKUP(H2695,Dados!$X:$AB,3,0),VLOOKUP(G2695,Dados!$D:$L,4,0)&lt;=VLOOKUP(H2695,Dados!$X:$AB,4,0)),0,1)</f>
        <v>0</v>
      </c>
      <c r="U2695" s="4">
        <f>IF(COUNTIFS(F:F,F2695,H:H,H2695)&lt;=VLOOKUP(H2695,Dados!$X:$AB,5,0),0,1)</f>
        <v>0</v>
      </c>
    </row>
    <row r="2696" spans="6:21">
      <c r="F2696" s="4">
        <v>1149</v>
      </c>
      <c r="G2696" s="4">
        <v>62</v>
      </c>
      <c r="H2696" s="4">
        <v>3</v>
      </c>
      <c r="I2696" s="4">
        <v>28</v>
      </c>
      <c r="J2696" s="4">
        <v>2</v>
      </c>
      <c r="K2696" s="4">
        <f t="shared" si="367"/>
        <v>0</v>
      </c>
      <c r="L2696" s="4">
        <f t="shared" si="367"/>
        <v>0</v>
      </c>
      <c r="M2696" s="4">
        <f t="shared" si="367"/>
        <v>0</v>
      </c>
      <c r="N2696" s="4">
        <f t="shared" si="367"/>
        <v>0</v>
      </c>
      <c r="O2696" s="4">
        <f t="shared" si="368"/>
        <v>0</v>
      </c>
      <c r="P2696" s="4">
        <f t="shared" si="369"/>
        <v>0</v>
      </c>
      <c r="Q2696" s="4">
        <f t="shared" si="370"/>
        <v>0</v>
      </c>
      <c r="R2696" s="4">
        <f t="shared" si="371"/>
        <v>0</v>
      </c>
      <c r="S2696" s="4">
        <f>IF(AND(VLOOKUP(G2696,Dados!$D:$L,2,0)=VLOOKUP(I2696,Dados!$S:$V,2,0),VLOOKUP(G2696,Dados!$D:$L,3,0)=VLOOKUP(I2696,Dados!$S:$V,3,0)),0,1)</f>
        <v>0</v>
      </c>
      <c r="T2696" s="4">
        <f>IF(AND(VLOOKUP(G2696,Dados!$D:$L,3,0)&lt;=VLOOKUP(H2696,Dados!$X:$AB,2,0),VLOOKUP(G2696,Dados!$D:$L,4,0)&gt;=VLOOKUP(H2696,Dados!$X:$AB,3,0),VLOOKUP(G2696,Dados!$D:$L,4,0)&lt;=VLOOKUP(H2696,Dados!$X:$AB,4,0)),0,1)</f>
        <v>0</v>
      </c>
      <c r="U2696" s="4">
        <f>IF(COUNTIFS(F:F,F2696,H:H,H2696)&lt;=VLOOKUP(H2696,Dados!$X:$AB,5,0),0,1)</f>
        <v>0</v>
      </c>
    </row>
    <row r="2697" spans="6:21">
      <c r="F2697" s="4">
        <v>1149</v>
      </c>
      <c r="G2697" s="4">
        <v>66</v>
      </c>
      <c r="H2697" s="4">
        <v>3</v>
      </c>
      <c r="I2697" s="4">
        <v>28</v>
      </c>
      <c r="J2697" s="4">
        <v>2</v>
      </c>
      <c r="K2697" s="4">
        <f t="shared" si="367"/>
        <v>0</v>
      </c>
      <c r="L2697" s="4">
        <f t="shared" si="367"/>
        <v>0</v>
      </c>
      <c r="M2697" s="4">
        <f t="shared" si="367"/>
        <v>0</v>
      </c>
      <c r="N2697" s="4">
        <f t="shared" si="367"/>
        <v>0</v>
      </c>
      <c r="O2697" s="4">
        <f t="shared" si="368"/>
        <v>0</v>
      </c>
      <c r="P2697" s="4">
        <f t="shared" si="369"/>
        <v>0</v>
      </c>
      <c r="Q2697" s="4">
        <f t="shared" si="370"/>
        <v>0</v>
      </c>
      <c r="R2697" s="4">
        <f t="shared" si="371"/>
        <v>0</v>
      </c>
      <c r="S2697" s="4">
        <f>IF(AND(VLOOKUP(G2697,Dados!$D:$L,2,0)=VLOOKUP(I2697,Dados!$S:$V,2,0),VLOOKUP(G2697,Dados!$D:$L,3,0)=VLOOKUP(I2697,Dados!$S:$V,3,0)),0,1)</f>
        <v>0</v>
      </c>
      <c r="T2697" s="4">
        <f>IF(AND(VLOOKUP(G2697,Dados!$D:$L,3,0)&lt;=VLOOKUP(H2697,Dados!$X:$AB,2,0),VLOOKUP(G2697,Dados!$D:$L,4,0)&gt;=VLOOKUP(H2697,Dados!$X:$AB,3,0),VLOOKUP(G2697,Dados!$D:$L,4,0)&lt;=VLOOKUP(H2697,Dados!$X:$AB,4,0)),0,1)</f>
        <v>0</v>
      </c>
      <c r="U2697" s="4">
        <f>IF(COUNTIFS(F:F,F2697,H:H,H2697)&lt;=VLOOKUP(H2697,Dados!$X:$AB,5,0),0,1)</f>
        <v>0</v>
      </c>
    </row>
    <row r="2698" spans="6:21">
      <c r="F2698" s="4">
        <v>1149</v>
      </c>
      <c r="G2698" s="4">
        <v>67</v>
      </c>
      <c r="H2698" s="4">
        <v>3</v>
      </c>
      <c r="I2698" s="4">
        <v>28</v>
      </c>
      <c r="J2698" s="4">
        <v>4</v>
      </c>
      <c r="K2698" s="4">
        <f t="shared" si="367"/>
        <v>0</v>
      </c>
      <c r="L2698" s="4">
        <f t="shared" si="367"/>
        <v>0</v>
      </c>
      <c r="M2698" s="4">
        <f t="shared" si="367"/>
        <v>0</v>
      </c>
      <c r="N2698" s="4">
        <f t="shared" si="367"/>
        <v>0</v>
      </c>
      <c r="O2698" s="4">
        <f t="shared" si="368"/>
        <v>0</v>
      </c>
      <c r="P2698" s="4">
        <f t="shared" si="369"/>
        <v>0</v>
      </c>
      <c r="Q2698" s="4">
        <f t="shared" si="370"/>
        <v>0</v>
      </c>
      <c r="R2698" s="4">
        <f t="shared" si="371"/>
        <v>0</v>
      </c>
      <c r="S2698" s="4">
        <f>IF(AND(VLOOKUP(G2698,Dados!$D:$L,2,0)=VLOOKUP(I2698,Dados!$S:$V,2,0),VLOOKUP(G2698,Dados!$D:$L,3,0)=VLOOKUP(I2698,Dados!$S:$V,3,0)),0,1)</f>
        <v>0</v>
      </c>
      <c r="T2698" s="4">
        <f>IF(AND(VLOOKUP(G2698,Dados!$D:$L,3,0)&lt;=VLOOKUP(H2698,Dados!$X:$AB,2,0),VLOOKUP(G2698,Dados!$D:$L,4,0)&gt;=VLOOKUP(H2698,Dados!$X:$AB,3,0),VLOOKUP(G2698,Dados!$D:$L,4,0)&lt;=VLOOKUP(H2698,Dados!$X:$AB,4,0)),0,1)</f>
        <v>0</v>
      </c>
      <c r="U2698" s="4">
        <f>IF(COUNTIFS(F:F,F2698,H:H,H2698)&lt;=VLOOKUP(H2698,Dados!$X:$AB,5,0),0,1)</f>
        <v>0</v>
      </c>
    </row>
    <row r="2699" spans="6:21">
      <c r="F2699" s="4">
        <v>1150</v>
      </c>
      <c r="G2699" s="4">
        <v>41</v>
      </c>
      <c r="H2699" s="4">
        <v>3</v>
      </c>
      <c r="I2699" s="4">
        <v>17</v>
      </c>
      <c r="J2699" s="4">
        <v>2</v>
      </c>
      <c r="K2699" s="4">
        <f t="shared" si="367"/>
        <v>3</v>
      </c>
      <c r="L2699" s="4">
        <f t="shared" si="367"/>
        <v>0</v>
      </c>
      <c r="M2699" s="4">
        <f t="shared" si="367"/>
        <v>0</v>
      </c>
      <c r="N2699" s="4">
        <f t="shared" si="367"/>
        <v>0</v>
      </c>
      <c r="O2699" s="4">
        <f t="shared" si="368"/>
        <v>6</v>
      </c>
      <c r="P2699" s="4">
        <f t="shared" si="369"/>
        <v>0</v>
      </c>
      <c r="Q2699" s="4">
        <f t="shared" si="370"/>
        <v>0</v>
      </c>
      <c r="R2699" s="4">
        <f t="shared" si="371"/>
        <v>0</v>
      </c>
      <c r="S2699" s="4">
        <f>IF(AND(VLOOKUP(G2699,Dados!$D:$L,2,0)=VLOOKUP(I2699,Dados!$S:$V,2,0),VLOOKUP(G2699,Dados!$D:$L,3,0)=VLOOKUP(I2699,Dados!$S:$V,3,0)),0,1)</f>
        <v>0</v>
      </c>
      <c r="T2699" s="4">
        <f>IF(AND(VLOOKUP(G2699,Dados!$D:$L,3,0)&lt;=VLOOKUP(H2699,Dados!$X:$AB,2,0),VLOOKUP(G2699,Dados!$D:$L,4,0)&gt;=VLOOKUP(H2699,Dados!$X:$AB,3,0),VLOOKUP(G2699,Dados!$D:$L,4,0)&lt;=VLOOKUP(H2699,Dados!$X:$AB,4,0)),0,1)</f>
        <v>0</v>
      </c>
      <c r="U2699" s="4">
        <f>IF(COUNTIFS(F:F,F2699,H:H,H2699)&lt;=VLOOKUP(H2699,Dados!$X:$AB,5,0),0,1)</f>
        <v>0</v>
      </c>
    </row>
    <row r="2700" spans="6:21">
      <c r="F2700" s="4">
        <v>1150</v>
      </c>
      <c r="G2700" s="4">
        <v>43</v>
      </c>
      <c r="H2700" s="4">
        <v>3</v>
      </c>
      <c r="I2700" s="4">
        <v>17</v>
      </c>
      <c r="J2700" s="4">
        <v>4</v>
      </c>
      <c r="K2700" s="4">
        <f t="shared" si="367"/>
        <v>3</v>
      </c>
      <c r="L2700" s="4">
        <f t="shared" si="367"/>
        <v>0</v>
      </c>
      <c r="M2700" s="4">
        <f t="shared" si="367"/>
        <v>0</v>
      </c>
      <c r="N2700" s="4">
        <f t="shared" si="367"/>
        <v>0</v>
      </c>
      <c r="O2700" s="4">
        <f t="shared" si="368"/>
        <v>12</v>
      </c>
      <c r="P2700" s="4">
        <f t="shared" si="369"/>
        <v>0</v>
      </c>
      <c r="Q2700" s="4">
        <f t="shared" si="370"/>
        <v>0</v>
      </c>
      <c r="R2700" s="4">
        <f t="shared" si="371"/>
        <v>0</v>
      </c>
      <c r="S2700" s="4">
        <f>IF(AND(VLOOKUP(G2700,Dados!$D:$L,2,0)=VLOOKUP(I2700,Dados!$S:$V,2,0),VLOOKUP(G2700,Dados!$D:$L,3,0)=VLOOKUP(I2700,Dados!$S:$V,3,0)),0,1)</f>
        <v>0</v>
      </c>
      <c r="T2700" s="4">
        <f>IF(AND(VLOOKUP(G2700,Dados!$D:$L,3,0)&lt;=VLOOKUP(H2700,Dados!$X:$AB,2,0),VLOOKUP(G2700,Dados!$D:$L,4,0)&gt;=VLOOKUP(H2700,Dados!$X:$AB,3,0),VLOOKUP(G2700,Dados!$D:$L,4,0)&lt;=VLOOKUP(H2700,Dados!$X:$AB,4,0)),0,1)</f>
        <v>0</v>
      </c>
      <c r="U2700" s="4">
        <f>IF(COUNTIFS(F:F,F2700,H:H,H2700)&lt;=VLOOKUP(H2700,Dados!$X:$AB,5,0),0,1)</f>
        <v>0</v>
      </c>
    </row>
    <row r="2701" spans="6:21">
      <c r="F2701" s="4">
        <v>1150</v>
      </c>
      <c r="G2701" s="4">
        <v>44</v>
      </c>
      <c r="H2701" s="4">
        <v>3</v>
      </c>
      <c r="I2701" s="4">
        <v>17</v>
      </c>
      <c r="J2701" s="4">
        <v>1</v>
      </c>
      <c r="K2701" s="4">
        <f t="shared" si="367"/>
        <v>3</v>
      </c>
      <c r="L2701" s="4">
        <f t="shared" si="367"/>
        <v>0</v>
      </c>
      <c r="M2701" s="4">
        <f t="shared" si="367"/>
        <v>0</v>
      </c>
      <c r="N2701" s="4">
        <f t="shared" si="367"/>
        <v>0</v>
      </c>
      <c r="O2701" s="4">
        <f t="shared" si="368"/>
        <v>3</v>
      </c>
      <c r="P2701" s="4">
        <f t="shared" si="369"/>
        <v>0</v>
      </c>
      <c r="Q2701" s="4">
        <f t="shared" si="370"/>
        <v>0</v>
      </c>
      <c r="R2701" s="4">
        <f t="shared" si="371"/>
        <v>0</v>
      </c>
      <c r="S2701" s="4">
        <f>IF(AND(VLOOKUP(G2701,Dados!$D:$L,2,0)=VLOOKUP(I2701,Dados!$S:$V,2,0),VLOOKUP(G2701,Dados!$D:$L,3,0)=VLOOKUP(I2701,Dados!$S:$V,3,0)),0,1)</f>
        <v>0</v>
      </c>
      <c r="T2701" s="4">
        <f>IF(AND(VLOOKUP(G2701,Dados!$D:$L,3,0)&lt;=VLOOKUP(H2701,Dados!$X:$AB,2,0),VLOOKUP(G2701,Dados!$D:$L,4,0)&gt;=VLOOKUP(H2701,Dados!$X:$AB,3,0),VLOOKUP(G2701,Dados!$D:$L,4,0)&lt;=VLOOKUP(H2701,Dados!$X:$AB,4,0)),0,1)</f>
        <v>0</v>
      </c>
      <c r="U2701" s="4">
        <f>IF(COUNTIFS(F:F,F2701,H:H,H2701)&lt;=VLOOKUP(H2701,Dados!$X:$AB,5,0),0,1)</f>
        <v>0</v>
      </c>
    </row>
    <row r="2702" spans="6:21">
      <c r="F2702" s="4">
        <v>1150</v>
      </c>
      <c r="G2702" s="4">
        <v>45</v>
      </c>
      <c r="H2702" s="4">
        <v>3</v>
      </c>
      <c r="I2702" s="4">
        <v>17</v>
      </c>
      <c r="J2702" s="4">
        <v>2</v>
      </c>
      <c r="K2702" s="4">
        <f t="shared" si="367"/>
        <v>3</v>
      </c>
      <c r="L2702" s="4">
        <f t="shared" si="367"/>
        <v>0</v>
      </c>
      <c r="M2702" s="4">
        <f t="shared" si="367"/>
        <v>0</v>
      </c>
      <c r="N2702" s="4">
        <f t="shared" si="367"/>
        <v>0</v>
      </c>
      <c r="O2702" s="4">
        <f t="shared" si="368"/>
        <v>6</v>
      </c>
      <c r="P2702" s="4">
        <f t="shared" si="369"/>
        <v>0</v>
      </c>
      <c r="Q2702" s="4">
        <f t="shared" si="370"/>
        <v>0</v>
      </c>
      <c r="R2702" s="4">
        <f t="shared" si="371"/>
        <v>0</v>
      </c>
      <c r="S2702" s="4">
        <f>IF(AND(VLOOKUP(G2702,Dados!$D:$L,2,0)=VLOOKUP(I2702,Dados!$S:$V,2,0),VLOOKUP(G2702,Dados!$D:$L,3,0)=VLOOKUP(I2702,Dados!$S:$V,3,0)),0,1)</f>
        <v>0</v>
      </c>
      <c r="T2702" s="4">
        <f>IF(AND(VLOOKUP(G2702,Dados!$D:$L,3,0)&lt;=VLOOKUP(H2702,Dados!$X:$AB,2,0),VLOOKUP(G2702,Dados!$D:$L,4,0)&gt;=VLOOKUP(H2702,Dados!$X:$AB,3,0),VLOOKUP(G2702,Dados!$D:$L,4,0)&lt;=VLOOKUP(H2702,Dados!$X:$AB,4,0)),0,1)</f>
        <v>0</v>
      </c>
      <c r="U2702" s="4">
        <f>IF(COUNTIFS(F:F,F2702,H:H,H2702)&lt;=VLOOKUP(H2702,Dados!$X:$AB,5,0),0,1)</f>
        <v>0</v>
      </c>
    </row>
    <row r="2703" spans="6:21">
      <c r="F2703" s="4">
        <v>1151</v>
      </c>
      <c r="G2703" s="4">
        <v>60</v>
      </c>
      <c r="H2703" s="4">
        <v>3</v>
      </c>
      <c r="I2703" s="4">
        <v>25</v>
      </c>
      <c r="J2703" s="4">
        <v>1</v>
      </c>
      <c r="K2703" s="4">
        <f t="shared" si="367"/>
        <v>0</v>
      </c>
      <c r="L2703" s="4">
        <f t="shared" si="367"/>
        <v>0</v>
      </c>
      <c r="M2703" s="4">
        <f t="shared" si="367"/>
        <v>0</v>
      </c>
      <c r="N2703" s="4">
        <f t="shared" si="367"/>
        <v>0</v>
      </c>
      <c r="O2703" s="4">
        <f t="shared" si="368"/>
        <v>0</v>
      </c>
      <c r="P2703" s="4">
        <f t="shared" si="369"/>
        <v>0</v>
      </c>
      <c r="Q2703" s="4">
        <f t="shared" si="370"/>
        <v>0</v>
      </c>
      <c r="R2703" s="4">
        <f t="shared" si="371"/>
        <v>0</v>
      </c>
      <c r="S2703" s="4">
        <f>IF(AND(VLOOKUP(G2703,Dados!$D:$L,2,0)=VLOOKUP(I2703,Dados!$S:$V,2,0),VLOOKUP(G2703,Dados!$D:$L,3,0)=VLOOKUP(I2703,Dados!$S:$V,3,0)),0,1)</f>
        <v>0</v>
      </c>
      <c r="T2703" s="4">
        <f>IF(AND(VLOOKUP(G2703,Dados!$D:$L,3,0)&lt;=VLOOKUP(H2703,Dados!$X:$AB,2,0),VLOOKUP(G2703,Dados!$D:$L,4,0)&gt;=VLOOKUP(H2703,Dados!$X:$AB,3,0),VLOOKUP(G2703,Dados!$D:$L,4,0)&lt;=VLOOKUP(H2703,Dados!$X:$AB,4,0)),0,1)</f>
        <v>0</v>
      </c>
      <c r="U2703" s="4">
        <f>IF(COUNTIFS(F:F,F2703,H:H,H2703)&lt;=VLOOKUP(H2703,Dados!$X:$AB,5,0),0,1)</f>
        <v>0</v>
      </c>
    </row>
    <row r="2704" spans="6:21">
      <c r="F2704" s="4">
        <v>1151</v>
      </c>
      <c r="G2704" s="4">
        <v>61</v>
      </c>
      <c r="H2704" s="4">
        <v>3</v>
      </c>
      <c r="I2704" s="4">
        <v>25</v>
      </c>
      <c r="J2704" s="4">
        <v>4</v>
      </c>
      <c r="K2704" s="4">
        <f t="shared" si="367"/>
        <v>0</v>
      </c>
      <c r="L2704" s="4">
        <f t="shared" si="367"/>
        <v>0</v>
      </c>
      <c r="M2704" s="4">
        <f t="shared" si="367"/>
        <v>0</v>
      </c>
      <c r="N2704" s="4">
        <f t="shared" si="367"/>
        <v>0</v>
      </c>
      <c r="O2704" s="4">
        <f t="shared" si="368"/>
        <v>0</v>
      </c>
      <c r="P2704" s="4">
        <f t="shared" si="369"/>
        <v>0</v>
      </c>
      <c r="Q2704" s="4">
        <f t="shared" si="370"/>
        <v>0</v>
      </c>
      <c r="R2704" s="4">
        <f t="shared" si="371"/>
        <v>0</v>
      </c>
      <c r="S2704" s="4">
        <f>IF(AND(VLOOKUP(G2704,Dados!$D:$L,2,0)=VLOOKUP(I2704,Dados!$S:$V,2,0),VLOOKUP(G2704,Dados!$D:$L,3,0)=VLOOKUP(I2704,Dados!$S:$V,3,0)),0,1)</f>
        <v>0</v>
      </c>
      <c r="T2704" s="4">
        <f>IF(AND(VLOOKUP(G2704,Dados!$D:$L,3,0)&lt;=VLOOKUP(H2704,Dados!$X:$AB,2,0),VLOOKUP(G2704,Dados!$D:$L,4,0)&gt;=VLOOKUP(H2704,Dados!$X:$AB,3,0),VLOOKUP(G2704,Dados!$D:$L,4,0)&lt;=VLOOKUP(H2704,Dados!$X:$AB,4,0)),0,1)</f>
        <v>0</v>
      </c>
      <c r="U2704" s="4">
        <f>IF(COUNTIFS(F:F,F2704,H:H,H2704)&lt;=VLOOKUP(H2704,Dados!$X:$AB,5,0),0,1)</f>
        <v>0</v>
      </c>
    </row>
    <row r="2705" spans="6:21">
      <c r="F2705" s="4">
        <v>1151</v>
      </c>
      <c r="G2705" s="4">
        <v>63</v>
      </c>
      <c r="H2705" s="4">
        <v>3</v>
      </c>
      <c r="I2705" s="4">
        <v>25</v>
      </c>
      <c r="J2705" s="4">
        <v>2</v>
      </c>
      <c r="K2705" s="4">
        <f t="shared" si="367"/>
        <v>0</v>
      </c>
      <c r="L2705" s="4">
        <f t="shared" si="367"/>
        <v>0</v>
      </c>
      <c r="M2705" s="4">
        <f t="shared" si="367"/>
        <v>0</v>
      </c>
      <c r="N2705" s="4">
        <f t="shared" si="367"/>
        <v>0</v>
      </c>
      <c r="O2705" s="4">
        <f t="shared" si="368"/>
        <v>0</v>
      </c>
      <c r="P2705" s="4">
        <f t="shared" si="369"/>
        <v>0</v>
      </c>
      <c r="Q2705" s="4">
        <f t="shared" si="370"/>
        <v>0</v>
      </c>
      <c r="R2705" s="4">
        <f t="shared" si="371"/>
        <v>0</v>
      </c>
      <c r="S2705" s="4">
        <f>IF(AND(VLOOKUP(G2705,Dados!$D:$L,2,0)=VLOOKUP(I2705,Dados!$S:$V,2,0),VLOOKUP(G2705,Dados!$D:$L,3,0)=VLOOKUP(I2705,Dados!$S:$V,3,0)),0,1)</f>
        <v>0</v>
      </c>
      <c r="T2705" s="4">
        <f>IF(AND(VLOOKUP(G2705,Dados!$D:$L,3,0)&lt;=VLOOKUP(H2705,Dados!$X:$AB,2,0),VLOOKUP(G2705,Dados!$D:$L,4,0)&gt;=VLOOKUP(H2705,Dados!$X:$AB,3,0),VLOOKUP(G2705,Dados!$D:$L,4,0)&lt;=VLOOKUP(H2705,Dados!$X:$AB,4,0)),0,1)</f>
        <v>0</v>
      </c>
      <c r="U2705" s="4">
        <f>IF(COUNTIFS(F:F,F2705,H:H,H2705)&lt;=VLOOKUP(H2705,Dados!$X:$AB,5,0),0,1)</f>
        <v>0</v>
      </c>
    </row>
    <row r="2706" spans="6:21">
      <c r="F2706" s="4">
        <v>1151</v>
      </c>
      <c r="G2706" s="4">
        <v>64</v>
      </c>
      <c r="H2706" s="4">
        <v>3</v>
      </c>
      <c r="I2706" s="4">
        <v>25</v>
      </c>
      <c r="J2706" s="4">
        <v>1</v>
      </c>
      <c r="K2706" s="4">
        <f t="shared" si="367"/>
        <v>0</v>
      </c>
      <c r="L2706" s="4">
        <f t="shared" si="367"/>
        <v>0</v>
      </c>
      <c r="M2706" s="4">
        <f t="shared" si="367"/>
        <v>0</v>
      </c>
      <c r="N2706" s="4">
        <f t="shared" si="367"/>
        <v>0</v>
      </c>
      <c r="O2706" s="4">
        <f t="shared" si="368"/>
        <v>0</v>
      </c>
      <c r="P2706" s="4">
        <f t="shared" si="369"/>
        <v>0</v>
      </c>
      <c r="Q2706" s="4">
        <f t="shared" si="370"/>
        <v>0</v>
      </c>
      <c r="R2706" s="4">
        <f t="shared" si="371"/>
        <v>0</v>
      </c>
      <c r="S2706" s="4">
        <f>IF(AND(VLOOKUP(G2706,Dados!$D:$L,2,0)=VLOOKUP(I2706,Dados!$S:$V,2,0),VLOOKUP(G2706,Dados!$D:$L,3,0)=VLOOKUP(I2706,Dados!$S:$V,3,0)),0,1)</f>
        <v>0</v>
      </c>
      <c r="T2706" s="4">
        <f>IF(AND(VLOOKUP(G2706,Dados!$D:$L,3,0)&lt;=VLOOKUP(H2706,Dados!$X:$AB,2,0),VLOOKUP(G2706,Dados!$D:$L,4,0)&gt;=VLOOKUP(H2706,Dados!$X:$AB,3,0),VLOOKUP(G2706,Dados!$D:$L,4,0)&lt;=VLOOKUP(H2706,Dados!$X:$AB,4,0)),0,1)</f>
        <v>0</v>
      </c>
      <c r="U2706" s="4">
        <f>IF(COUNTIFS(F:F,F2706,H:H,H2706)&lt;=VLOOKUP(H2706,Dados!$X:$AB,5,0),0,1)</f>
        <v>0</v>
      </c>
    </row>
  </sheetData>
  <autoFilter ref="W2:AB124817"/>
  <mergeCells count="56">
    <mergeCell ref="EB3:ED3"/>
    <mergeCell ref="EF3:EI3"/>
    <mergeCell ref="EK3:EK5"/>
    <mergeCell ref="ED4:ED5"/>
    <mergeCell ref="EF4:EF5"/>
    <mergeCell ref="EG4:EG5"/>
    <mergeCell ref="EH4:EH5"/>
    <mergeCell ref="EI4:EI5"/>
    <mergeCell ref="EB4:EB5"/>
    <mergeCell ref="EC4:EC5"/>
    <mergeCell ref="DE1:DK1"/>
    <mergeCell ref="DM1:DQ1"/>
    <mergeCell ref="DV3:DV5"/>
    <mergeCell ref="DW3:DW5"/>
    <mergeCell ref="DX3:DZ3"/>
    <mergeCell ref="DX4:DX5"/>
    <mergeCell ref="DY4:DY5"/>
    <mergeCell ref="DZ4:DZ5"/>
    <mergeCell ref="W1:AB1"/>
    <mergeCell ref="AD1:AG1"/>
    <mergeCell ref="AO1:AT1"/>
    <mergeCell ref="AI1:AM1"/>
    <mergeCell ref="F1:R1"/>
    <mergeCell ref="S1:U1"/>
    <mergeCell ref="ER4:ER5"/>
    <mergeCell ref="ES4:ES5"/>
    <mergeCell ref="EV3:EX3"/>
    <mergeCell ref="EV4:EV5"/>
    <mergeCell ref="AY1:BC1"/>
    <mergeCell ref="BD1:BG1"/>
    <mergeCell ref="BH1:BK1"/>
    <mergeCell ref="CM1:CQ1"/>
    <mergeCell ref="CR1:CU1"/>
    <mergeCell ref="CV1:CY1"/>
    <mergeCell ref="BL1:BO1"/>
    <mergeCell ref="BV1:CB1"/>
    <mergeCell ref="CD1:CH1"/>
    <mergeCell ref="BP1:BT1"/>
    <mergeCell ref="DS1:DT2"/>
    <mergeCell ref="CZ1:DC1"/>
    <mergeCell ref="EW4:EW5"/>
    <mergeCell ref="EZ4:EZ5"/>
    <mergeCell ref="FA4:FB4"/>
    <mergeCell ref="EZ3:FF3"/>
    <mergeCell ref="EL4:EL5"/>
    <mergeCell ref="EM4:EM5"/>
    <mergeCell ref="FE4:FE5"/>
    <mergeCell ref="FF4:FF5"/>
    <mergeCell ref="EL3:EP3"/>
    <mergeCell ref="EX4:EX5"/>
    <mergeCell ref="ER3:ET3"/>
    <mergeCell ref="ET4:ET5"/>
    <mergeCell ref="FC4:FD4"/>
    <mergeCell ref="EN4:EN5"/>
    <mergeCell ref="EO4:EO5"/>
    <mergeCell ref="EP4:EP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Dados</vt:lpstr>
      <vt:lpstr>Resultado</vt:lpstr>
      <vt:lpstr>bins</vt:lpstr>
      <vt:lpstr>Resultado!decai</vt:lpstr>
      <vt:lpstr>estF</vt:lpstr>
      <vt:lpstr>Resultado!estI</vt:lpstr>
      <vt:lpstr>feixe</vt:lpstr>
      <vt:lpstr>FxPr</vt:lpstr>
      <vt:lpstr>inst</vt:lpstr>
      <vt:lpstr>itens</vt:lpstr>
      <vt:lpstr>maq</vt:lpstr>
      <vt:lpstr>mFT</vt:lpstr>
      <vt:lpstr>mIT</vt:lpstr>
      <vt:lpstr>Resultado!padr</vt:lpstr>
      <vt:lpstr>Resultado!padU</vt:lpstr>
      <vt:lpstr>per</vt:lpstr>
      <vt:lpstr>Resultado!sol</vt:lpstr>
      <vt:lpstr>Resultado!tempo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Lemos</dc:creator>
  <cp:lastModifiedBy>Pedro Rochavetz</cp:lastModifiedBy>
  <dcterms:created xsi:type="dcterms:W3CDTF">2018-09-14T19:27:02Z</dcterms:created>
  <dcterms:modified xsi:type="dcterms:W3CDTF">2020-05-08T05:12:08Z</dcterms:modified>
</cp:coreProperties>
</file>